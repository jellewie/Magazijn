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13_ncr:1_{EC5A54A7-E363-48D3-A494-B037FFC2A544}" xr6:coauthVersionLast="36" xr6:coauthVersionMax="36" xr10:uidLastSave="{00000000-0000-0000-0000-000000000000}"/>
  <bookViews>
    <workbookView xWindow="0" yWindow="0" windowWidth="23040" windowHeight="9060" tabRatio="879" xr2:uid="{EE50C06F-4E4E-4764-A147-9CE64F470E61}"/>
  </bookViews>
  <sheets>
    <sheet name="Uitlenen en innemen" sheetId="1" r:id="rId1"/>
    <sheet name="Momenteel uitgeleend" sheetId="2" r:id="rId2"/>
    <sheet name="DB uitgeleend" sheetId="11" r:id="rId3"/>
    <sheet name="Barcodes Gebruikers" sheetId="12" r:id="rId4"/>
    <sheet name="Barcodes Voorwerpen" sheetId="13" r:id="rId5"/>
    <sheet name="Instellingen" sheetId="7" r:id="rId6"/>
    <sheet name="DB" sheetId="8" state="hidden" r:id="rId7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" i="1" l="1"/>
  <c r="A4" i="12" l="1"/>
  <c r="B4" i="12"/>
  <c r="C4" i="12"/>
  <c r="C3" i="12" s="1"/>
  <c r="D4" i="12"/>
  <c r="A6" i="12"/>
  <c r="A5" i="12" s="1"/>
  <c r="B6" i="12"/>
  <c r="C6" i="12"/>
  <c r="C5" i="12" s="1"/>
  <c r="D6" i="12"/>
  <c r="A8" i="12"/>
  <c r="A7" i="12" s="1"/>
  <c r="B8" i="12"/>
  <c r="C8" i="12"/>
  <c r="C7" i="12" s="1"/>
  <c r="D8" i="12"/>
  <c r="A10" i="12"/>
  <c r="A9" i="12" s="1"/>
  <c r="B10" i="12"/>
  <c r="C10" i="12"/>
  <c r="C9" i="12" s="1"/>
  <c r="D10" i="12"/>
  <c r="A12" i="12"/>
  <c r="A11" i="12" s="1"/>
  <c r="B12" i="12"/>
  <c r="C12" i="12"/>
  <c r="C11" i="12" s="1"/>
  <c r="D12" i="12"/>
  <c r="C13" i="12"/>
  <c r="A14" i="12"/>
  <c r="A13" i="12" s="1"/>
  <c r="B14" i="12"/>
  <c r="C14" i="12"/>
  <c r="D14" i="12"/>
  <c r="A16" i="12"/>
  <c r="A15" i="12" s="1"/>
  <c r="B16" i="12"/>
  <c r="C16" i="12"/>
  <c r="C15" i="12" s="1"/>
  <c r="D16" i="12"/>
  <c r="A18" i="12"/>
  <c r="A17" i="12" s="1"/>
  <c r="B18" i="12"/>
  <c r="C18" i="12"/>
  <c r="C17" i="12" s="1"/>
  <c r="D18" i="12"/>
  <c r="A20" i="12"/>
  <c r="A19" i="12" s="1"/>
  <c r="B20" i="12"/>
  <c r="C20" i="12"/>
  <c r="C19" i="12" s="1"/>
  <c r="D20" i="12"/>
  <c r="C21" i="12"/>
  <c r="A22" i="12"/>
  <c r="A21" i="12" s="1"/>
  <c r="B22" i="12"/>
  <c r="C22" i="12"/>
  <c r="D22" i="12"/>
  <c r="A24" i="12"/>
  <c r="A23" i="12" s="1"/>
  <c r="B24" i="12"/>
  <c r="C24" i="12"/>
  <c r="C23" i="12" s="1"/>
  <c r="D24" i="12"/>
  <c r="A26" i="12"/>
  <c r="A25" i="12" s="1"/>
  <c r="B26" i="12"/>
  <c r="C26" i="12"/>
  <c r="C25" i="12" s="1"/>
  <c r="D26" i="12"/>
  <c r="A28" i="12"/>
  <c r="A27" i="12" s="1"/>
  <c r="B28" i="12"/>
  <c r="C28" i="12"/>
  <c r="C27" i="12" s="1"/>
  <c r="D28" i="12"/>
  <c r="C29" i="12"/>
  <c r="A30" i="12"/>
  <c r="A29" i="12" s="1"/>
  <c r="B30" i="12"/>
  <c r="C30" i="12"/>
  <c r="D30" i="12"/>
  <c r="A32" i="12"/>
  <c r="A31" i="12" s="1"/>
  <c r="B32" i="12"/>
  <c r="C32" i="12"/>
  <c r="C31" i="12" s="1"/>
  <c r="D32" i="12"/>
  <c r="A34" i="12"/>
  <c r="A33" i="12" s="1"/>
  <c r="B34" i="12"/>
  <c r="C34" i="12"/>
  <c r="C33" i="12" s="1"/>
  <c r="D34" i="12"/>
  <c r="A36" i="12"/>
  <c r="A35" i="12" s="1"/>
  <c r="B36" i="12"/>
  <c r="C36" i="12"/>
  <c r="C35" i="12" s="1"/>
  <c r="D36" i="12"/>
  <c r="C37" i="12"/>
  <c r="A38" i="12"/>
  <c r="A37" i="12" s="1"/>
  <c r="B38" i="12"/>
  <c r="C38" i="12"/>
  <c r="D38" i="12"/>
  <c r="A40" i="12"/>
  <c r="A39" i="12" s="1"/>
  <c r="B40" i="12"/>
  <c r="C40" i="12"/>
  <c r="C39" i="12" s="1"/>
  <c r="D40" i="12"/>
  <c r="A42" i="12"/>
  <c r="A41" i="12" s="1"/>
  <c r="B42" i="12"/>
  <c r="C42" i="12"/>
  <c r="C41" i="12" s="1"/>
  <c r="D42" i="12"/>
  <c r="A44" i="12"/>
  <c r="A43" i="12" s="1"/>
  <c r="B44" i="12"/>
  <c r="C44" i="12"/>
  <c r="C43" i="12" s="1"/>
  <c r="D44" i="12"/>
  <c r="C45" i="12"/>
  <c r="A46" i="12"/>
  <c r="A45" i="12" s="1"/>
  <c r="B46" i="12"/>
  <c r="C46" i="12"/>
  <c r="D46" i="12"/>
  <c r="A48" i="12"/>
  <c r="A47" i="12" s="1"/>
  <c r="B48" i="12"/>
  <c r="C48" i="12"/>
  <c r="C47" i="12" s="1"/>
  <c r="D48" i="12"/>
  <c r="A50" i="12"/>
  <c r="A49" i="12" s="1"/>
  <c r="B50" i="12"/>
  <c r="C50" i="12"/>
  <c r="C49" i="12" s="1"/>
  <c r="D50" i="12"/>
  <c r="A52" i="12"/>
  <c r="A51" i="12" s="1"/>
  <c r="B52" i="12"/>
  <c r="C52" i="12"/>
  <c r="C51" i="12" s="1"/>
  <c r="D52" i="12"/>
  <c r="C53" i="12"/>
  <c r="A54" i="12"/>
  <c r="A53" i="12" s="1"/>
  <c r="B54" i="12"/>
  <c r="C54" i="12"/>
  <c r="D54" i="12"/>
  <c r="A56" i="12"/>
  <c r="A55" i="12" s="1"/>
  <c r="B56" i="12"/>
  <c r="C56" i="12"/>
  <c r="C55" i="12" s="1"/>
  <c r="D56" i="12"/>
  <c r="A58" i="12"/>
  <c r="A57" i="12" s="1"/>
  <c r="B58" i="12"/>
  <c r="C58" i="12"/>
  <c r="C57" i="12" s="1"/>
  <c r="D58" i="12"/>
  <c r="A60" i="12"/>
  <c r="A59" i="12" s="1"/>
  <c r="B60" i="12"/>
  <c r="C60" i="12"/>
  <c r="C59" i="12" s="1"/>
  <c r="D60" i="12"/>
  <c r="C61" i="12"/>
  <c r="A62" i="12"/>
  <c r="A61" i="12" s="1"/>
  <c r="B62" i="12"/>
  <c r="C62" i="12"/>
  <c r="D62" i="12"/>
  <c r="A64" i="12"/>
  <c r="A63" i="12" s="1"/>
  <c r="B64" i="12"/>
  <c r="C64" i="12"/>
  <c r="C63" i="12" s="1"/>
  <c r="D64" i="12"/>
  <c r="C65" i="12"/>
  <c r="A66" i="12"/>
  <c r="A65" i="12" s="1"/>
  <c r="B66" i="12"/>
  <c r="C66" i="12"/>
  <c r="D66" i="12"/>
  <c r="A68" i="12"/>
  <c r="A67" i="12" s="1"/>
  <c r="B68" i="12"/>
  <c r="C68" i="12"/>
  <c r="C67" i="12" s="1"/>
  <c r="D68" i="12"/>
  <c r="C69" i="12"/>
  <c r="A70" i="12"/>
  <c r="A69" i="12" s="1"/>
  <c r="B70" i="12"/>
  <c r="C70" i="12"/>
  <c r="D70" i="12"/>
  <c r="A72" i="12"/>
  <c r="A71" i="12" s="1"/>
  <c r="B72" i="12"/>
  <c r="C72" i="12"/>
  <c r="C71" i="12" s="1"/>
  <c r="D72" i="12"/>
  <c r="A74" i="12"/>
  <c r="A73" i="12" s="1"/>
  <c r="B74" i="12"/>
  <c r="C74" i="12"/>
  <c r="C73" i="12" s="1"/>
  <c r="D74" i="12"/>
  <c r="A76" i="12"/>
  <c r="A75" i="12" s="1"/>
  <c r="B76" i="12"/>
  <c r="C76" i="12"/>
  <c r="C75" i="12" s="1"/>
  <c r="D76" i="12"/>
  <c r="A78" i="12"/>
  <c r="A77" i="12" s="1"/>
  <c r="B78" i="12"/>
  <c r="C78" i="12"/>
  <c r="C77" i="12" s="1"/>
  <c r="D78" i="12"/>
  <c r="A80" i="12"/>
  <c r="A79" i="12" s="1"/>
  <c r="B80" i="12"/>
  <c r="C80" i="12"/>
  <c r="C79" i="12" s="1"/>
  <c r="D80" i="12"/>
  <c r="C81" i="12"/>
  <c r="A82" i="12"/>
  <c r="A81" i="12" s="1"/>
  <c r="B82" i="12"/>
  <c r="C82" i="12"/>
  <c r="D82" i="12"/>
  <c r="A84" i="12"/>
  <c r="A83" i="12" s="1"/>
  <c r="B84" i="12"/>
  <c r="C84" i="12"/>
  <c r="C83" i="12" s="1"/>
  <c r="D84" i="12"/>
  <c r="C85" i="12"/>
  <c r="A86" i="12"/>
  <c r="A85" i="12" s="1"/>
  <c r="B86" i="12"/>
  <c r="C86" i="12"/>
  <c r="D86" i="12"/>
  <c r="A88" i="12"/>
  <c r="A87" i="12" s="1"/>
  <c r="B88" i="12"/>
  <c r="C88" i="12"/>
  <c r="C87" i="12" s="1"/>
  <c r="D88" i="12"/>
  <c r="A90" i="12"/>
  <c r="A89" i="12" s="1"/>
  <c r="B90" i="12"/>
  <c r="C90" i="12"/>
  <c r="C89" i="12" s="1"/>
  <c r="D90" i="12"/>
  <c r="A92" i="12"/>
  <c r="A91" i="12" s="1"/>
  <c r="B92" i="12"/>
  <c r="C92" i="12"/>
  <c r="C91" i="12" s="1"/>
  <c r="D92" i="12"/>
  <c r="C93" i="12"/>
  <c r="A94" i="12"/>
  <c r="A93" i="12" s="1"/>
  <c r="B94" i="12"/>
  <c r="C94" i="12"/>
  <c r="D94" i="12"/>
  <c r="A96" i="12"/>
  <c r="A95" i="12" s="1"/>
  <c r="B96" i="12"/>
  <c r="C96" i="12"/>
  <c r="C95" i="12" s="1"/>
  <c r="D96" i="12"/>
  <c r="A98" i="12"/>
  <c r="A97" i="12" s="1"/>
  <c r="B98" i="12"/>
  <c r="C98" i="12"/>
  <c r="C97" i="12" s="1"/>
  <c r="D98" i="12"/>
  <c r="A100" i="12"/>
  <c r="A99" i="12" s="1"/>
  <c r="B100" i="12"/>
  <c r="C100" i="12"/>
  <c r="C99" i="12" s="1"/>
  <c r="D100" i="12"/>
  <c r="C101" i="12"/>
  <c r="A102" i="12"/>
  <c r="A101" i="12" s="1"/>
  <c r="B102" i="12"/>
  <c r="C102" i="12"/>
  <c r="D102" i="12"/>
  <c r="A104" i="12"/>
  <c r="A103" i="12" s="1"/>
  <c r="B104" i="12"/>
  <c r="C104" i="12"/>
  <c r="C103" i="12" s="1"/>
  <c r="D104" i="12"/>
  <c r="A106" i="12"/>
  <c r="A105" i="12" s="1"/>
  <c r="B106" i="12"/>
  <c r="C106" i="12"/>
  <c r="C105" i="12" s="1"/>
  <c r="D106" i="12"/>
  <c r="A108" i="12"/>
  <c r="A107" i="12" s="1"/>
  <c r="B108" i="12"/>
  <c r="C108" i="12"/>
  <c r="C107" i="12" s="1"/>
  <c r="D108" i="12"/>
  <c r="C109" i="12"/>
  <c r="A110" i="12"/>
  <c r="A109" i="12" s="1"/>
  <c r="B110" i="12"/>
  <c r="C110" i="12"/>
  <c r="D110" i="12"/>
  <c r="A112" i="12"/>
  <c r="A111" i="12" s="1"/>
  <c r="B112" i="12"/>
  <c r="C112" i="12"/>
  <c r="C111" i="12" s="1"/>
  <c r="D112" i="12"/>
  <c r="A114" i="12"/>
  <c r="A113" i="12" s="1"/>
  <c r="B114" i="12"/>
  <c r="C114" i="12"/>
  <c r="C113" i="12" s="1"/>
  <c r="D114" i="12"/>
  <c r="A116" i="12"/>
  <c r="A115" i="12" s="1"/>
  <c r="B116" i="12"/>
  <c r="C116" i="12"/>
  <c r="C115" i="12" s="1"/>
  <c r="D116" i="12"/>
  <c r="C117" i="12"/>
  <c r="A118" i="12"/>
  <c r="A117" i="12" s="1"/>
  <c r="B118" i="12"/>
  <c r="C118" i="12"/>
  <c r="D118" i="12"/>
  <c r="A120" i="12"/>
  <c r="A119" i="12" s="1"/>
  <c r="B120" i="12"/>
  <c r="C120" i="12"/>
  <c r="C119" i="12" s="1"/>
  <c r="D120" i="12"/>
  <c r="A122" i="12"/>
  <c r="A121" i="12" s="1"/>
  <c r="B122" i="12"/>
  <c r="C122" i="12"/>
  <c r="C121" i="12" s="1"/>
  <c r="D122" i="12"/>
  <c r="A124" i="12"/>
  <c r="A123" i="12" s="1"/>
  <c r="B124" i="12"/>
  <c r="C124" i="12"/>
  <c r="C123" i="12" s="1"/>
  <c r="D124" i="12"/>
  <c r="C125" i="12"/>
  <c r="A126" i="12"/>
  <c r="A125" i="12" s="1"/>
  <c r="B126" i="12"/>
  <c r="C126" i="12"/>
  <c r="D126" i="12"/>
  <c r="A128" i="12"/>
  <c r="A127" i="12" s="1"/>
  <c r="B128" i="12"/>
  <c r="C128" i="12"/>
  <c r="C127" i="12" s="1"/>
  <c r="D128" i="12"/>
  <c r="C129" i="12"/>
  <c r="A130" i="12"/>
  <c r="A129" i="12" s="1"/>
  <c r="B130" i="12"/>
  <c r="C130" i="12"/>
  <c r="D130" i="12"/>
  <c r="A132" i="12"/>
  <c r="A131" i="12" s="1"/>
  <c r="B132" i="12"/>
  <c r="C132" i="12"/>
  <c r="C131" i="12" s="1"/>
  <c r="D132" i="12"/>
  <c r="C133" i="12"/>
  <c r="A134" i="12"/>
  <c r="A133" i="12" s="1"/>
  <c r="B134" i="12"/>
  <c r="C134" i="12"/>
  <c r="D134" i="12"/>
  <c r="A136" i="12"/>
  <c r="A135" i="12" s="1"/>
  <c r="B136" i="12"/>
  <c r="C136" i="12"/>
  <c r="C135" i="12" s="1"/>
  <c r="D136" i="12"/>
  <c r="A138" i="12"/>
  <c r="A137" i="12" s="1"/>
  <c r="B138" i="12"/>
  <c r="C138" i="12"/>
  <c r="C137" i="12" s="1"/>
  <c r="D138" i="12"/>
  <c r="A140" i="12"/>
  <c r="A139" i="12" s="1"/>
  <c r="B140" i="12"/>
  <c r="C140" i="12"/>
  <c r="C139" i="12" s="1"/>
  <c r="D140" i="12"/>
  <c r="C141" i="12"/>
  <c r="A142" i="12"/>
  <c r="A141" i="12" s="1"/>
  <c r="B142" i="12"/>
  <c r="C142" i="12"/>
  <c r="D142" i="12"/>
  <c r="A144" i="12"/>
  <c r="A143" i="12" s="1"/>
  <c r="B144" i="12"/>
  <c r="C144" i="12"/>
  <c r="C143" i="12" s="1"/>
  <c r="D144" i="12"/>
  <c r="A146" i="12"/>
  <c r="A145" i="12" s="1"/>
  <c r="B146" i="12"/>
  <c r="C146" i="12"/>
  <c r="C145" i="12" s="1"/>
  <c r="D146" i="12"/>
  <c r="A148" i="12"/>
  <c r="A147" i="12" s="1"/>
  <c r="B148" i="12"/>
  <c r="C148" i="12"/>
  <c r="C147" i="12" s="1"/>
  <c r="D148" i="12"/>
  <c r="C149" i="12"/>
  <c r="A150" i="12"/>
  <c r="A149" i="12" s="1"/>
  <c r="B150" i="12"/>
  <c r="C150" i="12"/>
  <c r="D150" i="12"/>
  <c r="A152" i="12"/>
  <c r="A151" i="12" s="1"/>
  <c r="B152" i="12"/>
  <c r="C152" i="12"/>
  <c r="C151" i="12" s="1"/>
  <c r="D152" i="12"/>
  <c r="A154" i="12"/>
  <c r="A153" i="12" s="1"/>
  <c r="B154" i="12"/>
  <c r="C154" i="12"/>
  <c r="C153" i="12" s="1"/>
  <c r="D154" i="12"/>
  <c r="A156" i="12"/>
  <c r="A155" i="12" s="1"/>
  <c r="B156" i="12"/>
  <c r="C156" i="12"/>
  <c r="C155" i="12" s="1"/>
  <c r="D156" i="12"/>
  <c r="C157" i="12"/>
  <c r="A158" i="12"/>
  <c r="A157" i="12" s="1"/>
  <c r="B158" i="12"/>
  <c r="C158" i="12"/>
  <c r="D158" i="12"/>
  <c r="A160" i="12"/>
  <c r="A159" i="12" s="1"/>
  <c r="B160" i="12"/>
  <c r="C160" i="12"/>
  <c r="C159" i="12" s="1"/>
  <c r="D160" i="12"/>
  <c r="A162" i="12"/>
  <c r="A161" i="12" s="1"/>
  <c r="B162" i="12"/>
  <c r="C162" i="12"/>
  <c r="C161" i="12" s="1"/>
  <c r="D162" i="12"/>
  <c r="A164" i="12"/>
  <c r="A163" i="12" s="1"/>
  <c r="B164" i="12"/>
  <c r="C164" i="12"/>
  <c r="C163" i="12" s="1"/>
  <c r="D164" i="12"/>
  <c r="C165" i="12"/>
  <c r="A166" i="12"/>
  <c r="A165" i="12" s="1"/>
  <c r="B166" i="12"/>
  <c r="C166" i="12"/>
  <c r="D166" i="12"/>
  <c r="A168" i="12"/>
  <c r="A167" i="12" s="1"/>
  <c r="B168" i="12"/>
  <c r="C168" i="12"/>
  <c r="C167" i="12" s="1"/>
  <c r="D168" i="12"/>
  <c r="A170" i="12"/>
  <c r="A169" i="12" s="1"/>
  <c r="B170" i="12"/>
  <c r="C170" i="12"/>
  <c r="C169" i="12" s="1"/>
  <c r="D170" i="12"/>
  <c r="A172" i="12"/>
  <c r="A171" i="12" s="1"/>
  <c r="B172" i="12"/>
  <c r="C172" i="12"/>
  <c r="C171" i="12" s="1"/>
  <c r="D172" i="12"/>
  <c r="C173" i="12"/>
  <c r="A174" i="12"/>
  <c r="A173" i="12" s="1"/>
  <c r="B174" i="12"/>
  <c r="C174" i="12"/>
  <c r="D174" i="12"/>
  <c r="A176" i="12"/>
  <c r="A175" i="12" s="1"/>
  <c r="B176" i="12"/>
  <c r="C176" i="12"/>
  <c r="C175" i="12" s="1"/>
  <c r="D176" i="12"/>
  <c r="C177" i="12"/>
  <c r="A178" i="12"/>
  <c r="A177" i="12" s="1"/>
  <c r="B178" i="12"/>
  <c r="C178" i="12"/>
  <c r="D178" i="12"/>
  <c r="A180" i="12"/>
  <c r="A179" i="12" s="1"/>
  <c r="B180" i="12"/>
  <c r="C180" i="12"/>
  <c r="C179" i="12" s="1"/>
  <c r="D180" i="12"/>
  <c r="C181" i="12"/>
  <c r="A182" i="12"/>
  <c r="A181" i="12" s="1"/>
  <c r="B182" i="12"/>
  <c r="C182" i="12"/>
  <c r="D182" i="12"/>
  <c r="A184" i="12"/>
  <c r="A183" i="12" s="1"/>
  <c r="B184" i="12"/>
  <c r="C184" i="12"/>
  <c r="C183" i="12" s="1"/>
  <c r="D184" i="12"/>
  <c r="A186" i="12"/>
  <c r="A185" i="12" s="1"/>
  <c r="B186" i="12"/>
  <c r="C186" i="12"/>
  <c r="C185" i="12" s="1"/>
  <c r="D186" i="12"/>
  <c r="A188" i="12"/>
  <c r="A187" i="12" s="1"/>
  <c r="B188" i="12"/>
  <c r="C188" i="12"/>
  <c r="C187" i="12" s="1"/>
  <c r="D188" i="12"/>
  <c r="C189" i="12"/>
  <c r="A190" i="12"/>
  <c r="A189" i="12" s="1"/>
  <c r="B190" i="12"/>
  <c r="C190" i="12"/>
  <c r="D190" i="12"/>
  <c r="A192" i="12"/>
  <c r="A191" i="12" s="1"/>
  <c r="B192" i="12"/>
  <c r="C192" i="12"/>
  <c r="C191" i="12" s="1"/>
  <c r="D192" i="12"/>
  <c r="A194" i="12"/>
  <c r="A193" i="12" s="1"/>
  <c r="B194" i="12"/>
  <c r="C194" i="12"/>
  <c r="C193" i="12" s="1"/>
  <c r="D194" i="12"/>
  <c r="A196" i="12"/>
  <c r="A195" i="12" s="1"/>
  <c r="B196" i="12"/>
  <c r="C196" i="12"/>
  <c r="C195" i="12" s="1"/>
  <c r="D196" i="12"/>
  <c r="C197" i="12"/>
  <c r="A198" i="12"/>
  <c r="A197" i="12" s="1"/>
  <c r="B198" i="12"/>
  <c r="C198" i="12"/>
  <c r="D198" i="12"/>
  <c r="A200" i="12"/>
  <c r="A199" i="12" s="1"/>
  <c r="B200" i="12"/>
  <c r="C200" i="12"/>
  <c r="C199" i="12" s="1"/>
  <c r="D200" i="12"/>
  <c r="A202" i="12"/>
  <c r="A201" i="12" s="1"/>
  <c r="B202" i="12"/>
  <c r="C202" i="12"/>
  <c r="C201" i="12" s="1"/>
  <c r="D202" i="12"/>
  <c r="A204" i="12"/>
  <c r="A203" i="12" s="1"/>
  <c r="B204" i="12"/>
  <c r="C204" i="12"/>
  <c r="C203" i="12" s="1"/>
  <c r="D204" i="12"/>
  <c r="C205" i="12"/>
  <c r="A206" i="12"/>
  <c r="A205" i="12" s="1"/>
  <c r="B206" i="12"/>
  <c r="C206" i="12"/>
  <c r="D206" i="12"/>
  <c r="A208" i="12"/>
  <c r="A207" i="12" s="1"/>
  <c r="B208" i="12"/>
  <c r="C208" i="12"/>
  <c r="C207" i="12" s="1"/>
  <c r="D208" i="12"/>
  <c r="A210" i="12"/>
  <c r="A209" i="12" s="1"/>
  <c r="B210" i="12"/>
  <c r="C210" i="12"/>
  <c r="C209" i="12" s="1"/>
  <c r="D210" i="12"/>
  <c r="A212" i="12"/>
  <c r="A211" i="12" s="1"/>
  <c r="B212" i="12"/>
  <c r="C212" i="12"/>
  <c r="C211" i="12" s="1"/>
  <c r="D212" i="12"/>
  <c r="C213" i="12"/>
  <c r="A214" i="12"/>
  <c r="A213" i="12" s="1"/>
  <c r="B214" i="12"/>
  <c r="C214" i="12"/>
  <c r="D214" i="12"/>
  <c r="A216" i="12"/>
  <c r="A215" i="12" s="1"/>
  <c r="B216" i="12"/>
  <c r="C216" i="12"/>
  <c r="C215" i="12" s="1"/>
  <c r="D216" i="12"/>
  <c r="A218" i="12"/>
  <c r="A217" i="12" s="1"/>
  <c r="B218" i="12"/>
  <c r="C218" i="12"/>
  <c r="C217" i="12" s="1"/>
  <c r="D218" i="12"/>
  <c r="A220" i="12"/>
  <c r="A219" i="12" s="1"/>
  <c r="B220" i="12"/>
  <c r="C220" i="12"/>
  <c r="C219" i="12" s="1"/>
  <c r="D220" i="12"/>
  <c r="C221" i="12"/>
  <c r="A222" i="12"/>
  <c r="A221" i="12" s="1"/>
  <c r="B222" i="12"/>
  <c r="C222" i="12"/>
  <c r="D222" i="12"/>
  <c r="A224" i="12"/>
  <c r="A223" i="12" s="1"/>
  <c r="B224" i="12"/>
  <c r="C224" i="12"/>
  <c r="C223" i="12" s="1"/>
  <c r="D224" i="12"/>
  <c r="A226" i="12"/>
  <c r="A225" i="12" s="1"/>
  <c r="B226" i="12"/>
  <c r="C226" i="12"/>
  <c r="C225" i="12" s="1"/>
  <c r="D226" i="12"/>
  <c r="A227" i="12"/>
  <c r="A228" i="12"/>
  <c r="B228" i="12"/>
  <c r="C228" i="12"/>
  <c r="C227" i="12" s="1"/>
  <c r="D228" i="12"/>
  <c r="A230" i="12"/>
  <c r="A229" i="12" s="1"/>
  <c r="B230" i="12"/>
  <c r="C230" i="12"/>
  <c r="C229" i="12" s="1"/>
  <c r="D230" i="12"/>
  <c r="A232" i="12"/>
  <c r="A231" i="12" s="1"/>
  <c r="B232" i="12"/>
  <c r="C232" i="12"/>
  <c r="C231" i="12" s="1"/>
  <c r="D232" i="12"/>
  <c r="A234" i="12"/>
  <c r="A233" i="12" s="1"/>
  <c r="B234" i="12"/>
  <c r="C234" i="12"/>
  <c r="C233" i="12" s="1"/>
  <c r="D234" i="12"/>
  <c r="A235" i="12"/>
  <c r="A236" i="12"/>
  <c r="B236" i="12"/>
  <c r="C236" i="12"/>
  <c r="C235" i="12" s="1"/>
  <c r="D236" i="12"/>
  <c r="A238" i="12"/>
  <c r="A237" i="12" s="1"/>
  <c r="B238" i="12"/>
  <c r="C238" i="12"/>
  <c r="C237" i="12" s="1"/>
  <c r="D238" i="12"/>
  <c r="A240" i="12"/>
  <c r="A239" i="12" s="1"/>
  <c r="B240" i="12"/>
  <c r="C240" i="12"/>
  <c r="C239" i="12" s="1"/>
  <c r="D240" i="12"/>
  <c r="A242" i="12"/>
  <c r="A241" i="12" s="1"/>
  <c r="B242" i="12"/>
  <c r="C242" i="12"/>
  <c r="C241" i="12" s="1"/>
  <c r="D242" i="12"/>
  <c r="A243" i="12"/>
  <c r="A244" i="12"/>
  <c r="B244" i="12"/>
  <c r="C244" i="12"/>
  <c r="C243" i="12" s="1"/>
  <c r="D244" i="12"/>
  <c r="A246" i="12"/>
  <c r="A245" i="12" s="1"/>
  <c r="B246" i="12"/>
  <c r="C246" i="12"/>
  <c r="C245" i="12" s="1"/>
  <c r="D246" i="12"/>
  <c r="A248" i="12"/>
  <c r="A247" i="12" s="1"/>
  <c r="B248" i="12"/>
  <c r="C248" i="12"/>
  <c r="C247" i="12" s="1"/>
  <c r="D248" i="12"/>
  <c r="A250" i="12"/>
  <c r="A249" i="12" s="1"/>
  <c r="B250" i="12"/>
  <c r="C250" i="12"/>
  <c r="C249" i="12" s="1"/>
  <c r="D250" i="12"/>
  <c r="A252" i="12"/>
  <c r="A251" i="12" s="1"/>
  <c r="B252" i="12"/>
  <c r="C252" i="12"/>
  <c r="C251" i="12" s="1"/>
  <c r="D252" i="12"/>
  <c r="A254" i="12"/>
  <c r="A253" i="12" s="1"/>
  <c r="B254" i="12"/>
  <c r="C254" i="12"/>
  <c r="C253" i="12" s="1"/>
  <c r="D254" i="12"/>
  <c r="A256" i="12"/>
  <c r="A255" i="12" s="1"/>
  <c r="B256" i="12"/>
  <c r="C256" i="12"/>
  <c r="C255" i="12" s="1"/>
  <c r="D256" i="12"/>
  <c r="C257" i="12"/>
  <c r="A258" i="12"/>
  <c r="A257" i="12" s="1"/>
  <c r="B258" i="12"/>
  <c r="C258" i="12"/>
  <c r="D258" i="12"/>
  <c r="A259" i="12"/>
  <c r="A260" i="12"/>
  <c r="B260" i="12"/>
  <c r="C260" i="12"/>
  <c r="C259" i="12" s="1"/>
  <c r="D260" i="12"/>
  <c r="A262" i="12"/>
  <c r="A261" i="12" s="1"/>
  <c r="B262" i="12"/>
  <c r="C262" i="12"/>
  <c r="C261" i="12" s="1"/>
  <c r="D262" i="12"/>
  <c r="A264" i="12"/>
  <c r="A263" i="12" s="1"/>
  <c r="B264" i="12"/>
  <c r="C264" i="12"/>
  <c r="C263" i="12" s="1"/>
  <c r="D264" i="12"/>
  <c r="A266" i="12"/>
  <c r="A265" i="12" s="1"/>
  <c r="B266" i="12"/>
  <c r="C266" i="12"/>
  <c r="C265" i="12" s="1"/>
  <c r="D266" i="12"/>
  <c r="A268" i="12"/>
  <c r="A267" i="12" s="1"/>
  <c r="B268" i="12"/>
  <c r="C268" i="12"/>
  <c r="C267" i="12" s="1"/>
  <c r="D268" i="12"/>
  <c r="A270" i="12"/>
  <c r="A269" i="12" s="1"/>
  <c r="B270" i="12"/>
  <c r="C270" i="12"/>
  <c r="C269" i="12" s="1"/>
  <c r="D270" i="12"/>
  <c r="A272" i="12"/>
  <c r="A271" i="12" s="1"/>
  <c r="B272" i="12"/>
  <c r="C272" i="12"/>
  <c r="C271" i="12" s="1"/>
  <c r="D272" i="12"/>
  <c r="C273" i="12"/>
  <c r="A274" i="12"/>
  <c r="A273" i="12" s="1"/>
  <c r="B274" i="12"/>
  <c r="C274" i="12"/>
  <c r="D274" i="12"/>
  <c r="A275" i="12"/>
  <c r="A276" i="12"/>
  <c r="B276" i="12"/>
  <c r="C276" i="12"/>
  <c r="C275" i="12" s="1"/>
  <c r="D276" i="12"/>
  <c r="A278" i="12"/>
  <c r="A277" i="12" s="1"/>
  <c r="B278" i="12"/>
  <c r="C278" i="12"/>
  <c r="C277" i="12" s="1"/>
  <c r="D278" i="12"/>
  <c r="A280" i="12"/>
  <c r="A279" i="12" s="1"/>
  <c r="B280" i="12"/>
  <c r="C280" i="12"/>
  <c r="C279" i="12" s="1"/>
  <c r="D280" i="12"/>
  <c r="A282" i="12"/>
  <c r="A281" i="12" s="1"/>
  <c r="B282" i="12"/>
  <c r="C282" i="12"/>
  <c r="C281" i="12" s="1"/>
  <c r="D282" i="12"/>
  <c r="A284" i="12"/>
  <c r="A283" i="12" s="1"/>
  <c r="B284" i="12"/>
  <c r="C284" i="12"/>
  <c r="C283" i="12" s="1"/>
  <c r="D284" i="12"/>
  <c r="A286" i="12"/>
  <c r="A285" i="12" s="1"/>
  <c r="B286" i="12"/>
  <c r="C286" i="12"/>
  <c r="C285" i="12" s="1"/>
  <c r="D286" i="12"/>
  <c r="A288" i="12"/>
  <c r="A287" i="12" s="1"/>
  <c r="B288" i="12"/>
  <c r="C288" i="12"/>
  <c r="C287" i="12" s="1"/>
  <c r="D288" i="12"/>
  <c r="A290" i="12"/>
  <c r="A289" i="12" s="1"/>
  <c r="B290" i="12"/>
  <c r="C290" i="12"/>
  <c r="C289" i="12" s="1"/>
  <c r="D290" i="12"/>
  <c r="A292" i="12"/>
  <c r="A291" i="12" s="1"/>
  <c r="B292" i="12"/>
  <c r="C292" i="12"/>
  <c r="C291" i="12" s="1"/>
  <c r="D292" i="12"/>
  <c r="A294" i="12"/>
  <c r="A293" i="12" s="1"/>
  <c r="B294" i="12"/>
  <c r="C294" i="12"/>
  <c r="C293" i="12" s="1"/>
  <c r="D294" i="12"/>
  <c r="A296" i="12"/>
  <c r="A295" i="12" s="1"/>
  <c r="B296" i="12"/>
  <c r="C296" i="12"/>
  <c r="C295" i="12" s="1"/>
  <c r="D296" i="12"/>
  <c r="C297" i="12"/>
  <c r="A298" i="12"/>
  <c r="A297" i="12" s="1"/>
  <c r="B298" i="12"/>
  <c r="C298" i="12"/>
  <c r="D298" i="12"/>
  <c r="A299" i="12"/>
  <c r="A300" i="12"/>
  <c r="B300" i="12"/>
  <c r="C300" i="12"/>
  <c r="C299" i="12" s="1"/>
  <c r="D300" i="12"/>
  <c r="A4" i="13"/>
  <c r="B4" i="13"/>
  <c r="C4" i="13"/>
  <c r="C3" i="13" s="1"/>
  <c r="D4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C17" i="13"/>
  <c r="A18" i="13"/>
  <c r="A17" i="13" s="1"/>
  <c r="B18" i="13"/>
  <c r="C18" i="13"/>
  <c r="D18" i="13"/>
  <c r="A20" i="13"/>
  <c r="A19" i="13" s="1"/>
  <c r="B20" i="13"/>
  <c r="C20" i="13"/>
  <c r="C19" i="13" s="1"/>
  <c r="D20" i="13"/>
  <c r="A21" i="13"/>
  <c r="A22" i="13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29" i="13"/>
  <c r="A30" i="13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A52" i="13"/>
  <c r="A51" i="13" s="1"/>
  <c r="B52" i="13"/>
  <c r="C52" i="13"/>
  <c r="C51" i="13" s="1"/>
  <c r="D52" i="13"/>
  <c r="A53" i="13"/>
  <c r="A54" i="13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1" i="13"/>
  <c r="A62" i="13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82" i="13"/>
  <c r="A81" i="13" s="1"/>
  <c r="B82" i="13"/>
  <c r="C82" i="13"/>
  <c r="C81" i="13" s="1"/>
  <c r="D82" i="13"/>
  <c r="C83" i="13"/>
  <c r="A84" i="13"/>
  <c r="A83" i="13" s="1"/>
  <c r="B84" i="13"/>
  <c r="C84" i="13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C91" i="13"/>
  <c r="A92" i="13"/>
  <c r="A91" i="13" s="1"/>
  <c r="B92" i="13"/>
  <c r="C92" i="13"/>
  <c r="D92" i="13"/>
  <c r="A93" i="13"/>
  <c r="A94" i="13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C99" i="13"/>
  <c r="A100" i="13"/>
  <c r="A99" i="13" s="1"/>
  <c r="B100" i="13"/>
  <c r="C100" i="13"/>
  <c r="D100" i="13"/>
  <c r="C101" i="13"/>
  <c r="A102" i="13"/>
  <c r="A101" i="13" s="1"/>
  <c r="B102" i="13"/>
  <c r="C102" i="13"/>
  <c r="D102" i="13"/>
  <c r="A104" i="13"/>
  <c r="A103" i="13" s="1"/>
  <c r="B104" i="13"/>
  <c r="C104" i="13"/>
  <c r="C103" i="13" s="1"/>
  <c r="D104" i="13"/>
  <c r="A105" i="13"/>
  <c r="A106" i="13"/>
  <c r="B106" i="13"/>
  <c r="C106" i="13"/>
  <c r="C105" i="13" s="1"/>
  <c r="D106" i="13"/>
  <c r="A108" i="13"/>
  <c r="A107" i="13" s="1"/>
  <c r="B108" i="13"/>
  <c r="C108" i="13"/>
  <c r="C107" i="13" s="1"/>
  <c r="D108" i="13"/>
  <c r="C109" i="13"/>
  <c r="A110" i="13"/>
  <c r="A109" i="13" s="1"/>
  <c r="B110" i="13"/>
  <c r="C110" i="13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C115" i="13"/>
  <c r="A116" i="13"/>
  <c r="A115" i="13" s="1"/>
  <c r="B116" i="13"/>
  <c r="C116" i="13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1" i="13"/>
  <c r="A122" i="13"/>
  <c r="B122" i="13"/>
  <c r="C122" i="13"/>
  <c r="C121" i="13" s="1"/>
  <c r="D122" i="13"/>
  <c r="A124" i="13"/>
  <c r="A123" i="13" s="1"/>
  <c r="B124" i="13"/>
  <c r="C124" i="13"/>
  <c r="C123" i="13" s="1"/>
  <c r="D124" i="13"/>
  <c r="A125" i="13"/>
  <c r="A126" i="13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C131" i="13"/>
  <c r="A132" i="13"/>
  <c r="A131" i="13" s="1"/>
  <c r="B132" i="13"/>
  <c r="C132" i="13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7" i="13"/>
  <c r="A138" i="13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C147" i="13"/>
  <c r="A148" i="13"/>
  <c r="A147" i="13" s="1"/>
  <c r="B148" i="13"/>
  <c r="C148" i="13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3" i="13"/>
  <c r="A154" i="13"/>
  <c r="B154" i="13"/>
  <c r="C154" i="13"/>
  <c r="C153" i="13" s="1"/>
  <c r="D154" i="13"/>
  <c r="A156" i="13"/>
  <c r="A155" i="13" s="1"/>
  <c r="B156" i="13"/>
  <c r="C156" i="13"/>
  <c r="C155" i="13" s="1"/>
  <c r="D156" i="13"/>
  <c r="A157" i="13"/>
  <c r="A158" i="13"/>
  <c r="B158" i="13"/>
  <c r="C158" i="13"/>
  <c r="C157" i="13" s="1"/>
  <c r="D158" i="13"/>
  <c r="A160" i="13"/>
  <c r="A159" i="13" s="1"/>
  <c r="B160" i="13"/>
  <c r="C160" i="13"/>
  <c r="C159" i="13" s="1"/>
  <c r="D160" i="13"/>
  <c r="A162" i="13"/>
  <c r="A161" i="13" s="1"/>
  <c r="B162" i="13"/>
  <c r="C162" i="13"/>
  <c r="C161" i="13" s="1"/>
  <c r="D162" i="13"/>
  <c r="C163" i="13"/>
  <c r="A164" i="13"/>
  <c r="A163" i="13" s="1"/>
  <c r="B164" i="13"/>
  <c r="C164" i="13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69" i="13"/>
  <c r="A170" i="13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C179" i="13"/>
  <c r="A180" i="13"/>
  <c r="A179" i="13" s="1"/>
  <c r="B180" i="13"/>
  <c r="C180" i="13"/>
  <c r="D180" i="13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5" i="13"/>
  <c r="A186" i="13"/>
  <c r="B186" i="13"/>
  <c r="C186" i="13"/>
  <c r="C185" i="13" s="1"/>
  <c r="D186" i="13"/>
  <c r="A188" i="13"/>
  <c r="A187" i="13" s="1"/>
  <c r="B188" i="13"/>
  <c r="C188" i="13"/>
  <c r="C187" i="13" s="1"/>
  <c r="D188" i="13"/>
  <c r="A189" i="13"/>
  <c r="A190" i="13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C195" i="13"/>
  <c r="A196" i="13"/>
  <c r="A195" i="13" s="1"/>
  <c r="B196" i="13"/>
  <c r="C196" i="13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1" i="13"/>
  <c r="A202" i="13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A210" i="13"/>
  <c r="A209" i="13" s="1"/>
  <c r="B210" i="13"/>
  <c r="C210" i="13"/>
  <c r="C209" i="13" s="1"/>
  <c r="D210" i="13"/>
  <c r="C211" i="13"/>
  <c r="A212" i="13"/>
  <c r="A211" i="13" s="1"/>
  <c r="B212" i="13"/>
  <c r="C212" i="13"/>
  <c r="D212" i="13"/>
  <c r="A214" i="13"/>
  <c r="A213" i="13" s="1"/>
  <c r="B214" i="13"/>
  <c r="C214" i="13"/>
  <c r="C213" i="13" s="1"/>
  <c r="D214" i="13"/>
  <c r="A216" i="13"/>
  <c r="A215" i="13" s="1"/>
  <c r="B216" i="13"/>
  <c r="C216" i="13"/>
  <c r="C215" i="13" s="1"/>
  <c r="D216" i="13"/>
  <c r="A217" i="13"/>
  <c r="A218" i="13"/>
  <c r="B218" i="13"/>
  <c r="C218" i="13"/>
  <c r="C217" i="13" s="1"/>
  <c r="D218" i="13"/>
  <c r="A220" i="13"/>
  <c r="A219" i="13" s="1"/>
  <c r="B220" i="13"/>
  <c r="C220" i="13"/>
  <c r="C219" i="13" s="1"/>
  <c r="D220" i="13"/>
  <c r="A221" i="13"/>
  <c r="A222" i="13"/>
  <c r="B222" i="13"/>
  <c r="C222" i="13"/>
  <c r="C221" i="13" s="1"/>
  <c r="D222" i="13"/>
  <c r="A224" i="13"/>
  <c r="A223" i="13" s="1"/>
  <c r="B224" i="13"/>
  <c r="C224" i="13"/>
  <c r="C223" i="13" s="1"/>
  <c r="D224" i="13"/>
  <c r="A226" i="13"/>
  <c r="A225" i="13" s="1"/>
  <c r="B226" i="13"/>
  <c r="C226" i="13"/>
  <c r="C225" i="13" s="1"/>
  <c r="D226" i="13"/>
  <c r="C227" i="13"/>
  <c r="A228" i="13"/>
  <c r="A227" i="13" s="1"/>
  <c r="B228" i="13"/>
  <c r="C228" i="13"/>
  <c r="D228" i="13"/>
  <c r="A230" i="13"/>
  <c r="A229" i="13" s="1"/>
  <c r="B230" i="13"/>
  <c r="C230" i="13"/>
  <c r="C229" i="13" s="1"/>
  <c r="D230" i="13"/>
  <c r="A232" i="13"/>
  <c r="A231" i="13" s="1"/>
  <c r="B232" i="13"/>
  <c r="C232" i="13"/>
  <c r="C231" i="13" s="1"/>
  <c r="D232" i="13"/>
  <c r="A233" i="13"/>
  <c r="A234" i="13"/>
  <c r="B234" i="13"/>
  <c r="C234" i="13"/>
  <c r="C233" i="13" s="1"/>
  <c r="D234" i="13"/>
  <c r="A236" i="13"/>
  <c r="A235" i="13" s="1"/>
  <c r="B236" i="13"/>
  <c r="C236" i="13"/>
  <c r="C235" i="13" s="1"/>
  <c r="D236" i="13"/>
  <c r="A238" i="13"/>
  <c r="A237" i="13" s="1"/>
  <c r="B238" i="13"/>
  <c r="C238" i="13"/>
  <c r="C237" i="13" s="1"/>
  <c r="D238" i="13"/>
  <c r="A240" i="13"/>
  <c r="A239" i="13" s="1"/>
  <c r="B240" i="13"/>
  <c r="C240" i="13"/>
  <c r="C239" i="13" s="1"/>
  <c r="D240" i="13"/>
  <c r="A242" i="13"/>
  <c r="A241" i="13" s="1"/>
  <c r="B242" i="13"/>
  <c r="C242" i="13"/>
  <c r="C241" i="13" s="1"/>
  <c r="D242" i="13"/>
  <c r="C243" i="13"/>
  <c r="A244" i="13"/>
  <c r="A243" i="13" s="1"/>
  <c r="B244" i="13"/>
  <c r="C244" i="13"/>
  <c r="D244" i="13"/>
  <c r="A246" i="13"/>
  <c r="A245" i="13" s="1"/>
  <c r="B246" i="13"/>
  <c r="C246" i="13"/>
  <c r="C245" i="13" s="1"/>
  <c r="D246" i="13"/>
  <c r="A248" i="13"/>
  <c r="A247" i="13" s="1"/>
  <c r="B248" i="13"/>
  <c r="C248" i="13"/>
  <c r="C247" i="13" s="1"/>
  <c r="D248" i="13"/>
  <c r="A249" i="13"/>
  <c r="A250" i="13"/>
  <c r="B250" i="13"/>
  <c r="C250" i="13"/>
  <c r="C249" i="13" s="1"/>
  <c r="D250" i="13"/>
  <c r="A252" i="13"/>
  <c r="A251" i="13" s="1"/>
  <c r="B252" i="13"/>
  <c r="C252" i="13"/>
  <c r="C251" i="13" s="1"/>
  <c r="D252" i="13"/>
  <c r="A253" i="13"/>
  <c r="A254" i="13"/>
  <c r="B254" i="13"/>
  <c r="C254" i="13"/>
  <c r="C253" i="13" s="1"/>
  <c r="D254" i="13"/>
  <c r="A256" i="13"/>
  <c r="A255" i="13" s="1"/>
  <c r="B256" i="13"/>
  <c r="C256" i="13"/>
  <c r="C255" i="13" s="1"/>
  <c r="D256" i="13"/>
  <c r="A258" i="13"/>
  <c r="A257" i="13" s="1"/>
  <c r="B258" i="13"/>
  <c r="C258" i="13"/>
  <c r="C257" i="13" s="1"/>
  <c r="D258" i="13"/>
  <c r="C259" i="13"/>
  <c r="A260" i="13"/>
  <c r="A259" i="13" s="1"/>
  <c r="B260" i="13"/>
  <c r="C260" i="13"/>
  <c r="D260" i="13"/>
  <c r="A262" i="13"/>
  <c r="A261" i="13" s="1"/>
  <c r="B262" i="13"/>
  <c r="C262" i="13"/>
  <c r="C261" i="13" s="1"/>
  <c r="D262" i="13"/>
  <c r="A264" i="13"/>
  <c r="A263" i="13" s="1"/>
  <c r="B264" i="13"/>
  <c r="C264" i="13"/>
  <c r="C263" i="13" s="1"/>
  <c r="D264" i="13"/>
  <c r="A265" i="13"/>
  <c r="A266" i="13"/>
  <c r="B266" i="13"/>
  <c r="C266" i="13"/>
  <c r="C265" i="13" s="1"/>
  <c r="D266" i="13"/>
  <c r="A268" i="13"/>
  <c r="A267" i="13" s="1"/>
  <c r="B268" i="13"/>
  <c r="C268" i="13"/>
  <c r="C267" i="13" s="1"/>
  <c r="D268" i="13"/>
  <c r="A270" i="13"/>
  <c r="A269" i="13" s="1"/>
  <c r="B270" i="13"/>
  <c r="C270" i="13"/>
  <c r="C269" i="13" s="1"/>
  <c r="D270" i="13"/>
  <c r="A272" i="13"/>
  <c r="A271" i="13" s="1"/>
  <c r="B272" i="13"/>
  <c r="C272" i="13"/>
  <c r="C271" i="13" s="1"/>
  <c r="D272" i="13"/>
  <c r="A274" i="13"/>
  <c r="A273" i="13" s="1"/>
  <c r="B274" i="13"/>
  <c r="C274" i="13"/>
  <c r="C273" i="13" s="1"/>
  <c r="D274" i="13"/>
  <c r="C275" i="13"/>
  <c r="A276" i="13"/>
  <c r="A275" i="13" s="1"/>
  <c r="B276" i="13"/>
  <c r="C276" i="13"/>
  <c r="D276" i="13"/>
  <c r="A278" i="13"/>
  <c r="A277" i="13" s="1"/>
  <c r="B278" i="13"/>
  <c r="C278" i="13"/>
  <c r="C277" i="13" s="1"/>
  <c r="D278" i="13"/>
  <c r="A280" i="13"/>
  <c r="A279" i="13" s="1"/>
  <c r="B280" i="13"/>
  <c r="C280" i="13"/>
  <c r="C279" i="13" s="1"/>
  <c r="D280" i="13"/>
  <c r="A281" i="13"/>
  <c r="A282" i="13"/>
  <c r="B282" i="13"/>
  <c r="C282" i="13"/>
  <c r="C281" i="13" s="1"/>
  <c r="D282" i="13"/>
  <c r="A284" i="13"/>
  <c r="A283" i="13" s="1"/>
  <c r="B284" i="13"/>
  <c r="C284" i="13"/>
  <c r="C283" i="13" s="1"/>
  <c r="D284" i="13"/>
  <c r="A285" i="13"/>
  <c r="A286" i="13"/>
  <c r="B286" i="13"/>
  <c r="C286" i="13"/>
  <c r="C285" i="13" s="1"/>
  <c r="D286" i="13"/>
  <c r="A288" i="13"/>
  <c r="A287" i="13" s="1"/>
  <c r="B288" i="13"/>
  <c r="C288" i="13"/>
  <c r="C287" i="13" s="1"/>
  <c r="D288" i="13"/>
  <c r="A290" i="13"/>
  <c r="A289" i="13" s="1"/>
  <c r="B290" i="13"/>
  <c r="C290" i="13"/>
  <c r="C289" i="13" s="1"/>
  <c r="D290" i="13"/>
  <c r="C291" i="13"/>
  <c r="A292" i="13"/>
  <c r="A291" i="13" s="1"/>
  <c r="B292" i="13"/>
  <c r="C292" i="13"/>
  <c r="D292" i="13"/>
  <c r="A294" i="13"/>
  <c r="A293" i="13" s="1"/>
  <c r="B294" i="13"/>
  <c r="C294" i="13"/>
  <c r="C293" i="13" s="1"/>
  <c r="D294" i="13"/>
  <c r="A296" i="13"/>
  <c r="A295" i="13" s="1"/>
  <c r="B296" i="13"/>
  <c r="C296" i="13"/>
  <c r="C295" i="13" s="1"/>
  <c r="D296" i="13"/>
  <c r="A297" i="13"/>
  <c r="A298" i="13"/>
  <c r="B298" i="13"/>
  <c r="C298" i="13"/>
  <c r="C297" i="13" s="1"/>
  <c r="D298" i="13"/>
  <c r="C299" i="13"/>
  <c r="A300" i="13"/>
  <c r="A299" i="13" s="1"/>
  <c r="B300" i="13"/>
  <c r="C300" i="13"/>
  <c r="D300" i="13"/>
  <c r="D2" i="13"/>
  <c r="C2" i="13"/>
  <c r="B2" i="13"/>
  <c r="A2" i="13"/>
  <c r="D2" i="12"/>
  <c r="C2" i="12"/>
  <c r="B2" i="12"/>
  <c r="A2" i="12"/>
  <c r="A1" i="12" s="1"/>
  <c r="A3" i="12"/>
  <c r="C1" i="12"/>
  <c r="A3" i="13"/>
  <c r="C1" i="13"/>
  <c r="A1" i="13"/>
  <c r="H20" i="7" l="1"/>
  <c r="H19" i="7"/>
  <c r="H18" i="7"/>
  <c r="H17" i="7"/>
  <c r="H16" i="7"/>
  <c r="H15" i="7"/>
  <c r="I41" i="7"/>
  <c r="H41" i="7"/>
  <c r="I40" i="7"/>
  <c r="H40" i="7"/>
  <c r="I39" i="7"/>
  <c r="H39" i="7"/>
  <c r="I38" i="7"/>
  <c r="H38" i="7"/>
  <c r="I37" i="7"/>
  <c r="H37" i="7"/>
  <c r="I36" i="7"/>
  <c r="H36" i="7"/>
  <c r="I15" i="7"/>
  <c r="I16" i="7"/>
  <c r="I17" i="7"/>
  <c r="I18" i="7"/>
  <c r="I19" i="7"/>
  <c r="I20" i="7"/>
  <c r="E26" i="1" l="1"/>
</calcChain>
</file>

<file path=xl/sharedStrings.xml><?xml version="1.0" encoding="utf-8"?>
<sst xmlns="http://schemas.openxmlformats.org/spreadsheetml/2006/main" count="571" uniqueCount="444">
  <si>
    <t xml:space="preserve"> </t>
  </si>
  <si>
    <t>Laatste verwerkte invoer</t>
  </si>
  <si>
    <t>Gebruiker ID</t>
  </si>
  <si>
    <t/>
  </si>
  <si>
    <t>Info</t>
  </si>
  <si>
    <t>Voorwerp ID</t>
  </si>
  <si>
    <t>Voorwerp naam</t>
  </si>
  <si>
    <t>Direct innemen</t>
  </si>
  <si>
    <t>Voorwerp uitlenen</t>
  </si>
  <si>
    <t>Voorwerp innemen</t>
  </si>
  <si>
    <t>Scanner 2</t>
  </si>
  <si>
    <t>Smart input</t>
  </si>
  <si>
    <t>&lt;DB line&gt;</t>
  </si>
  <si>
    <t>Naam</t>
  </si>
  <si>
    <t>Momenteel nog uitgeleend (klik om te herberekenen)</t>
  </si>
  <si>
    <t>Gebruiker naam</t>
  </si>
  <si>
    <t>0MOV25</t>
  </si>
  <si>
    <t>Griptang vorkbek</t>
  </si>
  <si>
    <t>0MOV20</t>
  </si>
  <si>
    <t>0M0001</t>
  </si>
  <si>
    <t>0M0008</t>
  </si>
  <si>
    <t>0MOV30</t>
  </si>
  <si>
    <t>Haspel</t>
  </si>
  <si>
    <t>ID</t>
  </si>
  <si>
    <t>Datum</t>
  </si>
  <si>
    <t>0MSS01</t>
  </si>
  <si>
    <t>Soldeerstation 1</t>
  </si>
  <si>
    <t>0MTG03</t>
  </si>
  <si>
    <t>Adereindhulstang</t>
  </si>
  <si>
    <t>0MDD00</t>
  </si>
  <si>
    <t>Draad 0,5 geel</t>
  </si>
  <si>
    <t>0MDD01</t>
  </si>
  <si>
    <t>Draad 0,5 rood</t>
  </si>
  <si>
    <t>0MDD03</t>
  </si>
  <si>
    <t>Draad 0,5 grijs</t>
  </si>
  <si>
    <t>0MDD02</t>
  </si>
  <si>
    <t>Draad 0,5 blauw</t>
  </si>
  <si>
    <t>0MDD06</t>
  </si>
  <si>
    <t>Draad 2,5 bruin</t>
  </si>
  <si>
    <t>0MDD07</t>
  </si>
  <si>
    <t>Draad 2,5 zwart</t>
  </si>
  <si>
    <t>0MDD05</t>
  </si>
  <si>
    <t>Draad 2,5 blauw</t>
  </si>
  <si>
    <t>0M0016</t>
  </si>
  <si>
    <t>Een Manfred</t>
  </si>
  <si>
    <t>Verwijder</t>
  </si>
  <si>
    <t>Voeg toe</t>
  </si>
  <si>
    <t>Tab blad namen</t>
  </si>
  <si>
    <t>Max colums of rows  om in te zoeken voor namen</t>
  </si>
  <si>
    <t>Autosave</t>
  </si>
  <si>
    <t>Instellingen</t>
  </si>
  <si>
    <t>YES</t>
  </si>
  <si>
    <t>Ik hou van pizza</t>
  </si>
  <si>
    <t>Uitlenen en innemen</t>
  </si>
  <si>
    <t>Nijn####</t>
  </si>
  <si>
    <t>DB uitgeleend</t>
  </si>
  <si>
    <t>DB</t>
  </si>
  <si>
    <t>Momenteel uitgeleend</t>
  </si>
  <si>
    <t>Items</t>
  </si>
  <si>
    <t>Gebruikers</t>
  </si>
  <si>
    <t>0MTA00</t>
  </si>
  <si>
    <t>Machinetapset M3</t>
  </si>
  <si>
    <t>0MBO91</t>
  </si>
  <si>
    <t>Wring ijzer</t>
  </si>
  <si>
    <t>0MTA01</t>
  </si>
  <si>
    <t>Machinetapset M4</t>
  </si>
  <si>
    <t>0MTA20</t>
  </si>
  <si>
    <t>Snij raam en -plaat M3</t>
  </si>
  <si>
    <t>0MTA02</t>
  </si>
  <si>
    <t>Machinetapset M5</t>
  </si>
  <si>
    <t>0MTA21</t>
  </si>
  <si>
    <t>Snij raam en -plaat M4</t>
  </si>
  <si>
    <t>0MTA03</t>
  </si>
  <si>
    <t>Machinetapset M6</t>
  </si>
  <si>
    <t>0MTA22</t>
  </si>
  <si>
    <t>Snij raam en -plaat M5</t>
  </si>
  <si>
    <t>0MTA04</t>
  </si>
  <si>
    <t>Machinetapset M8</t>
  </si>
  <si>
    <t>0MTA23</t>
  </si>
  <si>
    <t>Snij raam en -plaat M6</t>
  </si>
  <si>
    <t>0MTA05</t>
  </si>
  <si>
    <t>Machinetapset M10</t>
  </si>
  <si>
    <t>0MTA24</t>
  </si>
  <si>
    <t>Snij raam en -plaat M8</t>
  </si>
  <si>
    <t>0MTA06</t>
  </si>
  <si>
    <t>Machinetapset M12</t>
  </si>
  <si>
    <t>0MTA25</t>
  </si>
  <si>
    <t>Snij raam en -plaat M10</t>
  </si>
  <si>
    <t>0MTA07</t>
  </si>
  <si>
    <t>Machinetapset M14</t>
  </si>
  <si>
    <t>0MTA26</t>
  </si>
  <si>
    <t>Snij raam en -plaat M12</t>
  </si>
  <si>
    <t>0MTA08</t>
  </si>
  <si>
    <t>Machinetapset M16</t>
  </si>
  <si>
    <t>0MTA27</t>
  </si>
  <si>
    <t>Snij raam en -plaat M14</t>
  </si>
  <si>
    <t>0MLS07</t>
  </si>
  <si>
    <t>Elektrodeslijper</t>
  </si>
  <si>
    <t>0MTA28</t>
  </si>
  <si>
    <t>Snij raam en -plaat M16</t>
  </si>
  <si>
    <t>0MOV08</t>
  </si>
  <si>
    <t>Freesmachine</t>
  </si>
  <si>
    <t>0MDZ00</t>
  </si>
  <si>
    <t>Decoupeerzaag 0</t>
  </si>
  <si>
    <t>0MDZ01</t>
  </si>
  <si>
    <t>Decoupeerzaag 1</t>
  </si>
  <si>
    <t>0MDZ02</t>
  </si>
  <si>
    <t>Decoupeerzaag 2</t>
  </si>
  <si>
    <t>0MOV09</t>
  </si>
  <si>
    <t>Hamerboormachine kast 1</t>
  </si>
  <si>
    <t>0MBO80</t>
  </si>
  <si>
    <t>Center klein</t>
  </si>
  <si>
    <t>0MBO81</t>
  </si>
  <si>
    <t>Center middel</t>
  </si>
  <si>
    <t>0MBO82</t>
  </si>
  <si>
    <t>Center groot</t>
  </si>
  <si>
    <t>0MBO85</t>
  </si>
  <si>
    <t>Verzink klein</t>
  </si>
  <si>
    <t>0MBO86</t>
  </si>
  <si>
    <t>Verzink middel</t>
  </si>
  <si>
    <t>0MBO87</t>
  </si>
  <si>
    <t>Verzink groot</t>
  </si>
  <si>
    <t>0MOV41</t>
  </si>
  <si>
    <t>Pijpentang</t>
  </si>
  <si>
    <t>0MBO90</t>
  </si>
  <si>
    <t>Trappenboor</t>
  </si>
  <si>
    <t>0MOV43</t>
  </si>
  <si>
    <t>Steeksleutel verstelbaar groot</t>
  </si>
  <si>
    <t>0MIB00</t>
  </si>
  <si>
    <t>Imbus 1,5</t>
  </si>
  <si>
    <t>0MOV40</t>
  </si>
  <si>
    <t>Winkelhaak 90 graden groot</t>
  </si>
  <si>
    <t>0MIB01</t>
  </si>
  <si>
    <t>Imbus 2</t>
  </si>
  <si>
    <t>0MOV44</t>
  </si>
  <si>
    <t>Winkelhaak 180 graden</t>
  </si>
  <si>
    <t>0MIB02</t>
  </si>
  <si>
    <t>Imbus 2,5</t>
  </si>
  <si>
    <t>0MIB03</t>
  </si>
  <si>
    <t>Imbus 3</t>
  </si>
  <si>
    <t>0MIB04</t>
  </si>
  <si>
    <t>Imbus 4</t>
  </si>
  <si>
    <t>0MIB05</t>
  </si>
  <si>
    <t>Imbus 5</t>
  </si>
  <si>
    <t>0MIB06</t>
  </si>
  <si>
    <t>Imbus 6</t>
  </si>
  <si>
    <t>0MIB07</t>
  </si>
  <si>
    <t>Imbus 8</t>
  </si>
  <si>
    <t>0MOV00</t>
  </si>
  <si>
    <t>Pendrijver</t>
  </si>
  <si>
    <t>0MLS00</t>
  </si>
  <si>
    <t>Lasmagneet</t>
  </si>
  <si>
    <t>0MOV01</t>
  </si>
  <si>
    <t>Hamer kunstof</t>
  </si>
  <si>
    <t>0MOV02</t>
  </si>
  <si>
    <t>Hamer metaal</t>
  </si>
  <si>
    <t>0MTG00</t>
  </si>
  <si>
    <t>Popnageltang</t>
  </si>
  <si>
    <t>0MTG01</t>
  </si>
  <si>
    <t>Waterpomptang</t>
  </si>
  <si>
    <t>0MTG02</t>
  </si>
  <si>
    <t>AMPtang</t>
  </si>
  <si>
    <t>0MOV06</t>
  </si>
  <si>
    <t>Griptang klein</t>
  </si>
  <si>
    <t>0MOV07</t>
  </si>
  <si>
    <t>Griptang Groot</t>
  </si>
  <si>
    <t>0MOV05</t>
  </si>
  <si>
    <t>Sleutel Emco draaibank</t>
  </si>
  <si>
    <t>0MOV03</t>
  </si>
  <si>
    <t>Steeksleutel verstelbaar</t>
  </si>
  <si>
    <t>0MOV04</t>
  </si>
  <si>
    <t>Uitdrijfspie</t>
  </si>
  <si>
    <t>0MOV47</t>
  </si>
  <si>
    <t>Haakseslijpersleutel</t>
  </si>
  <si>
    <t>0MOV45</t>
  </si>
  <si>
    <t>Pons PG16</t>
  </si>
  <si>
    <t>0MOV46</t>
  </si>
  <si>
    <t>Pons PG13</t>
  </si>
  <si>
    <t>0MRS00</t>
  </si>
  <si>
    <t>Ringsleutel 4+5 mm</t>
  </si>
  <si>
    <t>0MRS01</t>
  </si>
  <si>
    <t>Ringsleutel 6+7 mm</t>
  </si>
  <si>
    <t>0MRS02</t>
  </si>
  <si>
    <t>Ringsleutel 8+9 mm</t>
  </si>
  <si>
    <t>0MRS03</t>
  </si>
  <si>
    <t>Ringsleutel 10+11 mm</t>
  </si>
  <si>
    <t>0MRS04</t>
  </si>
  <si>
    <t>Ringsleutel 12+13 mm</t>
  </si>
  <si>
    <t>0MRS05</t>
  </si>
  <si>
    <t>Ringsleutel 14+15 mm</t>
  </si>
  <si>
    <t>0MRS06</t>
  </si>
  <si>
    <t>Ringsleutel 16+17 mm</t>
  </si>
  <si>
    <t>0MRS07</t>
  </si>
  <si>
    <t>Ringsleutel 18+19 mm</t>
  </si>
  <si>
    <t>0MRS08</t>
  </si>
  <si>
    <t>Ringsleutel 20+21 mm</t>
  </si>
  <si>
    <t>0MRS09</t>
  </si>
  <si>
    <t>Ringsleutel 22+23 mm</t>
  </si>
  <si>
    <t>0MRS10</t>
  </si>
  <si>
    <t>Ringsleutel 24+25 mm</t>
  </si>
  <si>
    <t>0MRS11</t>
  </si>
  <si>
    <t>Ringsleutel 26+27 mm</t>
  </si>
  <si>
    <t>0MRS80</t>
  </si>
  <si>
    <t>Pijpsleutel M6&amp;7</t>
  </si>
  <si>
    <t>0MRS81</t>
  </si>
  <si>
    <t>Pijpsleutel M8&amp;9</t>
  </si>
  <si>
    <t>0MRS82</t>
  </si>
  <si>
    <t>Pijpsleutel M10&amp;11</t>
  </si>
  <si>
    <t>0MRS83</t>
  </si>
  <si>
    <t>Pijpsleutel M12&amp;13</t>
  </si>
  <si>
    <t>0MRS84</t>
  </si>
  <si>
    <t>Pijpsleutel M14&amp;15</t>
  </si>
  <si>
    <t>0MRS85</t>
  </si>
  <si>
    <t>Pijpsleutel M16&amp;17</t>
  </si>
  <si>
    <t>0MRS86</t>
  </si>
  <si>
    <t>Pijpsleutel M18&amp;19</t>
  </si>
  <si>
    <t>0MRS87</t>
  </si>
  <si>
    <t>Pijpsleutel M20&amp;22</t>
  </si>
  <si>
    <t>0MRS50</t>
  </si>
  <si>
    <t>Steeksleutel 4+5 mm</t>
  </si>
  <si>
    <t>0MRS51</t>
  </si>
  <si>
    <t>Steeksleutel 6+7 mm</t>
  </si>
  <si>
    <t>0MRS52</t>
  </si>
  <si>
    <t>Steeksleutel 8+9 mm</t>
  </si>
  <si>
    <t>0MRS53</t>
  </si>
  <si>
    <t>Steeksleutel 10+11 mm</t>
  </si>
  <si>
    <t>0MRS54</t>
  </si>
  <si>
    <t>Steeksleutel 12+13 mm</t>
  </si>
  <si>
    <t>0MRS55</t>
  </si>
  <si>
    <t>Steeksleutel 14+15 mm</t>
  </si>
  <si>
    <t>0MRS56</t>
  </si>
  <si>
    <t>Steeksleutel 16+17 mm</t>
  </si>
  <si>
    <t>0MRS57</t>
  </si>
  <si>
    <t>Steeksleutel 18+19 mm</t>
  </si>
  <si>
    <t>0MRS58</t>
  </si>
  <si>
    <t>Steeksleutel 20+21 mm</t>
  </si>
  <si>
    <t>0MRS59</t>
  </si>
  <si>
    <t>Steeksleutel 22+23 mm</t>
  </si>
  <si>
    <t>0MRS60</t>
  </si>
  <si>
    <t>Steeksleutel 24+25 mm</t>
  </si>
  <si>
    <t>0MRS61</t>
  </si>
  <si>
    <t>Steeksleutel 26+27 mm</t>
  </si>
  <si>
    <t>0MRS62</t>
  </si>
  <si>
    <t>Steeksleutel 28+29 mm</t>
  </si>
  <si>
    <t>0MOV48</t>
  </si>
  <si>
    <t>Gatenzaag set 1</t>
  </si>
  <si>
    <t>0MOV49</t>
  </si>
  <si>
    <t>Gatenzaag set 2</t>
  </si>
  <si>
    <t>0MOV18</t>
  </si>
  <si>
    <t>Blokhaak</t>
  </si>
  <si>
    <t>0MOV21</t>
  </si>
  <si>
    <t>Hamerboormachine kast 2</t>
  </si>
  <si>
    <t>0MOV17</t>
  </si>
  <si>
    <t>Ijzerzaag</t>
  </si>
  <si>
    <t>0MOV15</t>
  </si>
  <si>
    <t>Lijmklem</t>
  </si>
  <si>
    <t>0MOV16</t>
  </si>
  <si>
    <t>Plaatklem</t>
  </si>
  <si>
    <t>0MOV19</t>
  </si>
  <si>
    <t>Roestborstel</t>
  </si>
  <si>
    <t>0MOV14</t>
  </si>
  <si>
    <t>Ski-bril</t>
  </si>
  <si>
    <t>0MVL00</t>
  </si>
  <si>
    <t>Vijl rond</t>
  </si>
  <si>
    <t>0MVL01</t>
  </si>
  <si>
    <t>Vijl plat</t>
  </si>
  <si>
    <t>0MVL02</t>
  </si>
  <si>
    <t>Vijl vierkant</t>
  </si>
  <si>
    <t>0MVL03</t>
  </si>
  <si>
    <t>Vijl halfrond</t>
  </si>
  <si>
    <t>0MOV42</t>
  </si>
  <si>
    <t>Winkelhaak 90 graden</t>
  </si>
  <si>
    <t>0MBO00</t>
  </si>
  <si>
    <t>Boor 1 mm</t>
  </si>
  <si>
    <t>0MBO01</t>
  </si>
  <si>
    <t>Boor 1,5 mm</t>
  </si>
  <si>
    <t>0MBO02</t>
  </si>
  <si>
    <t>Boor 2 mm</t>
  </si>
  <si>
    <t>0MBO03</t>
  </si>
  <si>
    <t>Boor 2,5 mm</t>
  </si>
  <si>
    <t>0MBO04</t>
  </si>
  <si>
    <t>Boor 3 mm</t>
  </si>
  <si>
    <t>0MBO05</t>
  </si>
  <si>
    <t>Boor 3,5 mm</t>
  </si>
  <si>
    <t>0MBO06</t>
  </si>
  <si>
    <t>Boor 4 mm</t>
  </si>
  <si>
    <t>0MBO07</t>
  </si>
  <si>
    <t>0MBO08</t>
  </si>
  <si>
    <t>Boor 5 mm</t>
  </si>
  <si>
    <t>0MBO09</t>
  </si>
  <si>
    <t>Boor 5,5 mm</t>
  </si>
  <si>
    <t>0MBO10</t>
  </si>
  <si>
    <t>Boor 6 mm</t>
  </si>
  <si>
    <t>0MBO11</t>
  </si>
  <si>
    <t>Boor 6,5 mm</t>
  </si>
  <si>
    <t>0MBO12</t>
  </si>
  <si>
    <t>Boor 7 mm</t>
  </si>
  <si>
    <t>0MBO13</t>
  </si>
  <si>
    <t>Boor 7,5 mm</t>
  </si>
  <si>
    <t>0MBO14</t>
  </si>
  <si>
    <t>Boor 8 mm</t>
  </si>
  <si>
    <t>0MBO15</t>
  </si>
  <si>
    <t>Boor 8,5 mm</t>
  </si>
  <si>
    <t>0MBO16</t>
  </si>
  <si>
    <t>Boor 9 mm</t>
  </si>
  <si>
    <t>0MBO17</t>
  </si>
  <si>
    <t>Boor 9,5 mm</t>
  </si>
  <si>
    <t>0MBO18</t>
  </si>
  <si>
    <t>Boor 10 mm</t>
  </si>
  <si>
    <t>0MBO19</t>
  </si>
  <si>
    <t>Boor 10,5 mm</t>
  </si>
  <si>
    <t>0MBO20</t>
  </si>
  <si>
    <t>Boor 11 mm</t>
  </si>
  <si>
    <t>0MBO21</t>
  </si>
  <si>
    <t>Boor 11,5 mm</t>
  </si>
  <si>
    <t>Haakse slijptol</t>
  </si>
  <si>
    <t>0MBO22</t>
  </si>
  <si>
    <t>Boor 12 mm</t>
  </si>
  <si>
    <t>0MBO23</t>
  </si>
  <si>
    <t>Boor 12,5 mm</t>
  </si>
  <si>
    <t>0MBO24</t>
  </si>
  <si>
    <t>Boor 13 mm</t>
  </si>
  <si>
    <t>0MOV29</t>
  </si>
  <si>
    <t>Accuboor</t>
  </si>
  <si>
    <t>0MOV28</t>
  </si>
  <si>
    <t>Gradenboog</t>
  </si>
  <si>
    <t>0MOV26</t>
  </si>
  <si>
    <t>Gehoorklep</t>
  </si>
  <si>
    <t>0MOV27</t>
  </si>
  <si>
    <t>Pijpsnijder</t>
  </si>
  <si>
    <t>0MOV24</t>
  </si>
  <si>
    <t>Zinkschaar</t>
  </si>
  <si>
    <t>0MBO40</t>
  </si>
  <si>
    <t>Ruimerset 1</t>
  </si>
  <si>
    <t>0MBO41</t>
  </si>
  <si>
    <t>Ruimerset 2</t>
  </si>
  <si>
    <t>0MBO42</t>
  </si>
  <si>
    <t>Ruimerset 3</t>
  </si>
  <si>
    <t>0MBO43</t>
  </si>
  <si>
    <t>Ruimerset 4</t>
  </si>
  <si>
    <t>0MBO44</t>
  </si>
  <si>
    <t>Ruimerset 5</t>
  </si>
  <si>
    <t>0MBO45</t>
  </si>
  <si>
    <t>Ruimerset 6</t>
  </si>
  <si>
    <t>0MBO46</t>
  </si>
  <si>
    <t>Ruimerset 7</t>
  </si>
  <si>
    <t>0MBO47</t>
  </si>
  <si>
    <t>Ruimerset 8</t>
  </si>
  <si>
    <t>0MBO48</t>
  </si>
  <si>
    <t>Ruimerset 9</t>
  </si>
  <si>
    <t>0MOV23</t>
  </si>
  <si>
    <t>Freesplaatjes set</t>
  </si>
  <si>
    <t>0MOV22</t>
  </si>
  <si>
    <t>Verstelbare ruimers</t>
  </si>
  <si>
    <t>0MTG04</t>
  </si>
  <si>
    <t>Tang ronde punt</t>
  </si>
  <si>
    <t>0MOV10</t>
  </si>
  <si>
    <t>Passer</t>
  </si>
  <si>
    <t>0MOV11</t>
  </si>
  <si>
    <t>Schuifmaat</t>
  </si>
  <si>
    <t>0MOV12</t>
  </si>
  <si>
    <t>Tinzuiger</t>
  </si>
  <si>
    <t>0MOV13</t>
  </si>
  <si>
    <t>Hete lucht pistool</t>
  </si>
  <si>
    <t>0MLS01</t>
  </si>
  <si>
    <t>Lashamer</t>
  </si>
  <si>
    <t>0MLS03</t>
  </si>
  <si>
    <t>Lashelm</t>
  </si>
  <si>
    <t>0MLS02</t>
  </si>
  <si>
    <t>Laskabel</t>
  </si>
  <si>
    <t>0MLS04</t>
  </si>
  <si>
    <t>Lasschort</t>
  </si>
  <si>
    <t>0MLS06</t>
  </si>
  <si>
    <t>0MLS05</t>
  </si>
  <si>
    <t>0MSS02</t>
  </si>
  <si>
    <t>Soldeerstation 2</t>
  </si>
  <si>
    <t>0MSS03</t>
  </si>
  <si>
    <t>Soldeerstation 3</t>
  </si>
  <si>
    <t>0MSS04</t>
  </si>
  <si>
    <t>Soldeerstation 4</t>
  </si>
  <si>
    <t>0MSS05</t>
  </si>
  <si>
    <t>Soldeerstation 5</t>
  </si>
  <si>
    <t>0MSS06</t>
  </si>
  <si>
    <t>Soldeerstation 6</t>
  </si>
  <si>
    <t>0MSS07</t>
  </si>
  <si>
    <t>Soldeerstation 7</t>
  </si>
  <si>
    <t>0MSS08</t>
  </si>
  <si>
    <t>Soldeerstation 8</t>
  </si>
  <si>
    <t>0MSS09</t>
  </si>
  <si>
    <t>Soldeerstation 9</t>
  </si>
  <si>
    <t>0MSS10</t>
  </si>
  <si>
    <t>Soldeerstation 10</t>
  </si>
  <si>
    <t>0MSS11</t>
  </si>
  <si>
    <t>Soldeerstation 11</t>
  </si>
  <si>
    <t>0MSS12</t>
  </si>
  <si>
    <t>Soldeerstation 12</t>
  </si>
  <si>
    <t>0MSS13</t>
  </si>
  <si>
    <t>Soldeerstation 13</t>
  </si>
  <si>
    <t>0MSS14</t>
  </si>
  <si>
    <t>Soldeerstation 14</t>
  </si>
  <si>
    <t>0MSS00</t>
  </si>
  <si>
    <t>Soldeerstation desoldeer</t>
  </si>
  <si>
    <t>0MSS15</t>
  </si>
  <si>
    <t>Soldeerpook</t>
  </si>
  <si>
    <t>0MDD04</t>
  </si>
  <si>
    <t>Draad 1,5 zwart</t>
  </si>
  <si>
    <t>0MDD08</t>
  </si>
  <si>
    <t>Draad 2,5 rood</t>
  </si>
  <si>
    <t>0MDD09</t>
  </si>
  <si>
    <t>Draad 2,5 geel-groen</t>
  </si>
  <si>
    <t>0MOV37</t>
  </si>
  <si>
    <t>Loctite</t>
  </si>
  <si>
    <t>0MOV38</t>
  </si>
  <si>
    <t>Printplaat boormachine</t>
  </si>
  <si>
    <t>0MOV36</t>
  </si>
  <si>
    <t>Snijolie</t>
  </si>
  <si>
    <t>0MOV39</t>
  </si>
  <si>
    <t>Tape</t>
  </si>
  <si>
    <t>0MOV31</t>
  </si>
  <si>
    <t>Voeding</t>
  </si>
  <si>
    <t>0MOV35</t>
  </si>
  <si>
    <t>Multimeter</t>
  </si>
  <si>
    <t>0MOV33</t>
  </si>
  <si>
    <t>Machineklem</t>
  </si>
  <si>
    <t>0MOV34</t>
  </si>
  <si>
    <t>Soldeerklem</t>
  </si>
  <si>
    <t>Lashandschoenen</t>
  </si>
  <si>
    <t>Lasbrillen</t>
  </si>
  <si>
    <t>0MOV32</t>
  </si>
  <si>
    <t>Voedingkabel</t>
  </si>
  <si>
    <t>Een vogel</t>
  </si>
  <si>
    <t>0M0002</t>
  </si>
  <si>
    <t>Een Jelle</t>
  </si>
  <si>
    <t>0M0004</t>
  </si>
  <si>
    <t>Een Tom</t>
  </si>
  <si>
    <t>Een roze dildo</t>
  </si>
  <si>
    <t>Barcode</t>
  </si>
  <si>
    <t>Scanner 1 (Default)</t>
  </si>
  <si>
    <t>Bezit</t>
  </si>
  <si>
    <t>C:\Windows\Media\Windows User Account Control.wav</t>
  </si>
  <si>
    <t>Error sound file</t>
  </si>
  <si>
    <t>Hint password</t>
  </si>
  <si>
    <t>UserID</t>
  </si>
  <si>
    <t>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</si>
</sst>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20"/>
      <name val="Calibri"/>
      <family val="2"/>
      <scheme val="minor"/>
    </font>
    <font>
      <sz val="48"/>
      <name val="Code 128"/>
    </font>
    <font>
      <sz val="9"/>
      <name val="Calibri"/>
      <family val="2"/>
      <scheme val="minor"/>
    </font>
    <font>
      <sz val="14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3" borderId="1" xfId="0" applyFill="1" applyBorder="1"/>
    <xf numFmtId="0" fontId="1" fillId="0" borderId="0" xfId="0" applyFont="1"/>
    <xf numFmtId="0" fontId="0" fillId="0" borderId="0" xfId="0" applyFont="1"/>
    <xf numFmtId="0" fontId="4" fillId="0" borderId="0" xfId="0" applyFont="1" applyFill="1"/>
    <xf numFmtId="0" fontId="4" fillId="0" borderId="0" xfId="0" applyFont="1"/>
    <xf numFmtId="0" fontId="4" fillId="3" borderId="1" xfId="0" applyFont="1" applyFill="1" applyBorder="1"/>
    <xf numFmtId="49" fontId="4" fillId="7" borderId="1" xfId="0" applyNumberFormat="1" applyFont="1" applyFill="1" applyBorder="1"/>
    <xf numFmtId="0" fontId="4" fillId="6" borderId="2" xfId="0" applyFont="1" applyFill="1" applyBorder="1" applyAlignment="1">
      <alignment horizontal="left"/>
    </xf>
    <xf numFmtId="0" fontId="4" fillId="6" borderId="5" xfId="0" applyFont="1" applyFill="1" applyBorder="1"/>
    <xf numFmtId="0" fontId="4" fillId="6" borderId="5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0" borderId="0" xfId="0" applyFont="1" applyFill="1" applyBorder="1"/>
    <xf numFmtId="0" fontId="4" fillId="6" borderId="10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Fill="1" applyBorder="1" applyAlignment="1"/>
    <xf numFmtId="0" fontId="4" fillId="6" borderId="8" xfId="0" applyFont="1" applyFill="1" applyBorder="1" applyAlignment="1"/>
    <xf numFmtId="0" fontId="0" fillId="3" borderId="0" xfId="0" applyFill="1"/>
    <xf numFmtId="0" fontId="0" fillId="3" borderId="6" xfId="0" applyFill="1" applyBorder="1"/>
    <xf numFmtId="0" fontId="0" fillId="3" borderId="2" xfId="0" applyFill="1" applyBorder="1"/>
    <xf numFmtId="0" fontId="0" fillId="6" borderId="2" xfId="0" applyFont="1" applyFill="1" applyBorder="1" applyAlignment="1">
      <alignment horizontal="right"/>
    </xf>
    <xf numFmtId="0" fontId="0" fillId="6" borderId="5" xfId="0" applyFont="1" applyFill="1" applyBorder="1" applyAlignment="1">
      <alignment horizontal="right"/>
    </xf>
    <xf numFmtId="0" fontId="0" fillId="6" borderId="3" xfId="0" applyFont="1" applyFill="1" applyBorder="1" applyAlignment="1">
      <alignment horizontal="right"/>
    </xf>
    <xf numFmtId="0" fontId="0" fillId="6" borderId="7" xfId="0" applyFont="1" applyFill="1" applyBorder="1" applyAlignment="1">
      <alignment horizontal="right"/>
    </xf>
    <xf numFmtId="0" fontId="0" fillId="6" borderId="0" xfId="0" applyFont="1" applyFill="1" applyBorder="1" applyAlignment="1">
      <alignment horizontal="right"/>
    </xf>
    <xf numFmtId="0" fontId="0" fillId="6" borderId="11" xfId="0" applyFont="1" applyFill="1" applyBorder="1" applyAlignment="1">
      <alignment horizontal="right"/>
    </xf>
    <xf numFmtId="0" fontId="1" fillId="3" borderId="0" xfId="0" applyFont="1" applyFill="1"/>
    <xf numFmtId="0" fontId="0" fillId="6" borderId="10" xfId="0" applyFont="1" applyFill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0" fontId="0" fillId="6" borderId="12" xfId="0" applyFont="1" applyFill="1" applyBorder="1" applyAlignment="1">
      <alignment horizontal="right"/>
    </xf>
    <xf numFmtId="0" fontId="0" fillId="0" borderId="17" xfId="0" applyBorder="1"/>
    <xf numFmtId="0" fontId="0" fillId="0" borderId="16" xfId="0" applyBorder="1"/>
    <xf numFmtId="0" fontId="0" fillId="0" borderId="0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8" fillId="0" borderId="0" xfId="0" applyNumberFormat="1" applyFont="1" applyFill="1" applyBorder="1" applyAlignment="1">
      <alignment horizontal="right" vertical="top"/>
    </xf>
    <xf numFmtId="0" fontId="8" fillId="0" borderId="0" xfId="0" applyNumberFormat="1" applyFont="1" applyFill="1" applyBorder="1" applyAlignment="1">
      <alignment horizontal="left" vertical="top"/>
    </xf>
    <xf numFmtId="0" fontId="0" fillId="3" borderId="1" xfId="0" applyFill="1" applyBorder="1" applyAlignment="1"/>
    <xf numFmtId="49" fontId="0" fillId="3" borderId="0" xfId="0" applyNumberFormat="1" applyFill="1" applyAlignment="1">
      <alignment horizontal="center"/>
    </xf>
    <xf numFmtId="0" fontId="0" fillId="0" borderId="20" xfId="0" applyBorder="1"/>
    <xf numFmtId="0" fontId="0" fillId="0" borderId="21" xfId="0" applyBorder="1"/>
    <xf numFmtId="49" fontId="0" fillId="0" borderId="22" xfId="0" applyNumberFormat="1" applyFill="1" applyBorder="1" applyAlignment="1">
      <alignment horizontal="center"/>
    </xf>
    <xf numFmtId="49" fontId="0" fillId="0" borderId="23" xfId="0" applyNumberFormat="1" applyFill="1" applyBorder="1" applyAlignment="1">
      <alignment horizontal="center"/>
    </xf>
    <xf numFmtId="49" fontId="0" fillId="12" borderId="18" xfId="0" applyNumberFormat="1" applyFill="1" applyBorder="1" applyAlignment="1">
      <alignment horizontal="right"/>
    </xf>
    <xf numFmtId="49" fontId="0" fillId="12" borderId="19" xfId="0" applyNumberFormat="1" applyFill="1" applyBorder="1" applyAlignment="1">
      <alignment horizontal="left"/>
    </xf>
    <xf numFmtId="49" fontId="0" fillId="13" borderId="18" xfId="0" applyNumberFormat="1" applyFill="1" applyBorder="1" applyAlignment="1">
      <alignment horizontal="right"/>
    </xf>
    <xf numFmtId="49" fontId="0" fillId="13" borderId="19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49" fontId="0" fillId="14" borderId="18" xfId="0" applyNumberFormat="1" applyFill="1" applyBorder="1" applyAlignment="1">
      <alignment horizontal="right"/>
    </xf>
    <xf numFmtId="49" fontId="0" fillId="14" borderId="19" xfId="0" applyNumberFormat="1" applyFill="1" applyBorder="1" applyAlignment="1">
      <alignment horizontal="left"/>
    </xf>
    <xf numFmtId="49" fontId="0" fillId="15" borderId="18" xfId="0" applyNumberFormat="1" applyFill="1" applyBorder="1" applyAlignment="1">
      <alignment horizontal="right"/>
    </xf>
    <xf numFmtId="49" fontId="0" fillId="15" borderId="19" xfId="0" applyNumberFormat="1" applyFill="1" applyBorder="1" applyAlignment="1">
      <alignment horizontal="left"/>
    </xf>
    <xf numFmtId="49" fontId="0" fillId="0" borderId="18" xfId="0" applyNumberFormat="1" applyFill="1" applyBorder="1" applyAlignment="1">
      <alignment horizontal="right"/>
    </xf>
    <xf numFmtId="49" fontId="0" fillId="0" borderId="19" xfId="0" applyNumberFormat="1" applyFill="1" applyBorder="1" applyAlignment="1">
      <alignment horizontal="left"/>
    </xf>
    <xf numFmtId="49" fontId="0" fillId="16" borderId="18" xfId="0" applyNumberFormat="1" applyFill="1" applyBorder="1" applyAlignment="1">
      <alignment horizontal="right"/>
    </xf>
    <xf numFmtId="49" fontId="0" fillId="16" borderId="19" xfId="0" applyNumberFormat="1" applyFill="1" applyBorder="1" applyAlignment="1">
      <alignment horizontal="left"/>
    </xf>
    <xf numFmtId="49" fontId="0" fillId="15" borderId="19" xfId="0" applyNumberFormat="1" applyFont="1" applyFill="1" applyBorder="1" applyAlignment="1">
      <alignment horizontal="left"/>
    </xf>
    <xf numFmtId="49" fontId="0" fillId="18" borderId="18" xfId="0" applyNumberFormat="1" applyFill="1" applyBorder="1" applyAlignment="1">
      <alignment horizontal="right"/>
    </xf>
    <xf numFmtId="49" fontId="0" fillId="18" borderId="19" xfId="0" applyNumberFormat="1" applyFill="1" applyBorder="1" applyAlignment="1">
      <alignment horizontal="left"/>
    </xf>
    <xf numFmtId="49" fontId="0" fillId="19" borderId="18" xfId="0" applyNumberFormat="1" applyFill="1" applyBorder="1" applyAlignment="1">
      <alignment horizontal="right"/>
    </xf>
    <xf numFmtId="49" fontId="0" fillId="19" borderId="19" xfId="0" applyNumberFormat="1" applyFill="1" applyBorder="1" applyAlignment="1">
      <alignment horizontal="left"/>
    </xf>
    <xf numFmtId="49" fontId="0" fillId="20" borderId="18" xfId="0" applyNumberFormat="1" applyFill="1" applyBorder="1" applyAlignment="1">
      <alignment horizontal="right"/>
    </xf>
    <xf numFmtId="49" fontId="0" fillId="20" borderId="19" xfId="0" applyNumberFormat="1" applyFill="1" applyBorder="1" applyAlignment="1">
      <alignment horizontal="left"/>
    </xf>
    <xf numFmtId="49" fontId="0" fillId="21" borderId="18" xfId="0" applyNumberFormat="1" applyFill="1" applyBorder="1" applyAlignment="1">
      <alignment horizontal="right"/>
    </xf>
    <xf numFmtId="49" fontId="0" fillId="21" borderId="19" xfId="0" applyNumberFormat="1" applyFill="1" applyBorder="1" applyAlignment="1">
      <alignment horizontal="left"/>
    </xf>
    <xf numFmtId="49" fontId="3" fillId="22" borderId="18" xfId="0" applyNumberFormat="1" applyFont="1" applyFill="1" applyBorder="1" applyAlignment="1">
      <alignment horizontal="right"/>
    </xf>
    <xf numFmtId="49" fontId="3" fillId="22" borderId="19" xfId="0" applyNumberFormat="1" applyFont="1" applyFill="1" applyBorder="1" applyAlignment="1">
      <alignment horizontal="left"/>
    </xf>
    <xf numFmtId="49" fontId="0" fillId="23" borderId="18" xfId="0" applyNumberFormat="1" applyFill="1" applyBorder="1" applyAlignment="1">
      <alignment horizontal="right"/>
    </xf>
    <xf numFmtId="49" fontId="0" fillId="23" borderId="19" xfId="0" applyNumberFormat="1" applyFill="1" applyBorder="1" applyAlignment="1">
      <alignment horizontal="left"/>
    </xf>
    <xf numFmtId="49" fontId="0" fillId="24" borderId="18" xfId="0" applyNumberFormat="1" applyFill="1" applyBorder="1" applyAlignment="1">
      <alignment horizontal="right"/>
    </xf>
    <xf numFmtId="49" fontId="0" fillId="24" borderId="19" xfId="0" applyNumberFormat="1" applyFill="1" applyBorder="1" applyAlignment="1">
      <alignment horizontal="left"/>
    </xf>
    <xf numFmtId="49" fontId="0" fillId="17" borderId="18" xfId="0" applyNumberFormat="1" applyFill="1" applyBorder="1" applyAlignment="1">
      <alignment horizontal="right"/>
    </xf>
    <xf numFmtId="49" fontId="0" fillId="17" borderId="19" xfId="0" applyNumberForma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3" borderId="0" xfId="0" applyNumberFormat="1" applyFill="1" applyAlignment="1">
      <alignment horizontal="left"/>
    </xf>
    <xf numFmtId="49" fontId="0" fillId="25" borderId="18" xfId="0" applyNumberFormat="1" applyFill="1" applyBorder="1" applyAlignment="1">
      <alignment horizontal="right"/>
    </xf>
    <xf numFmtId="49" fontId="0" fillId="25" borderId="19" xfId="0" applyNumberFormat="1" applyFill="1" applyBorder="1" applyAlignment="1">
      <alignment horizontal="left"/>
    </xf>
    <xf numFmtId="49" fontId="0" fillId="5" borderId="18" xfId="0" applyNumberFormat="1" applyFill="1" applyBorder="1" applyAlignment="1">
      <alignment horizontal="right"/>
    </xf>
    <xf numFmtId="49" fontId="0" fillId="5" borderId="19" xfId="0" applyNumberFormat="1" applyFill="1" applyBorder="1" applyAlignment="1">
      <alignment horizontal="left"/>
    </xf>
    <xf numFmtId="0" fontId="4" fillId="6" borderId="8" xfId="0" applyFont="1" applyFill="1" applyBorder="1" applyAlignment="1">
      <alignment horizontal="left"/>
    </xf>
    <xf numFmtId="0" fontId="5" fillId="0" borderId="0" xfId="0" applyFont="1" applyFill="1" applyBorder="1"/>
    <xf numFmtId="0" fontId="4" fillId="6" borderId="1" xfId="0" applyFont="1" applyFill="1" applyBorder="1" applyAlignment="1">
      <alignment horizontal="right"/>
    </xf>
    <xf numFmtId="0" fontId="4" fillId="6" borderId="4" xfId="0" applyFont="1" applyFill="1" applyBorder="1" applyAlignment="1">
      <alignment horizontal="left"/>
    </xf>
    <xf numFmtId="0" fontId="5" fillId="2" borderId="1" xfId="0" applyFont="1" applyFill="1" applyBorder="1"/>
    <xf numFmtId="0" fontId="5" fillId="0" borderId="0" xfId="0" applyFont="1"/>
    <xf numFmtId="0" fontId="5" fillId="6" borderId="7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right"/>
    </xf>
    <xf numFmtId="0" fontId="5" fillId="0" borderId="1" xfId="0" applyFont="1" applyBorder="1"/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0" xfId="0" applyFont="1" applyFill="1" applyBorder="1" applyAlignment="1">
      <alignment horizontal="left"/>
    </xf>
    <xf numFmtId="0" fontId="5" fillId="6" borderId="9" xfId="0" applyFont="1" applyFill="1" applyBorder="1" applyAlignment="1">
      <alignment horizontal="left"/>
    </xf>
    <xf numFmtId="0" fontId="3" fillId="0" borderId="0" xfId="0" applyFont="1"/>
    <xf numFmtId="49" fontId="5" fillId="4" borderId="1" xfId="0" applyNumberFormat="1" applyFont="1" applyFill="1" applyBorder="1" applyAlignment="1">
      <alignment horizontal="right"/>
    </xf>
    <xf numFmtId="0" fontId="9" fillId="0" borderId="0" xfId="0" applyFont="1" applyFill="1" applyBorder="1" applyAlignment="1">
      <alignment horizontal="left"/>
    </xf>
    <xf numFmtId="0" fontId="9" fillId="0" borderId="0" xfId="0" applyFont="1" applyFill="1" applyAlignment="1">
      <alignment horizontal="left"/>
    </xf>
    <xf numFmtId="0" fontId="9" fillId="0" borderId="7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left"/>
    </xf>
    <xf numFmtId="0" fontId="9" fillId="0" borderId="0" xfId="0" applyFont="1"/>
    <xf numFmtId="49" fontId="4" fillId="10" borderId="1" xfId="0" applyNumberFormat="1" applyFont="1" applyFill="1" applyBorder="1" applyAlignment="1">
      <alignment horizontal="right"/>
    </xf>
    <xf numFmtId="0" fontId="4" fillId="9" borderId="1" xfId="0" applyFont="1" applyFill="1" applyBorder="1" applyAlignment="1"/>
    <xf numFmtId="0" fontId="4" fillId="6" borderId="6" xfId="0" applyFont="1" applyFill="1" applyBorder="1" applyAlignment="1"/>
    <xf numFmtId="0" fontId="4" fillId="8" borderId="1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13" xfId="0" applyFill="1" applyBorder="1"/>
    <xf numFmtId="0" fontId="3" fillId="10" borderId="2" xfId="0" applyFont="1" applyFill="1" applyBorder="1"/>
    <xf numFmtId="0" fontId="3" fillId="10" borderId="3" xfId="0" applyFont="1" applyFill="1" applyBorder="1"/>
    <xf numFmtId="0" fontId="3" fillId="10" borderId="7" xfId="0" applyFont="1" applyFill="1" applyBorder="1"/>
    <xf numFmtId="0" fontId="3" fillId="10" borderId="11" xfId="0" applyFont="1" applyFill="1" applyBorder="1"/>
    <xf numFmtId="0" fontId="3" fillId="10" borderId="7" xfId="0" applyFont="1" applyFill="1" applyBorder="1" applyAlignment="1"/>
    <xf numFmtId="0" fontId="0" fillId="10" borderId="7" xfId="0" applyFont="1" applyFill="1" applyBorder="1" applyAlignment="1"/>
    <xf numFmtId="0" fontId="0" fillId="10" borderId="10" xfId="0" applyFont="1" applyFill="1" applyBorder="1" applyAlignment="1"/>
    <xf numFmtId="0" fontId="3" fillId="10" borderId="12" xfId="0" applyFont="1" applyFill="1" applyBorder="1" applyAlignment="1"/>
    <xf numFmtId="0" fontId="0" fillId="10" borderId="1" xfId="0" applyFill="1" applyBorder="1"/>
    <xf numFmtId="0" fontId="0" fillId="11" borderId="6" xfId="0" applyFill="1" applyBorder="1"/>
    <xf numFmtId="0" fontId="0" fillId="10" borderId="4" xfId="0" applyFill="1" applyBorder="1"/>
    <xf numFmtId="0" fontId="0" fillId="10" borderId="8" xfId="0" applyFill="1" applyBorder="1"/>
    <xf numFmtId="0" fontId="4" fillId="0" borderId="0" xfId="0" applyFont="1" applyFill="1" applyProtection="1"/>
    <xf numFmtId="0" fontId="4" fillId="0" borderId="0" xfId="0" applyFont="1" applyProtection="1"/>
    <xf numFmtId="0" fontId="5" fillId="0" borderId="0" xfId="0" applyFont="1" applyProtection="1"/>
    <xf numFmtId="0" fontId="9" fillId="0" borderId="0" xfId="0" applyFont="1" applyProtection="1"/>
    <xf numFmtId="0" fontId="5" fillId="2" borderId="1" xfId="0" applyFont="1" applyFill="1" applyBorder="1" applyProtection="1"/>
    <xf numFmtId="0" fontId="4" fillId="3" borderId="1" xfId="0" applyFont="1" applyFill="1" applyBorder="1" applyProtection="1"/>
    <xf numFmtId="49" fontId="4" fillId="7" borderId="1" xfId="0" applyNumberFormat="1" applyFont="1" applyFill="1" applyBorder="1" applyProtection="1"/>
    <xf numFmtId="0" fontId="4" fillId="6" borderId="2" xfId="0" applyFont="1" applyFill="1" applyBorder="1" applyAlignment="1" applyProtection="1">
      <alignment horizontal="left"/>
    </xf>
    <xf numFmtId="0" fontId="4" fillId="6" borderId="5" xfId="0" applyFont="1" applyFill="1" applyBorder="1" applyProtection="1"/>
    <xf numFmtId="0" fontId="4" fillId="6" borderId="4" xfId="0" applyFont="1" applyFill="1" applyBorder="1" applyAlignment="1" applyProtection="1">
      <alignment horizontal="left"/>
    </xf>
    <xf numFmtId="0" fontId="4" fillId="6" borderId="5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center"/>
    </xf>
    <xf numFmtId="0" fontId="4" fillId="6" borderId="7" xfId="0" applyFont="1" applyFill="1" applyBorder="1" applyAlignment="1" applyProtection="1">
      <alignment horizontal="left"/>
    </xf>
    <xf numFmtId="0" fontId="4" fillId="6" borderId="0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right"/>
    </xf>
    <xf numFmtId="0" fontId="4" fillId="6" borderId="1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Fill="1" applyAlignment="1" applyProtection="1">
      <alignment horizontal="left"/>
    </xf>
    <xf numFmtId="0" fontId="9" fillId="0" borderId="7" xfId="0" applyFont="1" applyFill="1" applyBorder="1" applyAlignment="1" applyProtection="1">
      <alignment horizontal="left"/>
    </xf>
    <xf numFmtId="0" fontId="9" fillId="0" borderId="1" xfId="0" applyFont="1" applyFill="1" applyBorder="1" applyAlignment="1" applyProtection="1">
      <alignment horizontal="left"/>
    </xf>
    <xf numFmtId="0" fontId="4" fillId="6" borderId="8" xfId="0" applyFont="1" applyFill="1" applyBorder="1" applyAlignment="1" applyProtection="1">
      <alignment horizontal="left"/>
    </xf>
    <xf numFmtId="0" fontId="5" fillId="0" borderId="0" xfId="0" applyFont="1" applyFill="1" applyBorder="1" applyProtection="1"/>
    <xf numFmtId="0" fontId="5" fillId="6" borderId="7" xfId="0" applyFont="1" applyFill="1" applyBorder="1" applyAlignment="1" applyProtection="1">
      <alignment horizontal="left"/>
    </xf>
    <xf numFmtId="0" fontId="5" fillId="6" borderId="0" xfId="0" applyFont="1" applyFill="1" applyBorder="1" applyAlignment="1" applyProtection="1">
      <alignment horizontal="left"/>
    </xf>
    <xf numFmtId="0" fontId="5" fillId="6" borderId="1" xfId="0" applyFont="1" applyFill="1" applyBorder="1" applyAlignment="1" applyProtection="1">
      <alignment horizontal="right"/>
    </xf>
    <xf numFmtId="0" fontId="5" fillId="0" borderId="1" xfId="0" applyFont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6" borderId="1" xfId="0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/>
    <xf numFmtId="0" fontId="5" fillId="6" borderId="10" xfId="0" applyFont="1" applyFill="1" applyBorder="1" applyAlignment="1" applyProtection="1">
      <alignment horizontal="left"/>
    </xf>
    <xf numFmtId="0" fontId="5" fillId="6" borderId="9" xfId="0" applyFont="1" applyFill="1" applyBorder="1" applyAlignment="1" applyProtection="1">
      <alignment horizontal="left"/>
    </xf>
    <xf numFmtId="0" fontId="4" fillId="6" borderId="10" xfId="0" applyFont="1" applyFill="1" applyBorder="1" applyAlignment="1" applyProtection="1">
      <alignment horizontal="left"/>
    </xf>
    <xf numFmtId="0" fontId="4" fillId="6" borderId="9" xfId="0" applyFont="1" applyFill="1" applyBorder="1" applyAlignment="1" applyProtection="1">
      <alignment horizontal="left"/>
    </xf>
    <xf numFmtId="0" fontId="0" fillId="0" borderId="0" xfId="0" applyFont="1" applyProtection="1"/>
    <xf numFmtId="0" fontId="3" fillId="0" borderId="0" xfId="0" applyFont="1" applyProtection="1"/>
    <xf numFmtId="0" fontId="0" fillId="0" borderId="24" xfId="0" applyBorder="1"/>
    <xf numFmtId="0" fontId="4" fillId="6" borderId="6" xfId="0" applyFont="1" applyFill="1" applyBorder="1" applyAlignment="1" applyProtection="1">
      <alignment horizontal="center" wrapText="1"/>
    </xf>
    <xf numFmtId="0" fontId="4" fillId="6" borderId="8" xfId="0" applyFont="1" applyFill="1" applyBorder="1" applyAlignment="1" applyProtection="1">
      <alignment horizontal="center" wrapText="1"/>
    </xf>
    <xf numFmtId="0" fontId="5" fillId="2" borderId="13" xfId="0" applyFont="1" applyFill="1" applyBorder="1" applyAlignment="1" applyProtection="1">
      <alignment horizontal="center"/>
    </xf>
    <xf numFmtId="0" fontId="5" fillId="2" borderId="14" xfId="0" applyFont="1" applyFill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 wrapText="1"/>
    </xf>
    <xf numFmtId="0" fontId="4" fillId="6" borderId="8" xfId="0" applyFont="1" applyFill="1" applyBorder="1" applyAlignment="1">
      <alignment horizontal="center" wrapText="1"/>
    </xf>
    <xf numFmtId="0" fontId="4" fillId="0" borderId="9" xfId="0" applyFont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4" fillId="6" borderId="4" xfId="0" applyFont="1" applyFill="1" applyBorder="1" applyAlignment="1"/>
    <xf numFmtId="0" fontId="0" fillId="0" borderId="15" xfId="0" applyFill="1" applyBorder="1" applyAlignment="1">
      <alignment horizontal="center"/>
    </xf>
    <xf numFmtId="49" fontId="0" fillId="0" borderId="20" xfId="0" applyNumberFormat="1" applyFill="1" applyBorder="1" applyAlignment="1">
      <alignment horizontal="center"/>
    </xf>
    <xf numFmtId="49" fontId="0" fillId="0" borderId="21" xfId="0" applyNumberFormat="1" applyFill="1" applyBorder="1" applyAlignment="1">
      <alignment horizontal="center"/>
    </xf>
    <xf numFmtId="49" fontId="5" fillId="4" borderId="1" xfId="0" applyNumberFormat="1" applyFont="1" applyFill="1" applyBorder="1" applyAlignment="1" applyProtection="1">
      <alignment horizontal="right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387E1-773E-49E3-A503-C418574818B3}">
  <sheetPr codeName="Blad1"/>
  <dimension ref="A1:T48"/>
  <sheetViews>
    <sheetView showGridLines="0" showRowColHeaders="0" tabSelected="1" zoomScaleNormal="100" workbookViewId="0">
      <pane xSplit="17" ySplit="24" topLeftCell="R25" activePane="bottomRight" state="frozen"/>
      <selection pane="topRight" activeCell="R1" sqref="R1"/>
      <selection pane="bottomLeft" activeCell="A25" sqref="A25"/>
      <selection pane="bottomRight" activeCell="C10" sqref="C10"/>
    </sheetView>
  </sheetViews>
  <sheetFormatPr defaultColWidth="0" defaultRowHeight="14.4" zeroHeight="1" x14ac:dyDescent="0.3"/>
  <cols>
    <col min="1" max="1" width="3.33203125" customWidth="1"/>
    <col min="2" max="2" width="21" customWidth="1"/>
    <col min="3" max="3" width="19.44140625" customWidth="1"/>
    <col min="4" max="4" width="2.6640625" customWidth="1"/>
    <col min="5" max="5" width="14.109375" hidden="1" customWidth="1"/>
    <col min="6" max="6" width="33.33203125" hidden="1" customWidth="1"/>
    <col min="7" max="7" width="10.33203125" hidden="1" customWidth="1"/>
    <col min="8" max="8" width="2.6640625" hidden="1" customWidth="1"/>
    <col min="9" max="9" width="21" bestFit="1" customWidth="1"/>
    <col min="10" max="10" width="16.6640625" customWidth="1"/>
    <col min="11" max="11" width="2.6640625" customWidth="1"/>
    <col min="12" max="12" width="33.33203125" customWidth="1"/>
    <col min="13" max="13" width="2.6640625" customWidth="1"/>
    <col min="14" max="14" width="10.33203125" customWidth="1"/>
    <col min="15" max="15" width="33.33203125" customWidth="1"/>
    <col min="16" max="16" width="10" customWidth="1"/>
    <col min="17" max="17" width="2.6640625" customWidth="1"/>
    <col min="18" max="18" width="8.88671875" hidden="1" customWidth="1"/>
    <col min="19" max="20" width="0" hidden="1" customWidth="1"/>
    <col min="21" max="16384" width="8.88671875" hidden="1"/>
  </cols>
  <sheetData>
    <row r="1" spans="1:20" ht="18" customHeight="1" x14ac:dyDescent="0.35">
      <c r="A1" s="128"/>
      <c r="B1" s="128"/>
      <c r="C1" s="128"/>
      <c r="D1" s="128" t="s">
        <v>0</v>
      </c>
      <c r="E1" s="128"/>
      <c r="F1" s="128"/>
      <c r="G1" s="128"/>
      <c r="H1" s="128"/>
      <c r="I1" s="128" t="s">
        <v>0</v>
      </c>
      <c r="J1" s="128"/>
      <c r="K1" s="129"/>
      <c r="L1" s="129"/>
      <c r="M1" s="130"/>
      <c r="N1" s="131"/>
      <c r="O1" s="131"/>
      <c r="P1" s="131"/>
      <c r="Q1" s="129"/>
      <c r="R1" s="7"/>
      <c r="S1" s="5"/>
      <c r="T1" s="2"/>
    </row>
    <row r="2" spans="1:20" ht="18" customHeight="1" x14ac:dyDescent="0.35">
      <c r="A2" s="128"/>
      <c r="B2" s="168" t="s">
        <v>437</v>
      </c>
      <c r="C2" s="168"/>
      <c r="D2" s="128"/>
      <c r="E2" s="166" t="str">
        <f>CONCATENATE(IF(C7="","Gebruiker",C7)," Bezit")</f>
        <v>Gebruiker Bezit</v>
      </c>
      <c r="F2" s="167"/>
      <c r="G2" s="164"/>
      <c r="H2" s="128"/>
      <c r="I2" s="168" t="s">
        <v>10</v>
      </c>
      <c r="J2" s="168"/>
      <c r="K2" s="129"/>
      <c r="L2" s="132" t="s">
        <v>1</v>
      </c>
      <c r="M2" s="129"/>
      <c r="N2" s="166" t="s">
        <v>438</v>
      </c>
      <c r="O2" s="167"/>
      <c r="P2" s="164" t="s">
        <v>7</v>
      </c>
      <c r="Q2" s="129"/>
      <c r="R2" s="7"/>
      <c r="S2" s="5"/>
      <c r="T2" s="2"/>
    </row>
    <row r="3" spans="1:20" ht="18" x14ac:dyDescent="0.35">
      <c r="A3" s="128"/>
      <c r="B3" s="133" t="s">
        <v>2</v>
      </c>
      <c r="C3" s="134" t="s">
        <v>3</v>
      </c>
      <c r="D3" s="128"/>
      <c r="E3" s="135" t="s">
        <v>5</v>
      </c>
      <c r="F3" s="136" t="s">
        <v>6</v>
      </c>
      <c r="G3" s="165"/>
      <c r="H3" s="128"/>
      <c r="I3" s="133" t="s">
        <v>2</v>
      </c>
      <c r="J3" s="134"/>
      <c r="K3" s="129"/>
      <c r="L3" s="137"/>
      <c r="M3" s="129"/>
      <c r="N3" s="135" t="s">
        <v>436</v>
      </c>
      <c r="O3" s="136" t="s">
        <v>13</v>
      </c>
      <c r="P3" s="165"/>
      <c r="Q3" s="129"/>
      <c r="R3" s="7"/>
      <c r="S3" s="5"/>
      <c r="T3" s="2"/>
    </row>
    <row r="4" spans="1:20" ht="18" x14ac:dyDescent="0.35">
      <c r="A4" s="128"/>
      <c r="B4" s="133" t="s">
        <v>8</v>
      </c>
      <c r="C4" s="134" t="s">
        <v>3</v>
      </c>
      <c r="D4" s="128" t="s">
        <v>0</v>
      </c>
      <c r="E4" s="135"/>
      <c r="F4" s="138"/>
      <c r="G4" s="139"/>
      <c r="H4" s="128"/>
      <c r="I4" s="133" t="s">
        <v>8</v>
      </c>
      <c r="J4" s="134" t="s">
        <v>3</v>
      </c>
      <c r="K4" s="129"/>
      <c r="L4" s="137"/>
      <c r="M4" s="129"/>
      <c r="N4" s="135"/>
      <c r="O4" s="138"/>
      <c r="P4" s="139"/>
      <c r="Q4" s="129"/>
      <c r="R4" s="7"/>
      <c r="S4" s="5"/>
      <c r="T4" s="2"/>
    </row>
    <row r="5" spans="1:20" ht="18" x14ac:dyDescent="0.35">
      <c r="A5" s="128"/>
      <c r="B5" s="133" t="s">
        <v>9</v>
      </c>
      <c r="C5" s="134" t="s">
        <v>3</v>
      </c>
      <c r="D5" s="128"/>
      <c r="E5" s="140"/>
      <c r="F5" s="141"/>
      <c r="G5" s="142"/>
      <c r="H5" s="128"/>
      <c r="I5" s="133" t="s">
        <v>9</v>
      </c>
      <c r="J5" s="134" t="s">
        <v>3</v>
      </c>
      <c r="K5" s="129"/>
      <c r="L5" s="137"/>
      <c r="M5" s="129"/>
      <c r="N5" s="140"/>
      <c r="O5" s="141"/>
      <c r="P5" s="143"/>
      <c r="Q5" s="129"/>
      <c r="R5" s="7"/>
      <c r="S5" s="5"/>
      <c r="T5" s="2"/>
    </row>
    <row r="6" spans="1:20" ht="18" x14ac:dyDescent="0.35">
      <c r="A6" s="128"/>
      <c r="B6" s="144" t="s">
        <v>12</v>
      </c>
      <c r="C6" s="144"/>
      <c r="D6" s="145" t="s">
        <v>0</v>
      </c>
      <c r="E6" s="146"/>
      <c r="F6" s="144"/>
      <c r="G6" s="147"/>
      <c r="H6" s="145"/>
      <c r="I6" s="144" t="s">
        <v>12</v>
      </c>
      <c r="J6" s="145"/>
      <c r="K6" s="129"/>
      <c r="L6" s="137"/>
      <c r="M6" s="129"/>
      <c r="N6" s="140"/>
      <c r="O6" s="141"/>
      <c r="P6" s="139"/>
      <c r="Q6" s="129"/>
      <c r="R6" s="7"/>
      <c r="S6" s="5"/>
      <c r="T6" s="2"/>
    </row>
    <row r="7" spans="1:20" ht="18" x14ac:dyDescent="0.35">
      <c r="A7" s="128"/>
      <c r="B7" s="144" t="s">
        <v>13</v>
      </c>
      <c r="C7" s="144"/>
      <c r="D7" s="144"/>
      <c r="E7" s="146"/>
      <c r="F7" s="144"/>
      <c r="G7" s="147"/>
      <c r="H7" s="144"/>
      <c r="I7" s="144" t="s">
        <v>13</v>
      </c>
      <c r="J7" s="144"/>
      <c r="K7" s="129"/>
      <c r="L7" s="148"/>
      <c r="M7" s="129"/>
      <c r="N7" s="140"/>
      <c r="O7" s="141"/>
      <c r="P7" s="143"/>
      <c r="Q7" s="129"/>
      <c r="R7" s="7"/>
      <c r="S7" s="2"/>
      <c r="T7" s="1"/>
    </row>
    <row r="8" spans="1:20" ht="18" x14ac:dyDescent="0.35">
      <c r="A8" s="130"/>
      <c r="B8" s="149"/>
      <c r="C8" s="130"/>
      <c r="D8" s="149"/>
      <c r="E8" s="150"/>
      <c r="F8" s="151"/>
      <c r="G8" s="152"/>
      <c r="H8" s="149"/>
      <c r="I8" s="149"/>
      <c r="J8" s="149"/>
      <c r="K8" s="130"/>
      <c r="L8" s="131"/>
      <c r="M8" s="129"/>
      <c r="N8" s="140"/>
      <c r="O8" s="141"/>
      <c r="P8" s="143"/>
      <c r="Q8" s="129"/>
      <c r="R8" s="7"/>
      <c r="S8" s="5"/>
    </row>
    <row r="9" spans="1:20" ht="18" x14ac:dyDescent="0.35">
      <c r="A9" s="130"/>
      <c r="B9" s="130"/>
      <c r="C9" s="130"/>
      <c r="D9" s="130"/>
      <c r="E9" s="150"/>
      <c r="F9" s="151"/>
      <c r="G9" s="152"/>
      <c r="H9" s="130"/>
      <c r="I9" s="149"/>
      <c r="J9" s="149"/>
      <c r="K9" s="130"/>
      <c r="L9" s="130"/>
      <c r="M9" s="129"/>
      <c r="N9" s="140"/>
      <c r="O9" s="141"/>
      <c r="P9" s="143"/>
      <c r="Q9" s="129"/>
      <c r="R9" s="7"/>
      <c r="S9" s="5"/>
    </row>
    <row r="10" spans="1:20" ht="18" x14ac:dyDescent="0.35">
      <c r="A10" s="130"/>
      <c r="B10" s="153" t="s">
        <v>11</v>
      </c>
      <c r="C10" s="184" t="s">
        <v>3</v>
      </c>
      <c r="D10" s="130"/>
      <c r="E10" s="150"/>
      <c r="F10" s="151"/>
      <c r="G10" s="152"/>
      <c r="H10" s="130"/>
      <c r="I10" s="149"/>
      <c r="J10" s="149"/>
      <c r="K10" s="130"/>
      <c r="L10" s="130"/>
      <c r="M10" s="129"/>
      <c r="N10" s="140"/>
      <c r="O10" s="141"/>
      <c r="P10" s="143"/>
      <c r="Q10" s="129"/>
      <c r="R10" s="7"/>
      <c r="S10" s="5"/>
    </row>
    <row r="11" spans="1:20" ht="18" x14ac:dyDescent="0.35">
      <c r="A11" s="130"/>
      <c r="B11" s="130"/>
      <c r="C11" s="130"/>
      <c r="D11" s="130"/>
      <c r="E11" s="150"/>
      <c r="F11" s="151"/>
      <c r="G11" s="152"/>
      <c r="H11" s="130"/>
      <c r="I11" s="149"/>
      <c r="J11" s="149"/>
      <c r="K11" s="130"/>
      <c r="L11" s="130"/>
      <c r="M11" s="129"/>
      <c r="N11" s="140"/>
      <c r="O11" s="141"/>
      <c r="P11" s="143"/>
      <c r="Q11" s="129"/>
      <c r="R11" s="7"/>
      <c r="S11" s="5"/>
    </row>
    <row r="12" spans="1:20" ht="18" x14ac:dyDescent="0.35">
      <c r="A12" s="130"/>
      <c r="B12" s="130"/>
      <c r="C12" s="154" t="s">
        <v>4</v>
      </c>
      <c r="D12" s="130"/>
      <c r="E12" s="150"/>
      <c r="F12" s="151"/>
      <c r="G12" s="155"/>
      <c r="H12" s="130"/>
      <c r="I12" s="149"/>
      <c r="J12" s="149"/>
      <c r="K12" s="130"/>
      <c r="L12" s="130"/>
      <c r="M12" s="129"/>
      <c r="N12" s="140"/>
      <c r="O12" s="141"/>
      <c r="P12" s="143"/>
      <c r="Q12" s="129"/>
      <c r="R12" s="7"/>
      <c r="S12" s="5"/>
    </row>
    <row r="13" spans="1:20" ht="18" x14ac:dyDescent="0.35">
      <c r="A13" s="130"/>
      <c r="B13" s="130"/>
      <c r="C13" s="130"/>
      <c r="D13" s="130"/>
      <c r="E13" s="150"/>
      <c r="F13" s="151"/>
      <c r="G13" s="155"/>
      <c r="H13" s="130"/>
      <c r="I13" s="130"/>
      <c r="J13" s="130"/>
      <c r="K13" s="130"/>
      <c r="L13" s="130"/>
      <c r="M13" s="129"/>
      <c r="N13" s="140"/>
      <c r="O13" s="141"/>
      <c r="P13" s="143"/>
      <c r="Q13" s="129"/>
      <c r="R13" s="7"/>
      <c r="S13" s="5"/>
    </row>
    <row r="14" spans="1:20" ht="18" x14ac:dyDescent="0.35">
      <c r="A14" s="130"/>
      <c r="B14" s="130"/>
      <c r="C14" s="130"/>
      <c r="D14" s="130"/>
      <c r="E14" s="150"/>
      <c r="F14" s="151"/>
      <c r="G14" s="155"/>
      <c r="H14" s="130"/>
      <c r="I14" s="130"/>
      <c r="J14" s="130"/>
      <c r="K14" s="130"/>
      <c r="L14" s="130"/>
      <c r="M14" s="129"/>
      <c r="N14" s="140"/>
      <c r="O14" s="141"/>
      <c r="P14" s="143"/>
      <c r="Q14" s="129"/>
      <c r="R14" s="7"/>
      <c r="S14" s="5"/>
    </row>
    <row r="15" spans="1:20" ht="18" x14ac:dyDescent="0.35">
      <c r="A15" s="130"/>
      <c r="B15" s="130"/>
      <c r="C15" s="130"/>
      <c r="D15" s="130"/>
      <c r="E15" s="150"/>
      <c r="F15" s="151"/>
      <c r="G15" s="155"/>
      <c r="H15" s="130"/>
      <c r="I15" s="130"/>
      <c r="J15" s="130"/>
      <c r="K15" s="130"/>
      <c r="L15" s="130"/>
      <c r="M15" s="129"/>
      <c r="N15" s="140"/>
      <c r="O15" s="141"/>
      <c r="P15" s="143"/>
      <c r="Q15" s="129"/>
      <c r="R15" s="7"/>
      <c r="S15" s="5"/>
    </row>
    <row r="16" spans="1:20" ht="18" x14ac:dyDescent="0.35">
      <c r="A16" s="130"/>
      <c r="B16" s="130"/>
      <c r="C16" s="130"/>
      <c r="D16" s="130"/>
      <c r="E16" s="150"/>
      <c r="F16" s="151"/>
      <c r="G16" s="155"/>
      <c r="H16" s="130"/>
      <c r="I16" s="130"/>
      <c r="J16" s="130"/>
      <c r="K16" s="130"/>
      <c r="L16" s="130"/>
      <c r="M16" s="129"/>
      <c r="N16" s="140"/>
      <c r="O16" s="141"/>
      <c r="P16" s="143"/>
      <c r="Q16" s="129"/>
      <c r="R16" s="7"/>
      <c r="S16" s="5"/>
    </row>
    <row r="17" spans="1:19" ht="18" x14ac:dyDescent="0.35">
      <c r="A17" s="130"/>
      <c r="B17" s="130"/>
      <c r="C17" s="130"/>
      <c r="D17" s="130"/>
      <c r="E17" s="150"/>
      <c r="F17" s="151"/>
      <c r="G17" s="155"/>
      <c r="H17" s="130"/>
      <c r="I17" s="130"/>
      <c r="J17" s="130"/>
      <c r="K17" s="130"/>
      <c r="L17" s="130"/>
      <c r="M17" s="129"/>
      <c r="N17" s="140"/>
      <c r="O17" s="141"/>
      <c r="P17" s="143"/>
      <c r="Q17" s="129"/>
      <c r="R17" s="7"/>
      <c r="S17" s="5"/>
    </row>
    <row r="18" spans="1:19" ht="18" x14ac:dyDescent="0.35">
      <c r="A18" s="130"/>
      <c r="B18" s="156"/>
      <c r="C18" s="156"/>
      <c r="D18" s="130"/>
      <c r="E18" s="150"/>
      <c r="F18" s="151"/>
      <c r="G18" s="155"/>
      <c r="H18" s="130"/>
      <c r="I18" s="130"/>
      <c r="J18" s="130"/>
      <c r="K18" s="130"/>
      <c r="L18" s="130"/>
      <c r="M18" s="129"/>
      <c r="N18" s="140"/>
      <c r="O18" s="141"/>
      <c r="P18" s="143"/>
      <c r="Q18" s="129"/>
      <c r="R18" s="7"/>
      <c r="S18" s="5"/>
    </row>
    <row r="19" spans="1:19" ht="18" x14ac:dyDescent="0.35">
      <c r="A19" s="130"/>
      <c r="B19" s="156"/>
      <c r="C19" s="156"/>
      <c r="D19" s="130"/>
      <c r="E19" s="150"/>
      <c r="F19" s="151"/>
      <c r="G19" s="155"/>
      <c r="H19" s="130"/>
      <c r="I19" s="130"/>
      <c r="J19" s="130"/>
      <c r="K19" s="130"/>
      <c r="L19" s="130"/>
      <c r="M19" s="129"/>
      <c r="N19" s="140"/>
      <c r="O19" s="141"/>
      <c r="P19" s="143"/>
      <c r="Q19" s="129"/>
      <c r="R19" s="7"/>
      <c r="S19" s="5"/>
    </row>
    <row r="20" spans="1:19" ht="18" x14ac:dyDescent="0.35">
      <c r="A20" s="130"/>
      <c r="B20" s="156"/>
      <c r="C20" s="156"/>
      <c r="D20" s="130"/>
      <c r="E20" s="150"/>
      <c r="F20" s="151"/>
      <c r="G20" s="155"/>
      <c r="H20" s="130"/>
      <c r="I20" s="130"/>
      <c r="J20" s="130"/>
      <c r="K20" s="130"/>
      <c r="L20" s="130"/>
      <c r="M20" s="129"/>
      <c r="N20" s="140"/>
      <c r="O20" s="141"/>
      <c r="P20" s="143"/>
      <c r="Q20" s="129"/>
      <c r="R20" s="7"/>
      <c r="S20" s="5"/>
    </row>
    <row r="21" spans="1:19" ht="18" x14ac:dyDescent="0.35">
      <c r="A21" s="130"/>
      <c r="B21" s="156"/>
      <c r="C21" s="156"/>
      <c r="D21" s="130"/>
      <c r="E21" s="150"/>
      <c r="F21" s="151"/>
      <c r="G21" s="155"/>
      <c r="H21" s="130"/>
      <c r="I21" s="130"/>
      <c r="J21" s="130"/>
      <c r="K21" s="130"/>
      <c r="L21" s="130"/>
      <c r="M21" s="129"/>
      <c r="N21" s="140"/>
      <c r="O21" s="141"/>
      <c r="P21" s="143"/>
      <c r="Q21" s="129"/>
      <c r="R21" s="7"/>
      <c r="S21" s="5"/>
    </row>
    <row r="22" spans="1:19" ht="18" x14ac:dyDescent="0.35">
      <c r="A22" s="130"/>
      <c r="B22" s="156"/>
      <c r="C22" s="156"/>
      <c r="D22" s="130"/>
      <c r="E22" s="150"/>
      <c r="F22" s="151"/>
      <c r="G22" s="155"/>
      <c r="H22" s="130"/>
      <c r="I22" s="130"/>
      <c r="J22" s="130"/>
      <c r="K22" s="130"/>
      <c r="L22" s="130"/>
      <c r="M22" s="129"/>
      <c r="N22" s="140"/>
      <c r="O22" s="141"/>
      <c r="P22" s="143"/>
      <c r="Q22" s="129"/>
      <c r="R22" s="7"/>
      <c r="S22" s="5"/>
    </row>
    <row r="23" spans="1:19" ht="18" x14ac:dyDescent="0.35">
      <c r="A23" s="130"/>
      <c r="B23" s="156"/>
      <c r="C23" s="156"/>
      <c r="D23" s="130"/>
      <c r="E23" s="157"/>
      <c r="F23" s="158"/>
      <c r="G23" s="155"/>
      <c r="H23" s="130"/>
      <c r="I23" s="130"/>
      <c r="J23" s="130"/>
      <c r="K23" s="130"/>
      <c r="L23" s="130"/>
      <c r="M23" s="129"/>
      <c r="N23" s="159"/>
      <c r="O23" s="160"/>
      <c r="P23" s="143"/>
      <c r="Q23" s="161"/>
      <c r="R23" s="5"/>
      <c r="S23" s="5"/>
    </row>
    <row r="24" spans="1:19" ht="18.600000000000001" customHeight="1" x14ac:dyDescent="0.3">
      <c r="A24" s="162"/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1"/>
      <c r="N24" s="161"/>
      <c r="O24" s="161"/>
      <c r="P24" s="161"/>
      <c r="Q24" s="161"/>
      <c r="R24" s="5"/>
      <c r="S24" s="5"/>
    </row>
    <row r="25" spans="1:19" ht="18" hidden="1" x14ac:dyDescent="0.35">
      <c r="A25" s="6"/>
      <c r="B25" s="6"/>
      <c r="C25" s="6"/>
      <c r="D25" s="6" t="s">
        <v>0</v>
      </c>
      <c r="E25" s="6"/>
      <c r="F25" s="6"/>
      <c r="G25" s="6"/>
      <c r="H25" s="6"/>
      <c r="I25" s="6" t="s">
        <v>0</v>
      </c>
      <c r="J25" s="6"/>
      <c r="K25" s="7"/>
      <c r="L25" s="7"/>
      <c r="M25" s="91"/>
      <c r="N25" s="106"/>
      <c r="O25" s="106"/>
      <c r="P25" s="106"/>
      <c r="Q25" s="7"/>
      <c r="R25" s="5"/>
      <c r="S25" s="5"/>
    </row>
    <row r="26" spans="1:19" ht="18" hidden="1" x14ac:dyDescent="0.35">
      <c r="A26" s="6"/>
      <c r="B26" s="173" t="s">
        <v>437</v>
      </c>
      <c r="C26" s="173"/>
      <c r="D26" s="6"/>
      <c r="E26" s="169" t="str">
        <f>CONCATENATE(IF(C31="","Gebruiker",C31)," Bezit")</f>
        <v>Gebruiker Bezit</v>
      </c>
      <c r="F26" s="170"/>
      <c r="G26" s="171"/>
      <c r="H26" s="6"/>
      <c r="I26" s="173" t="s">
        <v>10</v>
      </c>
      <c r="J26" s="173"/>
      <c r="K26" s="7"/>
      <c r="L26" s="90" t="s">
        <v>1</v>
      </c>
      <c r="M26" s="7"/>
      <c r="N26" s="169" t="s">
        <v>438</v>
      </c>
      <c r="O26" s="170"/>
      <c r="P26" s="171" t="s">
        <v>7</v>
      </c>
      <c r="Q26" s="7"/>
      <c r="R26" s="5"/>
      <c r="S26" s="5"/>
    </row>
    <row r="27" spans="1:19" ht="18" hidden="1" x14ac:dyDescent="0.35">
      <c r="A27" s="6"/>
      <c r="B27" s="8" t="s">
        <v>2</v>
      </c>
      <c r="C27" s="9"/>
      <c r="D27" s="6"/>
      <c r="E27" s="10" t="s">
        <v>5</v>
      </c>
      <c r="F27" s="11" t="s">
        <v>6</v>
      </c>
      <c r="G27" s="172"/>
      <c r="H27" s="6"/>
      <c r="I27" s="8" t="s">
        <v>2</v>
      </c>
      <c r="J27" s="9"/>
      <c r="K27" s="7"/>
      <c r="L27" s="89"/>
      <c r="M27" s="7"/>
      <c r="N27" s="10" t="s">
        <v>436</v>
      </c>
      <c r="O27" s="11" t="s">
        <v>13</v>
      </c>
      <c r="P27" s="172"/>
      <c r="Q27" s="7"/>
    </row>
    <row r="28" spans="1:19" ht="18" hidden="1" x14ac:dyDescent="0.35">
      <c r="A28" s="6"/>
      <c r="B28" s="8" t="s">
        <v>8</v>
      </c>
      <c r="C28" s="9" t="s">
        <v>3</v>
      </c>
      <c r="D28" s="6" t="s">
        <v>0</v>
      </c>
      <c r="E28" s="10"/>
      <c r="F28" s="12"/>
      <c r="G28" s="13"/>
      <c r="H28" s="6"/>
      <c r="I28" s="8" t="s">
        <v>8</v>
      </c>
      <c r="J28" s="9" t="s">
        <v>3</v>
      </c>
      <c r="K28" s="7"/>
      <c r="L28" s="89"/>
      <c r="M28" s="7"/>
      <c r="N28" s="10"/>
      <c r="O28" s="12"/>
      <c r="P28" s="13"/>
      <c r="Q28" s="7"/>
    </row>
    <row r="29" spans="1:19" ht="18" hidden="1" x14ac:dyDescent="0.35">
      <c r="A29" s="6"/>
      <c r="B29" s="8" t="s">
        <v>9</v>
      </c>
      <c r="C29" s="9" t="s">
        <v>3</v>
      </c>
      <c r="D29" s="6"/>
      <c r="E29" s="14"/>
      <c r="F29" s="15"/>
      <c r="G29" s="88"/>
      <c r="H29" s="6"/>
      <c r="I29" s="8" t="s">
        <v>9</v>
      </c>
      <c r="J29" s="9" t="s">
        <v>3</v>
      </c>
      <c r="K29" s="7"/>
      <c r="L29" s="89"/>
      <c r="M29" s="7"/>
      <c r="N29" s="14"/>
      <c r="O29" s="15"/>
      <c r="P29" s="16"/>
      <c r="Q29" s="7"/>
    </row>
    <row r="30" spans="1:19" ht="18" hidden="1" x14ac:dyDescent="0.35">
      <c r="A30" s="6"/>
      <c r="B30" s="102" t="s">
        <v>12</v>
      </c>
      <c r="C30" s="102"/>
      <c r="D30" s="103" t="s">
        <v>0</v>
      </c>
      <c r="E30" s="104"/>
      <c r="F30" s="102"/>
      <c r="G30" s="105"/>
      <c r="H30" s="103"/>
      <c r="I30" s="102" t="s">
        <v>12</v>
      </c>
      <c r="J30" s="103"/>
      <c r="K30" s="7"/>
      <c r="L30" s="89"/>
      <c r="M30" s="7"/>
      <c r="N30" s="14"/>
      <c r="O30" s="15"/>
      <c r="P30" s="13"/>
      <c r="Q30" s="7"/>
    </row>
    <row r="31" spans="1:19" ht="18" hidden="1" x14ac:dyDescent="0.35">
      <c r="A31" s="6"/>
      <c r="B31" s="102" t="s">
        <v>13</v>
      </c>
      <c r="C31" s="102"/>
      <c r="D31" s="102"/>
      <c r="E31" s="104"/>
      <c r="F31" s="102"/>
      <c r="G31" s="105"/>
      <c r="H31" s="102"/>
      <c r="I31" s="102" t="s">
        <v>13</v>
      </c>
      <c r="J31" s="102"/>
      <c r="K31" s="7"/>
      <c r="L31" s="86"/>
      <c r="M31" s="7"/>
      <c r="N31" s="14"/>
      <c r="O31" s="15"/>
      <c r="P31" s="16"/>
      <c r="Q31" s="7"/>
    </row>
    <row r="32" spans="1:19" ht="18" hidden="1" x14ac:dyDescent="0.35">
      <c r="A32" s="91"/>
      <c r="B32" s="87"/>
      <c r="C32" s="91"/>
      <c r="D32" s="87"/>
      <c r="E32" s="92"/>
      <c r="F32" s="93"/>
      <c r="G32" s="94"/>
      <c r="H32" s="87"/>
      <c r="I32" s="87"/>
      <c r="J32" s="87"/>
      <c r="K32" s="91"/>
      <c r="L32" s="106"/>
      <c r="M32" s="7"/>
      <c r="N32" s="14"/>
      <c r="O32" s="15"/>
      <c r="P32" s="16"/>
      <c r="Q32" s="7"/>
    </row>
    <row r="33" spans="1:17" ht="18" hidden="1" x14ac:dyDescent="0.35">
      <c r="A33" s="91"/>
      <c r="B33" s="91"/>
      <c r="C33" s="91"/>
      <c r="D33" s="91"/>
      <c r="E33" s="92"/>
      <c r="F33" s="93"/>
      <c r="G33" s="94"/>
      <c r="H33" s="91"/>
      <c r="I33" s="87"/>
      <c r="J33" s="87"/>
      <c r="K33" s="91"/>
      <c r="L33" s="91"/>
      <c r="M33" s="7"/>
      <c r="N33" s="14"/>
      <c r="O33" s="15"/>
      <c r="P33" s="16"/>
      <c r="Q33" s="7"/>
    </row>
    <row r="34" spans="1:17" ht="18" hidden="1" x14ac:dyDescent="0.35">
      <c r="A34" s="91"/>
      <c r="B34" s="95" t="s">
        <v>11</v>
      </c>
      <c r="C34" s="101" t="s">
        <v>3</v>
      </c>
      <c r="D34" s="91"/>
      <c r="E34" s="92"/>
      <c r="F34" s="93"/>
      <c r="G34" s="94"/>
      <c r="H34" s="91"/>
      <c r="I34" s="87"/>
      <c r="J34" s="87"/>
      <c r="K34" s="91"/>
      <c r="L34" s="91"/>
      <c r="M34" s="7"/>
      <c r="N34" s="14"/>
      <c r="O34" s="15"/>
      <c r="P34" s="16"/>
      <c r="Q34" s="7"/>
    </row>
    <row r="35" spans="1:17" ht="18" hidden="1" x14ac:dyDescent="0.35">
      <c r="A35" s="91"/>
      <c r="B35" s="91"/>
      <c r="C35" s="91"/>
      <c r="D35" s="91"/>
      <c r="E35" s="92"/>
      <c r="F35" s="93"/>
      <c r="G35" s="94"/>
      <c r="H35" s="91"/>
      <c r="I35" s="87"/>
      <c r="J35" s="87"/>
      <c r="K35" s="91"/>
      <c r="L35" s="91"/>
      <c r="M35" s="7"/>
      <c r="N35" s="14"/>
      <c r="O35" s="15"/>
      <c r="P35" s="16"/>
      <c r="Q35" s="7"/>
    </row>
    <row r="36" spans="1:17" ht="18" hidden="1" x14ac:dyDescent="0.35">
      <c r="A36" s="91"/>
      <c r="B36" s="91"/>
      <c r="C36" s="96" t="s">
        <v>4</v>
      </c>
      <c r="D36" s="91"/>
      <c r="E36" s="92"/>
      <c r="F36" s="93"/>
      <c r="G36" s="97"/>
      <c r="H36" s="91"/>
      <c r="I36" s="87"/>
      <c r="J36" s="87"/>
      <c r="K36" s="91"/>
      <c r="L36" s="91"/>
      <c r="M36" s="7"/>
      <c r="N36" s="14"/>
      <c r="O36" s="15"/>
      <c r="P36" s="16"/>
      <c r="Q36" s="7"/>
    </row>
    <row r="37" spans="1:17" ht="18" hidden="1" x14ac:dyDescent="0.35">
      <c r="A37" s="91"/>
      <c r="B37" s="91"/>
      <c r="C37" s="91"/>
      <c r="D37" s="91"/>
      <c r="E37" s="92"/>
      <c r="F37" s="93"/>
      <c r="G37" s="97"/>
      <c r="H37" s="91"/>
      <c r="I37" s="91"/>
      <c r="J37" s="91"/>
      <c r="K37" s="91"/>
      <c r="L37" s="91"/>
      <c r="M37" s="7"/>
      <c r="N37" s="14"/>
      <c r="O37" s="15"/>
      <c r="P37" s="16"/>
      <c r="Q37" s="7"/>
    </row>
    <row r="38" spans="1:17" ht="18" hidden="1" x14ac:dyDescent="0.35">
      <c r="A38" s="91"/>
      <c r="B38" s="91"/>
      <c r="C38" s="91"/>
      <c r="D38" s="91"/>
      <c r="E38" s="92"/>
      <c r="F38" s="93"/>
      <c r="G38" s="97"/>
      <c r="H38" s="91"/>
      <c r="I38" s="91"/>
      <c r="J38" s="91"/>
      <c r="K38" s="91"/>
      <c r="L38" s="91"/>
      <c r="M38" s="7"/>
      <c r="N38" s="14"/>
      <c r="O38" s="15"/>
      <c r="P38" s="16"/>
      <c r="Q38" s="7"/>
    </row>
    <row r="39" spans="1:17" ht="18" hidden="1" x14ac:dyDescent="0.35">
      <c r="A39" s="91"/>
      <c r="B39" s="91"/>
      <c r="C39" s="91"/>
      <c r="D39" s="91"/>
      <c r="E39" s="92"/>
      <c r="F39" s="93"/>
      <c r="G39" s="97"/>
      <c r="H39" s="91"/>
      <c r="I39" s="91"/>
      <c r="J39" s="91"/>
      <c r="K39" s="91"/>
      <c r="L39" s="91"/>
      <c r="M39" s="7"/>
      <c r="N39" s="14"/>
      <c r="O39" s="15"/>
      <c r="P39" s="16"/>
      <c r="Q39" s="7"/>
    </row>
    <row r="40" spans="1:17" ht="18" hidden="1" x14ac:dyDescent="0.35">
      <c r="A40" s="91"/>
      <c r="B40" s="91"/>
      <c r="C40" s="91"/>
      <c r="D40" s="91"/>
      <c r="E40" s="92"/>
      <c r="F40" s="93"/>
      <c r="G40" s="97"/>
      <c r="H40" s="91"/>
      <c r="I40" s="91"/>
      <c r="J40" s="91"/>
      <c r="K40" s="91"/>
      <c r="L40" s="91"/>
      <c r="M40" s="7"/>
      <c r="N40" s="14"/>
      <c r="O40" s="15"/>
      <c r="P40" s="16"/>
      <c r="Q40" s="7"/>
    </row>
    <row r="41" spans="1:17" ht="18" hidden="1" x14ac:dyDescent="0.35">
      <c r="A41" s="91"/>
      <c r="B41" s="91"/>
      <c r="C41" s="91"/>
      <c r="D41" s="91"/>
      <c r="E41" s="92"/>
      <c r="F41" s="93"/>
      <c r="G41" s="97"/>
      <c r="H41" s="91"/>
      <c r="I41" s="91"/>
      <c r="J41" s="91"/>
      <c r="K41" s="91"/>
      <c r="L41" s="91"/>
      <c r="M41" s="7"/>
      <c r="N41" s="14"/>
      <c r="O41" s="15"/>
      <c r="P41" s="16"/>
      <c r="Q41" s="7"/>
    </row>
    <row r="42" spans="1:17" ht="18" hidden="1" x14ac:dyDescent="0.35">
      <c r="A42" s="91"/>
      <c r="B42" s="20"/>
      <c r="C42" s="20"/>
      <c r="D42" s="91"/>
      <c r="E42" s="92"/>
      <c r="F42" s="93"/>
      <c r="G42" s="97"/>
      <c r="H42" s="91"/>
      <c r="I42" s="91"/>
      <c r="J42" s="91"/>
      <c r="K42" s="91"/>
      <c r="L42" s="91"/>
      <c r="M42" s="7"/>
      <c r="N42" s="14"/>
      <c r="O42" s="15"/>
      <c r="P42" s="16"/>
      <c r="Q42" s="7"/>
    </row>
    <row r="43" spans="1:17" ht="18" hidden="1" x14ac:dyDescent="0.35">
      <c r="A43" s="91"/>
      <c r="B43" s="20"/>
      <c r="C43" s="20"/>
      <c r="D43" s="91"/>
      <c r="E43" s="92"/>
      <c r="F43" s="93"/>
      <c r="G43" s="97"/>
      <c r="H43" s="91"/>
      <c r="I43" s="91"/>
      <c r="J43" s="91"/>
      <c r="K43" s="91"/>
      <c r="L43" s="91"/>
      <c r="M43" s="7"/>
      <c r="N43" s="14"/>
      <c r="O43" s="15"/>
      <c r="P43" s="16"/>
      <c r="Q43" s="7"/>
    </row>
    <row r="44" spans="1:17" ht="18" hidden="1" x14ac:dyDescent="0.35">
      <c r="A44" s="91"/>
      <c r="B44" s="20"/>
      <c r="C44" s="20"/>
      <c r="D44" s="91"/>
      <c r="E44" s="92"/>
      <c r="F44" s="93"/>
      <c r="G44" s="97"/>
      <c r="H44" s="91"/>
      <c r="I44" s="91"/>
      <c r="J44" s="91"/>
      <c r="K44" s="91"/>
      <c r="L44" s="91"/>
      <c r="M44" s="7"/>
      <c r="N44" s="14"/>
      <c r="O44" s="15"/>
      <c r="P44" s="16"/>
      <c r="Q44" s="7"/>
    </row>
    <row r="45" spans="1:17" ht="18" hidden="1" x14ac:dyDescent="0.35">
      <c r="A45" s="91"/>
      <c r="B45" s="20"/>
      <c r="C45" s="20"/>
      <c r="D45" s="91"/>
      <c r="E45" s="92"/>
      <c r="F45" s="93"/>
      <c r="G45" s="97"/>
      <c r="H45" s="91"/>
      <c r="I45" s="91"/>
      <c r="J45" s="91"/>
      <c r="K45" s="91"/>
      <c r="L45" s="91"/>
      <c r="M45" s="7"/>
      <c r="N45" s="14"/>
      <c r="O45" s="15"/>
      <c r="P45" s="16"/>
      <c r="Q45" s="7"/>
    </row>
    <row r="46" spans="1:17" ht="18" hidden="1" x14ac:dyDescent="0.35">
      <c r="A46" s="91"/>
      <c r="B46" s="20"/>
      <c r="C46" s="20"/>
      <c r="D46" s="91"/>
      <c r="E46" s="92"/>
      <c r="F46" s="93"/>
      <c r="G46" s="97"/>
      <c r="H46" s="91"/>
      <c r="I46" s="91"/>
      <c r="J46" s="91"/>
      <c r="K46" s="91"/>
      <c r="L46" s="91"/>
      <c r="M46" s="7"/>
      <c r="N46" s="14"/>
      <c r="O46" s="15"/>
      <c r="P46" s="16"/>
      <c r="Q46" s="7"/>
    </row>
    <row r="47" spans="1:17" ht="18" hidden="1" x14ac:dyDescent="0.35">
      <c r="A47" s="91"/>
      <c r="B47" s="20"/>
      <c r="C47" s="20"/>
      <c r="D47" s="91"/>
      <c r="E47" s="98"/>
      <c r="F47" s="99"/>
      <c r="G47" s="97"/>
      <c r="H47" s="91"/>
      <c r="I47" s="91"/>
      <c r="J47" s="91"/>
      <c r="K47" s="91"/>
      <c r="L47" s="91"/>
      <c r="M47" s="7"/>
      <c r="N47" s="18"/>
      <c r="O47" s="19"/>
      <c r="P47" s="16"/>
      <c r="Q47" s="5"/>
    </row>
    <row r="48" spans="1:17" hidden="1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5"/>
      <c r="N48" s="5"/>
      <c r="O48" s="5"/>
      <c r="P48" s="5"/>
      <c r="Q48" s="5"/>
    </row>
  </sheetData>
  <sheetProtection algorithmName="SHA-512" hashValue="g/IfuECT09Iigcpr03f+RXoK6Kdha+/dsBTyKapaGJqQw3q7HcezpoGn8xKGe9R6IB4J89rOOlZkBUede91nIw==" saltValue="WrrQSOK8yBYTEV7a8tV9aA==" spinCount="100000" sheet="1" objects="1" scenarios="1" formatCells="0"/>
  <protectedRanges>
    <protectedRange sqref="A1:Q24" name="Alles"/>
  </protectedRanges>
  <mergeCells count="12">
    <mergeCell ref="N26:O26"/>
    <mergeCell ref="P26:P27"/>
    <mergeCell ref="B26:C26"/>
    <mergeCell ref="E26:F26"/>
    <mergeCell ref="G26:G27"/>
    <mergeCell ref="I26:J26"/>
    <mergeCell ref="P2:P3"/>
    <mergeCell ref="N2:O2"/>
    <mergeCell ref="B2:C2"/>
    <mergeCell ref="I2:J2"/>
    <mergeCell ref="E2:F2"/>
    <mergeCell ref="G2:G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BD0E0-C0E0-467E-8F24-FBDCE1FDEACD}">
  <sheetPr codeName="Blad9"/>
  <dimension ref="A1:K202"/>
  <sheetViews>
    <sheetView showGridLines="0" showRowColHeaders="0"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/>
    </sheetView>
  </sheetViews>
  <sheetFormatPr defaultColWidth="0" defaultRowHeight="14.4" customHeight="1" zeroHeight="1" x14ac:dyDescent="0.3"/>
  <cols>
    <col min="1" max="1" width="2.88671875" customWidth="1"/>
    <col min="2" max="5" width="22.2187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23"/>
      <c r="B1" s="23"/>
      <c r="C1" s="23"/>
      <c r="D1" s="23"/>
      <c r="E1" s="23"/>
      <c r="F1" s="23"/>
      <c r="G1" s="23"/>
    </row>
    <row r="2" spans="1:7" ht="28.8" customHeight="1" x14ac:dyDescent="0.5">
      <c r="A2" s="23"/>
      <c r="B2" s="174" t="s">
        <v>14</v>
      </c>
      <c r="C2" s="175"/>
      <c r="D2" s="175"/>
      <c r="E2" s="176"/>
      <c r="F2" s="23"/>
      <c r="G2" s="23"/>
    </row>
    <row r="3" spans="1:7" x14ac:dyDescent="0.3">
      <c r="A3" s="23"/>
      <c r="B3" s="24" t="s">
        <v>2</v>
      </c>
      <c r="C3" s="25" t="s">
        <v>15</v>
      </c>
      <c r="D3" s="24" t="s">
        <v>5</v>
      </c>
      <c r="E3" s="24" t="s">
        <v>6</v>
      </c>
      <c r="F3" s="23"/>
      <c r="G3" s="23"/>
    </row>
    <row r="4" spans="1:7" x14ac:dyDescent="0.3">
      <c r="A4" s="23"/>
      <c r="B4" s="26"/>
      <c r="C4" s="27"/>
      <c r="D4" s="26"/>
      <c r="E4" s="28"/>
      <c r="F4" s="23"/>
      <c r="G4" s="23"/>
    </row>
    <row r="5" spans="1:7" s="4" customFormat="1" x14ac:dyDescent="0.3">
      <c r="A5" s="23"/>
      <c r="B5" s="29"/>
      <c r="C5" s="30"/>
      <c r="D5" s="29"/>
      <c r="E5" s="31"/>
      <c r="F5" s="32"/>
      <c r="G5" s="32"/>
    </row>
    <row r="6" spans="1:7" s="4" customFormat="1" x14ac:dyDescent="0.3">
      <c r="A6" s="23"/>
      <c r="B6" s="29"/>
      <c r="C6" s="30"/>
      <c r="D6" s="29"/>
      <c r="E6" s="31"/>
      <c r="F6" s="32"/>
      <c r="G6" s="32"/>
    </row>
    <row r="7" spans="1:7" s="4" customFormat="1" x14ac:dyDescent="0.3">
      <c r="A7" s="23"/>
      <c r="B7" s="29"/>
      <c r="C7" s="30"/>
      <c r="D7" s="29"/>
      <c r="E7" s="31"/>
      <c r="F7" s="32"/>
      <c r="G7" s="32"/>
    </row>
    <row r="8" spans="1:7" s="4" customFormat="1" x14ac:dyDescent="0.3">
      <c r="A8" s="23"/>
      <c r="B8" s="29"/>
      <c r="C8" s="30"/>
      <c r="D8" s="29"/>
      <c r="E8" s="31"/>
      <c r="F8" s="32"/>
      <c r="G8" s="32"/>
    </row>
    <row r="9" spans="1:7" s="4" customFormat="1" x14ac:dyDescent="0.3">
      <c r="A9" s="23"/>
      <c r="B9" s="29"/>
      <c r="C9" s="30"/>
      <c r="D9" s="29"/>
      <c r="E9" s="31"/>
      <c r="F9" s="32"/>
      <c r="G9" s="32"/>
    </row>
    <row r="10" spans="1:7" s="4" customFormat="1" x14ac:dyDescent="0.3">
      <c r="A10" s="23"/>
      <c r="B10" s="29"/>
      <c r="C10" s="30"/>
      <c r="D10" s="29"/>
      <c r="E10" s="31"/>
      <c r="F10" s="32"/>
      <c r="G10" s="32"/>
    </row>
    <row r="11" spans="1:7" s="4" customFormat="1" x14ac:dyDescent="0.3">
      <c r="A11" s="23"/>
      <c r="B11" s="29"/>
      <c r="C11" s="30"/>
      <c r="D11" s="29"/>
      <c r="E11" s="31"/>
      <c r="F11" s="32"/>
      <c r="G11" s="32"/>
    </row>
    <row r="12" spans="1:7" s="4" customFormat="1" x14ac:dyDescent="0.3">
      <c r="A12" s="23"/>
      <c r="B12" s="29"/>
      <c r="C12" s="30"/>
      <c r="D12" s="29"/>
      <c r="E12" s="31"/>
      <c r="F12" s="32"/>
      <c r="G12" s="32"/>
    </row>
    <row r="13" spans="1:7" s="4" customFormat="1" x14ac:dyDescent="0.3">
      <c r="A13" s="23"/>
      <c r="B13" s="29"/>
      <c r="C13" s="30"/>
      <c r="D13" s="29"/>
      <c r="E13" s="31"/>
      <c r="F13" s="32"/>
      <c r="G13" s="32"/>
    </row>
    <row r="14" spans="1:7" s="4" customFormat="1" x14ac:dyDescent="0.3">
      <c r="A14" s="23"/>
      <c r="B14" s="29"/>
      <c r="C14" s="30"/>
      <c r="D14" s="29"/>
      <c r="E14" s="31"/>
      <c r="F14" s="32"/>
      <c r="G14" s="32"/>
    </row>
    <row r="15" spans="1:7" s="4" customFormat="1" x14ac:dyDescent="0.3">
      <c r="A15" s="23"/>
      <c r="B15" s="29"/>
      <c r="C15" s="30"/>
      <c r="D15" s="29"/>
      <c r="E15" s="31"/>
      <c r="F15" s="32"/>
      <c r="G15" s="32"/>
    </row>
    <row r="16" spans="1:7" s="4" customFormat="1" x14ac:dyDescent="0.3">
      <c r="A16" s="23"/>
      <c r="B16" s="29"/>
      <c r="C16" s="30"/>
      <c r="D16" s="29"/>
      <c r="E16" s="31"/>
      <c r="F16" s="32"/>
      <c r="G16" s="32"/>
    </row>
    <row r="17" spans="1:7" s="4" customFormat="1" x14ac:dyDescent="0.3">
      <c r="A17" s="23"/>
      <c r="B17" s="29"/>
      <c r="C17" s="30"/>
      <c r="D17" s="29"/>
      <c r="E17" s="31"/>
      <c r="F17" s="32"/>
      <c r="G17" s="32"/>
    </row>
    <row r="18" spans="1:7" s="4" customFormat="1" x14ac:dyDescent="0.3">
      <c r="A18" s="23"/>
      <c r="B18" s="29"/>
      <c r="C18" s="30"/>
      <c r="D18" s="29"/>
      <c r="E18" s="31"/>
      <c r="F18" s="32"/>
      <c r="G18" s="32"/>
    </row>
    <row r="19" spans="1:7" s="4" customFormat="1" x14ac:dyDescent="0.3">
      <c r="A19" s="23"/>
      <c r="B19" s="29"/>
      <c r="C19" s="30"/>
      <c r="D19" s="29"/>
      <c r="E19" s="31"/>
      <c r="F19" s="32"/>
      <c r="G19" s="32"/>
    </row>
    <row r="20" spans="1:7" s="4" customFormat="1" x14ac:dyDescent="0.3">
      <c r="A20" s="23"/>
      <c r="B20" s="29"/>
      <c r="C20" s="30"/>
      <c r="D20" s="29"/>
      <c r="E20" s="31"/>
      <c r="F20" s="32"/>
      <c r="G20" s="32"/>
    </row>
    <row r="21" spans="1:7" s="4" customFormat="1" x14ac:dyDescent="0.3">
      <c r="A21" s="23"/>
      <c r="B21" s="29"/>
      <c r="C21" s="30"/>
      <c r="D21" s="29"/>
      <c r="E21" s="31"/>
      <c r="F21" s="32"/>
      <c r="G21" s="32"/>
    </row>
    <row r="22" spans="1:7" s="4" customFormat="1" x14ac:dyDescent="0.3">
      <c r="A22" s="23"/>
      <c r="B22" s="29"/>
      <c r="C22" s="30"/>
      <c r="D22" s="29"/>
      <c r="E22" s="31"/>
      <c r="F22" s="32"/>
      <c r="G22" s="32"/>
    </row>
    <row r="23" spans="1:7" s="4" customFormat="1" x14ac:dyDescent="0.3">
      <c r="A23" s="23"/>
      <c r="B23" s="29"/>
      <c r="C23" s="30"/>
      <c r="D23" s="29"/>
      <c r="E23" s="31"/>
      <c r="F23" s="32"/>
      <c r="G23" s="32"/>
    </row>
    <row r="24" spans="1:7" s="4" customFormat="1" x14ac:dyDescent="0.3">
      <c r="A24" s="23"/>
      <c r="B24" s="29"/>
      <c r="C24" s="30"/>
      <c r="D24" s="29"/>
      <c r="E24" s="31"/>
      <c r="F24" s="32"/>
      <c r="G24" s="32"/>
    </row>
    <row r="25" spans="1:7" s="4" customFormat="1" x14ac:dyDescent="0.3">
      <c r="A25" s="23"/>
      <c r="B25" s="29"/>
      <c r="C25" s="30"/>
      <c r="D25" s="29"/>
      <c r="E25" s="31"/>
      <c r="F25" s="32"/>
      <c r="G25" s="32"/>
    </row>
    <row r="26" spans="1:7" s="4" customFormat="1" x14ac:dyDescent="0.3">
      <c r="A26" s="23"/>
      <c r="B26" s="29"/>
      <c r="C26" s="30"/>
      <c r="D26" s="29"/>
      <c r="E26" s="31"/>
      <c r="F26" s="32"/>
      <c r="G26" s="32"/>
    </row>
    <row r="27" spans="1:7" s="4" customFormat="1" x14ac:dyDescent="0.3">
      <c r="A27" s="23"/>
      <c r="B27" s="29"/>
      <c r="C27" s="30"/>
      <c r="D27" s="29"/>
      <c r="E27" s="31"/>
      <c r="F27" s="32"/>
      <c r="G27" s="32"/>
    </row>
    <row r="28" spans="1:7" s="4" customFormat="1" x14ac:dyDescent="0.3">
      <c r="A28" s="23"/>
      <c r="B28" s="29"/>
      <c r="C28" s="30"/>
      <c r="D28" s="29"/>
      <c r="E28" s="31"/>
      <c r="F28" s="32"/>
      <c r="G28" s="32"/>
    </row>
    <row r="29" spans="1:7" s="4" customFormat="1" x14ac:dyDescent="0.3">
      <c r="A29" s="23"/>
      <c r="B29" s="29"/>
      <c r="C29" s="30"/>
      <c r="D29" s="29"/>
      <c r="E29" s="31"/>
      <c r="F29" s="32"/>
      <c r="G29" s="32"/>
    </row>
    <row r="30" spans="1:7" s="4" customFormat="1" x14ac:dyDescent="0.3">
      <c r="A30" s="23"/>
      <c r="B30" s="29"/>
      <c r="C30" s="30"/>
      <c r="D30" s="29"/>
      <c r="E30" s="31"/>
      <c r="F30" s="32"/>
      <c r="G30" s="32"/>
    </row>
    <row r="31" spans="1:7" s="4" customFormat="1" x14ac:dyDescent="0.3">
      <c r="A31" s="23"/>
      <c r="B31" s="29"/>
      <c r="C31" s="30"/>
      <c r="D31" s="29"/>
      <c r="E31" s="31"/>
      <c r="F31" s="32"/>
      <c r="G31" s="32"/>
    </row>
    <row r="32" spans="1:7" s="4" customFormat="1" x14ac:dyDescent="0.3">
      <c r="A32" s="23"/>
      <c r="B32" s="29"/>
      <c r="C32" s="30"/>
      <c r="D32" s="29"/>
      <c r="E32" s="31"/>
      <c r="F32" s="32"/>
      <c r="G32" s="32"/>
    </row>
    <row r="33" spans="1:7" s="4" customFormat="1" x14ac:dyDescent="0.3">
      <c r="A33" s="23"/>
      <c r="B33" s="29"/>
      <c r="C33" s="30"/>
      <c r="D33" s="29"/>
      <c r="E33" s="31"/>
      <c r="F33" s="32"/>
      <c r="G33" s="32"/>
    </row>
    <row r="34" spans="1:7" s="4" customFormat="1" x14ac:dyDescent="0.3">
      <c r="A34" s="23"/>
      <c r="B34" s="29"/>
      <c r="C34" s="30"/>
      <c r="D34" s="29"/>
      <c r="E34" s="31"/>
      <c r="F34" s="32"/>
      <c r="G34" s="32"/>
    </row>
    <row r="35" spans="1:7" s="4" customFormat="1" x14ac:dyDescent="0.3">
      <c r="A35" s="23"/>
      <c r="B35" s="29"/>
      <c r="C35" s="30"/>
      <c r="D35" s="29"/>
      <c r="E35" s="31"/>
      <c r="F35" s="32"/>
      <c r="G35" s="32"/>
    </row>
    <row r="36" spans="1:7" s="4" customFormat="1" x14ac:dyDescent="0.3">
      <c r="A36" s="23"/>
      <c r="B36" s="29"/>
      <c r="C36" s="30"/>
      <c r="D36" s="29"/>
      <c r="E36" s="31"/>
      <c r="F36" s="32"/>
      <c r="G36" s="32"/>
    </row>
    <row r="37" spans="1:7" s="4" customFormat="1" x14ac:dyDescent="0.3">
      <c r="A37" s="23"/>
      <c r="B37" s="29"/>
      <c r="C37" s="30"/>
      <c r="D37" s="29"/>
      <c r="E37" s="31"/>
      <c r="F37" s="32"/>
      <c r="G37" s="32"/>
    </row>
    <row r="38" spans="1:7" s="4" customFormat="1" x14ac:dyDescent="0.3">
      <c r="A38" s="23"/>
      <c r="B38" s="29"/>
      <c r="C38" s="30"/>
      <c r="D38" s="29"/>
      <c r="E38" s="31"/>
      <c r="F38" s="32"/>
      <c r="G38" s="32"/>
    </row>
    <row r="39" spans="1:7" s="4" customFormat="1" x14ac:dyDescent="0.3">
      <c r="A39" s="23"/>
      <c r="B39" s="29"/>
      <c r="C39" s="30"/>
      <c r="D39" s="29"/>
      <c r="E39" s="31"/>
      <c r="F39" s="32"/>
      <c r="G39" s="32"/>
    </row>
    <row r="40" spans="1:7" s="4" customFormat="1" x14ac:dyDescent="0.3">
      <c r="A40" s="23"/>
      <c r="B40" s="29"/>
      <c r="C40" s="30"/>
      <c r="D40" s="29"/>
      <c r="E40" s="31"/>
      <c r="F40" s="32"/>
      <c r="G40" s="32"/>
    </row>
    <row r="41" spans="1:7" s="4" customFormat="1" x14ac:dyDescent="0.3">
      <c r="A41" s="23"/>
      <c r="B41" s="29"/>
      <c r="C41" s="30"/>
      <c r="D41" s="29"/>
      <c r="E41" s="31"/>
      <c r="F41" s="32"/>
      <c r="G41" s="32"/>
    </row>
    <row r="42" spans="1:7" s="4" customFormat="1" x14ac:dyDescent="0.3">
      <c r="A42" s="23"/>
      <c r="B42" s="29"/>
      <c r="C42" s="30"/>
      <c r="D42" s="29"/>
      <c r="E42" s="31"/>
      <c r="F42" s="32"/>
      <c r="G42" s="32"/>
    </row>
    <row r="43" spans="1:7" s="4" customFormat="1" x14ac:dyDescent="0.3">
      <c r="A43" s="23"/>
      <c r="B43" s="29"/>
      <c r="C43" s="30"/>
      <c r="D43" s="29"/>
      <c r="E43" s="31"/>
      <c r="F43" s="32"/>
      <c r="G43" s="32"/>
    </row>
    <row r="44" spans="1:7" s="4" customFormat="1" x14ac:dyDescent="0.3">
      <c r="A44" s="23"/>
      <c r="B44" s="29"/>
      <c r="C44" s="30"/>
      <c r="D44" s="29"/>
      <c r="E44" s="31"/>
      <c r="F44" s="32"/>
      <c r="G44" s="32"/>
    </row>
    <row r="45" spans="1:7" s="4" customFormat="1" x14ac:dyDescent="0.3">
      <c r="A45" s="23"/>
      <c r="B45" s="29"/>
      <c r="C45" s="30"/>
      <c r="D45" s="29"/>
      <c r="E45" s="31"/>
      <c r="F45" s="32"/>
      <c r="G45" s="32"/>
    </row>
    <row r="46" spans="1:7" s="4" customFormat="1" x14ac:dyDescent="0.3">
      <c r="A46" s="23"/>
      <c r="B46" s="29"/>
      <c r="C46" s="30"/>
      <c r="D46" s="29"/>
      <c r="E46" s="31"/>
      <c r="F46" s="32"/>
      <c r="G46" s="32"/>
    </row>
    <row r="47" spans="1:7" s="4" customFormat="1" x14ac:dyDescent="0.3">
      <c r="A47" s="23"/>
      <c r="B47" s="29"/>
      <c r="C47" s="30"/>
      <c r="D47" s="29"/>
      <c r="E47" s="31"/>
      <c r="F47" s="32"/>
      <c r="G47" s="32"/>
    </row>
    <row r="48" spans="1:7" s="4" customFormat="1" x14ac:dyDescent="0.3">
      <c r="A48" s="23"/>
      <c r="B48" s="29"/>
      <c r="C48" s="30"/>
      <c r="D48" s="29"/>
      <c r="E48" s="31"/>
      <c r="F48" s="32"/>
      <c r="G48" s="32"/>
    </row>
    <row r="49" spans="1:7" s="4" customFormat="1" x14ac:dyDescent="0.3">
      <c r="A49" s="23"/>
      <c r="B49" s="29"/>
      <c r="C49" s="30"/>
      <c r="D49" s="29"/>
      <c r="E49" s="31"/>
      <c r="F49" s="32"/>
      <c r="G49" s="32"/>
    </row>
    <row r="50" spans="1:7" s="4" customFormat="1" x14ac:dyDescent="0.3">
      <c r="A50" s="23"/>
      <c r="B50" s="29"/>
      <c r="C50" s="30"/>
      <c r="D50" s="29"/>
      <c r="E50" s="31"/>
      <c r="F50" s="32"/>
      <c r="G50" s="32"/>
    </row>
    <row r="51" spans="1:7" s="4" customFormat="1" x14ac:dyDescent="0.3">
      <c r="A51" s="23"/>
      <c r="B51" s="29"/>
      <c r="C51" s="30"/>
      <c r="D51" s="29"/>
      <c r="E51" s="31"/>
      <c r="F51" s="32"/>
      <c r="G51" s="32"/>
    </row>
    <row r="52" spans="1:7" s="4" customFormat="1" x14ac:dyDescent="0.3">
      <c r="A52" s="23"/>
      <c r="B52" s="29"/>
      <c r="C52" s="30"/>
      <c r="D52" s="29"/>
      <c r="E52" s="31"/>
      <c r="F52" s="32"/>
      <c r="G52" s="32"/>
    </row>
    <row r="53" spans="1:7" s="4" customFormat="1" x14ac:dyDescent="0.3">
      <c r="A53" s="23"/>
      <c r="B53" s="29"/>
      <c r="C53" s="30"/>
      <c r="D53" s="29"/>
      <c r="E53" s="31"/>
      <c r="F53" s="32"/>
      <c r="G53" s="32"/>
    </row>
    <row r="54" spans="1:7" s="4" customFormat="1" x14ac:dyDescent="0.3">
      <c r="A54" s="23"/>
      <c r="B54" s="29"/>
      <c r="C54" s="30"/>
      <c r="D54" s="29"/>
      <c r="E54" s="31"/>
      <c r="F54" s="32"/>
      <c r="G54" s="32"/>
    </row>
    <row r="55" spans="1:7" s="4" customFormat="1" x14ac:dyDescent="0.3">
      <c r="A55" s="23"/>
      <c r="B55" s="29"/>
      <c r="C55" s="30"/>
      <c r="D55" s="29"/>
      <c r="E55" s="31"/>
      <c r="F55" s="32"/>
      <c r="G55" s="32"/>
    </row>
    <row r="56" spans="1:7" s="4" customFormat="1" x14ac:dyDescent="0.3">
      <c r="A56" s="23"/>
      <c r="B56" s="29"/>
      <c r="C56" s="30"/>
      <c r="D56" s="29"/>
      <c r="E56" s="31"/>
      <c r="F56" s="32"/>
      <c r="G56" s="32"/>
    </row>
    <row r="57" spans="1:7" s="4" customFormat="1" x14ac:dyDescent="0.3">
      <c r="A57" s="23"/>
      <c r="B57" s="29"/>
      <c r="C57" s="30"/>
      <c r="D57" s="29"/>
      <c r="E57" s="31"/>
      <c r="F57" s="32"/>
      <c r="G57" s="32"/>
    </row>
    <row r="58" spans="1:7" s="4" customFormat="1" x14ac:dyDescent="0.3">
      <c r="A58" s="23"/>
      <c r="B58" s="29"/>
      <c r="C58" s="30"/>
      <c r="D58" s="29"/>
      <c r="E58" s="31"/>
      <c r="F58" s="32"/>
      <c r="G58" s="32"/>
    </row>
    <row r="59" spans="1:7" s="4" customFormat="1" x14ac:dyDescent="0.3">
      <c r="A59" s="23"/>
      <c r="B59" s="29"/>
      <c r="C59" s="30"/>
      <c r="D59" s="29"/>
      <c r="E59" s="31"/>
      <c r="F59" s="32"/>
      <c r="G59" s="32"/>
    </row>
    <row r="60" spans="1:7" s="4" customFormat="1" x14ac:dyDescent="0.3">
      <c r="A60" s="23"/>
      <c r="B60" s="29"/>
      <c r="C60" s="30"/>
      <c r="D60" s="29"/>
      <c r="E60" s="31"/>
      <c r="F60" s="32"/>
      <c r="G60" s="32"/>
    </row>
    <row r="61" spans="1:7" s="4" customFormat="1" x14ac:dyDescent="0.3">
      <c r="A61" s="23"/>
      <c r="B61" s="29"/>
      <c r="C61" s="30"/>
      <c r="D61" s="29"/>
      <c r="E61" s="31"/>
      <c r="F61" s="32"/>
      <c r="G61" s="32"/>
    </row>
    <row r="62" spans="1:7" s="4" customFormat="1" x14ac:dyDescent="0.3">
      <c r="A62" s="23"/>
      <c r="B62" s="29"/>
      <c r="C62" s="30"/>
      <c r="D62" s="29"/>
      <c r="E62" s="31"/>
      <c r="F62" s="32"/>
      <c r="G62" s="32"/>
    </row>
    <row r="63" spans="1:7" s="4" customFormat="1" x14ac:dyDescent="0.3">
      <c r="A63" s="23"/>
      <c r="B63" s="29"/>
      <c r="C63" s="30"/>
      <c r="D63" s="29"/>
      <c r="E63" s="31"/>
      <c r="F63" s="32"/>
      <c r="G63" s="32"/>
    </row>
    <row r="64" spans="1:7" s="4" customFormat="1" x14ac:dyDescent="0.3">
      <c r="A64" s="23"/>
      <c r="B64" s="29"/>
      <c r="C64" s="30"/>
      <c r="D64" s="29"/>
      <c r="E64" s="31"/>
      <c r="F64" s="32"/>
      <c r="G64" s="32"/>
    </row>
    <row r="65" spans="1:7" s="4" customFormat="1" x14ac:dyDescent="0.3">
      <c r="A65" s="23"/>
      <c r="B65" s="29"/>
      <c r="C65" s="30"/>
      <c r="D65" s="29"/>
      <c r="E65" s="31"/>
      <c r="F65" s="32"/>
      <c r="G65" s="32"/>
    </row>
    <row r="66" spans="1:7" s="4" customFormat="1" x14ac:dyDescent="0.3">
      <c r="A66" s="23"/>
      <c r="B66" s="29"/>
      <c r="C66" s="30"/>
      <c r="D66" s="29"/>
      <c r="E66" s="31"/>
      <c r="F66" s="32"/>
      <c r="G66" s="32"/>
    </row>
    <row r="67" spans="1:7" s="4" customFormat="1" x14ac:dyDescent="0.3">
      <c r="A67" s="23"/>
      <c r="B67" s="29"/>
      <c r="C67" s="30"/>
      <c r="D67" s="29"/>
      <c r="E67" s="31"/>
      <c r="F67" s="32"/>
      <c r="G67" s="32"/>
    </row>
    <row r="68" spans="1:7" s="4" customFormat="1" x14ac:dyDescent="0.3">
      <c r="A68" s="23"/>
      <c r="B68" s="29"/>
      <c r="C68" s="30"/>
      <c r="D68" s="29"/>
      <c r="E68" s="31"/>
      <c r="F68" s="32"/>
      <c r="G68" s="32"/>
    </row>
    <row r="69" spans="1:7" s="4" customFormat="1" x14ac:dyDescent="0.3">
      <c r="A69" s="23"/>
      <c r="B69" s="29"/>
      <c r="C69" s="30"/>
      <c r="D69" s="29"/>
      <c r="E69" s="31"/>
      <c r="F69" s="32"/>
      <c r="G69" s="32"/>
    </row>
    <row r="70" spans="1:7" s="4" customFormat="1" x14ac:dyDescent="0.3">
      <c r="A70" s="23"/>
      <c r="B70" s="29"/>
      <c r="C70" s="30"/>
      <c r="D70" s="29"/>
      <c r="E70" s="31"/>
      <c r="F70" s="32"/>
      <c r="G70" s="32"/>
    </row>
    <row r="71" spans="1:7" s="4" customFormat="1" x14ac:dyDescent="0.3">
      <c r="A71" s="23"/>
      <c r="B71" s="29"/>
      <c r="C71" s="30"/>
      <c r="D71" s="29"/>
      <c r="E71" s="31"/>
      <c r="F71" s="32"/>
      <c r="G71" s="32"/>
    </row>
    <row r="72" spans="1:7" s="4" customFormat="1" x14ac:dyDescent="0.3">
      <c r="A72" s="23"/>
      <c r="B72" s="29"/>
      <c r="C72" s="30"/>
      <c r="D72" s="29"/>
      <c r="E72" s="31"/>
      <c r="F72" s="32"/>
      <c r="G72" s="32"/>
    </row>
    <row r="73" spans="1:7" s="4" customFormat="1" x14ac:dyDescent="0.3">
      <c r="A73" s="23"/>
      <c r="B73" s="29"/>
      <c r="C73" s="30"/>
      <c r="D73" s="29"/>
      <c r="E73" s="31"/>
      <c r="F73" s="32"/>
      <c r="G73" s="32"/>
    </row>
    <row r="74" spans="1:7" s="4" customFormat="1" x14ac:dyDescent="0.3">
      <c r="A74" s="23"/>
      <c r="B74" s="29"/>
      <c r="C74" s="30"/>
      <c r="D74" s="29"/>
      <c r="E74" s="31"/>
      <c r="F74" s="32"/>
      <c r="G74" s="32"/>
    </row>
    <row r="75" spans="1:7" s="4" customFormat="1" x14ac:dyDescent="0.3">
      <c r="A75" s="23"/>
      <c r="B75" s="29"/>
      <c r="C75" s="30"/>
      <c r="D75" s="29"/>
      <c r="E75" s="31"/>
      <c r="F75" s="32"/>
      <c r="G75" s="32"/>
    </row>
    <row r="76" spans="1:7" s="4" customFormat="1" x14ac:dyDescent="0.3">
      <c r="A76" s="23"/>
      <c r="B76" s="29"/>
      <c r="C76" s="30"/>
      <c r="D76" s="29"/>
      <c r="E76" s="31"/>
      <c r="F76" s="32"/>
      <c r="G76" s="32"/>
    </row>
    <row r="77" spans="1:7" s="4" customFormat="1" x14ac:dyDescent="0.3">
      <c r="A77" s="23"/>
      <c r="B77" s="29"/>
      <c r="C77" s="30"/>
      <c r="D77" s="29"/>
      <c r="E77" s="31"/>
      <c r="F77" s="32"/>
      <c r="G77" s="32"/>
    </row>
    <row r="78" spans="1:7" s="4" customFormat="1" x14ac:dyDescent="0.3">
      <c r="A78" s="23"/>
      <c r="B78" s="29"/>
      <c r="C78" s="30"/>
      <c r="D78" s="29"/>
      <c r="E78" s="31"/>
      <c r="F78" s="32"/>
      <c r="G78" s="32"/>
    </row>
    <row r="79" spans="1:7" s="4" customFormat="1" x14ac:dyDescent="0.3">
      <c r="A79" s="23"/>
      <c r="B79" s="29"/>
      <c r="C79" s="30"/>
      <c r="D79" s="29"/>
      <c r="E79" s="31"/>
      <c r="F79" s="32"/>
      <c r="G79" s="32"/>
    </row>
    <row r="80" spans="1:7" x14ac:dyDescent="0.3">
      <c r="A80" s="23"/>
      <c r="B80" s="29"/>
      <c r="C80" s="30"/>
      <c r="D80" s="29"/>
      <c r="E80" s="31"/>
      <c r="F80" s="23"/>
      <c r="G80" s="23"/>
    </row>
    <row r="81" spans="1:7" ht="14.4" customHeight="1" x14ac:dyDescent="0.3">
      <c r="A81" s="23"/>
      <c r="B81" s="29"/>
      <c r="C81" s="30"/>
      <c r="D81" s="29"/>
      <c r="E81" s="31"/>
      <c r="F81" s="23"/>
      <c r="G81" s="23"/>
    </row>
    <row r="82" spans="1:7" ht="14.4" customHeight="1" x14ac:dyDescent="0.3">
      <c r="A82" s="23"/>
      <c r="B82" s="29"/>
      <c r="C82" s="30"/>
      <c r="D82" s="29"/>
      <c r="E82" s="31"/>
      <c r="F82" s="23"/>
      <c r="G82" s="23"/>
    </row>
    <row r="83" spans="1:7" ht="14.4" customHeight="1" x14ac:dyDescent="0.3">
      <c r="A83" s="23"/>
      <c r="B83" s="29"/>
      <c r="C83" s="30"/>
      <c r="D83" s="29"/>
      <c r="E83" s="31"/>
      <c r="F83" s="23"/>
      <c r="G83" s="23"/>
    </row>
    <row r="84" spans="1:7" ht="14.4" customHeight="1" x14ac:dyDescent="0.3">
      <c r="A84" s="23"/>
      <c r="B84" s="29"/>
      <c r="C84" s="30"/>
      <c r="D84" s="29"/>
      <c r="E84" s="31"/>
      <c r="F84" s="23"/>
      <c r="G84" s="23"/>
    </row>
    <row r="85" spans="1:7" ht="14.4" customHeight="1" x14ac:dyDescent="0.3">
      <c r="A85" s="23"/>
      <c r="B85" s="29"/>
      <c r="C85" s="30"/>
      <c r="D85" s="29"/>
      <c r="E85" s="31"/>
      <c r="F85" s="23"/>
      <c r="G85" s="23"/>
    </row>
    <row r="86" spans="1:7" ht="14.4" customHeight="1" x14ac:dyDescent="0.3">
      <c r="A86" s="23"/>
      <c r="B86" s="29"/>
      <c r="C86" s="30"/>
      <c r="D86" s="29"/>
      <c r="E86" s="31"/>
      <c r="F86" s="23"/>
      <c r="G86" s="23"/>
    </row>
    <row r="87" spans="1:7" ht="14.4" customHeight="1" x14ac:dyDescent="0.3">
      <c r="A87" s="23"/>
      <c r="B87" s="29"/>
      <c r="C87" s="30"/>
      <c r="D87" s="29"/>
      <c r="E87" s="31"/>
      <c r="F87" s="23"/>
      <c r="G87" s="23"/>
    </row>
    <row r="88" spans="1:7" ht="14.4" customHeight="1" x14ac:dyDescent="0.3">
      <c r="A88" s="23"/>
      <c r="B88" s="29"/>
      <c r="C88" s="30"/>
      <c r="D88" s="29"/>
      <c r="E88" s="31"/>
      <c r="F88" s="23"/>
      <c r="G88" s="23"/>
    </row>
    <row r="89" spans="1:7" ht="14.4" customHeight="1" x14ac:dyDescent="0.3">
      <c r="A89" s="23"/>
      <c r="B89" s="29"/>
      <c r="C89" s="30"/>
      <c r="D89" s="29"/>
      <c r="E89" s="31"/>
      <c r="F89" s="23"/>
      <c r="G89" s="23"/>
    </row>
    <row r="90" spans="1:7" ht="14.4" customHeight="1" x14ac:dyDescent="0.3">
      <c r="A90" s="23"/>
      <c r="B90" s="29"/>
      <c r="C90" s="30"/>
      <c r="D90" s="29"/>
      <c r="E90" s="31"/>
      <c r="F90" s="23"/>
      <c r="G90" s="23"/>
    </row>
    <row r="91" spans="1:7" ht="14.4" customHeight="1" x14ac:dyDescent="0.3">
      <c r="A91" s="23"/>
      <c r="B91" s="29"/>
      <c r="C91" s="30"/>
      <c r="D91" s="29"/>
      <c r="E91" s="31"/>
      <c r="F91" s="23"/>
      <c r="G91" s="23"/>
    </row>
    <row r="92" spans="1:7" ht="14.4" customHeight="1" x14ac:dyDescent="0.3">
      <c r="A92" s="23"/>
      <c r="B92" s="29"/>
      <c r="C92" s="30"/>
      <c r="D92" s="29"/>
      <c r="E92" s="31"/>
      <c r="F92" s="23"/>
      <c r="G92" s="23"/>
    </row>
    <row r="93" spans="1:7" ht="14.4" customHeight="1" x14ac:dyDescent="0.3">
      <c r="A93" s="23"/>
      <c r="B93" s="29"/>
      <c r="C93" s="30"/>
      <c r="D93" s="29"/>
      <c r="E93" s="31"/>
      <c r="F93" s="23"/>
      <c r="G93" s="23"/>
    </row>
    <row r="94" spans="1:7" ht="14.4" customHeight="1" x14ac:dyDescent="0.3">
      <c r="A94" s="23"/>
      <c r="B94" s="29"/>
      <c r="C94" s="30"/>
      <c r="D94" s="29"/>
      <c r="E94" s="31"/>
      <c r="F94" s="23"/>
      <c r="G94" s="23"/>
    </row>
    <row r="95" spans="1:7" ht="14.4" customHeight="1" x14ac:dyDescent="0.3">
      <c r="A95" s="23"/>
      <c r="B95" s="29"/>
      <c r="C95" s="30"/>
      <c r="D95" s="29"/>
      <c r="E95" s="31"/>
      <c r="F95" s="23"/>
      <c r="G95" s="23"/>
    </row>
    <row r="96" spans="1:7" ht="14.4" customHeight="1" x14ac:dyDescent="0.3">
      <c r="A96" s="23"/>
      <c r="B96" s="29"/>
      <c r="C96" s="30"/>
      <c r="D96" s="29"/>
      <c r="E96" s="31"/>
      <c r="F96" s="23"/>
      <c r="G96" s="23"/>
    </row>
    <row r="97" spans="1:7" ht="14.4" customHeight="1" x14ac:dyDescent="0.3">
      <c r="A97" s="23"/>
      <c r="B97" s="29"/>
      <c r="C97" s="30"/>
      <c r="D97" s="29"/>
      <c r="E97" s="31"/>
      <c r="F97" s="23"/>
      <c r="G97" s="23"/>
    </row>
    <row r="98" spans="1:7" ht="14.4" customHeight="1" x14ac:dyDescent="0.3">
      <c r="A98" s="23"/>
      <c r="B98" s="29"/>
      <c r="C98" s="30"/>
      <c r="D98" s="29"/>
      <c r="E98" s="31"/>
      <c r="F98" s="23"/>
      <c r="G98" s="23"/>
    </row>
    <row r="99" spans="1:7" ht="14.4" customHeight="1" x14ac:dyDescent="0.3">
      <c r="A99" s="23"/>
      <c r="B99" s="29"/>
      <c r="C99" s="30"/>
      <c r="D99" s="29"/>
      <c r="E99" s="31"/>
      <c r="F99" s="23"/>
      <c r="G99" s="23"/>
    </row>
    <row r="100" spans="1:7" ht="14.4" customHeight="1" x14ac:dyDescent="0.3">
      <c r="A100" s="23"/>
      <c r="B100" s="33"/>
      <c r="C100" s="34"/>
      <c r="D100" s="33"/>
      <c r="E100" s="35"/>
      <c r="F100" s="23"/>
      <c r="G100" s="23"/>
    </row>
    <row r="101" spans="1:7" ht="14.4" customHeight="1" x14ac:dyDescent="0.3">
      <c r="A101" s="23"/>
      <c r="C101" s="23"/>
      <c r="D101" s="23"/>
      <c r="E101" s="23"/>
      <c r="F101" s="23"/>
      <c r="G101" s="23"/>
    </row>
    <row r="102" spans="1:7" ht="14.4" hidden="1" customHeight="1" x14ac:dyDescent="0.3">
      <c r="A102" s="23"/>
      <c r="B102" s="23"/>
      <c r="C102" s="23"/>
      <c r="D102" s="23"/>
      <c r="E102" s="23"/>
      <c r="F102" s="23"/>
    </row>
    <row r="103" spans="1:7" ht="25.8" hidden="1" x14ac:dyDescent="0.5">
      <c r="A103" s="23"/>
      <c r="B103" s="174" t="s">
        <v>14</v>
      </c>
      <c r="C103" s="175"/>
      <c r="D103" s="175"/>
      <c r="E103" s="176"/>
      <c r="F103" s="23"/>
    </row>
    <row r="104" spans="1:7" ht="14.4" hidden="1" customHeight="1" x14ac:dyDescent="0.3">
      <c r="A104" s="23"/>
      <c r="B104" s="24" t="s">
        <v>2</v>
      </c>
      <c r="C104" s="25" t="s">
        <v>15</v>
      </c>
      <c r="D104" s="24" t="s">
        <v>5</v>
      </c>
      <c r="E104" s="24" t="s">
        <v>6</v>
      </c>
      <c r="F104" s="23"/>
    </row>
    <row r="105" spans="1:7" ht="14.4" hidden="1" customHeight="1" x14ac:dyDescent="0.3">
      <c r="A105" s="23"/>
      <c r="B105" s="26"/>
      <c r="C105" s="27"/>
      <c r="D105" s="26"/>
      <c r="E105" s="28"/>
      <c r="F105" s="23"/>
    </row>
    <row r="106" spans="1:7" ht="14.4" hidden="1" customHeight="1" x14ac:dyDescent="0.3">
      <c r="A106" s="23"/>
      <c r="B106" s="29"/>
      <c r="C106" s="30"/>
      <c r="D106" s="29"/>
      <c r="E106" s="31"/>
      <c r="F106" s="32"/>
    </row>
    <row r="107" spans="1:7" ht="14.4" hidden="1" customHeight="1" x14ac:dyDescent="0.3">
      <c r="A107" s="23"/>
      <c r="B107" s="29"/>
      <c r="C107" s="30"/>
      <c r="D107" s="29"/>
      <c r="E107" s="31"/>
      <c r="F107" s="32"/>
    </row>
    <row r="108" spans="1:7" ht="14.4" hidden="1" customHeight="1" x14ac:dyDescent="0.3">
      <c r="A108" s="23"/>
      <c r="B108" s="29"/>
      <c r="C108" s="30"/>
      <c r="D108" s="29"/>
      <c r="E108" s="31"/>
      <c r="F108" s="32"/>
    </row>
    <row r="109" spans="1:7" ht="14.4" hidden="1" customHeight="1" x14ac:dyDescent="0.3">
      <c r="A109" s="23"/>
      <c r="B109" s="29"/>
      <c r="C109" s="30"/>
      <c r="D109" s="29"/>
      <c r="E109" s="31"/>
      <c r="F109" s="32"/>
    </row>
    <row r="110" spans="1:7" ht="14.4" hidden="1" customHeight="1" x14ac:dyDescent="0.3">
      <c r="A110" s="23"/>
      <c r="B110" s="29"/>
      <c r="C110" s="30"/>
      <c r="D110" s="29"/>
      <c r="E110" s="31"/>
      <c r="F110" s="32"/>
    </row>
    <row r="111" spans="1:7" ht="14.4" hidden="1" customHeight="1" x14ac:dyDescent="0.3">
      <c r="A111" s="23"/>
      <c r="B111" s="29"/>
      <c r="C111" s="30"/>
      <c r="D111" s="29"/>
      <c r="E111" s="31"/>
      <c r="F111" s="32"/>
    </row>
    <row r="112" spans="1:7" ht="14.4" hidden="1" customHeight="1" x14ac:dyDescent="0.3">
      <c r="A112" s="23"/>
      <c r="B112" s="29"/>
      <c r="C112" s="30"/>
      <c r="D112" s="29"/>
      <c r="E112" s="31"/>
      <c r="F112" s="32"/>
    </row>
    <row r="113" spans="1:6" ht="14.4" hidden="1" customHeight="1" x14ac:dyDescent="0.3">
      <c r="A113" s="23"/>
      <c r="B113" s="29"/>
      <c r="C113" s="30"/>
      <c r="D113" s="29"/>
      <c r="E113" s="31"/>
      <c r="F113" s="32"/>
    </row>
    <row r="114" spans="1:6" ht="14.4" hidden="1" customHeight="1" x14ac:dyDescent="0.3">
      <c r="A114" s="23"/>
      <c r="B114" s="29"/>
      <c r="C114" s="30"/>
      <c r="D114" s="29"/>
      <c r="E114" s="31"/>
      <c r="F114" s="32"/>
    </row>
    <row r="115" spans="1:6" ht="14.4" hidden="1" customHeight="1" x14ac:dyDescent="0.3">
      <c r="A115" s="23"/>
      <c r="B115" s="29"/>
      <c r="C115" s="30"/>
      <c r="D115" s="29"/>
      <c r="E115" s="31"/>
      <c r="F115" s="32"/>
    </row>
    <row r="116" spans="1:6" ht="14.4" hidden="1" customHeight="1" x14ac:dyDescent="0.3">
      <c r="A116" s="23"/>
      <c r="B116" s="29"/>
      <c r="C116" s="30"/>
      <c r="D116" s="29"/>
      <c r="E116" s="31"/>
      <c r="F116" s="32"/>
    </row>
    <row r="117" spans="1:6" ht="14.4" hidden="1" customHeight="1" x14ac:dyDescent="0.3">
      <c r="A117" s="23"/>
      <c r="B117" s="29"/>
      <c r="C117" s="30"/>
      <c r="D117" s="29"/>
      <c r="E117" s="31"/>
      <c r="F117" s="32"/>
    </row>
    <row r="118" spans="1:6" ht="14.4" hidden="1" customHeight="1" x14ac:dyDescent="0.3">
      <c r="A118" s="23"/>
      <c r="B118" s="29"/>
      <c r="C118" s="30"/>
      <c r="D118" s="29"/>
      <c r="E118" s="31"/>
      <c r="F118" s="32"/>
    </row>
    <row r="119" spans="1:6" ht="14.4" hidden="1" customHeight="1" x14ac:dyDescent="0.3">
      <c r="A119" s="23"/>
      <c r="B119" s="29"/>
      <c r="C119" s="30"/>
      <c r="D119" s="29"/>
      <c r="E119" s="31"/>
      <c r="F119" s="32"/>
    </row>
    <row r="120" spans="1:6" ht="14.4" hidden="1" customHeight="1" x14ac:dyDescent="0.3">
      <c r="A120" s="23"/>
      <c r="B120" s="29"/>
      <c r="C120" s="30"/>
      <c r="D120" s="29"/>
      <c r="E120" s="31"/>
      <c r="F120" s="32"/>
    </row>
    <row r="121" spans="1:6" ht="14.4" hidden="1" customHeight="1" x14ac:dyDescent="0.3">
      <c r="A121" s="23"/>
      <c r="B121" s="29"/>
      <c r="C121" s="30"/>
      <c r="D121" s="29"/>
      <c r="E121" s="31"/>
      <c r="F121" s="32"/>
    </row>
    <row r="122" spans="1:6" ht="14.4" hidden="1" customHeight="1" x14ac:dyDescent="0.3">
      <c r="A122" s="23"/>
      <c r="B122" s="29"/>
      <c r="C122" s="30"/>
      <c r="D122" s="29"/>
      <c r="E122" s="31"/>
      <c r="F122" s="32"/>
    </row>
    <row r="123" spans="1:6" ht="14.4" hidden="1" customHeight="1" x14ac:dyDescent="0.3">
      <c r="A123" s="23"/>
      <c r="B123" s="29"/>
      <c r="C123" s="30"/>
      <c r="D123" s="29"/>
      <c r="E123" s="31"/>
      <c r="F123" s="32"/>
    </row>
    <row r="124" spans="1:6" ht="14.4" hidden="1" customHeight="1" x14ac:dyDescent="0.3">
      <c r="A124" s="23"/>
      <c r="B124" s="29"/>
      <c r="C124" s="30"/>
      <c r="D124" s="29"/>
      <c r="E124" s="31"/>
      <c r="F124" s="32"/>
    </row>
    <row r="125" spans="1:6" ht="14.4" hidden="1" customHeight="1" x14ac:dyDescent="0.3">
      <c r="A125" s="23"/>
      <c r="B125" s="29"/>
      <c r="C125" s="30"/>
      <c r="D125" s="29"/>
      <c r="E125" s="31"/>
      <c r="F125" s="32"/>
    </row>
    <row r="126" spans="1:6" ht="14.4" hidden="1" customHeight="1" x14ac:dyDescent="0.3">
      <c r="A126" s="23"/>
      <c r="B126" s="29"/>
      <c r="C126" s="30"/>
      <c r="D126" s="29"/>
      <c r="E126" s="31"/>
      <c r="F126" s="32"/>
    </row>
    <row r="127" spans="1:6" ht="14.4" hidden="1" customHeight="1" x14ac:dyDescent="0.3">
      <c r="A127" s="23"/>
      <c r="B127" s="29"/>
      <c r="C127" s="30"/>
      <c r="D127" s="29"/>
      <c r="E127" s="31"/>
      <c r="F127" s="32"/>
    </row>
    <row r="128" spans="1:6" ht="14.4" hidden="1" customHeight="1" x14ac:dyDescent="0.3">
      <c r="A128" s="23"/>
      <c r="B128" s="29"/>
      <c r="C128" s="30"/>
      <c r="D128" s="29"/>
      <c r="E128" s="31"/>
      <c r="F128" s="32"/>
    </row>
    <row r="129" spans="1:6" ht="14.4" hidden="1" customHeight="1" x14ac:dyDescent="0.3">
      <c r="A129" s="23"/>
      <c r="B129" s="29"/>
      <c r="C129" s="30"/>
      <c r="D129" s="29"/>
      <c r="E129" s="31"/>
      <c r="F129" s="32"/>
    </row>
    <row r="130" spans="1:6" ht="14.4" hidden="1" customHeight="1" x14ac:dyDescent="0.3">
      <c r="A130" s="23"/>
      <c r="B130" s="29"/>
      <c r="C130" s="30"/>
      <c r="D130" s="29"/>
      <c r="E130" s="31"/>
      <c r="F130" s="32"/>
    </row>
    <row r="131" spans="1:6" ht="14.4" hidden="1" customHeight="1" x14ac:dyDescent="0.3">
      <c r="A131" s="23"/>
      <c r="B131" s="29"/>
      <c r="C131" s="30"/>
      <c r="D131" s="29"/>
      <c r="E131" s="31"/>
      <c r="F131" s="32"/>
    </row>
    <row r="132" spans="1:6" ht="14.4" hidden="1" customHeight="1" x14ac:dyDescent="0.3">
      <c r="A132" s="23"/>
      <c r="B132" s="29"/>
      <c r="C132" s="30"/>
      <c r="D132" s="29"/>
      <c r="E132" s="31"/>
      <c r="F132" s="32"/>
    </row>
    <row r="133" spans="1:6" ht="14.4" hidden="1" customHeight="1" x14ac:dyDescent="0.3">
      <c r="A133" s="23"/>
      <c r="B133" s="29"/>
      <c r="C133" s="30"/>
      <c r="D133" s="29"/>
      <c r="E133" s="31"/>
      <c r="F133" s="32"/>
    </row>
    <row r="134" spans="1:6" ht="14.4" hidden="1" customHeight="1" x14ac:dyDescent="0.3">
      <c r="A134" s="23"/>
      <c r="B134" s="29"/>
      <c r="C134" s="30"/>
      <c r="D134" s="29"/>
      <c r="E134" s="31"/>
      <c r="F134" s="32"/>
    </row>
    <row r="135" spans="1:6" ht="14.4" hidden="1" customHeight="1" x14ac:dyDescent="0.3">
      <c r="A135" s="23"/>
      <c r="B135" s="29"/>
      <c r="C135" s="30"/>
      <c r="D135" s="29"/>
      <c r="E135" s="31"/>
      <c r="F135" s="32"/>
    </row>
    <row r="136" spans="1:6" ht="14.4" hidden="1" customHeight="1" x14ac:dyDescent="0.3">
      <c r="A136" s="23"/>
      <c r="B136" s="29"/>
      <c r="C136" s="30"/>
      <c r="D136" s="29"/>
      <c r="E136" s="31"/>
      <c r="F136" s="32"/>
    </row>
    <row r="137" spans="1:6" ht="14.4" hidden="1" customHeight="1" x14ac:dyDescent="0.3">
      <c r="A137" s="23"/>
      <c r="B137" s="29"/>
      <c r="C137" s="30"/>
      <c r="D137" s="29"/>
      <c r="E137" s="31"/>
      <c r="F137" s="32"/>
    </row>
    <row r="138" spans="1:6" ht="14.4" hidden="1" customHeight="1" x14ac:dyDescent="0.3">
      <c r="A138" s="23"/>
      <c r="B138" s="29"/>
      <c r="C138" s="30"/>
      <c r="D138" s="29"/>
      <c r="E138" s="31"/>
      <c r="F138" s="32"/>
    </row>
    <row r="139" spans="1:6" ht="14.4" hidden="1" customHeight="1" x14ac:dyDescent="0.3">
      <c r="A139" s="23"/>
      <c r="B139" s="29"/>
      <c r="C139" s="30"/>
      <c r="D139" s="29"/>
      <c r="E139" s="31"/>
      <c r="F139" s="32"/>
    </row>
    <row r="140" spans="1:6" ht="14.4" hidden="1" customHeight="1" x14ac:dyDescent="0.3">
      <c r="A140" s="23"/>
      <c r="B140" s="29"/>
      <c r="C140" s="30"/>
      <c r="D140" s="29"/>
      <c r="E140" s="31"/>
      <c r="F140" s="32"/>
    </row>
    <row r="141" spans="1:6" ht="14.4" hidden="1" customHeight="1" x14ac:dyDescent="0.3">
      <c r="A141" s="23"/>
      <c r="B141" s="29"/>
      <c r="C141" s="30"/>
      <c r="D141" s="29"/>
      <c r="E141" s="31"/>
      <c r="F141" s="32"/>
    </row>
    <row r="142" spans="1:6" ht="14.4" hidden="1" customHeight="1" x14ac:dyDescent="0.3">
      <c r="A142" s="23"/>
      <c r="B142" s="29"/>
      <c r="C142" s="30"/>
      <c r="D142" s="29"/>
      <c r="E142" s="31"/>
      <c r="F142" s="32"/>
    </row>
    <row r="143" spans="1:6" ht="14.4" hidden="1" customHeight="1" x14ac:dyDescent="0.3">
      <c r="A143" s="23"/>
      <c r="B143" s="29"/>
      <c r="C143" s="30"/>
      <c r="D143" s="29"/>
      <c r="E143" s="31"/>
      <c r="F143" s="32"/>
    </row>
    <row r="144" spans="1:6" ht="14.4" hidden="1" customHeight="1" x14ac:dyDescent="0.3">
      <c r="A144" s="23"/>
      <c r="B144" s="29"/>
      <c r="C144" s="30"/>
      <c r="D144" s="29"/>
      <c r="E144" s="31"/>
      <c r="F144" s="32"/>
    </row>
    <row r="145" spans="1:6" ht="14.4" hidden="1" customHeight="1" x14ac:dyDescent="0.3">
      <c r="A145" s="23"/>
      <c r="B145" s="29"/>
      <c r="C145" s="30"/>
      <c r="D145" s="29"/>
      <c r="E145" s="31"/>
      <c r="F145" s="32"/>
    </row>
    <row r="146" spans="1:6" ht="14.4" hidden="1" customHeight="1" x14ac:dyDescent="0.3">
      <c r="A146" s="23"/>
      <c r="B146" s="29"/>
      <c r="C146" s="30"/>
      <c r="D146" s="29"/>
      <c r="E146" s="31"/>
      <c r="F146" s="32"/>
    </row>
    <row r="147" spans="1:6" ht="14.4" hidden="1" customHeight="1" x14ac:dyDescent="0.3">
      <c r="A147" s="23"/>
      <c r="B147" s="29"/>
      <c r="C147" s="30"/>
      <c r="D147" s="29"/>
      <c r="E147" s="31"/>
      <c r="F147" s="32"/>
    </row>
    <row r="148" spans="1:6" ht="14.4" hidden="1" customHeight="1" x14ac:dyDescent="0.3">
      <c r="A148" s="23"/>
      <c r="B148" s="29"/>
      <c r="C148" s="30"/>
      <c r="D148" s="29"/>
      <c r="E148" s="31"/>
      <c r="F148" s="32"/>
    </row>
    <row r="149" spans="1:6" ht="14.4" hidden="1" customHeight="1" x14ac:dyDescent="0.3">
      <c r="A149" s="23"/>
      <c r="B149" s="29"/>
      <c r="C149" s="30"/>
      <c r="D149" s="29"/>
      <c r="E149" s="31"/>
      <c r="F149" s="32"/>
    </row>
    <row r="150" spans="1:6" ht="14.4" hidden="1" customHeight="1" x14ac:dyDescent="0.3">
      <c r="A150" s="23"/>
      <c r="B150" s="29"/>
      <c r="C150" s="30"/>
      <c r="D150" s="29"/>
      <c r="E150" s="31"/>
      <c r="F150" s="32"/>
    </row>
    <row r="151" spans="1:6" ht="14.4" hidden="1" customHeight="1" x14ac:dyDescent="0.3">
      <c r="A151" s="23"/>
      <c r="B151" s="29"/>
      <c r="C151" s="30"/>
      <c r="D151" s="29"/>
      <c r="E151" s="31"/>
      <c r="F151" s="32"/>
    </row>
    <row r="152" spans="1:6" ht="14.4" hidden="1" customHeight="1" x14ac:dyDescent="0.3">
      <c r="A152" s="23"/>
      <c r="B152" s="29"/>
      <c r="C152" s="30"/>
      <c r="D152" s="29"/>
      <c r="E152" s="31"/>
      <c r="F152" s="32"/>
    </row>
    <row r="153" spans="1:6" ht="14.4" hidden="1" customHeight="1" x14ac:dyDescent="0.3">
      <c r="A153" s="23"/>
      <c r="B153" s="29"/>
      <c r="C153" s="30"/>
      <c r="D153" s="29"/>
      <c r="E153" s="31"/>
      <c r="F153" s="32"/>
    </row>
    <row r="154" spans="1:6" ht="14.4" hidden="1" customHeight="1" x14ac:dyDescent="0.3">
      <c r="A154" s="23"/>
      <c r="B154" s="29"/>
      <c r="C154" s="30"/>
      <c r="D154" s="29"/>
      <c r="E154" s="31"/>
      <c r="F154" s="32"/>
    </row>
    <row r="155" spans="1:6" ht="14.4" hidden="1" customHeight="1" x14ac:dyDescent="0.3">
      <c r="A155" s="23"/>
      <c r="B155" s="29"/>
      <c r="C155" s="30"/>
      <c r="D155" s="29"/>
      <c r="E155" s="31"/>
      <c r="F155" s="32"/>
    </row>
    <row r="156" spans="1:6" ht="14.4" hidden="1" customHeight="1" x14ac:dyDescent="0.3">
      <c r="A156" s="23"/>
      <c r="B156" s="29"/>
      <c r="C156" s="30"/>
      <c r="D156" s="29"/>
      <c r="E156" s="31"/>
      <c r="F156" s="32"/>
    </row>
    <row r="157" spans="1:6" ht="14.4" hidden="1" customHeight="1" x14ac:dyDescent="0.3">
      <c r="A157" s="23"/>
      <c r="B157" s="29"/>
      <c r="C157" s="30"/>
      <c r="D157" s="29"/>
      <c r="E157" s="31"/>
      <c r="F157" s="32"/>
    </row>
    <row r="158" spans="1:6" ht="14.4" hidden="1" customHeight="1" x14ac:dyDescent="0.3">
      <c r="A158" s="23"/>
      <c r="B158" s="29"/>
      <c r="C158" s="30"/>
      <c r="D158" s="29"/>
      <c r="E158" s="31"/>
      <c r="F158" s="32"/>
    </row>
    <row r="159" spans="1:6" ht="14.4" hidden="1" customHeight="1" x14ac:dyDescent="0.3">
      <c r="A159" s="23"/>
      <c r="B159" s="29"/>
      <c r="C159" s="30"/>
      <c r="D159" s="29"/>
      <c r="E159" s="31"/>
      <c r="F159" s="32"/>
    </row>
    <row r="160" spans="1:6" ht="14.4" hidden="1" customHeight="1" x14ac:dyDescent="0.3">
      <c r="A160" s="23"/>
      <c r="B160" s="29"/>
      <c r="C160" s="30"/>
      <c r="D160" s="29"/>
      <c r="E160" s="31"/>
      <c r="F160" s="32"/>
    </row>
    <row r="161" spans="1:6" ht="14.4" hidden="1" customHeight="1" x14ac:dyDescent="0.3">
      <c r="A161" s="23"/>
      <c r="B161" s="29"/>
      <c r="C161" s="30"/>
      <c r="D161" s="29"/>
      <c r="E161" s="31"/>
      <c r="F161" s="32"/>
    </row>
    <row r="162" spans="1:6" ht="14.4" hidden="1" customHeight="1" x14ac:dyDescent="0.3">
      <c r="A162" s="23"/>
      <c r="B162" s="29"/>
      <c r="C162" s="30"/>
      <c r="D162" s="29"/>
      <c r="E162" s="31"/>
      <c r="F162" s="32"/>
    </row>
    <row r="163" spans="1:6" ht="14.4" hidden="1" customHeight="1" x14ac:dyDescent="0.3">
      <c r="A163" s="23"/>
      <c r="B163" s="29"/>
      <c r="C163" s="30"/>
      <c r="D163" s="29"/>
      <c r="E163" s="31"/>
      <c r="F163" s="32"/>
    </row>
    <row r="164" spans="1:6" ht="14.4" hidden="1" customHeight="1" x14ac:dyDescent="0.3">
      <c r="A164" s="23"/>
      <c r="B164" s="29"/>
      <c r="C164" s="30"/>
      <c r="D164" s="29"/>
      <c r="E164" s="31"/>
      <c r="F164" s="32"/>
    </row>
    <row r="165" spans="1:6" ht="14.4" hidden="1" customHeight="1" x14ac:dyDescent="0.3">
      <c r="A165" s="23"/>
      <c r="B165" s="29"/>
      <c r="C165" s="30"/>
      <c r="D165" s="29"/>
      <c r="E165" s="31"/>
      <c r="F165" s="32"/>
    </row>
    <row r="166" spans="1:6" ht="14.4" hidden="1" customHeight="1" x14ac:dyDescent="0.3">
      <c r="A166" s="23"/>
      <c r="B166" s="29"/>
      <c r="C166" s="30"/>
      <c r="D166" s="29"/>
      <c r="E166" s="31"/>
      <c r="F166" s="32"/>
    </row>
    <row r="167" spans="1:6" ht="14.4" hidden="1" customHeight="1" x14ac:dyDescent="0.3">
      <c r="A167" s="23"/>
      <c r="B167" s="29"/>
      <c r="C167" s="30"/>
      <c r="D167" s="29"/>
      <c r="E167" s="31"/>
      <c r="F167" s="32"/>
    </row>
    <row r="168" spans="1:6" ht="14.4" hidden="1" customHeight="1" x14ac:dyDescent="0.3">
      <c r="A168" s="23"/>
      <c r="B168" s="29"/>
      <c r="C168" s="30"/>
      <c r="D168" s="29"/>
      <c r="E168" s="31"/>
      <c r="F168" s="32"/>
    </row>
    <row r="169" spans="1:6" ht="14.4" hidden="1" customHeight="1" x14ac:dyDescent="0.3">
      <c r="A169" s="23"/>
      <c r="B169" s="29"/>
      <c r="C169" s="30"/>
      <c r="D169" s="29"/>
      <c r="E169" s="31"/>
      <c r="F169" s="32"/>
    </row>
    <row r="170" spans="1:6" ht="14.4" hidden="1" customHeight="1" x14ac:dyDescent="0.3">
      <c r="A170" s="23"/>
      <c r="B170" s="29"/>
      <c r="C170" s="30"/>
      <c r="D170" s="29"/>
      <c r="E170" s="31"/>
      <c r="F170" s="32"/>
    </row>
    <row r="171" spans="1:6" ht="14.4" hidden="1" customHeight="1" x14ac:dyDescent="0.3">
      <c r="A171" s="23"/>
      <c r="B171" s="29"/>
      <c r="C171" s="30"/>
      <c r="D171" s="29"/>
      <c r="E171" s="31"/>
      <c r="F171" s="32"/>
    </row>
    <row r="172" spans="1:6" ht="14.4" hidden="1" customHeight="1" x14ac:dyDescent="0.3">
      <c r="A172" s="23"/>
      <c r="B172" s="29"/>
      <c r="C172" s="30"/>
      <c r="D172" s="29"/>
      <c r="E172" s="31"/>
      <c r="F172" s="32"/>
    </row>
    <row r="173" spans="1:6" ht="14.4" hidden="1" customHeight="1" x14ac:dyDescent="0.3">
      <c r="A173" s="23"/>
      <c r="B173" s="29"/>
      <c r="C173" s="30"/>
      <c r="D173" s="29"/>
      <c r="E173" s="31"/>
      <c r="F173" s="32"/>
    </row>
    <row r="174" spans="1:6" ht="14.4" hidden="1" customHeight="1" x14ac:dyDescent="0.3">
      <c r="A174" s="23"/>
      <c r="B174" s="29"/>
      <c r="C174" s="30"/>
      <c r="D174" s="29"/>
      <c r="E174" s="31"/>
      <c r="F174" s="32"/>
    </row>
    <row r="175" spans="1:6" ht="14.4" hidden="1" customHeight="1" x14ac:dyDescent="0.3">
      <c r="A175" s="23"/>
      <c r="B175" s="29"/>
      <c r="C175" s="30"/>
      <c r="D175" s="29"/>
      <c r="E175" s="31"/>
      <c r="F175" s="32"/>
    </row>
    <row r="176" spans="1:6" ht="14.4" hidden="1" customHeight="1" x14ac:dyDescent="0.3">
      <c r="A176" s="23"/>
      <c r="B176" s="29"/>
      <c r="C176" s="30"/>
      <c r="D176" s="29"/>
      <c r="E176" s="31"/>
      <c r="F176" s="32"/>
    </row>
    <row r="177" spans="1:6" ht="14.4" hidden="1" customHeight="1" x14ac:dyDescent="0.3">
      <c r="A177" s="23"/>
      <c r="B177" s="29"/>
      <c r="C177" s="30"/>
      <c r="D177" s="29"/>
      <c r="E177" s="31"/>
      <c r="F177" s="32"/>
    </row>
    <row r="178" spans="1:6" ht="14.4" hidden="1" customHeight="1" x14ac:dyDescent="0.3">
      <c r="A178" s="23"/>
      <c r="B178" s="29"/>
      <c r="C178" s="30"/>
      <c r="D178" s="29"/>
      <c r="E178" s="31"/>
      <c r="F178" s="32"/>
    </row>
    <row r="179" spans="1:6" ht="14.4" hidden="1" customHeight="1" x14ac:dyDescent="0.3">
      <c r="A179" s="23"/>
      <c r="B179" s="29"/>
      <c r="C179" s="30"/>
      <c r="D179" s="29"/>
      <c r="E179" s="31"/>
      <c r="F179" s="32"/>
    </row>
    <row r="180" spans="1:6" ht="14.4" hidden="1" customHeight="1" x14ac:dyDescent="0.3">
      <c r="A180" s="23"/>
      <c r="B180" s="29"/>
      <c r="C180" s="30"/>
      <c r="D180" s="29"/>
      <c r="E180" s="31"/>
      <c r="F180" s="32"/>
    </row>
    <row r="181" spans="1:6" ht="14.4" hidden="1" customHeight="1" x14ac:dyDescent="0.3">
      <c r="A181" s="23"/>
      <c r="B181" s="29"/>
      <c r="C181" s="30"/>
      <c r="D181" s="29"/>
      <c r="E181" s="31"/>
      <c r="F181" s="23"/>
    </row>
    <row r="182" spans="1:6" ht="14.4" hidden="1" customHeight="1" x14ac:dyDescent="0.3">
      <c r="A182" s="23"/>
      <c r="B182" s="29"/>
      <c r="C182" s="30"/>
      <c r="D182" s="29"/>
      <c r="E182" s="31"/>
      <c r="F182" s="23"/>
    </row>
    <row r="183" spans="1:6" ht="14.4" hidden="1" customHeight="1" x14ac:dyDescent="0.3">
      <c r="A183" s="23"/>
      <c r="B183" s="29"/>
      <c r="C183" s="30"/>
      <c r="D183" s="29"/>
      <c r="E183" s="31"/>
      <c r="F183" s="23"/>
    </row>
    <row r="184" spans="1:6" ht="14.4" hidden="1" customHeight="1" x14ac:dyDescent="0.3">
      <c r="A184" s="23"/>
      <c r="B184" s="29"/>
      <c r="C184" s="30"/>
      <c r="D184" s="29"/>
      <c r="E184" s="31"/>
      <c r="F184" s="23"/>
    </row>
    <row r="185" spans="1:6" ht="14.4" hidden="1" customHeight="1" x14ac:dyDescent="0.3">
      <c r="A185" s="23"/>
      <c r="B185" s="29"/>
      <c r="C185" s="30"/>
      <c r="D185" s="29"/>
      <c r="E185" s="31"/>
      <c r="F185" s="23"/>
    </row>
    <row r="186" spans="1:6" ht="14.4" hidden="1" customHeight="1" x14ac:dyDescent="0.3">
      <c r="A186" s="23"/>
      <c r="B186" s="29"/>
      <c r="C186" s="30"/>
      <c r="D186" s="29"/>
      <c r="E186" s="31"/>
      <c r="F186" s="23"/>
    </row>
    <row r="187" spans="1:6" ht="14.4" hidden="1" customHeight="1" x14ac:dyDescent="0.3">
      <c r="A187" s="23"/>
      <c r="B187" s="29"/>
      <c r="C187" s="30"/>
      <c r="D187" s="29"/>
      <c r="E187" s="31"/>
      <c r="F187" s="23"/>
    </row>
    <row r="188" spans="1:6" ht="14.4" hidden="1" customHeight="1" x14ac:dyDescent="0.3">
      <c r="A188" s="23"/>
      <c r="B188" s="29"/>
      <c r="C188" s="30"/>
      <c r="D188" s="29"/>
      <c r="E188" s="31"/>
      <c r="F188" s="23"/>
    </row>
    <row r="189" spans="1:6" ht="14.4" hidden="1" customHeight="1" x14ac:dyDescent="0.3">
      <c r="A189" s="23"/>
      <c r="B189" s="29"/>
      <c r="C189" s="30"/>
      <c r="D189" s="29"/>
      <c r="E189" s="31"/>
      <c r="F189" s="23"/>
    </row>
    <row r="190" spans="1:6" ht="14.4" hidden="1" customHeight="1" x14ac:dyDescent="0.3">
      <c r="A190" s="23"/>
      <c r="B190" s="29"/>
      <c r="C190" s="30"/>
      <c r="D190" s="29"/>
      <c r="E190" s="31"/>
      <c r="F190" s="23"/>
    </row>
    <row r="191" spans="1:6" ht="14.4" hidden="1" customHeight="1" x14ac:dyDescent="0.3">
      <c r="A191" s="23"/>
      <c r="B191" s="29"/>
      <c r="C191" s="30"/>
      <c r="D191" s="29"/>
      <c r="E191" s="31"/>
      <c r="F191" s="23"/>
    </row>
    <row r="192" spans="1:6" ht="14.4" hidden="1" customHeight="1" x14ac:dyDescent="0.3">
      <c r="A192" s="23"/>
      <c r="B192" s="29"/>
      <c r="C192" s="30"/>
      <c r="D192" s="29"/>
      <c r="E192" s="31"/>
      <c r="F192" s="23"/>
    </row>
    <row r="193" spans="1:6" ht="14.4" hidden="1" customHeight="1" x14ac:dyDescent="0.3">
      <c r="A193" s="23"/>
      <c r="B193" s="29"/>
      <c r="C193" s="30"/>
      <c r="D193" s="29"/>
      <c r="E193" s="31"/>
      <c r="F193" s="23"/>
    </row>
    <row r="194" spans="1:6" ht="14.4" hidden="1" customHeight="1" x14ac:dyDescent="0.3">
      <c r="A194" s="23"/>
      <c r="B194" s="29"/>
      <c r="C194" s="30"/>
      <c r="D194" s="29"/>
      <c r="E194" s="31"/>
      <c r="F194" s="23"/>
    </row>
    <row r="195" spans="1:6" ht="14.4" hidden="1" customHeight="1" x14ac:dyDescent="0.3">
      <c r="A195" s="23"/>
      <c r="B195" s="29"/>
      <c r="C195" s="30"/>
      <c r="D195" s="29"/>
      <c r="E195" s="31"/>
      <c r="F195" s="23"/>
    </row>
    <row r="196" spans="1:6" ht="14.4" hidden="1" customHeight="1" x14ac:dyDescent="0.3">
      <c r="A196" s="23"/>
      <c r="B196" s="29"/>
      <c r="C196" s="30"/>
      <c r="D196" s="29"/>
      <c r="E196" s="31"/>
      <c r="F196" s="23"/>
    </row>
    <row r="197" spans="1:6" ht="14.4" hidden="1" customHeight="1" x14ac:dyDescent="0.3">
      <c r="A197" s="23"/>
      <c r="B197" s="29"/>
      <c r="C197" s="30"/>
      <c r="D197" s="29"/>
      <c r="E197" s="31"/>
      <c r="F197" s="23"/>
    </row>
    <row r="198" spans="1:6" ht="14.4" hidden="1" customHeight="1" x14ac:dyDescent="0.3">
      <c r="A198" s="23"/>
      <c r="B198" s="29"/>
      <c r="C198" s="30"/>
      <c r="D198" s="29"/>
      <c r="E198" s="31"/>
      <c r="F198" s="23"/>
    </row>
    <row r="199" spans="1:6" ht="14.4" hidden="1" customHeight="1" x14ac:dyDescent="0.3">
      <c r="A199" s="23"/>
      <c r="B199" s="29"/>
      <c r="C199" s="30"/>
      <c r="D199" s="29"/>
      <c r="E199" s="31"/>
      <c r="F199" s="23"/>
    </row>
    <row r="200" spans="1:6" ht="14.4" hidden="1" customHeight="1" x14ac:dyDescent="0.3">
      <c r="A200" s="23"/>
      <c r="B200" s="29"/>
      <c r="C200" s="30"/>
      <c r="D200" s="29"/>
      <c r="E200" s="31"/>
      <c r="F200" s="23"/>
    </row>
    <row r="201" spans="1:6" ht="14.4" hidden="1" customHeight="1" x14ac:dyDescent="0.3">
      <c r="A201" s="23"/>
      <c r="B201" s="33"/>
      <c r="C201" s="34"/>
      <c r="D201" s="33"/>
      <c r="E201" s="35"/>
      <c r="F201" s="23"/>
    </row>
    <row r="202" spans="1:6" ht="14.4" hidden="1" customHeight="1" x14ac:dyDescent="0.3">
      <c r="A202" s="23"/>
      <c r="C202" s="23"/>
      <c r="D202" s="23"/>
      <c r="E202" s="23"/>
      <c r="F202" s="23"/>
    </row>
  </sheetData>
  <sortState ref="B4:E100">
    <sortCondition ref="E3"/>
  </sortState>
  <mergeCells count="2">
    <mergeCell ref="B2:E2"/>
    <mergeCell ref="B103:E10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F4B6A-83AB-4557-B7EB-567F795EC3FA}">
  <sheetPr codeName="Blad6"/>
  <dimension ref="A1:Q1"/>
  <sheetViews>
    <sheetView workbookViewId="0"/>
  </sheetViews>
  <sheetFormatPr defaultRowHeight="14.4" x14ac:dyDescent="0.3"/>
  <cols>
    <col min="1" max="1" width="11.6640625" customWidth="1"/>
    <col min="2" max="2" width="22.33203125" customWidth="1"/>
    <col min="3" max="3" width="8.88671875" style="39"/>
    <col min="4" max="4" width="8.88671875" style="41"/>
    <col min="5" max="5" width="8.88671875" style="40"/>
    <col min="6" max="6" width="8.88671875" style="39"/>
    <col min="7" max="7" width="8.88671875" style="41"/>
    <col min="8" max="8" width="8.88671875" style="40"/>
    <col min="9" max="9" width="8.88671875" style="39"/>
    <col min="10" max="10" width="8.88671875" style="41"/>
    <col min="11" max="11" width="8.88671875" style="40"/>
    <col min="12" max="12" width="8.88671875" style="39"/>
    <col min="13" max="13" width="8.88671875" style="41"/>
    <col min="14" max="14" width="8.88671875" style="40"/>
    <col min="15" max="15" width="8.88671875" style="39"/>
    <col min="16" max="16" width="8.88671875" style="41"/>
    <col min="17" max="17" width="8.88671875" style="40"/>
  </cols>
  <sheetData>
    <row r="1" spans="1:17" s="36" customFormat="1" ht="15" thickBot="1" x14ac:dyDescent="0.35">
      <c r="A1" s="163" t="s">
        <v>442</v>
      </c>
      <c r="B1" s="37" t="s">
        <v>443</v>
      </c>
      <c r="C1" s="163" t="s">
        <v>23</v>
      </c>
      <c r="D1" s="36" t="s">
        <v>13</v>
      </c>
      <c r="E1" s="37" t="s">
        <v>24</v>
      </c>
      <c r="F1" s="163"/>
      <c r="H1" s="37"/>
      <c r="I1" s="163"/>
      <c r="K1" s="37"/>
      <c r="L1" s="163"/>
      <c r="N1" s="37"/>
      <c r="O1" s="163"/>
      <c r="Q1" s="3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FE2-CA7C-4876-BC40-100EAF3F54C9}">
  <sheetPr codeName="Blad7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7" t="str">
        <f>IF(A2="","",IF(ISNUMBER(LOOKUP("Â",Code128(A2),1)),"Error!",Code128(A2)))</f>
        <v/>
      </c>
      <c r="B1" s="177"/>
      <c r="C1" s="177" t="str">
        <f>IF(C2="","",IF(ISNUMBER(LOOKUP("Â",Code128(C2),1)),"Error!",Code128(C2)))</f>
        <v/>
      </c>
      <c r="D1" s="177"/>
    </row>
    <row r="2" spans="1:4" x14ac:dyDescent="0.3">
      <c r="A2" s="42" t="str">
        <f>IF(DB!D3="","",DB!D3)</f>
        <v/>
      </c>
      <c r="B2" s="43" t="str">
        <f>IF(DB!D3="","",DB!E3)</f>
        <v/>
      </c>
      <c r="C2" s="42" t="str">
        <f>IF(DB!D4="","",DB!D4)</f>
        <v/>
      </c>
      <c r="D2" s="43" t="str">
        <f>IF(DB!D4="","",DB!E4)</f>
        <v/>
      </c>
    </row>
    <row r="3" spans="1:4" ht="52.8" x14ac:dyDescent="0.3">
      <c r="A3" s="177" t="str">
        <f>IF(A4="","",IF(ISNUMBER(LOOKUP("Â",Code128(A4),1)),"Error!",Code128(A4)))</f>
        <v/>
      </c>
      <c r="B3" s="177"/>
      <c r="C3" s="177" t="str">
        <f>IF(C4="","",IF(ISNUMBER(LOOKUP("Â",Code128(C4),1)),"Error!",Code128(C4)))</f>
        <v/>
      </c>
      <c r="D3" s="177"/>
    </row>
    <row r="4" spans="1:4" x14ac:dyDescent="0.3">
      <c r="A4" s="42" t="str">
        <f>IF(DB!D5="","",DB!D5)</f>
        <v/>
      </c>
      <c r="B4" s="43" t="str">
        <f>IF(DB!D5="","",DB!E5)</f>
        <v/>
      </c>
      <c r="C4" s="42" t="str">
        <f>IF(DB!D6="","",DB!D6)</f>
        <v/>
      </c>
      <c r="D4" s="43" t="str">
        <f>IF(DB!D6="","",DB!E6)</f>
        <v/>
      </c>
    </row>
    <row r="5" spans="1:4" ht="52.8" x14ac:dyDescent="0.3">
      <c r="A5" s="177" t="str">
        <f>IF(A6="","",IF(ISNUMBER(LOOKUP("Â",Code128(A6),1)),"Error!",Code128(A6)))</f>
        <v/>
      </c>
      <c r="B5" s="177"/>
      <c r="C5" s="177" t="str">
        <f>IF(C6="","",IF(ISNUMBER(LOOKUP("Â",Code128(C6),1)),"Error!",Code128(C6)))</f>
        <v/>
      </c>
      <c r="D5" s="177"/>
    </row>
    <row r="6" spans="1:4" x14ac:dyDescent="0.3">
      <c r="A6" s="42" t="str">
        <f>IF(DB!D7="","",DB!D7)</f>
        <v/>
      </c>
      <c r="B6" s="43" t="str">
        <f>IF(DB!D7="","",DB!E7)</f>
        <v/>
      </c>
      <c r="C6" s="42" t="str">
        <f>IF(DB!D8="","",DB!D8)</f>
        <v/>
      </c>
      <c r="D6" s="43" t="str">
        <f>IF(DB!D8="","",DB!E8)</f>
        <v/>
      </c>
    </row>
    <row r="7" spans="1:4" ht="52.8" x14ac:dyDescent="0.3">
      <c r="A7" s="177" t="str">
        <f>IF(A8="","",IF(ISNUMBER(LOOKUP("Â",Code128(A8),1)),"Error!",Code128(A8)))</f>
        <v/>
      </c>
      <c r="B7" s="177"/>
      <c r="C7" s="177" t="str">
        <f>IF(C8="","",IF(ISNUMBER(LOOKUP("Â",Code128(C8),1)),"Error!",Code128(C8)))</f>
        <v/>
      </c>
      <c r="D7" s="177"/>
    </row>
    <row r="8" spans="1:4" x14ac:dyDescent="0.3">
      <c r="A8" s="42" t="str">
        <f>IF(DB!D9="","",DB!D9)</f>
        <v/>
      </c>
      <c r="B8" s="43" t="str">
        <f>IF(DB!D9="","",DB!E9)</f>
        <v/>
      </c>
      <c r="C8" s="42" t="str">
        <f>IF(DB!D10="","",DB!D10)</f>
        <v/>
      </c>
      <c r="D8" s="43" t="str">
        <f>IF(DB!D10="","",DB!E10)</f>
        <v/>
      </c>
    </row>
    <row r="9" spans="1:4" ht="52.8" x14ac:dyDescent="0.3">
      <c r="A9" s="177" t="str">
        <f>IF(A10="","",IF(ISNUMBER(LOOKUP("Â",Code128(A10),1)),"Error!",Code128(A10)))</f>
        <v/>
      </c>
      <c r="B9" s="177"/>
      <c r="C9" s="177" t="str">
        <f>IF(C10="","",IF(ISNUMBER(LOOKUP("Â",Code128(C10),1)),"Error!",Code128(C10)))</f>
        <v/>
      </c>
      <c r="D9" s="177"/>
    </row>
    <row r="10" spans="1:4" x14ac:dyDescent="0.3">
      <c r="A10" s="42" t="str">
        <f>IF(DB!D11="","",DB!D11)</f>
        <v/>
      </c>
      <c r="B10" s="43" t="str">
        <f>IF(DB!D11="","",DB!E11)</f>
        <v/>
      </c>
      <c r="C10" s="42" t="str">
        <f>IF(DB!D12="","",DB!D12)</f>
        <v/>
      </c>
      <c r="D10" s="43" t="str">
        <f>IF(DB!D12="","",DB!E12)</f>
        <v/>
      </c>
    </row>
    <row r="11" spans="1:4" ht="52.8" x14ac:dyDescent="0.3">
      <c r="A11" s="177" t="str">
        <f>IF(A12="","",IF(ISNUMBER(LOOKUP("Â",Code128(A12),1)),"Error!",Code128(A12)))</f>
        <v/>
      </c>
      <c r="B11" s="177"/>
      <c r="C11" s="177" t="str">
        <f>IF(C12="","",IF(ISNUMBER(LOOKUP("Â",Code128(C12),1)),"Error!",Code128(C12)))</f>
        <v/>
      </c>
      <c r="D11" s="177"/>
    </row>
    <row r="12" spans="1:4" x14ac:dyDescent="0.3">
      <c r="A12" s="42" t="str">
        <f>IF(DB!D13="","",DB!D13)</f>
        <v/>
      </c>
      <c r="B12" s="43" t="str">
        <f>IF(DB!D13="","",DB!E13)</f>
        <v/>
      </c>
      <c r="C12" s="42" t="str">
        <f>IF(DB!D14="","",DB!D14)</f>
        <v/>
      </c>
      <c r="D12" s="43" t="str">
        <f>IF(DB!D14="","",DB!E14)</f>
        <v/>
      </c>
    </row>
    <row r="13" spans="1:4" ht="52.8" x14ac:dyDescent="0.3">
      <c r="A13" s="177" t="str">
        <f>IF(A14="","",IF(ISNUMBER(LOOKUP("Â",Code128(A14),1)),"Error!",Code128(A14)))</f>
        <v/>
      </c>
      <c r="B13" s="177"/>
      <c r="C13" s="177" t="str">
        <f>IF(C14="","",IF(ISNUMBER(LOOKUP("Â",Code128(C14),1)),"Error!",Code128(C14)))</f>
        <v/>
      </c>
      <c r="D13" s="177"/>
    </row>
    <row r="14" spans="1:4" x14ac:dyDescent="0.3">
      <c r="A14" s="42" t="str">
        <f>IF(DB!D15="","",DB!D15)</f>
        <v/>
      </c>
      <c r="B14" s="43" t="str">
        <f>IF(DB!D15="","",DB!E15)</f>
        <v/>
      </c>
      <c r="C14" s="42" t="str">
        <f>IF(DB!D16="","",DB!D16)</f>
        <v/>
      </c>
      <c r="D14" s="43" t="str">
        <f>IF(DB!D16="","",DB!E16)</f>
        <v/>
      </c>
    </row>
    <row r="15" spans="1:4" ht="52.8" x14ac:dyDescent="0.3">
      <c r="A15" s="177" t="str">
        <f>IF(A16="","",IF(ISNUMBER(LOOKUP("Â",Code128(A16),1)),"Error!",Code128(A16)))</f>
        <v/>
      </c>
      <c r="B15" s="177"/>
      <c r="C15" s="177" t="str">
        <f>IF(C16="","",IF(ISNUMBER(LOOKUP("Â",Code128(C16),1)),"Error!",Code128(C16)))</f>
        <v/>
      </c>
      <c r="D15" s="177"/>
    </row>
    <row r="16" spans="1:4" x14ac:dyDescent="0.3">
      <c r="A16" s="42" t="str">
        <f>IF(DB!D17="","",DB!D17)</f>
        <v/>
      </c>
      <c r="B16" s="43" t="str">
        <f>IF(DB!D17="","",DB!E17)</f>
        <v/>
      </c>
      <c r="C16" s="42" t="str">
        <f>IF(DB!D18="","",DB!D18)</f>
        <v/>
      </c>
      <c r="D16" s="43" t="str">
        <f>IF(DB!D18="","",DB!E18)</f>
        <v/>
      </c>
    </row>
    <row r="17" spans="1:4" ht="52.8" x14ac:dyDescent="0.3">
      <c r="A17" s="177" t="str">
        <f>IF(A18="","",IF(ISNUMBER(LOOKUP("Â",Code128(A18),1)),"Error!",Code128(A18)))</f>
        <v/>
      </c>
      <c r="B17" s="177"/>
      <c r="C17" s="177" t="str">
        <f>IF(C18="","",IF(ISNUMBER(LOOKUP("Â",Code128(C18),1)),"Error!",Code128(C18)))</f>
        <v/>
      </c>
      <c r="D17" s="177"/>
    </row>
    <row r="18" spans="1:4" x14ac:dyDescent="0.3">
      <c r="A18" s="42" t="str">
        <f>IF(DB!D19="","",DB!D19)</f>
        <v/>
      </c>
      <c r="B18" s="43" t="str">
        <f>IF(DB!D19="","",DB!E19)</f>
        <v/>
      </c>
      <c r="C18" s="42" t="str">
        <f>IF(DB!D20="","",DB!D20)</f>
        <v/>
      </c>
      <c r="D18" s="43" t="str">
        <f>IF(DB!D20="","",DB!E20)</f>
        <v/>
      </c>
    </row>
    <row r="19" spans="1:4" ht="52.8" x14ac:dyDescent="0.3">
      <c r="A19" s="177" t="str">
        <f>IF(A20="","",IF(ISNUMBER(LOOKUP("Â",Code128(A20),1)),"Error!",Code128(A20)))</f>
        <v/>
      </c>
      <c r="B19" s="177"/>
      <c r="C19" s="177" t="str">
        <f>IF(C20="","",IF(ISNUMBER(LOOKUP("Â",Code128(C20),1)),"Error!",Code128(C20)))</f>
        <v/>
      </c>
      <c r="D19" s="177"/>
    </row>
    <row r="20" spans="1:4" x14ac:dyDescent="0.3">
      <c r="A20" s="42" t="str">
        <f>IF(DB!D21="","",DB!D21)</f>
        <v/>
      </c>
      <c r="B20" s="43" t="str">
        <f>IF(DB!D21="","",DB!E21)</f>
        <v/>
      </c>
      <c r="C20" s="42" t="str">
        <f>IF(DB!D22="","",DB!D22)</f>
        <v/>
      </c>
      <c r="D20" s="43" t="str">
        <f>IF(DB!D22="","",DB!E22)</f>
        <v/>
      </c>
    </row>
    <row r="21" spans="1:4" ht="52.8" x14ac:dyDescent="0.3">
      <c r="A21" s="177" t="str">
        <f>IF(A22="","",IF(ISNUMBER(LOOKUP("Â",Code128(A22),1)),"Error!",Code128(A22)))</f>
        <v/>
      </c>
      <c r="B21" s="177"/>
      <c r="C21" s="177" t="str">
        <f>IF(C22="","",IF(ISNUMBER(LOOKUP("Â",Code128(C22),1)),"Error!",Code128(C22)))</f>
        <v/>
      </c>
      <c r="D21" s="177"/>
    </row>
    <row r="22" spans="1:4" x14ac:dyDescent="0.3">
      <c r="A22" s="42" t="str">
        <f>IF(DB!D23="","",DB!D23)</f>
        <v/>
      </c>
      <c r="B22" s="43" t="str">
        <f>IF(DB!D23="","",DB!E23)</f>
        <v/>
      </c>
      <c r="C22" s="42" t="str">
        <f>IF(DB!D24="","",DB!D24)</f>
        <v/>
      </c>
      <c r="D22" s="43" t="str">
        <f>IF(DB!D24="","",DB!E24)</f>
        <v/>
      </c>
    </row>
    <row r="23" spans="1:4" ht="52.8" x14ac:dyDescent="0.3">
      <c r="A23" s="177" t="str">
        <f>IF(A24="","",IF(ISNUMBER(LOOKUP("Â",Code128(A24),1)),"Error!",Code128(A24)))</f>
        <v/>
      </c>
      <c r="B23" s="177"/>
      <c r="C23" s="177" t="str">
        <f>IF(C24="","",IF(ISNUMBER(LOOKUP("Â",Code128(C24),1)),"Error!",Code128(C24)))</f>
        <v/>
      </c>
      <c r="D23" s="177"/>
    </row>
    <row r="24" spans="1:4" x14ac:dyDescent="0.3">
      <c r="A24" s="42" t="str">
        <f>IF(DB!D25="","",DB!D25)</f>
        <v/>
      </c>
      <c r="B24" s="43" t="str">
        <f>IF(DB!D25="","",DB!E25)</f>
        <v/>
      </c>
      <c r="C24" s="42" t="str">
        <f>IF(DB!D26="","",DB!D26)</f>
        <v/>
      </c>
      <c r="D24" s="43" t="str">
        <f>IF(DB!D26="","",DB!E26)</f>
        <v/>
      </c>
    </row>
    <row r="25" spans="1:4" ht="52.8" x14ac:dyDescent="0.3">
      <c r="A25" s="177" t="str">
        <f>IF(A26="","",IF(ISNUMBER(LOOKUP("Â",Code128(A26),1)),"Error!",Code128(A26)))</f>
        <v/>
      </c>
      <c r="B25" s="177"/>
      <c r="C25" s="177" t="str">
        <f>IF(C26="","",IF(ISNUMBER(LOOKUP("Â",Code128(C26),1)),"Error!",Code128(C26)))</f>
        <v/>
      </c>
      <c r="D25" s="177"/>
    </row>
    <row r="26" spans="1:4" x14ac:dyDescent="0.3">
      <c r="A26" s="42" t="str">
        <f>IF(DB!D27="","",DB!D27)</f>
        <v/>
      </c>
      <c r="B26" s="43" t="str">
        <f>IF(DB!D27="","",DB!E27)</f>
        <v/>
      </c>
      <c r="C26" s="42" t="str">
        <f>IF(DB!D28="","",DB!D28)</f>
        <v/>
      </c>
      <c r="D26" s="43" t="str">
        <f>IF(DB!D28="","",DB!E28)</f>
        <v/>
      </c>
    </row>
    <row r="27" spans="1:4" ht="52.8" x14ac:dyDescent="0.3">
      <c r="A27" s="177" t="str">
        <f>IF(A28="","",IF(ISNUMBER(LOOKUP("Â",Code128(A28),1)),"Error!",Code128(A28)))</f>
        <v/>
      </c>
      <c r="B27" s="177"/>
      <c r="C27" s="177" t="str">
        <f>IF(C28="","",IF(ISNUMBER(LOOKUP("Â",Code128(C28),1)),"Error!",Code128(C28)))</f>
        <v/>
      </c>
      <c r="D27" s="177"/>
    </row>
    <row r="28" spans="1:4" x14ac:dyDescent="0.3">
      <c r="A28" s="42" t="str">
        <f>IF(DB!D29="","",DB!D29)</f>
        <v/>
      </c>
      <c r="B28" s="43" t="str">
        <f>IF(DB!D29="","",DB!E29)</f>
        <v/>
      </c>
      <c r="C28" s="42" t="str">
        <f>IF(DB!D30="","",DB!D30)</f>
        <v/>
      </c>
      <c r="D28" s="43" t="str">
        <f>IF(DB!D30="","",DB!E30)</f>
        <v/>
      </c>
    </row>
    <row r="29" spans="1:4" ht="52.8" x14ac:dyDescent="0.3">
      <c r="A29" s="177" t="str">
        <f>IF(A30="","",IF(ISNUMBER(LOOKUP("Â",Code128(A30),1)),"Error!",Code128(A30)))</f>
        <v/>
      </c>
      <c r="B29" s="177"/>
      <c r="C29" s="177" t="str">
        <f>IF(C30="","",IF(ISNUMBER(LOOKUP("Â",Code128(C30),1)),"Error!",Code128(C30)))</f>
        <v/>
      </c>
      <c r="D29" s="177"/>
    </row>
    <row r="30" spans="1:4" x14ac:dyDescent="0.3">
      <c r="A30" s="42" t="str">
        <f>IF(DB!D31="","",DB!D31)</f>
        <v/>
      </c>
      <c r="B30" s="43" t="str">
        <f>IF(DB!D31="","",DB!E31)</f>
        <v/>
      </c>
      <c r="C30" s="42" t="str">
        <f>IF(DB!D32="","",DB!D32)</f>
        <v/>
      </c>
      <c r="D30" s="43" t="str">
        <f>IF(DB!D32="","",DB!E32)</f>
        <v/>
      </c>
    </row>
    <row r="31" spans="1:4" ht="52.8" x14ac:dyDescent="0.3">
      <c r="A31" s="177" t="str">
        <f>IF(A32="","",IF(ISNUMBER(LOOKUP("Â",Code128(A32),1)),"Error!",Code128(A32)))</f>
        <v/>
      </c>
      <c r="B31" s="177"/>
      <c r="C31" s="177" t="str">
        <f>IF(C32="","",IF(ISNUMBER(LOOKUP("Â",Code128(C32),1)),"Error!",Code128(C32)))</f>
        <v/>
      </c>
      <c r="D31" s="177"/>
    </row>
    <row r="32" spans="1:4" x14ac:dyDescent="0.3">
      <c r="A32" s="42" t="str">
        <f>IF(DB!D33="","",DB!D33)</f>
        <v/>
      </c>
      <c r="B32" s="43" t="str">
        <f>IF(DB!D33="","",DB!E33)</f>
        <v/>
      </c>
      <c r="C32" s="42" t="str">
        <f>IF(DB!D34="","",DB!D34)</f>
        <v/>
      </c>
      <c r="D32" s="43" t="str">
        <f>IF(DB!D34="","",DB!E34)</f>
        <v/>
      </c>
    </row>
    <row r="33" spans="1:4" ht="52.8" x14ac:dyDescent="0.3">
      <c r="A33" s="177" t="str">
        <f>IF(A34="","",IF(ISNUMBER(LOOKUP("Â",Code128(A34),1)),"Error!",Code128(A34)))</f>
        <v/>
      </c>
      <c r="B33" s="177"/>
      <c r="C33" s="177" t="str">
        <f>IF(C34="","",IF(ISNUMBER(LOOKUP("Â",Code128(C34),1)),"Error!",Code128(C34)))</f>
        <v/>
      </c>
      <c r="D33" s="177"/>
    </row>
    <row r="34" spans="1:4" x14ac:dyDescent="0.3">
      <c r="A34" s="42" t="str">
        <f>IF(DB!D35="","",DB!D35)</f>
        <v/>
      </c>
      <c r="B34" s="43" t="str">
        <f>IF(DB!D35="","",DB!E35)</f>
        <v/>
      </c>
      <c r="C34" s="42" t="str">
        <f>IF(DB!D36="","",DB!D36)</f>
        <v/>
      </c>
      <c r="D34" s="43" t="str">
        <f>IF(DB!D36="","",DB!E36)</f>
        <v/>
      </c>
    </row>
    <row r="35" spans="1:4" ht="52.8" x14ac:dyDescent="0.3">
      <c r="A35" s="177" t="str">
        <f>IF(A36="","",IF(ISNUMBER(LOOKUP("Â",Code128(A36),1)),"Error!",Code128(A36)))</f>
        <v/>
      </c>
      <c r="B35" s="177"/>
      <c r="C35" s="177" t="str">
        <f>IF(C36="","",IF(ISNUMBER(LOOKUP("Â",Code128(C36),1)),"Error!",Code128(C36)))</f>
        <v/>
      </c>
      <c r="D35" s="177"/>
    </row>
    <row r="36" spans="1:4" x14ac:dyDescent="0.3">
      <c r="A36" s="42" t="str">
        <f>IF(DB!D37="","",DB!D37)</f>
        <v/>
      </c>
      <c r="B36" s="43" t="str">
        <f>IF(DB!D37="","",DB!E37)</f>
        <v/>
      </c>
      <c r="C36" s="42" t="str">
        <f>IF(DB!D38="","",DB!D38)</f>
        <v/>
      </c>
      <c r="D36" s="43" t="str">
        <f>IF(DB!D38="","",DB!E38)</f>
        <v/>
      </c>
    </row>
    <row r="37" spans="1:4" ht="52.8" x14ac:dyDescent="0.3">
      <c r="A37" s="177" t="str">
        <f>IF(A38="","",IF(ISNUMBER(LOOKUP("Â",Code128(A38),1)),"Error!",Code128(A38)))</f>
        <v/>
      </c>
      <c r="B37" s="177"/>
      <c r="C37" s="177" t="str">
        <f>IF(C38="","",IF(ISNUMBER(LOOKUP("Â",Code128(C38),1)),"Error!",Code128(C38)))</f>
        <v/>
      </c>
      <c r="D37" s="177"/>
    </row>
    <row r="38" spans="1:4" x14ac:dyDescent="0.3">
      <c r="A38" s="42" t="str">
        <f>IF(DB!D39="","",DB!D39)</f>
        <v/>
      </c>
      <c r="B38" s="43" t="str">
        <f>IF(DB!D39="","",DB!E39)</f>
        <v/>
      </c>
      <c r="C38" s="42" t="str">
        <f>IF(DB!D40="","",DB!D40)</f>
        <v/>
      </c>
      <c r="D38" s="43" t="str">
        <f>IF(DB!D40="","",DB!E40)</f>
        <v/>
      </c>
    </row>
    <row r="39" spans="1:4" ht="52.8" x14ac:dyDescent="0.3">
      <c r="A39" s="177" t="str">
        <f>IF(A40="","",IF(ISNUMBER(LOOKUP("Â",Code128(A40),1)),"Error!",Code128(A40)))</f>
        <v/>
      </c>
      <c r="B39" s="177"/>
      <c r="C39" s="177" t="str">
        <f>IF(C40="","",IF(ISNUMBER(LOOKUP("Â",Code128(C40),1)),"Error!",Code128(C40)))</f>
        <v/>
      </c>
      <c r="D39" s="177"/>
    </row>
    <row r="40" spans="1:4" x14ac:dyDescent="0.3">
      <c r="A40" s="42" t="str">
        <f>IF(DB!D41="","",DB!D41)</f>
        <v/>
      </c>
      <c r="B40" s="43" t="str">
        <f>IF(DB!D41="","",DB!E41)</f>
        <v/>
      </c>
      <c r="C40" s="42" t="str">
        <f>IF(DB!D42="","",DB!D42)</f>
        <v/>
      </c>
      <c r="D40" s="43" t="str">
        <f>IF(DB!D42="","",DB!E42)</f>
        <v/>
      </c>
    </row>
    <row r="41" spans="1:4" ht="52.8" x14ac:dyDescent="0.3">
      <c r="A41" s="177" t="str">
        <f>IF(A42="","",IF(ISNUMBER(LOOKUP("Â",Code128(A42),1)),"Error!",Code128(A42)))</f>
        <v/>
      </c>
      <c r="B41" s="177"/>
      <c r="C41" s="177" t="str">
        <f>IF(C42="","",IF(ISNUMBER(LOOKUP("Â",Code128(C42),1)),"Error!",Code128(C42)))</f>
        <v/>
      </c>
      <c r="D41" s="177"/>
    </row>
    <row r="42" spans="1:4" x14ac:dyDescent="0.3">
      <c r="A42" s="42" t="str">
        <f>IF(DB!D43="","",DB!D43)</f>
        <v/>
      </c>
      <c r="B42" s="43" t="str">
        <f>IF(DB!D43="","",DB!E43)</f>
        <v/>
      </c>
      <c r="C42" s="42" t="str">
        <f>IF(DB!D44="","",DB!D44)</f>
        <v/>
      </c>
      <c r="D42" s="43" t="str">
        <f>IF(DB!D44="","",DB!E44)</f>
        <v/>
      </c>
    </row>
    <row r="43" spans="1:4" ht="52.8" x14ac:dyDescent="0.3">
      <c r="A43" s="177" t="str">
        <f>IF(A44="","",IF(ISNUMBER(LOOKUP("Â",Code128(A44),1)),"Error!",Code128(A44)))</f>
        <v/>
      </c>
      <c r="B43" s="177"/>
      <c r="C43" s="177" t="str">
        <f>IF(C44="","",IF(ISNUMBER(LOOKUP("Â",Code128(C44),1)),"Error!",Code128(C44)))</f>
        <v/>
      </c>
      <c r="D43" s="177"/>
    </row>
    <row r="44" spans="1:4" x14ac:dyDescent="0.3">
      <c r="A44" s="42" t="str">
        <f>IF(DB!D45="","",DB!D45)</f>
        <v/>
      </c>
      <c r="B44" s="43" t="str">
        <f>IF(DB!D45="","",DB!E45)</f>
        <v/>
      </c>
      <c r="C44" s="42" t="str">
        <f>IF(DB!D46="","",DB!D46)</f>
        <v/>
      </c>
      <c r="D44" s="43" t="str">
        <f>IF(DB!D46="","",DB!E46)</f>
        <v/>
      </c>
    </row>
    <row r="45" spans="1:4" ht="52.8" x14ac:dyDescent="0.3">
      <c r="A45" s="177" t="str">
        <f>IF(A46="","",IF(ISNUMBER(LOOKUP("Â",Code128(A46),1)),"Error!",Code128(A46)))</f>
        <v/>
      </c>
      <c r="B45" s="177"/>
      <c r="C45" s="177" t="str">
        <f>IF(C46="","",IF(ISNUMBER(LOOKUP("Â",Code128(C46),1)),"Error!",Code128(C46)))</f>
        <v/>
      </c>
      <c r="D45" s="177"/>
    </row>
    <row r="46" spans="1:4" x14ac:dyDescent="0.3">
      <c r="A46" s="42" t="str">
        <f>IF(DB!D47="","",DB!D47)</f>
        <v/>
      </c>
      <c r="B46" s="43" t="str">
        <f>IF(DB!D47="","",DB!E47)</f>
        <v/>
      </c>
      <c r="C46" s="42" t="str">
        <f>IF(DB!D48="","",DB!D48)</f>
        <v/>
      </c>
      <c r="D46" s="43" t="str">
        <f>IF(DB!D48="","",DB!E48)</f>
        <v/>
      </c>
    </row>
    <row r="47" spans="1:4" ht="52.8" x14ac:dyDescent="0.3">
      <c r="A47" s="177" t="str">
        <f>IF(A48="","",IF(ISNUMBER(LOOKUP("Â",Code128(A48),1)),"Error!",Code128(A48)))</f>
        <v/>
      </c>
      <c r="B47" s="177"/>
      <c r="C47" s="177" t="str">
        <f>IF(C48="","",IF(ISNUMBER(LOOKUP("Â",Code128(C48),1)),"Error!",Code128(C48)))</f>
        <v/>
      </c>
      <c r="D47" s="177"/>
    </row>
    <row r="48" spans="1:4" x14ac:dyDescent="0.3">
      <c r="A48" s="42" t="str">
        <f>IF(DB!D49="","",DB!D49)</f>
        <v/>
      </c>
      <c r="B48" s="43" t="str">
        <f>IF(DB!D49="","",DB!E49)</f>
        <v/>
      </c>
      <c r="C48" s="42" t="str">
        <f>IF(DB!D50="","",DB!D50)</f>
        <v/>
      </c>
      <c r="D48" s="43" t="str">
        <f>IF(DB!D50="","",DB!E50)</f>
        <v/>
      </c>
    </row>
    <row r="49" spans="1:4" ht="52.8" x14ac:dyDescent="0.3">
      <c r="A49" s="177" t="str">
        <f>IF(A50="","",IF(ISNUMBER(LOOKUP("Â",Code128(A50),1)),"Error!",Code128(A50)))</f>
        <v/>
      </c>
      <c r="B49" s="177"/>
      <c r="C49" s="177" t="str">
        <f>IF(C50="","",IF(ISNUMBER(LOOKUP("Â",Code128(C50),1)),"Error!",Code128(C50)))</f>
        <v/>
      </c>
      <c r="D49" s="177"/>
    </row>
    <row r="50" spans="1:4" x14ac:dyDescent="0.3">
      <c r="A50" s="42" t="str">
        <f>IF(DB!D51="","",DB!D51)</f>
        <v/>
      </c>
      <c r="B50" s="43" t="str">
        <f>IF(DB!D51="","",DB!E51)</f>
        <v/>
      </c>
      <c r="C50" s="42" t="str">
        <f>IF(DB!D52="","",DB!D52)</f>
        <v/>
      </c>
      <c r="D50" s="43" t="str">
        <f>IF(DB!D52="","",DB!E52)</f>
        <v/>
      </c>
    </row>
    <row r="51" spans="1:4" ht="52.8" x14ac:dyDescent="0.3">
      <c r="A51" s="177" t="str">
        <f>IF(A52="","",IF(ISNUMBER(LOOKUP("Â",Code128(A52),1)),"Error!",Code128(A52)))</f>
        <v/>
      </c>
      <c r="B51" s="177"/>
      <c r="C51" s="177" t="str">
        <f>IF(C52="","",IF(ISNUMBER(LOOKUP("Â",Code128(C52),1)),"Error!",Code128(C52)))</f>
        <v/>
      </c>
      <c r="D51" s="177"/>
    </row>
    <row r="52" spans="1:4" x14ac:dyDescent="0.3">
      <c r="A52" s="42" t="str">
        <f>IF(DB!D53="","",DB!D53)</f>
        <v/>
      </c>
      <c r="B52" s="43" t="str">
        <f>IF(DB!D53="","",DB!E53)</f>
        <v/>
      </c>
      <c r="C52" s="42" t="str">
        <f>IF(DB!D54="","",DB!D54)</f>
        <v/>
      </c>
      <c r="D52" s="43" t="str">
        <f>IF(DB!D54="","",DB!E54)</f>
        <v/>
      </c>
    </row>
    <row r="53" spans="1:4" ht="52.8" x14ac:dyDescent="0.3">
      <c r="A53" s="177" t="str">
        <f>IF(A54="","",IF(ISNUMBER(LOOKUP("Â",Code128(A54),1)),"Error!",Code128(A54)))</f>
        <v/>
      </c>
      <c r="B53" s="177"/>
      <c r="C53" s="177" t="str">
        <f>IF(C54="","",IF(ISNUMBER(LOOKUP("Â",Code128(C54),1)),"Error!",Code128(C54)))</f>
        <v/>
      </c>
      <c r="D53" s="177"/>
    </row>
    <row r="54" spans="1:4" x14ac:dyDescent="0.3">
      <c r="A54" s="42" t="str">
        <f>IF(DB!D55="","",DB!D55)</f>
        <v/>
      </c>
      <c r="B54" s="43" t="str">
        <f>IF(DB!D55="","",DB!E55)</f>
        <v/>
      </c>
      <c r="C54" s="42" t="str">
        <f>IF(DB!D56="","",DB!D56)</f>
        <v/>
      </c>
      <c r="D54" s="43" t="str">
        <f>IF(DB!D56="","",DB!E56)</f>
        <v/>
      </c>
    </row>
    <row r="55" spans="1:4" ht="52.8" x14ac:dyDescent="0.3">
      <c r="A55" s="177" t="str">
        <f>IF(A56="","",IF(ISNUMBER(LOOKUP("Â",Code128(A56),1)),"Error!",Code128(A56)))</f>
        <v/>
      </c>
      <c r="B55" s="177"/>
      <c r="C55" s="177" t="str">
        <f>IF(C56="","",IF(ISNUMBER(LOOKUP("Â",Code128(C56),1)),"Error!",Code128(C56)))</f>
        <v/>
      </c>
      <c r="D55" s="177"/>
    </row>
    <row r="56" spans="1:4" x14ac:dyDescent="0.3">
      <c r="A56" s="42" t="str">
        <f>IF(DB!D57="","",DB!D57)</f>
        <v/>
      </c>
      <c r="B56" s="43" t="str">
        <f>IF(DB!D57="","",DB!E57)</f>
        <v/>
      </c>
      <c r="C56" s="42" t="str">
        <f>IF(DB!D58="","",DB!D58)</f>
        <v/>
      </c>
      <c r="D56" s="43" t="str">
        <f>IF(DB!D58="","",DB!E58)</f>
        <v/>
      </c>
    </row>
    <row r="57" spans="1:4" ht="52.8" x14ac:dyDescent="0.3">
      <c r="A57" s="177" t="str">
        <f>IF(A58="","",IF(ISNUMBER(LOOKUP("Â",Code128(A58),1)),"Error!",Code128(A58)))</f>
        <v/>
      </c>
      <c r="B57" s="177"/>
      <c r="C57" s="177" t="str">
        <f>IF(C58="","",IF(ISNUMBER(LOOKUP("Â",Code128(C58),1)),"Error!",Code128(C58)))</f>
        <v/>
      </c>
      <c r="D57" s="177"/>
    </row>
    <row r="58" spans="1:4" x14ac:dyDescent="0.3">
      <c r="A58" s="42" t="str">
        <f>IF(DB!D59="","",DB!D59)</f>
        <v/>
      </c>
      <c r="B58" s="43" t="str">
        <f>IF(DB!D59="","",DB!E59)</f>
        <v/>
      </c>
      <c r="C58" s="42" t="str">
        <f>IF(DB!D60="","",DB!D60)</f>
        <v/>
      </c>
      <c r="D58" s="43" t="str">
        <f>IF(DB!D60="","",DB!E60)</f>
        <v/>
      </c>
    </row>
    <row r="59" spans="1:4" ht="52.8" x14ac:dyDescent="0.3">
      <c r="A59" s="177" t="str">
        <f>IF(A60="","",IF(ISNUMBER(LOOKUP("Â",Code128(A60),1)),"Error!",Code128(A60)))</f>
        <v/>
      </c>
      <c r="B59" s="177"/>
      <c r="C59" s="177" t="str">
        <f>IF(C60="","",IF(ISNUMBER(LOOKUP("Â",Code128(C60),1)),"Error!",Code128(C60)))</f>
        <v/>
      </c>
      <c r="D59" s="177"/>
    </row>
    <row r="60" spans="1:4" x14ac:dyDescent="0.3">
      <c r="A60" s="42" t="str">
        <f>IF(DB!D61="","",DB!D61)</f>
        <v/>
      </c>
      <c r="B60" s="43" t="str">
        <f>IF(DB!D61="","",DB!E61)</f>
        <v/>
      </c>
      <c r="C60" s="42" t="str">
        <f>IF(DB!D62="","",DB!D62)</f>
        <v/>
      </c>
      <c r="D60" s="43" t="str">
        <f>IF(DB!D62="","",DB!E62)</f>
        <v/>
      </c>
    </row>
    <row r="61" spans="1:4" ht="52.8" x14ac:dyDescent="0.3">
      <c r="A61" s="177" t="str">
        <f>IF(A62="","",IF(ISNUMBER(LOOKUP("Â",Code128(A62),1)),"Error!",Code128(A62)))</f>
        <v/>
      </c>
      <c r="B61" s="177"/>
      <c r="C61" s="177" t="str">
        <f>IF(C62="","",IF(ISNUMBER(LOOKUP("Â",Code128(C62),1)),"Error!",Code128(C62)))</f>
        <v/>
      </c>
      <c r="D61" s="177"/>
    </row>
    <row r="62" spans="1:4" x14ac:dyDescent="0.3">
      <c r="A62" s="42" t="str">
        <f>IF(DB!D63="","",DB!D63)</f>
        <v/>
      </c>
      <c r="B62" s="43" t="str">
        <f>IF(DB!D63="","",DB!E63)</f>
        <v/>
      </c>
      <c r="C62" s="42" t="str">
        <f>IF(DB!D64="","",DB!D64)</f>
        <v/>
      </c>
      <c r="D62" s="43" t="str">
        <f>IF(DB!D64="","",DB!E64)</f>
        <v/>
      </c>
    </row>
    <row r="63" spans="1:4" ht="52.8" x14ac:dyDescent="0.3">
      <c r="A63" s="177" t="str">
        <f>IF(A64="","",IF(ISNUMBER(LOOKUP("Â",Code128(A64),1)),"Error!",Code128(A64)))</f>
        <v/>
      </c>
      <c r="B63" s="177"/>
      <c r="C63" s="177" t="str">
        <f>IF(C64="","",IF(ISNUMBER(LOOKUP("Â",Code128(C64),1)),"Error!",Code128(C64)))</f>
        <v/>
      </c>
      <c r="D63" s="177"/>
    </row>
    <row r="64" spans="1:4" x14ac:dyDescent="0.3">
      <c r="A64" s="42" t="str">
        <f>IF(DB!D65="","",DB!D65)</f>
        <v/>
      </c>
      <c r="B64" s="43" t="str">
        <f>IF(DB!D65="","",DB!E65)</f>
        <v/>
      </c>
      <c r="C64" s="42" t="str">
        <f>IF(DB!D66="","",DB!D66)</f>
        <v/>
      </c>
      <c r="D64" s="43" t="str">
        <f>IF(DB!D66="","",DB!E66)</f>
        <v/>
      </c>
    </row>
    <row r="65" spans="1:4" ht="52.8" x14ac:dyDescent="0.3">
      <c r="A65" s="177" t="str">
        <f>IF(A66="","",IF(ISNUMBER(LOOKUP("Â",Code128(A66),1)),"Error!",Code128(A66)))</f>
        <v/>
      </c>
      <c r="B65" s="177"/>
      <c r="C65" s="177" t="str">
        <f>IF(C66="","",IF(ISNUMBER(LOOKUP("Â",Code128(C66),1)),"Error!",Code128(C66)))</f>
        <v/>
      </c>
      <c r="D65" s="177"/>
    </row>
    <row r="66" spans="1:4" x14ac:dyDescent="0.3">
      <c r="A66" s="42" t="str">
        <f>IF(DB!D67="","",DB!D67)</f>
        <v/>
      </c>
      <c r="B66" s="43" t="str">
        <f>IF(DB!D67="","",DB!E67)</f>
        <v/>
      </c>
      <c r="C66" s="42" t="str">
        <f>IF(DB!D68="","",DB!D68)</f>
        <v/>
      </c>
      <c r="D66" s="43" t="str">
        <f>IF(DB!D68="","",DB!E68)</f>
        <v/>
      </c>
    </row>
    <row r="67" spans="1:4" ht="52.8" x14ac:dyDescent="0.3">
      <c r="A67" s="177" t="str">
        <f>IF(A68="","",IF(ISNUMBER(LOOKUP("Â",Code128(A68),1)),"Error!",Code128(A68)))</f>
        <v/>
      </c>
      <c r="B67" s="177"/>
      <c r="C67" s="177" t="str">
        <f>IF(C68="","",IF(ISNUMBER(LOOKUP("Â",Code128(C68),1)),"Error!",Code128(C68)))</f>
        <v/>
      </c>
      <c r="D67" s="177"/>
    </row>
    <row r="68" spans="1:4" x14ac:dyDescent="0.3">
      <c r="A68" s="42" t="str">
        <f>IF(DB!D69="","",DB!D69)</f>
        <v/>
      </c>
      <c r="B68" s="43" t="str">
        <f>IF(DB!D69="","",DB!E69)</f>
        <v/>
      </c>
      <c r="C68" s="42" t="str">
        <f>IF(DB!D70="","",DB!D70)</f>
        <v/>
      </c>
      <c r="D68" s="43" t="str">
        <f>IF(DB!D70="","",DB!E70)</f>
        <v/>
      </c>
    </row>
    <row r="69" spans="1:4" ht="52.8" x14ac:dyDescent="0.3">
      <c r="A69" s="177" t="str">
        <f>IF(A70="","",IF(ISNUMBER(LOOKUP("Â",Code128(A70),1)),"Error!",Code128(A70)))</f>
        <v/>
      </c>
      <c r="B69" s="177"/>
      <c r="C69" s="177" t="str">
        <f>IF(C70="","",IF(ISNUMBER(LOOKUP("Â",Code128(C70),1)),"Error!",Code128(C70)))</f>
        <v/>
      </c>
      <c r="D69" s="177"/>
    </row>
    <row r="70" spans="1:4" x14ac:dyDescent="0.3">
      <c r="A70" s="42" t="str">
        <f>IF(DB!D71="","",DB!D71)</f>
        <v/>
      </c>
      <c r="B70" s="43" t="str">
        <f>IF(DB!D71="","",DB!E71)</f>
        <v/>
      </c>
      <c r="C70" s="42" t="str">
        <f>IF(DB!D72="","",DB!D72)</f>
        <v/>
      </c>
      <c r="D70" s="43" t="str">
        <f>IF(DB!D72="","",DB!E72)</f>
        <v/>
      </c>
    </row>
    <row r="71" spans="1:4" ht="52.8" x14ac:dyDescent="0.3">
      <c r="A71" s="177" t="str">
        <f>IF(A72="","",IF(ISNUMBER(LOOKUP("Â",Code128(A72),1)),"Error!",Code128(A72)))</f>
        <v/>
      </c>
      <c r="B71" s="177"/>
      <c r="C71" s="177" t="str">
        <f>IF(C72="","",IF(ISNUMBER(LOOKUP("Â",Code128(C72),1)),"Error!",Code128(C72)))</f>
        <v/>
      </c>
      <c r="D71" s="177"/>
    </row>
    <row r="72" spans="1:4" x14ac:dyDescent="0.3">
      <c r="A72" s="42" t="str">
        <f>IF(DB!D73="","",DB!D73)</f>
        <v/>
      </c>
      <c r="B72" s="43" t="str">
        <f>IF(DB!D73="","",DB!E73)</f>
        <v/>
      </c>
      <c r="C72" s="42" t="str">
        <f>IF(DB!D74="","",DB!D74)</f>
        <v/>
      </c>
      <c r="D72" s="43" t="str">
        <f>IF(DB!D74="","",DB!E74)</f>
        <v/>
      </c>
    </row>
    <row r="73" spans="1:4" ht="52.8" x14ac:dyDescent="0.3">
      <c r="A73" s="177" t="str">
        <f>IF(A74="","",IF(ISNUMBER(LOOKUP("Â",Code128(A74),1)),"Error!",Code128(A74)))</f>
        <v/>
      </c>
      <c r="B73" s="177"/>
      <c r="C73" s="177" t="str">
        <f>IF(C74="","",IF(ISNUMBER(LOOKUP("Â",Code128(C74),1)),"Error!",Code128(C74)))</f>
        <v/>
      </c>
      <c r="D73" s="177"/>
    </row>
    <row r="74" spans="1:4" x14ac:dyDescent="0.3">
      <c r="A74" s="42" t="str">
        <f>IF(DB!D75="","",DB!D75)</f>
        <v/>
      </c>
      <c r="B74" s="43" t="str">
        <f>IF(DB!D75="","",DB!E75)</f>
        <v/>
      </c>
      <c r="C74" s="42" t="str">
        <f>IF(DB!D76="","",DB!D76)</f>
        <v/>
      </c>
      <c r="D74" s="43" t="str">
        <f>IF(DB!D76="","",DB!E76)</f>
        <v/>
      </c>
    </row>
    <row r="75" spans="1:4" ht="52.8" x14ac:dyDescent="0.3">
      <c r="A75" s="177" t="str">
        <f>IF(A76="","",IF(ISNUMBER(LOOKUP("Â",Code128(A76),1)),"Error!",Code128(A76)))</f>
        <v/>
      </c>
      <c r="B75" s="177"/>
      <c r="C75" s="177" t="str">
        <f>IF(C76="","",IF(ISNUMBER(LOOKUP("Â",Code128(C76),1)),"Error!",Code128(C76)))</f>
        <v/>
      </c>
      <c r="D75" s="177"/>
    </row>
    <row r="76" spans="1:4" x14ac:dyDescent="0.3">
      <c r="A76" s="42" t="str">
        <f>IF(DB!D77="","",DB!D77)</f>
        <v/>
      </c>
      <c r="B76" s="43" t="str">
        <f>IF(DB!D77="","",DB!E77)</f>
        <v/>
      </c>
      <c r="C76" s="42" t="str">
        <f>IF(DB!D78="","",DB!D78)</f>
        <v/>
      </c>
      <c r="D76" s="43" t="str">
        <f>IF(DB!D78="","",DB!E78)</f>
        <v/>
      </c>
    </row>
    <row r="77" spans="1:4" ht="52.8" x14ac:dyDescent="0.3">
      <c r="A77" s="177" t="str">
        <f>IF(A78="","",IF(ISNUMBER(LOOKUP("Â",Code128(A78),1)),"Error!",Code128(A78)))</f>
        <v/>
      </c>
      <c r="B77" s="177"/>
      <c r="C77" s="177" t="str">
        <f>IF(C78="","",IF(ISNUMBER(LOOKUP("Â",Code128(C78),1)),"Error!",Code128(C78)))</f>
        <v/>
      </c>
      <c r="D77" s="177"/>
    </row>
    <row r="78" spans="1:4" x14ac:dyDescent="0.3">
      <c r="A78" s="42" t="str">
        <f>IF(DB!D79="","",DB!D79)</f>
        <v/>
      </c>
      <c r="B78" s="43" t="str">
        <f>IF(DB!D79="","",DB!E79)</f>
        <v/>
      </c>
      <c r="C78" s="42" t="str">
        <f>IF(DB!D80="","",DB!D80)</f>
        <v/>
      </c>
      <c r="D78" s="43" t="str">
        <f>IF(DB!D80="","",DB!E80)</f>
        <v/>
      </c>
    </row>
    <row r="79" spans="1:4" ht="52.8" x14ac:dyDescent="0.3">
      <c r="A79" s="177" t="str">
        <f>IF(A80="","",IF(ISNUMBER(LOOKUP("Â",Code128(A80),1)),"Error!",Code128(A80)))</f>
        <v/>
      </c>
      <c r="B79" s="177"/>
      <c r="C79" s="177" t="str">
        <f>IF(C80="","",IF(ISNUMBER(LOOKUP("Â",Code128(C80),1)),"Error!",Code128(C80)))</f>
        <v/>
      </c>
      <c r="D79" s="177"/>
    </row>
    <row r="80" spans="1:4" x14ac:dyDescent="0.3">
      <c r="A80" s="42" t="str">
        <f>IF(DB!D81="","",DB!D81)</f>
        <v/>
      </c>
      <c r="B80" s="43" t="str">
        <f>IF(DB!D81="","",DB!E81)</f>
        <v/>
      </c>
      <c r="C80" s="42" t="str">
        <f>IF(DB!D82="","",DB!D82)</f>
        <v/>
      </c>
      <c r="D80" s="43" t="str">
        <f>IF(DB!D82="","",DB!E82)</f>
        <v/>
      </c>
    </row>
    <row r="81" spans="1:4" ht="52.8" x14ac:dyDescent="0.3">
      <c r="A81" s="177" t="str">
        <f>IF(A82="","",IF(ISNUMBER(LOOKUP("Â",Code128(A82),1)),"Error!",Code128(A82)))</f>
        <v/>
      </c>
      <c r="B81" s="177"/>
      <c r="C81" s="177" t="str">
        <f>IF(C82="","",IF(ISNUMBER(LOOKUP("Â",Code128(C82),1)),"Error!",Code128(C82)))</f>
        <v/>
      </c>
      <c r="D81" s="177"/>
    </row>
    <row r="82" spans="1:4" x14ac:dyDescent="0.3">
      <c r="A82" s="42" t="str">
        <f>IF(DB!D83="","",DB!D83)</f>
        <v/>
      </c>
      <c r="B82" s="43" t="str">
        <f>IF(DB!D83="","",DB!E83)</f>
        <v/>
      </c>
      <c r="C82" s="42" t="str">
        <f>IF(DB!D84="","",DB!D84)</f>
        <v/>
      </c>
      <c r="D82" s="43" t="str">
        <f>IF(DB!D84="","",DB!E84)</f>
        <v/>
      </c>
    </row>
    <row r="83" spans="1:4" ht="52.8" x14ac:dyDescent="0.3">
      <c r="A83" s="177" t="str">
        <f>IF(A84="","",IF(ISNUMBER(LOOKUP("Â",Code128(A84),1)),"Error!",Code128(A84)))</f>
        <v/>
      </c>
      <c r="B83" s="177"/>
      <c r="C83" s="177" t="str">
        <f>IF(C84="","",IF(ISNUMBER(LOOKUP("Â",Code128(C84),1)),"Error!",Code128(C84)))</f>
        <v/>
      </c>
      <c r="D83" s="177"/>
    </row>
    <row r="84" spans="1:4" x14ac:dyDescent="0.3">
      <c r="A84" s="42" t="str">
        <f>IF(DB!D85="","",DB!D85)</f>
        <v/>
      </c>
      <c r="B84" s="43" t="str">
        <f>IF(DB!D85="","",DB!E85)</f>
        <v/>
      </c>
      <c r="C84" s="42" t="str">
        <f>IF(DB!D86="","",DB!D86)</f>
        <v/>
      </c>
      <c r="D84" s="43" t="str">
        <f>IF(DB!D86="","",DB!E86)</f>
        <v/>
      </c>
    </row>
    <row r="85" spans="1:4" ht="52.8" x14ac:dyDescent="0.3">
      <c r="A85" s="177" t="str">
        <f>IF(A86="","",IF(ISNUMBER(LOOKUP("Â",Code128(A86),1)),"Error!",Code128(A86)))</f>
        <v/>
      </c>
      <c r="B85" s="177"/>
      <c r="C85" s="177" t="str">
        <f>IF(C86="","",IF(ISNUMBER(LOOKUP("Â",Code128(C86),1)),"Error!",Code128(C86)))</f>
        <v/>
      </c>
      <c r="D85" s="177"/>
    </row>
    <row r="86" spans="1:4" x14ac:dyDescent="0.3">
      <c r="A86" s="42" t="str">
        <f>IF(DB!D87="","",DB!D87)</f>
        <v/>
      </c>
      <c r="B86" s="43" t="str">
        <f>IF(DB!D87="","",DB!E87)</f>
        <v/>
      </c>
      <c r="C86" s="42" t="str">
        <f>IF(DB!D88="","",DB!D88)</f>
        <v/>
      </c>
      <c r="D86" s="43" t="str">
        <f>IF(DB!D88="","",DB!E88)</f>
        <v/>
      </c>
    </row>
    <row r="87" spans="1:4" ht="52.8" x14ac:dyDescent="0.3">
      <c r="A87" s="177" t="str">
        <f>IF(A88="","",IF(ISNUMBER(LOOKUP("Â",Code128(A88),1)),"Error!",Code128(A88)))</f>
        <v/>
      </c>
      <c r="B87" s="177"/>
      <c r="C87" s="177" t="str">
        <f>IF(C88="","",IF(ISNUMBER(LOOKUP("Â",Code128(C88),1)),"Error!",Code128(C88)))</f>
        <v/>
      </c>
      <c r="D87" s="177"/>
    </row>
    <row r="88" spans="1:4" x14ac:dyDescent="0.3">
      <c r="A88" s="42" t="str">
        <f>IF(DB!D89="","",DB!D89)</f>
        <v/>
      </c>
      <c r="B88" s="43" t="str">
        <f>IF(DB!D89="","",DB!E89)</f>
        <v/>
      </c>
      <c r="C88" s="42" t="str">
        <f>IF(DB!D90="","",DB!D90)</f>
        <v/>
      </c>
      <c r="D88" s="43" t="str">
        <f>IF(DB!D90="","",DB!E90)</f>
        <v/>
      </c>
    </row>
    <row r="89" spans="1:4" ht="52.8" x14ac:dyDescent="0.3">
      <c r="A89" s="177" t="str">
        <f>IF(A90="","",IF(ISNUMBER(LOOKUP("Â",Code128(A90),1)),"Error!",Code128(A90)))</f>
        <v/>
      </c>
      <c r="B89" s="177"/>
      <c r="C89" s="177" t="str">
        <f>IF(C90="","",IF(ISNUMBER(LOOKUP("Â",Code128(C90),1)),"Error!",Code128(C90)))</f>
        <v/>
      </c>
      <c r="D89" s="177"/>
    </row>
    <row r="90" spans="1:4" x14ac:dyDescent="0.3">
      <c r="A90" s="42" t="str">
        <f>IF(DB!D91="","",DB!D91)</f>
        <v/>
      </c>
      <c r="B90" s="43" t="str">
        <f>IF(DB!D91="","",DB!E91)</f>
        <v/>
      </c>
      <c r="C90" s="42" t="str">
        <f>IF(DB!D92="","",DB!D92)</f>
        <v/>
      </c>
      <c r="D90" s="43" t="str">
        <f>IF(DB!D92="","",DB!E92)</f>
        <v/>
      </c>
    </row>
    <row r="91" spans="1:4" ht="52.8" x14ac:dyDescent="0.3">
      <c r="A91" s="177" t="str">
        <f>IF(A92="","",IF(ISNUMBER(LOOKUP("Â",Code128(A92),1)),"Error!",Code128(A92)))</f>
        <v/>
      </c>
      <c r="B91" s="177"/>
      <c r="C91" s="177" t="str">
        <f>IF(C92="","",IF(ISNUMBER(LOOKUP("Â",Code128(C92),1)),"Error!",Code128(C92)))</f>
        <v/>
      </c>
      <c r="D91" s="177"/>
    </row>
    <row r="92" spans="1:4" x14ac:dyDescent="0.3">
      <c r="A92" s="42" t="str">
        <f>IF(DB!D93="","",DB!D93)</f>
        <v/>
      </c>
      <c r="B92" s="43" t="str">
        <f>IF(DB!D93="","",DB!E93)</f>
        <v/>
      </c>
      <c r="C92" s="42" t="str">
        <f>IF(DB!D94="","",DB!D94)</f>
        <v/>
      </c>
      <c r="D92" s="43" t="str">
        <f>IF(DB!D94="","",DB!E94)</f>
        <v/>
      </c>
    </row>
    <row r="93" spans="1:4" ht="52.8" x14ac:dyDescent="0.3">
      <c r="A93" s="177" t="str">
        <f>IF(A94="","",IF(ISNUMBER(LOOKUP("Â",Code128(A94),1)),"Error!",Code128(A94)))</f>
        <v/>
      </c>
      <c r="B93" s="177"/>
      <c r="C93" s="177" t="str">
        <f>IF(C94="","",IF(ISNUMBER(LOOKUP("Â",Code128(C94),1)),"Error!",Code128(C94)))</f>
        <v/>
      </c>
      <c r="D93" s="177"/>
    </row>
    <row r="94" spans="1:4" x14ac:dyDescent="0.3">
      <c r="A94" s="42" t="str">
        <f>IF(DB!D95="","",DB!D95)</f>
        <v/>
      </c>
      <c r="B94" s="43" t="str">
        <f>IF(DB!D95="","",DB!E95)</f>
        <v/>
      </c>
      <c r="C94" s="42" t="str">
        <f>IF(DB!D96="","",DB!D96)</f>
        <v/>
      </c>
      <c r="D94" s="43" t="str">
        <f>IF(DB!D96="","",DB!E96)</f>
        <v/>
      </c>
    </row>
    <row r="95" spans="1:4" ht="52.8" x14ac:dyDescent="0.3">
      <c r="A95" s="177" t="str">
        <f>IF(A96="","",IF(ISNUMBER(LOOKUP("Â",Code128(A96),1)),"Error!",Code128(A96)))</f>
        <v/>
      </c>
      <c r="B95" s="177"/>
      <c r="C95" s="177" t="str">
        <f>IF(C96="","",IF(ISNUMBER(LOOKUP("Â",Code128(C96),1)),"Error!",Code128(C96)))</f>
        <v/>
      </c>
      <c r="D95" s="177"/>
    </row>
    <row r="96" spans="1:4" x14ac:dyDescent="0.3">
      <c r="A96" s="42" t="str">
        <f>IF(DB!D97="","",DB!D97)</f>
        <v/>
      </c>
      <c r="B96" s="43" t="str">
        <f>IF(DB!D97="","",DB!E97)</f>
        <v/>
      </c>
      <c r="C96" s="42" t="str">
        <f>IF(DB!D98="","",DB!D98)</f>
        <v/>
      </c>
      <c r="D96" s="43" t="str">
        <f>IF(DB!D98="","",DB!E98)</f>
        <v/>
      </c>
    </row>
    <row r="97" spans="1:4" ht="52.8" x14ac:dyDescent="0.3">
      <c r="A97" s="177" t="str">
        <f>IF(A98="","",IF(ISNUMBER(LOOKUP("Â",Code128(A98),1)),"Error!",Code128(A98)))</f>
        <v/>
      </c>
      <c r="B97" s="177"/>
      <c r="C97" s="177" t="str">
        <f>IF(C98="","",IF(ISNUMBER(LOOKUP("Â",Code128(C98),1)),"Error!",Code128(C98)))</f>
        <v/>
      </c>
      <c r="D97" s="177"/>
    </row>
    <row r="98" spans="1:4" x14ac:dyDescent="0.3">
      <c r="A98" s="42" t="str">
        <f>IF(DB!D99="","",DB!D99)</f>
        <v/>
      </c>
      <c r="B98" s="43" t="str">
        <f>IF(DB!D99="","",DB!E99)</f>
        <v/>
      </c>
      <c r="C98" s="42" t="str">
        <f>IF(DB!D100="","",DB!D100)</f>
        <v/>
      </c>
      <c r="D98" s="43" t="str">
        <f>IF(DB!D100="","",DB!E100)</f>
        <v/>
      </c>
    </row>
    <row r="99" spans="1:4" ht="52.8" x14ac:dyDescent="0.3">
      <c r="A99" s="177" t="str">
        <f>IF(A100="","",IF(ISNUMBER(LOOKUP("Â",Code128(A100),1)),"Error!",Code128(A100)))</f>
        <v/>
      </c>
      <c r="B99" s="177"/>
      <c r="C99" s="177" t="str">
        <f>IF(C100="","",IF(ISNUMBER(LOOKUP("Â",Code128(C100),1)),"Error!",Code128(C100)))</f>
        <v/>
      </c>
      <c r="D99" s="177"/>
    </row>
    <row r="100" spans="1:4" x14ac:dyDescent="0.3">
      <c r="A100" s="42" t="str">
        <f>IF(DB!D101="","",DB!D101)</f>
        <v/>
      </c>
      <c r="B100" s="43" t="str">
        <f>IF(DB!D101="","",DB!E101)</f>
        <v/>
      </c>
      <c r="C100" s="42" t="str">
        <f>IF(DB!D102="","",DB!D102)</f>
        <v/>
      </c>
      <c r="D100" s="43" t="str">
        <f>IF(DB!D102="","",DB!E102)</f>
        <v/>
      </c>
    </row>
    <row r="101" spans="1:4" ht="52.8" x14ac:dyDescent="0.3">
      <c r="A101" s="177" t="str">
        <f>IF(A102="","",IF(ISNUMBER(LOOKUP("Â",Code128(A102),1)),"Error!",Code128(A102)))</f>
        <v/>
      </c>
      <c r="B101" s="177"/>
      <c r="C101" s="177" t="str">
        <f>IF(C102="","",IF(ISNUMBER(LOOKUP("Â",Code128(C102),1)),"Error!",Code128(C102)))</f>
        <v/>
      </c>
      <c r="D101" s="177"/>
    </row>
    <row r="102" spans="1:4" x14ac:dyDescent="0.3">
      <c r="A102" s="42" t="str">
        <f>IF(DB!D103="","",DB!D103)</f>
        <v/>
      </c>
      <c r="B102" s="43" t="str">
        <f>IF(DB!D103="","",DB!E103)</f>
        <v/>
      </c>
      <c r="C102" s="42" t="str">
        <f>IF(DB!D104="","",DB!D104)</f>
        <v/>
      </c>
      <c r="D102" s="43" t="str">
        <f>IF(DB!D104="","",DB!E104)</f>
        <v/>
      </c>
    </row>
    <row r="103" spans="1:4" ht="52.8" x14ac:dyDescent="0.3">
      <c r="A103" s="177" t="str">
        <f>IF(A104="","",IF(ISNUMBER(LOOKUP("Â",Code128(A104),1)),"Error!",Code128(A104)))</f>
        <v/>
      </c>
      <c r="B103" s="177"/>
      <c r="C103" s="177" t="str">
        <f>IF(C104="","",IF(ISNUMBER(LOOKUP("Â",Code128(C104),1)),"Error!",Code128(C104)))</f>
        <v/>
      </c>
      <c r="D103" s="177"/>
    </row>
    <row r="104" spans="1:4" x14ac:dyDescent="0.3">
      <c r="A104" s="42" t="str">
        <f>IF(DB!D105="","",DB!D105)</f>
        <v/>
      </c>
      <c r="B104" s="43" t="str">
        <f>IF(DB!D105="","",DB!E105)</f>
        <v/>
      </c>
      <c r="C104" s="42" t="str">
        <f>IF(DB!D106="","",DB!D106)</f>
        <v/>
      </c>
      <c r="D104" s="43" t="str">
        <f>IF(DB!D106="","",DB!E106)</f>
        <v/>
      </c>
    </row>
    <row r="105" spans="1:4" ht="52.8" x14ac:dyDescent="0.3">
      <c r="A105" s="177" t="str">
        <f>IF(A106="","",IF(ISNUMBER(LOOKUP("Â",Code128(A106),1)),"Error!",Code128(A106)))</f>
        <v/>
      </c>
      <c r="B105" s="177"/>
      <c r="C105" s="177" t="str">
        <f>IF(C106="","",IF(ISNUMBER(LOOKUP("Â",Code128(C106),1)),"Error!",Code128(C106)))</f>
        <v/>
      </c>
      <c r="D105" s="177"/>
    </row>
    <row r="106" spans="1:4" x14ac:dyDescent="0.3">
      <c r="A106" s="42" t="str">
        <f>IF(DB!D107="","",DB!D107)</f>
        <v/>
      </c>
      <c r="B106" s="43" t="str">
        <f>IF(DB!D107="","",DB!E107)</f>
        <v/>
      </c>
      <c r="C106" s="42" t="str">
        <f>IF(DB!D108="","",DB!D108)</f>
        <v/>
      </c>
      <c r="D106" s="43" t="str">
        <f>IF(DB!D108="","",DB!E108)</f>
        <v/>
      </c>
    </row>
    <row r="107" spans="1:4" ht="52.8" x14ac:dyDescent="0.3">
      <c r="A107" s="177" t="str">
        <f>IF(A108="","",IF(ISNUMBER(LOOKUP("Â",Code128(A108),1)),"Error!",Code128(A108)))</f>
        <v/>
      </c>
      <c r="B107" s="177"/>
      <c r="C107" s="177" t="str">
        <f>IF(C108="","",IF(ISNUMBER(LOOKUP("Â",Code128(C108),1)),"Error!",Code128(C108)))</f>
        <v/>
      </c>
      <c r="D107" s="177"/>
    </row>
    <row r="108" spans="1:4" x14ac:dyDescent="0.3">
      <c r="A108" s="42" t="str">
        <f>IF(DB!D109="","",DB!D109)</f>
        <v/>
      </c>
      <c r="B108" s="43" t="str">
        <f>IF(DB!D109="","",DB!E109)</f>
        <v/>
      </c>
      <c r="C108" s="42" t="str">
        <f>IF(DB!D110="","",DB!D110)</f>
        <v/>
      </c>
      <c r="D108" s="43" t="str">
        <f>IF(DB!D110="","",DB!E110)</f>
        <v/>
      </c>
    </row>
    <row r="109" spans="1:4" ht="52.8" x14ac:dyDescent="0.3">
      <c r="A109" s="177" t="str">
        <f>IF(A110="","",IF(ISNUMBER(LOOKUP("Â",Code128(A110),1)),"Error!",Code128(A110)))</f>
        <v/>
      </c>
      <c r="B109" s="177"/>
      <c r="C109" s="177" t="str">
        <f>IF(C110="","",IF(ISNUMBER(LOOKUP("Â",Code128(C110),1)),"Error!",Code128(C110)))</f>
        <v/>
      </c>
      <c r="D109" s="177"/>
    </row>
    <row r="110" spans="1:4" x14ac:dyDescent="0.3">
      <c r="A110" s="42" t="str">
        <f>IF(DB!D111="","",DB!D111)</f>
        <v/>
      </c>
      <c r="B110" s="43" t="str">
        <f>IF(DB!D111="","",DB!E111)</f>
        <v/>
      </c>
      <c r="C110" s="42" t="str">
        <f>IF(DB!D112="","",DB!D112)</f>
        <v/>
      </c>
      <c r="D110" s="43" t="str">
        <f>IF(DB!D112="","",DB!E112)</f>
        <v/>
      </c>
    </row>
    <row r="111" spans="1:4" ht="52.8" x14ac:dyDescent="0.3">
      <c r="A111" s="177" t="str">
        <f>IF(A112="","",IF(ISNUMBER(LOOKUP("Â",Code128(A112),1)),"Error!",Code128(A112)))</f>
        <v/>
      </c>
      <c r="B111" s="177"/>
      <c r="C111" s="177" t="str">
        <f>IF(C112="","",IF(ISNUMBER(LOOKUP("Â",Code128(C112),1)),"Error!",Code128(C112)))</f>
        <v/>
      </c>
      <c r="D111" s="177"/>
    </row>
    <row r="112" spans="1:4" x14ac:dyDescent="0.3">
      <c r="A112" s="42" t="str">
        <f>IF(DB!D113="","",DB!D113)</f>
        <v/>
      </c>
      <c r="B112" s="43" t="str">
        <f>IF(DB!D113="","",DB!E113)</f>
        <v/>
      </c>
      <c r="C112" s="42" t="str">
        <f>IF(DB!D114="","",DB!D114)</f>
        <v/>
      </c>
      <c r="D112" s="43" t="str">
        <f>IF(DB!D114="","",DB!E114)</f>
        <v/>
      </c>
    </row>
    <row r="113" spans="1:4" ht="52.8" x14ac:dyDescent="0.3">
      <c r="A113" s="177" t="str">
        <f>IF(A114="","",IF(ISNUMBER(LOOKUP("Â",Code128(A114),1)),"Error!",Code128(A114)))</f>
        <v/>
      </c>
      <c r="B113" s="177"/>
      <c r="C113" s="177" t="str">
        <f>IF(C114="","",IF(ISNUMBER(LOOKUP("Â",Code128(C114),1)),"Error!",Code128(C114)))</f>
        <v/>
      </c>
      <c r="D113" s="177"/>
    </row>
    <row r="114" spans="1:4" x14ac:dyDescent="0.3">
      <c r="A114" s="42" t="str">
        <f>IF(DB!D115="","",DB!D115)</f>
        <v/>
      </c>
      <c r="B114" s="43" t="str">
        <f>IF(DB!D115="","",DB!E115)</f>
        <v/>
      </c>
      <c r="C114" s="42" t="str">
        <f>IF(DB!D116="","",DB!D116)</f>
        <v/>
      </c>
      <c r="D114" s="43" t="str">
        <f>IF(DB!D116="","",DB!E116)</f>
        <v/>
      </c>
    </row>
    <row r="115" spans="1:4" ht="52.8" x14ac:dyDescent="0.3">
      <c r="A115" s="177" t="str">
        <f>IF(A116="","",IF(ISNUMBER(LOOKUP("Â",Code128(A116),1)),"Error!",Code128(A116)))</f>
        <v/>
      </c>
      <c r="B115" s="177"/>
      <c r="C115" s="177" t="str">
        <f>IF(C116="","",IF(ISNUMBER(LOOKUP("Â",Code128(C116),1)),"Error!",Code128(C116)))</f>
        <v/>
      </c>
      <c r="D115" s="177"/>
    </row>
    <row r="116" spans="1:4" x14ac:dyDescent="0.3">
      <c r="A116" s="42" t="str">
        <f>IF(DB!D117="","",DB!D117)</f>
        <v/>
      </c>
      <c r="B116" s="43" t="str">
        <f>IF(DB!D117="","",DB!E117)</f>
        <v/>
      </c>
      <c r="C116" s="42" t="str">
        <f>IF(DB!D118="","",DB!D118)</f>
        <v/>
      </c>
      <c r="D116" s="43" t="str">
        <f>IF(DB!D118="","",DB!E118)</f>
        <v/>
      </c>
    </row>
    <row r="117" spans="1:4" ht="52.8" x14ac:dyDescent="0.3">
      <c r="A117" s="177" t="str">
        <f>IF(A118="","",IF(ISNUMBER(LOOKUP("Â",Code128(A118),1)),"Error!",Code128(A118)))</f>
        <v/>
      </c>
      <c r="B117" s="177"/>
      <c r="C117" s="177" t="str">
        <f>IF(C118="","",IF(ISNUMBER(LOOKUP("Â",Code128(C118),1)),"Error!",Code128(C118)))</f>
        <v/>
      </c>
      <c r="D117" s="177"/>
    </row>
    <row r="118" spans="1:4" x14ac:dyDescent="0.3">
      <c r="A118" s="42" t="str">
        <f>IF(DB!D119="","",DB!D119)</f>
        <v/>
      </c>
      <c r="B118" s="43" t="str">
        <f>IF(DB!D119="","",DB!E119)</f>
        <v/>
      </c>
      <c r="C118" s="42" t="str">
        <f>IF(DB!D120="","",DB!D120)</f>
        <v/>
      </c>
      <c r="D118" s="43" t="str">
        <f>IF(DB!D120="","",DB!E120)</f>
        <v/>
      </c>
    </row>
    <row r="119" spans="1:4" ht="52.8" x14ac:dyDescent="0.3">
      <c r="A119" s="177" t="str">
        <f>IF(A120="","",IF(ISNUMBER(LOOKUP("Â",Code128(A120),1)),"Error!",Code128(A120)))</f>
        <v/>
      </c>
      <c r="B119" s="177"/>
      <c r="C119" s="177" t="str">
        <f>IF(C120="","",IF(ISNUMBER(LOOKUP("Â",Code128(C120),1)),"Error!",Code128(C120)))</f>
        <v/>
      </c>
      <c r="D119" s="177"/>
    </row>
    <row r="120" spans="1:4" x14ac:dyDescent="0.3">
      <c r="A120" s="42" t="str">
        <f>IF(DB!D121="","",DB!D121)</f>
        <v/>
      </c>
      <c r="B120" s="43" t="str">
        <f>IF(DB!D121="","",DB!E121)</f>
        <v/>
      </c>
      <c r="C120" s="42" t="str">
        <f>IF(DB!D122="","",DB!D122)</f>
        <v/>
      </c>
      <c r="D120" s="43" t="str">
        <f>IF(DB!D122="","",DB!E122)</f>
        <v/>
      </c>
    </row>
    <row r="121" spans="1:4" ht="52.8" x14ac:dyDescent="0.3">
      <c r="A121" s="177" t="str">
        <f>IF(A122="","",IF(ISNUMBER(LOOKUP("Â",Code128(A122),1)),"Error!",Code128(A122)))</f>
        <v/>
      </c>
      <c r="B121" s="177"/>
      <c r="C121" s="177" t="str">
        <f>IF(C122="","",IF(ISNUMBER(LOOKUP("Â",Code128(C122),1)),"Error!",Code128(C122)))</f>
        <v/>
      </c>
      <c r="D121" s="177"/>
    </row>
    <row r="122" spans="1:4" x14ac:dyDescent="0.3">
      <c r="A122" s="42" t="str">
        <f>IF(DB!D123="","",DB!D123)</f>
        <v/>
      </c>
      <c r="B122" s="43" t="str">
        <f>IF(DB!D123="","",DB!E123)</f>
        <v/>
      </c>
      <c r="C122" s="42" t="str">
        <f>IF(DB!D124="","",DB!D124)</f>
        <v/>
      </c>
      <c r="D122" s="43" t="str">
        <f>IF(DB!D124="","",DB!E124)</f>
        <v/>
      </c>
    </row>
    <row r="123" spans="1:4" ht="52.8" x14ac:dyDescent="0.3">
      <c r="A123" s="177" t="str">
        <f>IF(A124="","",IF(ISNUMBER(LOOKUP("Â",Code128(A124),1)),"Error!",Code128(A124)))</f>
        <v/>
      </c>
      <c r="B123" s="177"/>
      <c r="C123" s="177" t="str">
        <f>IF(C124="","",IF(ISNUMBER(LOOKUP("Â",Code128(C124),1)),"Error!",Code128(C124)))</f>
        <v/>
      </c>
      <c r="D123" s="177"/>
    </row>
    <row r="124" spans="1:4" x14ac:dyDescent="0.3">
      <c r="A124" s="42" t="str">
        <f>IF(DB!D125="","",DB!D125)</f>
        <v/>
      </c>
      <c r="B124" s="43" t="str">
        <f>IF(DB!D125="","",DB!E125)</f>
        <v/>
      </c>
      <c r="C124" s="42" t="str">
        <f>IF(DB!D126="","",DB!D126)</f>
        <v/>
      </c>
      <c r="D124" s="43" t="str">
        <f>IF(DB!D126="","",DB!E126)</f>
        <v/>
      </c>
    </row>
    <row r="125" spans="1:4" ht="52.8" x14ac:dyDescent="0.3">
      <c r="A125" s="177" t="str">
        <f>IF(A126="","",IF(ISNUMBER(LOOKUP("Â",Code128(A126),1)),"Error!",Code128(A126)))</f>
        <v/>
      </c>
      <c r="B125" s="177"/>
      <c r="C125" s="177" t="str">
        <f>IF(C126="","",IF(ISNUMBER(LOOKUP("Â",Code128(C126),1)),"Error!",Code128(C126)))</f>
        <v/>
      </c>
      <c r="D125" s="177"/>
    </row>
    <row r="126" spans="1:4" x14ac:dyDescent="0.3">
      <c r="A126" s="42" t="str">
        <f>IF(DB!D127="","",DB!D127)</f>
        <v/>
      </c>
      <c r="B126" s="43" t="str">
        <f>IF(DB!D127="","",DB!E127)</f>
        <v/>
      </c>
      <c r="C126" s="42" t="str">
        <f>IF(DB!D128="","",DB!D128)</f>
        <v/>
      </c>
      <c r="D126" s="43" t="str">
        <f>IF(DB!D128="","",DB!E128)</f>
        <v/>
      </c>
    </row>
    <row r="127" spans="1:4" ht="52.8" x14ac:dyDescent="0.3">
      <c r="A127" s="177" t="str">
        <f>IF(A128="","",IF(ISNUMBER(LOOKUP("Â",Code128(A128),1)),"Error!",Code128(A128)))</f>
        <v/>
      </c>
      <c r="B127" s="177"/>
      <c r="C127" s="177" t="str">
        <f>IF(C128="","",IF(ISNUMBER(LOOKUP("Â",Code128(C128),1)),"Error!",Code128(C128)))</f>
        <v/>
      </c>
      <c r="D127" s="177"/>
    </row>
    <row r="128" spans="1:4" x14ac:dyDescent="0.3">
      <c r="A128" s="42" t="str">
        <f>IF(DB!D129="","",DB!D129)</f>
        <v/>
      </c>
      <c r="B128" s="43" t="str">
        <f>IF(DB!D129="","",DB!E129)</f>
        <v/>
      </c>
      <c r="C128" s="42" t="str">
        <f>IF(DB!D130="","",DB!D130)</f>
        <v/>
      </c>
      <c r="D128" s="43" t="str">
        <f>IF(DB!D130="","",DB!E130)</f>
        <v/>
      </c>
    </row>
    <row r="129" spans="1:4" ht="52.8" x14ac:dyDescent="0.3">
      <c r="A129" s="177" t="str">
        <f>IF(A130="","",IF(ISNUMBER(LOOKUP("Â",Code128(A130),1)),"Error!",Code128(A130)))</f>
        <v/>
      </c>
      <c r="B129" s="177"/>
      <c r="C129" s="177" t="str">
        <f>IF(C130="","",IF(ISNUMBER(LOOKUP("Â",Code128(C130),1)),"Error!",Code128(C130)))</f>
        <v/>
      </c>
      <c r="D129" s="177"/>
    </row>
    <row r="130" spans="1:4" x14ac:dyDescent="0.3">
      <c r="A130" s="42" t="str">
        <f>IF(DB!D131="","",DB!D131)</f>
        <v/>
      </c>
      <c r="B130" s="43" t="str">
        <f>IF(DB!D131="","",DB!E131)</f>
        <v/>
      </c>
      <c r="C130" s="42" t="str">
        <f>IF(DB!D132="","",DB!D132)</f>
        <v/>
      </c>
      <c r="D130" s="43" t="str">
        <f>IF(DB!D132="","",DB!E132)</f>
        <v/>
      </c>
    </row>
    <row r="131" spans="1:4" ht="52.8" x14ac:dyDescent="0.3">
      <c r="A131" s="177" t="str">
        <f>IF(A132="","",IF(ISNUMBER(LOOKUP("Â",Code128(A132),1)),"Error!",Code128(A132)))</f>
        <v/>
      </c>
      <c r="B131" s="177"/>
      <c r="C131" s="177" t="str">
        <f>IF(C132="","",IF(ISNUMBER(LOOKUP("Â",Code128(C132),1)),"Error!",Code128(C132)))</f>
        <v/>
      </c>
      <c r="D131" s="177"/>
    </row>
    <row r="132" spans="1:4" x14ac:dyDescent="0.3">
      <c r="A132" s="42" t="str">
        <f>IF(DB!D133="","",DB!D133)</f>
        <v/>
      </c>
      <c r="B132" s="43" t="str">
        <f>IF(DB!D133="","",DB!E133)</f>
        <v/>
      </c>
      <c r="C132" s="42" t="str">
        <f>IF(DB!D134="","",DB!D134)</f>
        <v/>
      </c>
      <c r="D132" s="43" t="str">
        <f>IF(DB!D134="","",DB!E134)</f>
        <v/>
      </c>
    </row>
    <row r="133" spans="1:4" ht="52.8" x14ac:dyDescent="0.3">
      <c r="A133" s="177" t="str">
        <f>IF(A134="","",IF(ISNUMBER(LOOKUP("Â",Code128(A134),1)),"Error!",Code128(A134)))</f>
        <v/>
      </c>
      <c r="B133" s="177"/>
      <c r="C133" s="177" t="str">
        <f>IF(C134="","",IF(ISNUMBER(LOOKUP("Â",Code128(C134),1)),"Error!",Code128(C134)))</f>
        <v/>
      </c>
      <c r="D133" s="177"/>
    </row>
    <row r="134" spans="1:4" x14ac:dyDescent="0.3">
      <c r="A134" s="42" t="str">
        <f>IF(DB!D135="","",DB!D135)</f>
        <v/>
      </c>
      <c r="B134" s="43" t="str">
        <f>IF(DB!D135="","",DB!E135)</f>
        <v/>
      </c>
      <c r="C134" s="42" t="str">
        <f>IF(DB!D136="","",DB!D136)</f>
        <v/>
      </c>
      <c r="D134" s="43" t="str">
        <f>IF(DB!D136="","",DB!E136)</f>
        <v/>
      </c>
    </row>
    <row r="135" spans="1:4" ht="52.8" x14ac:dyDescent="0.3">
      <c r="A135" s="177" t="str">
        <f>IF(A136="","",IF(ISNUMBER(LOOKUP("Â",Code128(A136),1)),"Error!",Code128(A136)))</f>
        <v/>
      </c>
      <c r="B135" s="177"/>
      <c r="C135" s="177" t="str">
        <f>IF(C136="","",IF(ISNUMBER(LOOKUP("Â",Code128(C136),1)),"Error!",Code128(C136)))</f>
        <v/>
      </c>
      <c r="D135" s="177"/>
    </row>
    <row r="136" spans="1:4" x14ac:dyDescent="0.3">
      <c r="A136" s="42" t="str">
        <f>IF(DB!D137="","",DB!D137)</f>
        <v/>
      </c>
      <c r="B136" s="43" t="str">
        <f>IF(DB!D137="","",DB!E137)</f>
        <v/>
      </c>
      <c r="C136" s="42" t="str">
        <f>IF(DB!D138="","",DB!D138)</f>
        <v/>
      </c>
      <c r="D136" s="43" t="str">
        <f>IF(DB!D138="","",DB!E138)</f>
        <v/>
      </c>
    </row>
    <row r="137" spans="1:4" ht="52.8" x14ac:dyDescent="0.3">
      <c r="A137" s="177" t="str">
        <f>IF(A138="","",IF(ISNUMBER(LOOKUP("Â",Code128(A138),1)),"Error!",Code128(A138)))</f>
        <v/>
      </c>
      <c r="B137" s="177"/>
      <c r="C137" s="177" t="str">
        <f>IF(C138="","",IF(ISNUMBER(LOOKUP("Â",Code128(C138),1)),"Error!",Code128(C138)))</f>
        <v/>
      </c>
      <c r="D137" s="177"/>
    </row>
    <row r="138" spans="1:4" x14ac:dyDescent="0.3">
      <c r="A138" s="42" t="str">
        <f>IF(DB!D139="","",DB!D139)</f>
        <v/>
      </c>
      <c r="B138" s="43" t="str">
        <f>IF(DB!D139="","",DB!E139)</f>
        <v/>
      </c>
      <c r="C138" s="42" t="str">
        <f>IF(DB!D140="","",DB!D140)</f>
        <v/>
      </c>
      <c r="D138" s="43" t="str">
        <f>IF(DB!D140="","",DB!E140)</f>
        <v/>
      </c>
    </row>
    <row r="139" spans="1:4" ht="52.8" x14ac:dyDescent="0.3">
      <c r="A139" s="177" t="str">
        <f>IF(A140="","",IF(ISNUMBER(LOOKUP("Â",Code128(A140),1)),"Error!",Code128(A140)))</f>
        <v/>
      </c>
      <c r="B139" s="177"/>
      <c r="C139" s="177" t="str">
        <f>IF(C140="","",IF(ISNUMBER(LOOKUP("Â",Code128(C140),1)),"Error!",Code128(C140)))</f>
        <v/>
      </c>
      <c r="D139" s="177"/>
    </row>
    <row r="140" spans="1:4" x14ac:dyDescent="0.3">
      <c r="A140" s="42" t="str">
        <f>IF(DB!D141="","",DB!D141)</f>
        <v/>
      </c>
      <c r="B140" s="43" t="str">
        <f>IF(DB!D141="","",DB!E141)</f>
        <v/>
      </c>
      <c r="C140" s="42" t="str">
        <f>IF(DB!D142="","",DB!D142)</f>
        <v/>
      </c>
      <c r="D140" s="43" t="str">
        <f>IF(DB!D142="","",DB!E142)</f>
        <v/>
      </c>
    </row>
    <row r="141" spans="1:4" ht="52.8" x14ac:dyDescent="0.3">
      <c r="A141" s="177" t="str">
        <f>IF(A142="","",IF(ISNUMBER(LOOKUP("Â",Code128(A142),1)),"Error!",Code128(A142)))</f>
        <v/>
      </c>
      <c r="B141" s="177"/>
      <c r="C141" s="177" t="str">
        <f>IF(C142="","",IF(ISNUMBER(LOOKUP("Â",Code128(C142),1)),"Error!",Code128(C142)))</f>
        <v/>
      </c>
      <c r="D141" s="177"/>
    </row>
    <row r="142" spans="1:4" x14ac:dyDescent="0.3">
      <c r="A142" s="42" t="str">
        <f>IF(DB!D143="","",DB!D143)</f>
        <v/>
      </c>
      <c r="B142" s="43" t="str">
        <f>IF(DB!D143="","",DB!E143)</f>
        <v/>
      </c>
      <c r="C142" s="42" t="str">
        <f>IF(DB!D144="","",DB!D144)</f>
        <v/>
      </c>
      <c r="D142" s="43" t="str">
        <f>IF(DB!D144="","",DB!E144)</f>
        <v/>
      </c>
    </row>
    <row r="143" spans="1:4" ht="52.8" x14ac:dyDescent="0.3">
      <c r="A143" s="177" t="str">
        <f>IF(A144="","",IF(ISNUMBER(LOOKUP("Â",Code128(A144),1)),"Error!",Code128(A144)))</f>
        <v/>
      </c>
      <c r="B143" s="177"/>
      <c r="C143" s="177" t="str">
        <f>IF(C144="","",IF(ISNUMBER(LOOKUP("Â",Code128(C144),1)),"Error!",Code128(C144)))</f>
        <v/>
      </c>
      <c r="D143" s="177"/>
    </row>
    <row r="144" spans="1:4" x14ac:dyDescent="0.3">
      <c r="A144" s="42" t="str">
        <f>IF(DB!D145="","",DB!D145)</f>
        <v/>
      </c>
      <c r="B144" s="43" t="str">
        <f>IF(DB!D145="","",DB!E145)</f>
        <v/>
      </c>
      <c r="C144" s="42" t="str">
        <f>IF(DB!D146="","",DB!D146)</f>
        <v/>
      </c>
      <c r="D144" s="43" t="str">
        <f>IF(DB!D146="","",DB!E146)</f>
        <v/>
      </c>
    </row>
    <row r="145" spans="1:4" ht="52.8" x14ac:dyDescent="0.3">
      <c r="A145" s="177" t="str">
        <f>IF(A146="","",IF(ISNUMBER(LOOKUP("Â",Code128(A146),1)),"Error!",Code128(A146)))</f>
        <v/>
      </c>
      <c r="B145" s="177"/>
      <c r="C145" s="177" t="str">
        <f>IF(C146="","",IF(ISNUMBER(LOOKUP("Â",Code128(C146),1)),"Error!",Code128(C146)))</f>
        <v/>
      </c>
      <c r="D145" s="177"/>
    </row>
    <row r="146" spans="1:4" x14ac:dyDescent="0.3">
      <c r="A146" s="42" t="str">
        <f>IF(DB!D147="","",DB!D147)</f>
        <v/>
      </c>
      <c r="B146" s="43" t="str">
        <f>IF(DB!D147="","",DB!E147)</f>
        <v/>
      </c>
      <c r="C146" s="42" t="str">
        <f>IF(DB!D148="","",DB!D148)</f>
        <v/>
      </c>
      <c r="D146" s="43" t="str">
        <f>IF(DB!D148="","",DB!E148)</f>
        <v/>
      </c>
    </row>
    <row r="147" spans="1:4" ht="52.8" x14ac:dyDescent="0.3">
      <c r="A147" s="177" t="str">
        <f>IF(A148="","",IF(ISNUMBER(LOOKUP("Â",Code128(A148),1)),"Error!",Code128(A148)))</f>
        <v/>
      </c>
      <c r="B147" s="177"/>
      <c r="C147" s="177" t="str">
        <f>IF(C148="","",IF(ISNUMBER(LOOKUP("Â",Code128(C148),1)),"Error!",Code128(C148)))</f>
        <v/>
      </c>
      <c r="D147" s="177"/>
    </row>
    <row r="148" spans="1:4" x14ac:dyDescent="0.3">
      <c r="A148" s="42" t="str">
        <f>IF(DB!D149="","",DB!D149)</f>
        <v/>
      </c>
      <c r="B148" s="43" t="str">
        <f>IF(DB!D149="","",DB!E149)</f>
        <v/>
      </c>
      <c r="C148" s="42" t="str">
        <f>IF(DB!D150="","",DB!D150)</f>
        <v/>
      </c>
      <c r="D148" s="43" t="str">
        <f>IF(DB!D150="","",DB!E150)</f>
        <v/>
      </c>
    </row>
    <row r="149" spans="1:4" ht="52.8" x14ac:dyDescent="0.3">
      <c r="A149" s="177" t="str">
        <f>IF(A150="","",IF(ISNUMBER(LOOKUP("Â",Code128(A150),1)),"Error!",Code128(A150)))</f>
        <v/>
      </c>
      <c r="B149" s="177"/>
      <c r="C149" s="177" t="str">
        <f>IF(C150="","",IF(ISNUMBER(LOOKUP("Â",Code128(C150),1)),"Error!",Code128(C150)))</f>
        <v/>
      </c>
      <c r="D149" s="177"/>
    </row>
    <row r="150" spans="1:4" x14ac:dyDescent="0.3">
      <c r="A150" s="42" t="str">
        <f>IF(DB!D151="","",DB!D151)</f>
        <v/>
      </c>
      <c r="B150" s="43" t="str">
        <f>IF(DB!D151="","",DB!E151)</f>
        <v/>
      </c>
      <c r="C150" s="42" t="str">
        <f>IF(DB!D152="","",DB!D152)</f>
        <v/>
      </c>
      <c r="D150" s="43" t="str">
        <f>IF(DB!D152="","",DB!E152)</f>
        <v/>
      </c>
    </row>
    <row r="151" spans="1:4" ht="52.8" x14ac:dyDescent="0.3">
      <c r="A151" s="177" t="str">
        <f>IF(A152="","",IF(ISNUMBER(LOOKUP("Â",Code128(A152),1)),"Error!",Code128(A152)))</f>
        <v/>
      </c>
      <c r="B151" s="177"/>
      <c r="C151" s="177" t="str">
        <f>IF(C152="","",IF(ISNUMBER(LOOKUP("Â",Code128(C152),1)),"Error!",Code128(C152)))</f>
        <v/>
      </c>
      <c r="D151" s="177"/>
    </row>
    <row r="152" spans="1:4" x14ac:dyDescent="0.3">
      <c r="A152" s="42" t="str">
        <f>IF(DB!D153="","",DB!D153)</f>
        <v/>
      </c>
      <c r="B152" s="43" t="str">
        <f>IF(DB!D153="","",DB!E153)</f>
        <v/>
      </c>
      <c r="C152" s="42" t="str">
        <f>IF(DB!D154="","",DB!D154)</f>
        <v/>
      </c>
      <c r="D152" s="43" t="str">
        <f>IF(DB!D154="","",DB!E154)</f>
        <v/>
      </c>
    </row>
    <row r="153" spans="1:4" ht="52.8" x14ac:dyDescent="0.3">
      <c r="A153" s="177" t="str">
        <f>IF(A154="","",IF(ISNUMBER(LOOKUP("Â",Code128(A154),1)),"Error!",Code128(A154)))</f>
        <v/>
      </c>
      <c r="B153" s="177"/>
      <c r="C153" s="177" t="str">
        <f>IF(C154="","",IF(ISNUMBER(LOOKUP("Â",Code128(C154),1)),"Error!",Code128(C154)))</f>
        <v/>
      </c>
      <c r="D153" s="177"/>
    </row>
    <row r="154" spans="1:4" x14ac:dyDescent="0.3">
      <c r="A154" s="42" t="str">
        <f>IF(DB!D155="","",DB!D155)</f>
        <v/>
      </c>
      <c r="B154" s="43" t="str">
        <f>IF(DB!D155="","",DB!E155)</f>
        <v/>
      </c>
      <c r="C154" s="42" t="str">
        <f>IF(DB!D156="","",DB!D156)</f>
        <v/>
      </c>
      <c r="D154" s="43" t="str">
        <f>IF(DB!D156="","",DB!E156)</f>
        <v/>
      </c>
    </row>
    <row r="155" spans="1:4" ht="52.8" x14ac:dyDescent="0.3">
      <c r="A155" s="177" t="str">
        <f>IF(A156="","",IF(ISNUMBER(LOOKUP("Â",Code128(A156),1)),"Error!",Code128(A156)))</f>
        <v/>
      </c>
      <c r="B155" s="177"/>
      <c r="C155" s="177" t="str">
        <f>IF(C156="","",IF(ISNUMBER(LOOKUP("Â",Code128(C156),1)),"Error!",Code128(C156)))</f>
        <v/>
      </c>
      <c r="D155" s="177"/>
    </row>
    <row r="156" spans="1:4" x14ac:dyDescent="0.3">
      <c r="A156" s="42" t="str">
        <f>IF(DB!D157="","",DB!D157)</f>
        <v/>
      </c>
      <c r="B156" s="43" t="str">
        <f>IF(DB!D157="","",DB!E157)</f>
        <v/>
      </c>
      <c r="C156" s="42" t="str">
        <f>IF(DB!D158="","",DB!D158)</f>
        <v/>
      </c>
      <c r="D156" s="43" t="str">
        <f>IF(DB!D158="","",DB!E158)</f>
        <v/>
      </c>
    </row>
    <row r="157" spans="1:4" ht="52.8" x14ac:dyDescent="0.3">
      <c r="A157" s="177" t="str">
        <f>IF(A158="","",IF(ISNUMBER(LOOKUP("Â",Code128(A158),1)),"Error!",Code128(A158)))</f>
        <v/>
      </c>
      <c r="B157" s="177"/>
      <c r="C157" s="177" t="str">
        <f>IF(C158="","",IF(ISNUMBER(LOOKUP("Â",Code128(C158),1)),"Error!",Code128(C158)))</f>
        <v/>
      </c>
      <c r="D157" s="177"/>
    </row>
    <row r="158" spans="1:4" x14ac:dyDescent="0.3">
      <c r="A158" s="42" t="str">
        <f>IF(DB!D159="","",DB!D159)</f>
        <v/>
      </c>
      <c r="B158" s="43" t="str">
        <f>IF(DB!D159="","",DB!E159)</f>
        <v/>
      </c>
      <c r="C158" s="42" t="str">
        <f>IF(DB!D160="","",DB!D160)</f>
        <v/>
      </c>
      <c r="D158" s="43" t="str">
        <f>IF(DB!D160="","",DB!E160)</f>
        <v/>
      </c>
    </row>
    <row r="159" spans="1:4" ht="52.8" x14ac:dyDescent="0.3">
      <c r="A159" s="177" t="str">
        <f>IF(A160="","",IF(ISNUMBER(LOOKUP("Â",Code128(A160),1)),"Error!",Code128(A160)))</f>
        <v/>
      </c>
      <c r="B159" s="177"/>
      <c r="C159" s="177" t="str">
        <f>IF(C160="","",IF(ISNUMBER(LOOKUP("Â",Code128(C160),1)),"Error!",Code128(C160)))</f>
        <v/>
      </c>
      <c r="D159" s="177"/>
    </row>
    <row r="160" spans="1:4" x14ac:dyDescent="0.3">
      <c r="A160" s="42" t="str">
        <f>IF(DB!D161="","",DB!D161)</f>
        <v/>
      </c>
      <c r="B160" s="43" t="str">
        <f>IF(DB!D161="","",DB!E161)</f>
        <v/>
      </c>
      <c r="C160" s="42" t="str">
        <f>IF(DB!D162="","",DB!D162)</f>
        <v/>
      </c>
      <c r="D160" s="43" t="str">
        <f>IF(DB!D162="","",DB!E162)</f>
        <v/>
      </c>
    </row>
    <row r="161" spans="1:4" ht="52.8" x14ac:dyDescent="0.3">
      <c r="A161" s="177" t="str">
        <f>IF(A162="","",IF(ISNUMBER(LOOKUP("Â",Code128(A162),1)),"Error!",Code128(A162)))</f>
        <v/>
      </c>
      <c r="B161" s="177"/>
      <c r="C161" s="177" t="str">
        <f>IF(C162="","",IF(ISNUMBER(LOOKUP("Â",Code128(C162),1)),"Error!",Code128(C162)))</f>
        <v/>
      </c>
      <c r="D161" s="177"/>
    </row>
    <row r="162" spans="1:4" x14ac:dyDescent="0.3">
      <c r="A162" s="42" t="str">
        <f>IF(DB!D163="","",DB!D163)</f>
        <v/>
      </c>
      <c r="B162" s="43" t="str">
        <f>IF(DB!D163="","",DB!E163)</f>
        <v/>
      </c>
      <c r="C162" s="42" t="str">
        <f>IF(DB!D164="","",DB!D164)</f>
        <v/>
      </c>
      <c r="D162" s="43" t="str">
        <f>IF(DB!D164="","",DB!E164)</f>
        <v/>
      </c>
    </row>
    <row r="163" spans="1:4" ht="52.8" x14ac:dyDescent="0.3">
      <c r="A163" s="177" t="str">
        <f>IF(A164="","",IF(ISNUMBER(LOOKUP("Â",Code128(A164),1)),"Error!",Code128(A164)))</f>
        <v/>
      </c>
      <c r="B163" s="177"/>
      <c r="C163" s="177" t="str">
        <f>IF(C164="","",IF(ISNUMBER(LOOKUP("Â",Code128(C164),1)),"Error!",Code128(C164)))</f>
        <v/>
      </c>
      <c r="D163" s="177"/>
    </row>
    <row r="164" spans="1:4" x14ac:dyDescent="0.3">
      <c r="A164" s="42" t="str">
        <f>IF(DB!D165="","",DB!D165)</f>
        <v/>
      </c>
      <c r="B164" s="43" t="str">
        <f>IF(DB!D165="","",DB!E165)</f>
        <v/>
      </c>
      <c r="C164" s="42" t="str">
        <f>IF(DB!D166="","",DB!D166)</f>
        <v/>
      </c>
      <c r="D164" s="43" t="str">
        <f>IF(DB!D166="","",DB!E166)</f>
        <v/>
      </c>
    </row>
    <row r="165" spans="1:4" ht="52.8" x14ac:dyDescent="0.3">
      <c r="A165" s="177" t="str">
        <f>IF(A166="","",IF(ISNUMBER(LOOKUP("Â",Code128(A166),1)),"Error!",Code128(A166)))</f>
        <v/>
      </c>
      <c r="B165" s="177"/>
      <c r="C165" s="177" t="str">
        <f>IF(C166="","",IF(ISNUMBER(LOOKUP("Â",Code128(C166),1)),"Error!",Code128(C166)))</f>
        <v/>
      </c>
      <c r="D165" s="177"/>
    </row>
    <row r="166" spans="1:4" x14ac:dyDescent="0.3">
      <c r="A166" s="42" t="str">
        <f>IF(DB!D167="","",DB!D167)</f>
        <v/>
      </c>
      <c r="B166" s="43" t="str">
        <f>IF(DB!D167="","",DB!E167)</f>
        <v/>
      </c>
      <c r="C166" s="42" t="str">
        <f>IF(DB!D168="","",DB!D168)</f>
        <v/>
      </c>
      <c r="D166" s="43" t="str">
        <f>IF(DB!D168="","",DB!E168)</f>
        <v/>
      </c>
    </row>
    <row r="167" spans="1:4" ht="52.8" x14ac:dyDescent="0.3">
      <c r="A167" s="177" t="str">
        <f>IF(A168="","",IF(ISNUMBER(LOOKUP("Â",Code128(A168),1)),"Error!",Code128(A168)))</f>
        <v/>
      </c>
      <c r="B167" s="177"/>
      <c r="C167" s="177" t="str">
        <f>IF(C168="","",IF(ISNUMBER(LOOKUP("Â",Code128(C168),1)),"Error!",Code128(C168)))</f>
        <v/>
      </c>
      <c r="D167" s="177"/>
    </row>
    <row r="168" spans="1:4" x14ac:dyDescent="0.3">
      <c r="A168" s="42" t="str">
        <f>IF(DB!D169="","",DB!D169)</f>
        <v/>
      </c>
      <c r="B168" s="43" t="str">
        <f>IF(DB!D169="","",DB!E169)</f>
        <v/>
      </c>
      <c r="C168" s="42" t="str">
        <f>IF(DB!D170="","",DB!D170)</f>
        <v/>
      </c>
      <c r="D168" s="43" t="str">
        <f>IF(DB!D170="","",DB!E170)</f>
        <v/>
      </c>
    </row>
    <row r="169" spans="1:4" ht="52.8" x14ac:dyDescent="0.3">
      <c r="A169" s="177" t="str">
        <f>IF(A170="","",IF(ISNUMBER(LOOKUP("Â",Code128(A170),1)),"Error!",Code128(A170)))</f>
        <v/>
      </c>
      <c r="B169" s="177"/>
      <c r="C169" s="177" t="str">
        <f>IF(C170="","",IF(ISNUMBER(LOOKUP("Â",Code128(C170),1)),"Error!",Code128(C170)))</f>
        <v/>
      </c>
      <c r="D169" s="177"/>
    </row>
    <row r="170" spans="1:4" x14ac:dyDescent="0.3">
      <c r="A170" s="42" t="str">
        <f>IF(DB!D171="","",DB!D171)</f>
        <v/>
      </c>
      <c r="B170" s="43" t="str">
        <f>IF(DB!D171="","",DB!E171)</f>
        <v/>
      </c>
      <c r="C170" s="42" t="str">
        <f>IF(DB!D172="","",DB!D172)</f>
        <v/>
      </c>
      <c r="D170" s="43" t="str">
        <f>IF(DB!D172="","",DB!E172)</f>
        <v/>
      </c>
    </row>
    <row r="171" spans="1:4" ht="52.8" x14ac:dyDescent="0.3">
      <c r="A171" s="177" t="str">
        <f>IF(A172="","",IF(ISNUMBER(LOOKUP("Â",Code128(A172),1)),"Error!",Code128(A172)))</f>
        <v/>
      </c>
      <c r="B171" s="177"/>
      <c r="C171" s="177" t="str">
        <f>IF(C172="","",IF(ISNUMBER(LOOKUP("Â",Code128(C172),1)),"Error!",Code128(C172)))</f>
        <v/>
      </c>
      <c r="D171" s="177"/>
    </row>
    <row r="172" spans="1:4" x14ac:dyDescent="0.3">
      <c r="A172" s="42" t="str">
        <f>IF(DB!D173="","",DB!D173)</f>
        <v/>
      </c>
      <c r="B172" s="43" t="str">
        <f>IF(DB!D173="","",DB!E173)</f>
        <v/>
      </c>
      <c r="C172" s="42" t="str">
        <f>IF(DB!D174="","",DB!D174)</f>
        <v/>
      </c>
      <c r="D172" s="43" t="str">
        <f>IF(DB!D174="","",DB!E174)</f>
        <v/>
      </c>
    </row>
    <row r="173" spans="1:4" ht="52.8" x14ac:dyDescent="0.3">
      <c r="A173" s="177" t="str">
        <f>IF(A174="","",IF(ISNUMBER(LOOKUP("Â",Code128(A174),1)),"Error!",Code128(A174)))</f>
        <v/>
      </c>
      <c r="B173" s="177"/>
      <c r="C173" s="177" t="str">
        <f>IF(C174="","",IF(ISNUMBER(LOOKUP("Â",Code128(C174),1)),"Error!",Code128(C174)))</f>
        <v/>
      </c>
      <c r="D173" s="177"/>
    </row>
    <row r="174" spans="1:4" x14ac:dyDescent="0.3">
      <c r="A174" s="42" t="str">
        <f>IF(DB!D175="","",DB!D175)</f>
        <v/>
      </c>
      <c r="B174" s="43" t="str">
        <f>IF(DB!D175="","",DB!E175)</f>
        <v/>
      </c>
      <c r="C174" s="42" t="str">
        <f>IF(DB!D176="","",DB!D176)</f>
        <v/>
      </c>
      <c r="D174" s="43" t="str">
        <f>IF(DB!D176="","",DB!E176)</f>
        <v/>
      </c>
    </row>
    <row r="175" spans="1:4" ht="52.8" x14ac:dyDescent="0.3">
      <c r="A175" s="177" t="str">
        <f>IF(A176="","",IF(ISNUMBER(LOOKUP("Â",Code128(A176),1)),"Error!",Code128(A176)))</f>
        <v/>
      </c>
      <c r="B175" s="177"/>
      <c r="C175" s="177" t="str">
        <f>IF(C176="","",IF(ISNUMBER(LOOKUP("Â",Code128(C176),1)),"Error!",Code128(C176)))</f>
        <v/>
      </c>
      <c r="D175" s="177"/>
    </row>
    <row r="176" spans="1:4" x14ac:dyDescent="0.3">
      <c r="A176" s="42" t="str">
        <f>IF(DB!D177="","",DB!D177)</f>
        <v/>
      </c>
      <c r="B176" s="43" t="str">
        <f>IF(DB!D177="","",DB!E177)</f>
        <v/>
      </c>
      <c r="C176" s="42" t="str">
        <f>IF(DB!D178="","",DB!D178)</f>
        <v/>
      </c>
      <c r="D176" s="43" t="str">
        <f>IF(DB!D178="","",DB!E178)</f>
        <v/>
      </c>
    </row>
    <row r="177" spans="1:4" ht="52.8" x14ac:dyDescent="0.3">
      <c r="A177" s="177" t="str">
        <f>IF(A178="","",IF(ISNUMBER(LOOKUP("Â",Code128(A178),1)),"Error!",Code128(A178)))</f>
        <v/>
      </c>
      <c r="B177" s="177"/>
      <c r="C177" s="177" t="str">
        <f>IF(C178="","",IF(ISNUMBER(LOOKUP("Â",Code128(C178),1)),"Error!",Code128(C178)))</f>
        <v/>
      </c>
      <c r="D177" s="177"/>
    </row>
    <row r="178" spans="1:4" x14ac:dyDescent="0.3">
      <c r="A178" s="42" t="str">
        <f>IF(DB!D179="","",DB!D179)</f>
        <v/>
      </c>
      <c r="B178" s="43" t="str">
        <f>IF(DB!D179="","",DB!E179)</f>
        <v/>
      </c>
      <c r="C178" s="42" t="str">
        <f>IF(DB!D180="","",DB!D180)</f>
        <v/>
      </c>
      <c r="D178" s="43" t="str">
        <f>IF(DB!D180="","",DB!E180)</f>
        <v/>
      </c>
    </row>
    <row r="179" spans="1:4" ht="52.8" x14ac:dyDescent="0.3">
      <c r="A179" s="177" t="str">
        <f>IF(A180="","",IF(ISNUMBER(LOOKUP("Â",Code128(A180),1)),"Error!",Code128(A180)))</f>
        <v/>
      </c>
      <c r="B179" s="177"/>
      <c r="C179" s="177" t="str">
        <f>IF(C180="","",IF(ISNUMBER(LOOKUP("Â",Code128(C180),1)),"Error!",Code128(C180)))</f>
        <v/>
      </c>
      <c r="D179" s="177"/>
    </row>
    <row r="180" spans="1:4" x14ac:dyDescent="0.3">
      <c r="A180" s="42" t="str">
        <f>IF(DB!D181="","",DB!D181)</f>
        <v/>
      </c>
      <c r="B180" s="43" t="str">
        <f>IF(DB!D181="","",DB!E181)</f>
        <v/>
      </c>
      <c r="C180" s="42" t="str">
        <f>IF(DB!D182="","",DB!D182)</f>
        <v/>
      </c>
      <c r="D180" s="43" t="str">
        <f>IF(DB!D182="","",DB!E182)</f>
        <v/>
      </c>
    </row>
    <row r="181" spans="1:4" ht="52.8" x14ac:dyDescent="0.3">
      <c r="A181" s="177" t="str">
        <f>IF(A182="","",IF(ISNUMBER(LOOKUP("Â",Code128(A182),1)),"Error!",Code128(A182)))</f>
        <v/>
      </c>
      <c r="B181" s="177"/>
      <c r="C181" s="177" t="str">
        <f>IF(C182="","",IF(ISNUMBER(LOOKUP("Â",Code128(C182),1)),"Error!",Code128(C182)))</f>
        <v/>
      </c>
      <c r="D181" s="177"/>
    </row>
    <row r="182" spans="1:4" x14ac:dyDescent="0.3">
      <c r="A182" s="42" t="str">
        <f>IF(DB!D183="","",DB!D183)</f>
        <v/>
      </c>
      <c r="B182" s="43" t="str">
        <f>IF(DB!D183="","",DB!E183)</f>
        <v/>
      </c>
      <c r="C182" s="42" t="str">
        <f>IF(DB!D184="","",DB!D184)</f>
        <v/>
      </c>
      <c r="D182" s="43" t="str">
        <f>IF(DB!D184="","",DB!E184)</f>
        <v/>
      </c>
    </row>
    <row r="183" spans="1:4" ht="52.8" x14ac:dyDescent="0.3">
      <c r="A183" s="177" t="str">
        <f>IF(A184="","",IF(ISNUMBER(LOOKUP("Â",Code128(A184),1)),"Error!",Code128(A184)))</f>
        <v/>
      </c>
      <c r="B183" s="177"/>
      <c r="C183" s="177" t="str">
        <f>IF(C184="","",IF(ISNUMBER(LOOKUP("Â",Code128(C184),1)),"Error!",Code128(C184)))</f>
        <v/>
      </c>
      <c r="D183" s="177"/>
    </row>
    <row r="184" spans="1:4" x14ac:dyDescent="0.3">
      <c r="A184" s="42" t="str">
        <f>IF(DB!D185="","",DB!D185)</f>
        <v/>
      </c>
      <c r="B184" s="43" t="str">
        <f>IF(DB!D185="","",DB!E185)</f>
        <v/>
      </c>
      <c r="C184" s="42" t="str">
        <f>IF(DB!D186="","",DB!D186)</f>
        <v/>
      </c>
      <c r="D184" s="43" t="str">
        <f>IF(DB!D186="","",DB!E186)</f>
        <v/>
      </c>
    </row>
    <row r="185" spans="1:4" ht="52.8" x14ac:dyDescent="0.3">
      <c r="A185" s="177" t="str">
        <f>IF(A186="","",IF(ISNUMBER(LOOKUP("Â",Code128(A186),1)),"Error!",Code128(A186)))</f>
        <v/>
      </c>
      <c r="B185" s="177"/>
      <c r="C185" s="177" t="str">
        <f>IF(C186="","",IF(ISNUMBER(LOOKUP("Â",Code128(C186),1)),"Error!",Code128(C186)))</f>
        <v/>
      </c>
      <c r="D185" s="177"/>
    </row>
    <row r="186" spans="1:4" x14ac:dyDescent="0.3">
      <c r="A186" s="42" t="str">
        <f>IF(DB!D187="","",DB!D187)</f>
        <v/>
      </c>
      <c r="B186" s="43" t="str">
        <f>IF(DB!D187="","",DB!E187)</f>
        <v/>
      </c>
      <c r="C186" s="42" t="str">
        <f>IF(DB!D188="","",DB!D188)</f>
        <v/>
      </c>
      <c r="D186" s="43" t="str">
        <f>IF(DB!D188="","",DB!E188)</f>
        <v/>
      </c>
    </row>
    <row r="187" spans="1:4" ht="52.8" x14ac:dyDescent="0.3">
      <c r="A187" s="177" t="str">
        <f>IF(A188="","",IF(ISNUMBER(LOOKUP("Â",Code128(A188),1)),"Error!",Code128(A188)))</f>
        <v/>
      </c>
      <c r="B187" s="177"/>
      <c r="C187" s="177" t="str">
        <f>IF(C188="","",IF(ISNUMBER(LOOKUP("Â",Code128(C188),1)),"Error!",Code128(C188)))</f>
        <v/>
      </c>
      <c r="D187" s="177"/>
    </row>
    <row r="188" spans="1:4" x14ac:dyDescent="0.3">
      <c r="A188" s="42" t="str">
        <f>IF(DB!D189="","",DB!D189)</f>
        <v/>
      </c>
      <c r="B188" s="43" t="str">
        <f>IF(DB!D189="","",DB!E189)</f>
        <v/>
      </c>
      <c r="C188" s="42" t="str">
        <f>IF(DB!D190="","",DB!D190)</f>
        <v/>
      </c>
      <c r="D188" s="43" t="str">
        <f>IF(DB!D190="","",DB!E190)</f>
        <v/>
      </c>
    </row>
    <row r="189" spans="1:4" ht="52.8" x14ac:dyDescent="0.3">
      <c r="A189" s="177" t="str">
        <f>IF(A190="","",IF(ISNUMBER(LOOKUP("Â",Code128(A190),1)),"Error!",Code128(A190)))</f>
        <v/>
      </c>
      <c r="B189" s="177"/>
      <c r="C189" s="177" t="str">
        <f>IF(C190="","",IF(ISNUMBER(LOOKUP("Â",Code128(C190),1)),"Error!",Code128(C190)))</f>
        <v/>
      </c>
      <c r="D189" s="177"/>
    </row>
    <row r="190" spans="1:4" x14ac:dyDescent="0.3">
      <c r="A190" s="42" t="str">
        <f>IF(DB!D191="","",DB!D191)</f>
        <v/>
      </c>
      <c r="B190" s="43" t="str">
        <f>IF(DB!D191="","",DB!E191)</f>
        <v/>
      </c>
      <c r="C190" s="42" t="str">
        <f>IF(DB!D192="","",DB!D192)</f>
        <v/>
      </c>
      <c r="D190" s="43" t="str">
        <f>IF(DB!D192="","",DB!E192)</f>
        <v/>
      </c>
    </row>
    <row r="191" spans="1:4" ht="52.8" x14ac:dyDescent="0.3">
      <c r="A191" s="177" t="str">
        <f>IF(A192="","",IF(ISNUMBER(LOOKUP("Â",Code128(A192),1)),"Error!",Code128(A192)))</f>
        <v/>
      </c>
      <c r="B191" s="177"/>
      <c r="C191" s="177" t="str">
        <f>IF(C192="","",IF(ISNUMBER(LOOKUP("Â",Code128(C192),1)),"Error!",Code128(C192)))</f>
        <v/>
      </c>
      <c r="D191" s="177"/>
    </row>
    <row r="192" spans="1:4" x14ac:dyDescent="0.3">
      <c r="A192" s="42" t="str">
        <f>IF(DB!D193="","",DB!D193)</f>
        <v/>
      </c>
      <c r="B192" s="43" t="str">
        <f>IF(DB!D193="","",DB!E193)</f>
        <v/>
      </c>
      <c r="C192" s="42" t="str">
        <f>IF(DB!D194="","",DB!D194)</f>
        <v/>
      </c>
      <c r="D192" s="43" t="str">
        <f>IF(DB!D194="","",DB!E194)</f>
        <v/>
      </c>
    </row>
    <row r="193" spans="1:4" ht="52.8" x14ac:dyDescent="0.3">
      <c r="A193" s="177" t="str">
        <f>IF(A194="","",IF(ISNUMBER(LOOKUP("Â",Code128(A194),1)),"Error!",Code128(A194)))</f>
        <v/>
      </c>
      <c r="B193" s="177"/>
      <c r="C193" s="177" t="str">
        <f>IF(C194="","",IF(ISNUMBER(LOOKUP("Â",Code128(C194),1)),"Error!",Code128(C194)))</f>
        <v/>
      </c>
      <c r="D193" s="177"/>
    </row>
    <row r="194" spans="1:4" x14ac:dyDescent="0.3">
      <c r="A194" s="42" t="str">
        <f>IF(DB!D195="","",DB!D195)</f>
        <v/>
      </c>
      <c r="B194" s="43" t="str">
        <f>IF(DB!D195="","",DB!E195)</f>
        <v/>
      </c>
      <c r="C194" s="42" t="str">
        <f>IF(DB!D196="","",DB!D196)</f>
        <v/>
      </c>
      <c r="D194" s="43" t="str">
        <f>IF(DB!D196="","",DB!E196)</f>
        <v/>
      </c>
    </row>
    <row r="195" spans="1:4" ht="52.8" x14ac:dyDescent="0.3">
      <c r="A195" s="177" t="str">
        <f>IF(A196="","",IF(ISNUMBER(LOOKUP("Â",Code128(A196),1)),"Error!",Code128(A196)))</f>
        <v/>
      </c>
      <c r="B195" s="177"/>
      <c r="C195" s="177" t="str">
        <f>IF(C196="","",IF(ISNUMBER(LOOKUP("Â",Code128(C196),1)),"Error!",Code128(C196)))</f>
        <v/>
      </c>
      <c r="D195" s="177"/>
    </row>
    <row r="196" spans="1:4" x14ac:dyDescent="0.3">
      <c r="A196" s="42" t="str">
        <f>IF(DB!D197="","",DB!D197)</f>
        <v/>
      </c>
      <c r="B196" s="43" t="str">
        <f>IF(DB!D197="","",DB!E197)</f>
        <v/>
      </c>
      <c r="C196" s="42" t="str">
        <f>IF(DB!D198="","",DB!D198)</f>
        <v/>
      </c>
      <c r="D196" s="43" t="str">
        <f>IF(DB!D198="","",DB!E198)</f>
        <v/>
      </c>
    </row>
    <row r="197" spans="1:4" ht="52.8" x14ac:dyDescent="0.3">
      <c r="A197" s="177" t="str">
        <f>IF(A198="","",IF(ISNUMBER(LOOKUP("Â",Code128(A198),1)),"Error!",Code128(A198)))</f>
        <v/>
      </c>
      <c r="B197" s="177"/>
      <c r="C197" s="177" t="str">
        <f>IF(C198="","",IF(ISNUMBER(LOOKUP("Â",Code128(C198),1)),"Error!",Code128(C198)))</f>
        <v/>
      </c>
      <c r="D197" s="177"/>
    </row>
    <row r="198" spans="1:4" x14ac:dyDescent="0.3">
      <c r="A198" s="42" t="str">
        <f>IF(DB!D199="","",DB!D199)</f>
        <v/>
      </c>
      <c r="B198" s="43" t="str">
        <f>IF(DB!D199="","",DB!E199)</f>
        <v/>
      </c>
      <c r="C198" s="42" t="str">
        <f>IF(DB!D200="","",DB!D200)</f>
        <v/>
      </c>
      <c r="D198" s="43" t="str">
        <f>IF(DB!D200="","",DB!E200)</f>
        <v/>
      </c>
    </row>
    <row r="199" spans="1:4" ht="52.8" x14ac:dyDescent="0.3">
      <c r="A199" s="177" t="str">
        <f>IF(A200="","",IF(ISNUMBER(LOOKUP("Â",Code128(A200),1)),"Error!",Code128(A200)))</f>
        <v/>
      </c>
      <c r="B199" s="177"/>
      <c r="C199" s="177" t="str">
        <f>IF(C200="","",IF(ISNUMBER(LOOKUP("Â",Code128(C200),1)),"Error!",Code128(C200)))</f>
        <v/>
      </c>
      <c r="D199" s="177"/>
    </row>
    <row r="200" spans="1:4" x14ac:dyDescent="0.3">
      <c r="A200" s="42" t="str">
        <f>IF(DB!D201="","",DB!D201)</f>
        <v/>
      </c>
      <c r="B200" s="43" t="str">
        <f>IF(DB!D201="","",DB!E201)</f>
        <v/>
      </c>
      <c r="C200" s="42" t="str">
        <f>IF(DB!D202="","",DB!D202)</f>
        <v/>
      </c>
      <c r="D200" s="43" t="str">
        <f>IF(DB!D202="","",DB!E202)</f>
        <v/>
      </c>
    </row>
    <row r="201" spans="1:4" ht="52.8" x14ac:dyDescent="0.3">
      <c r="A201" s="177" t="str">
        <f>IF(A202="","",IF(ISNUMBER(LOOKUP("Â",Code128(A202),1)),"Error!",Code128(A202)))</f>
        <v/>
      </c>
      <c r="B201" s="177"/>
      <c r="C201" s="177" t="str">
        <f>IF(C202="","",IF(ISNUMBER(LOOKUP("Â",Code128(C202),1)),"Error!",Code128(C202)))</f>
        <v/>
      </c>
      <c r="D201" s="177"/>
    </row>
    <row r="202" spans="1:4" x14ac:dyDescent="0.3">
      <c r="A202" s="42" t="str">
        <f>IF(DB!D203="","",DB!D203)</f>
        <v/>
      </c>
      <c r="B202" s="43" t="str">
        <f>IF(DB!D203="","",DB!E203)</f>
        <v/>
      </c>
      <c r="C202" s="42" t="str">
        <f>IF(DB!D204="","",DB!D204)</f>
        <v/>
      </c>
      <c r="D202" s="43" t="str">
        <f>IF(DB!D204="","",DB!E204)</f>
        <v/>
      </c>
    </row>
    <row r="203" spans="1:4" ht="52.8" x14ac:dyDescent="0.3">
      <c r="A203" s="177" t="str">
        <f>IF(A204="","",IF(ISNUMBER(LOOKUP("Â",Code128(A204),1)),"Error!",Code128(A204)))</f>
        <v/>
      </c>
      <c r="B203" s="177"/>
      <c r="C203" s="177" t="str">
        <f>IF(C204="","",IF(ISNUMBER(LOOKUP("Â",Code128(C204),1)),"Error!",Code128(C204)))</f>
        <v/>
      </c>
      <c r="D203" s="177"/>
    </row>
    <row r="204" spans="1:4" x14ac:dyDescent="0.3">
      <c r="A204" s="42" t="str">
        <f>IF(DB!D205="","",DB!D205)</f>
        <v/>
      </c>
      <c r="B204" s="43" t="str">
        <f>IF(DB!D205="","",DB!E205)</f>
        <v/>
      </c>
      <c r="C204" s="42" t="str">
        <f>IF(DB!D206="","",DB!D206)</f>
        <v/>
      </c>
      <c r="D204" s="43" t="str">
        <f>IF(DB!D206="","",DB!E206)</f>
        <v/>
      </c>
    </row>
    <row r="205" spans="1:4" ht="52.8" x14ac:dyDescent="0.3">
      <c r="A205" s="177" t="str">
        <f>IF(A206="","",IF(ISNUMBER(LOOKUP("Â",Code128(A206),1)),"Error!",Code128(A206)))</f>
        <v/>
      </c>
      <c r="B205" s="177"/>
      <c r="C205" s="177" t="str">
        <f>IF(C206="","",IF(ISNUMBER(LOOKUP("Â",Code128(C206),1)),"Error!",Code128(C206)))</f>
        <v/>
      </c>
      <c r="D205" s="177"/>
    </row>
    <row r="206" spans="1:4" x14ac:dyDescent="0.3">
      <c r="A206" s="42" t="str">
        <f>IF(DB!D207="","",DB!D207)</f>
        <v/>
      </c>
      <c r="B206" s="43" t="str">
        <f>IF(DB!D207="","",DB!E207)</f>
        <v/>
      </c>
      <c r="C206" s="42" t="str">
        <f>IF(DB!D208="","",DB!D208)</f>
        <v/>
      </c>
      <c r="D206" s="43" t="str">
        <f>IF(DB!D208="","",DB!E208)</f>
        <v/>
      </c>
    </row>
    <row r="207" spans="1:4" ht="52.8" x14ac:dyDescent="0.3">
      <c r="A207" s="177" t="str">
        <f>IF(A208="","",IF(ISNUMBER(LOOKUP("Â",Code128(A208),1)),"Error!",Code128(A208)))</f>
        <v/>
      </c>
      <c r="B207" s="177"/>
      <c r="C207" s="177" t="str">
        <f>IF(C208="","",IF(ISNUMBER(LOOKUP("Â",Code128(C208),1)),"Error!",Code128(C208)))</f>
        <v/>
      </c>
      <c r="D207" s="177"/>
    </row>
    <row r="208" spans="1:4" x14ac:dyDescent="0.3">
      <c r="A208" s="42" t="str">
        <f>IF(DB!D209="","",DB!D209)</f>
        <v/>
      </c>
      <c r="B208" s="43" t="str">
        <f>IF(DB!D209="","",DB!E209)</f>
        <v/>
      </c>
      <c r="C208" s="42" t="str">
        <f>IF(DB!D210="","",DB!D210)</f>
        <v/>
      </c>
      <c r="D208" s="43" t="str">
        <f>IF(DB!D210="","",DB!E210)</f>
        <v/>
      </c>
    </row>
    <row r="209" spans="1:4" ht="52.8" x14ac:dyDescent="0.3">
      <c r="A209" s="177" t="str">
        <f>IF(A210="","",IF(ISNUMBER(LOOKUP("Â",Code128(A210),1)),"Error!",Code128(A210)))</f>
        <v/>
      </c>
      <c r="B209" s="177"/>
      <c r="C209" s="177" t="str">
        <f>IF(C210="","",IF(ISNUMBER(LOOKUP("Â",Code128(C210),1)),"Error!",Code128(C210)))</f>
        <v/>
      </c>
      <c r="D209" s="177"/>
    </row>
    <row r="210" spans="1:4" x14ac:dyDescent="0.3">
      <c r="A210" s="42" t="str">
        <f>IF(DB!D211="","",DB!D211)</f>
        <v/>
      </c>
      <c r="B210" s="43" t="str">
        <f>IF(DB!D211="","",DB!E211)</f>
        <v/>
      </c>
      <c r="C210" s="42" t="str">
        <f>IF(DB!D212="","",DB!D212)</f>
        <v/>
      </c>
      <c r="D210" s="43" t="str">
        <f>IF(DB!D212="","",DB!E212)</f>
        <v/>
      </c>
    </row>
    <row r="211" spans="1:4" ht="52.8" x14ac:dyDescent="0.3">
      <c r="A211" s="177" t="str">
        <f>IF(A212="","",IF(ISNUMBER(LOOKUP("Â",Code128(A212),1)),"Error!",Code128(A212)))</f>
        <v/>
      </c>
      <c r="B211" s="177"/>
      <c r="C211" s="177" t="str">
        <f>IF(C212="","",IF(ISNUMBER(LOOKUP("Â",Code128(C212),1)),"Error!",Code128(C212)))</f>
        <v/>
      </c>
      <c r="D211" s="177"/>
    </row>
    <row r="212" spans="1:4" x14ac:dyDescent="0.3">
      <c r="A212" s="42" t="str">
        <f>IF(DB!D213="","",DB!D213)</f>
        <v/>
      </c>
      <c r="B212" s="43" t="str">
        <f>IF(DB!D213="","",DB!E213)</f>
        <v/>
      </c>
      <c r="C212" s="42" t="str">
        <f>IF(DB!D214="","",DB!D214)</f>
        <v/>
      </c>
      <c r="D212" s="43" t="str">
        <f>IF(DB!D214="","",DB!E214)</f>
        <v/>
      </c>
    </row>
    <row r="213" spans="1:4" ht="52.8" x14ac:dyDescent="0.3">
      <c r="A213" s="177" t="str">
        <f>IF(A214="","",IF(ISNUMBER(LOOKUP("Â",Code128(A214),1)),"Error!",Code128(A214)))</f>
        <v/>
      </c>
      <c r="B213" s="177"/>
      <c r="C213" s="177" t="str">
        <f>IF(C214="","",IF(ISNUMBER(LOOKUP("Â",Code128(C214),1)),"Error!",Code128(C214)))</f>
        <v/>
      </c>
      <c r="D213" s="177"/>
    </row>
    <row r="214" spans="1:4" x14ac:dyDescent="0.3">
      <c r="A214" s="42" t="str">
        <f>IF(DB!D215="","",DB!D215)</f>
        <v/>
      </c>
      <c r="B214" s="43" t="str">
        <f>IF(DB!D215="","",DB!E215)</f>
        <v/>
      </c>
      <c r="C214" s="42" t="str">
        <f>IF(DB!D216="","",DB!D216)</f>
        <v/>
      </c>
      <c r="D214" s="43" t="str">
        <f>IF(DB!D216="","",DB!E216)</f>
        <v/>
      </c>
    </row>
    <row r="215" spans="1:4" ht="52.8" x14ac:dyDescent="0.3">
      <c r="A215" s="177" t="str">
        <f>IF(A216="","",IF(ISNUMBER(LOOKUP("Â",Code128(A216),1)),"Error!",Code128(A216)))</f>
        <v/>
      </c>
      <c r="B215" s="177"/>
      <c r="C215" s="177" t="str">
        <f>IF(C216="","",IF(ISNUMBER(LOOKUP("Â",Code128(C216),1)),"Error!",Code128(C216)))</f>
        <v/>
      </c>
      <c r="D215" s="177"/>
    </row>
    <row r="216" spans="1:4" x14ac:dyDescent="0.3">
      <c r="A216" s="42" t="str">
        <f>IF(DB!D217="","",DB!D217)</f>
        <v/>
      </c>
      <c r="B216" s="43" t="str">
        <f>IF(DB!D217="","",DB!E217)</f>
        <v/>
      </c>
      <c r="C216" s="42" t="str">
        <f>IF(DB!D218="","",DB!D218)</f>
        <v/>
      </c>
      <c r="D216" s="43" t="str">
        <f>IF(DB!D218="","",DB!E218)</f>
        <v/>
      </c>
    </row>
    <row r="217" spans="1:4" ht="52.8" x14ac:dyDescent="0.3">
      <c r="A217" s="177" t="str">
        <f>IF(A218="","",IF(ISNUMBER(LOOKUP("Â",Code128(A218),1)),"Error!",Code128(A218)))</f>
        <v/>
      </c>
      <c r="B217" s="177"/>
      <c r="C217" s="177" t="str">
        <f>IF(C218="","",IF(ISNUMBER(LOOKUP("Â",Code128(C218),1)),"Error!",Code128(C218)))</f>
        <v/>
      </c>
      <c r="D217" s="177"/>
    </row>
    <row r="218" spans="1:4" x14ac:dyDescent="0.3">
      <c r="A218" s="42" t="str">
        <f>IF(DB!D219="","",DB!D219)</f>
        <v/>
      </c>
      <c r="B218" s="43" t="str">
        <f>IF(DB!D219="","",DB!E219)</f>
        <v/>
      </c>
      <c r="C218" s="42" t="str">
        <f>IF(DB!D220="","",DB!D220)</f>
        <v/>
      </c>
      <c r="D218" s="43" t="str">
        <f>IF(DB!D220="","",DB!E220)</f>
        <v/>
      </c>
    </row>
    <row r="219" spans="1:4" ht="52.8" x14ac:dyDescent="0.3">
      <c r="A219" s="177" t="str">
        <f>IF(A220="","",IF(ISNUMBER(LOOKUP("Â",Code128(A220),1)),"Error!",Code128(A220)))</f>
        <v/>
      </c>
      <c r="B219" s="177"/>
      <c r="C219" s="177" t="str">
        <f>IF(C220="","",IF(ISNUMBER(LOOKUP("Â",Code128(C220),1)),"Error!",Code128(C220)))</f>
        <v/>
      </c>
      <c r="D219" s="177"/>
    </row>
    <row r="220" spans="1:4" x14ac:dyDescent="0.3">
      <c r="A220" s="42" t="str">
        <f>IF(DB!D221="","",DB!D221)</f>
        <v/>
      </c>
      <c r="B220" s="43" t="str">
        <f>IF(DB!D221="","",DB!E221)</f>
        <v/>
      </c>
      <c r="C220" s="42" t="str">
        <f>IF(DB!D222="","",DB!D222)</f>
        <v/>
      </c>
      <c r="D220" s="43" t="str">
        <f>IF(DB!D222="","",DB!E222)</f>
        <v/>
      </c>
    </row>
    <row r="221" spans="1:4" ht="52.8" x14ac:dyDescent="0.3">
      <c r="A221" s="177" t="str">
        <f>IF(A222="","",IF(ISNUMBER(LOOKUP("Â",Code128(A222),1)),"Error!",Code128(A222)))</f>
        <v/>
      </c>
      <c r="B221" s="177"/>
      <c r="C221" s="177" t="str">
        <f>IF(C222="","",IF(ISNUMBER(LOOKUP("Â",Code128(C222),1)),"Error!",Code128(C222)))</f>
        <v/>
      </c>
      <c r="D221" s="177"/>
    </row>
    <row r="222" spans="1:4" x14ac:dyDescent="0.3">
      <c r="A222" s="42" t="str">
        <f>IF(DB!D223="","",DB!D223)</f>
        <v/>
      </c>
      <c r="B222" s="43" t="str">
        <f>IF(DB!D223="","",DB!E223)</f>
        <v/>
      </c>
      <c r="C222" s="42" t="str">
        <f>IF(DB!D224="","",DB!D224)</f>
        <v/>
      </c>
      <c r="D222" s="43" t="str">
        <f>IF(DB!D224="","",DB!E224)</f>
        <v/>
      </c>
    </row>
    <row r="223" spans="1:4" ht="52.8" x14ac:dyDescent="0.3">
      <c r="A223" s="177" t="str">
        <f>IF(A224="","",IF(ISNUMBER(LOOKUP("Â",Code128(A224),1)),"Error!",Code128(A224)))</f>
        <v/>
      </c>
      <c r="B223" s="177"/>
      <c r="C223" s="177" t="str">
        <f>IF(C224="","",IF(ISNUMBER(LOOKUP("Â",Code128(C224),1)),"Error!",Code128(C224)))</f>
        <v/>
      </c>
      <c r="D223" s="177"/>
    </row>
    <row r="224" spans="1:4" x14ac:dyDescent="0.3">
      <c r="A224" s="42" t="str">
        <f>IF(DB!D225="","",DB!D225)</f>
        <v/>
      </c>
      <c r="B224" s="43" t="str">
        <f>IF(DB!D225="","",DB!E225)</f>
        <v/>
      </c>
      <c r="C224" s="42" t="str">
        <f>IF(DB!D226="","",DB!D226)</f>
        <v/>
      </c>
      <c r="D224" s="43" t="str">
        <f>IF(DB!D226="","",DB!E226)</f>
        <v/>
      </c>
    </row>
    <row r="225" spans="1:4" ht="52.8" x14ac:dyDescent="0.3">
      <c r="A225" s="177" t="str">
        <f>IF(A226="","",IF(ISNUMBER(LOOKUP("Â",Code128(A226),1)),"Error!",Code128(A226)))</f>
        <v/>
      </c>
      <c r="B225" s="177"/>
      <c r="C225" s="177" t="str">
        <f>IF(C226="","",IF(ISNUMBER(LOOKUP("Â",Code128(C226),1)),"Error!",Code128(C226)))</f>
        <v/>
      </c>
      <c r="D225" s="177"/>
    </row>
    <row r="226" spans="1:4" x14ac:dyDescent="0.3">
      <c r="A226" s="42" t="str">
        <f>IF(DB!D227="","",DB!D227)</f>
        <v/>
      </c>
      <c r="B226" s="43" t="str">
        <f>IF(DB!D227="","",DB!E227)</f>
        <v/>
      </c>
      <c r="C226" s="42" t="str">
        <f>IF(DB!D228="","",DB!D228)</f>
        <v/>
      </c>
      <c r="D226" s="43" t="str">
        <f>IF(DB!D228="","",DB!E228)</f>
        <v/>
      </c>
    </row>
    <row r="227" spans="1:4" ht="52.8" x14ac:dyDescent="0.3">
      <c r="A227" s="177" t="str">
        <f>IF(A228="","",IF(ISNUMBER(LOOKUP("Â",Code128(A228),1)),"Error!",Code128(A228)))</f>
        <v/>
      </c>
      <c r="B227" s="177"/>
      <c r="C227" s="177" t="str">
        <f>IF(C228="","",IF(ISNUMBER(LOOKUP("Â",Code128(C228),1)),"Error!",Code128(C228)))</f>
        <v/>
      </c>
      <c r="D227" s="177"/>
    </row>
    <row r="228" spans="1:4" x14ac:dyDescent="0.3">
      <c r="A228" s="42" t="str">
        <f>IF(DB!D229="","",DB!D229)</f>
        <v/>
      </c>
      <c r="B228" s="43" t="str">
        <f>IF(DB!D229="","",DB!E229)</f>
        <v/>
      </c>
      <c r="C228" s="42" t="str">
        <f>IF(DB!D230="","",DB!D230)</f>
        <v/>
      </c>
      <c r="D228" s="43" t="str">
        <f>IF(DB!D230="","",DB!E230)</f>
        <v/>
      </c>
    </row>
    <row r="229" spans="1:4" ht="52.8" x14ac:dyDescent="0.3">
      <c r="A229" s="177" t="str">
        <f>IF(A230="","",IF(ISNUMBER(LOOKUP("Â",Code128(A230),1)),"Error!",Code128(A230)))</f>
        <v/>
      </c>
      <c r="B229" s="177"/>
      <c r="C229" s="177" t="str">
        <f>IF(C230="","",IF(ISNUMBER(LOOKUP("Â",Code128(C230),1)),"Error!",Code128(C230)))</f>
        <v/>
      </c>
      <c r="D229" s="177"/>
    </row>
    <row r="230" spans="1:4" x14ac:dyDescent="0.3">
      <c r="A230" s="42" t="str">
        <f>IF(DB!D231="","",DB!D231)</f>
        <v/>
      </c>
      <c r="B230" s="43" t="str">
        <f>IF(DB!D231="","",DB!E231)</f>
        <v/>
      </c>
      <c r="C230" s="42" t="str">
        <f>IF(DB!D232="","",DB!D232)</f>
        <v/>
      </c>
      <c r="D230" s="43" t="str">
        <f>IF(DB!D232="","",DB!E232)</f>
        <v/>
      </c>
    </row>
    <row r="231" spans="1:4" ht="52.8" x14ac:dyDescent="0.3">
      <c r="A231" s="177" t="str">
        <f>IF(A232="","",IF(ISNUMBER(LOOKUP("Â",Code128(A232),1)),"Error!",Code128(A232)))</f>
        <v/>
      </c>
      <c r="B231" s="177"/>
      <c r="C231" s="177" t="str">
        <f>IF(C232="","",IF(ISNUMBER(LOOKUP("Â",Code128(C232),1)),"Error!",Code128(C232)))</f>
        <v/>
      </c>
      <c r="D231" s="177"/>
    </row>
    <row r="232" spans="1:4" x14ac:dyDescent="0.3">
      <c r="A232" s="42" t="str">
        <f>IF(DB!D233="","",DB!D233)</f>
        <v/>
      </c>
      <c r="B232" s="43" t="str">
        <f>IF(DB!D233="","",DB!E233)</f>
        <v/>
      </c>
      <c r="C232" s="42" t="str">
        <f>IF(DB!D234="","",DB!D234)</f>
        <v/>
      </c>
      <c r="D232" s="43" t="str">
        <f>IF(DB!D234="","",DB!E234)</f>
        <v/>
      </c>
    </row>
    <row r="233" spans="1:4" ht="52.8" x14ac:dyDescent="0.3">
      <c r="A233" s="177" t="str">
        <f>IF(A234="","",IF(ISNUMBER(LOOKUP("Â",Code128(A234),1)),"Error!",Code128(A234)))</f>
        <v/>
      </c>
      <c r="B233" s="177"/>
      <c r="C233" s="177" t="str">
        <f>IF(C234="","",IF(ISNUMBER(LOOKUP("Â",Code128(C234),1)),"Error!",Code128(C234)))</f>
        <v/>
      </c>
      <c r="D233" s="177"/>
    </row>
    <row r="234" spans="1:4" x14ac:dyDescent="0.3">
      <c r="A234" s="42" t="str">
        <f>IF(DB!D235="","",DB!D235)</f>
        <v/>
      </c>
      <c r="B234" s="43" t="str">
        <f>IF(DB!D235="","",DB!E235)</f>
        <v/>
      </c>
      <c r="C234" s="42" t="str">
        <f>IF(DB!D236="","",DB!D236)</f>
        <v/>
      </c>
      <c r="D234" s="43" t="str">
        <f>IF(DB!D236="","",DB!E236)</f>
        <v/>
      </c>
    </row>
    <row r="235" spans="1:4" ht="52.8" x14ac:dyDescent="0.3">
      <c r="A235" s="177" t="str">
        <f>IF(A236="","",IF(ISNUMBER(LOOKUP("Â",Code128(A236),1)),"Error!",Code128(A236)))</f>
        <v/>
      </c>
      <c r="B235" s="177"/>
      <c r="C235" s="177" t="str">
        <f>IF(C236="","",IF(ISNUMBER(LOOKUP("Â",Code128(C236),1)),"Error!",Code128(C236)))</f>
        <v/>
      </c>
      <c r="D235" s="177"/>
    </row>
    <row r="236" spans="1:4" x14ac:dyDescent="0.3">
      <c r="A236" s="42" t="str">
        <f>IF(DB!D237="","",DB!D237)</f>
        <v/>
      </c>
      <c r="B236" s="43" t="str">
        <f>IF(DB!D237="","",DB!E237)</f>
        <v/>
      </c>
      <c r="C236" s="42" t="str">
        <f>IF(DB!D238="","",DB!D238)</f>
        <v/>
      </c>
      <c r="D236" s="43" t="str">
        <f>IF(DB!D238="","",DB!E238)</f>
        <v/>
      </c>
    </row>
    <row r="237" spans="1:4" ht="52.8" x14ac:dyDescent="0.3">
      <c r="A237" s="177" t="str">
        <f>IF(A238="","",IF(ISNUMBER(LOOKUP("Â",Code128(A238),1)),"Error!",Code128(A238)))</f>
        <v/>
      </c>
      <c r="B237" s="177"/>
      <c r="C237" s="177" t="str">
        <f>IF(C238="","",IF(ISNUMBER(LOOKUP("Â",Code128(C238),1)),"Error!",Code128(C238)))</f>
        <v/>
      </c>
      <c r="D237" s="177"/>
    </row>
    <row r="238" spans="1:4" x14ac:dyDescent="0.3">
      <c r="A238" s="42" t="str">
        <f>IF(DB!D239="","",DB!D239)</f>
        <v/>
      </c>
      <c r="B238" s="43" t="str">
        <f>IF(DB!D239="","",DB!E239)</f>
        <v/>
      </c>
      <c r="C238" s="42" t="str">
        <f>IF(DB!D240="","",DB!D240)</f>
        <v/>
      </c>
      <c r="D238" s="43" t="str">
        <f>IF(DB!D240="","",DB!E240)</f>
        <v/>
      </c>
    </row>
    <row r="239" spans="1:4" ht="52.8" x14ac:dyDescent="0.3">
      <c r="A239" s="177" t="str">
        <f>IF(A240="","",IF(ISNUMBER(LOOKUP("Â",Code128(A240),1)),"Error!",Code128(A240)))</f>
        <v/>
      </c>
      <c r="B239" s="177"/>
      <c r="C239" s="177" t="str">
        <f>IF(C240="","",IF(ISNUMBER(LOOKUP("Â",Code128(C240),1)),"Error!",Code128(C240)))</f>
        <v/>
      </c>
      <c r="D239" s="177"/>
    </row>
    <row r="240" spans="1:4" x14ac:dyDescent="0.3">
      <c r="A240" s="42" t="str">
        <f>IF(DB!D241="","",DB!D241)</f>
        <v/>
      </c>
      <c r="B240" s="43" t="str">
        <f>IF(DB!D241="","",DB!E241)</f>
        <v/>
      </c>
      <c r="C240" s="42" t="str">
        <f>IF(DB!D242="","",DB!D242)</f>
        <v/>
      </c>
      <c r="D240" s="43" t="str">
        <f>IF(DB!D242="","",DB!E242)</f>
        <v/>
      </c>
    </row>
    <row r="241" spans="1:4" ht="52.8" x14ac:dyDescent="0.3">
      <c r="A241" s="177" t="str">
        <f>IF(A242="","",IF(ISNUMBER(LOOKUP("Â",Code128(A242),1)),"Error!",Code128(A242)))</f>
        <v/>
      </c>
      <c r="B241" s="177"/>
      <c r="C241" s="177" t="str">
        <f>IF(C242="","",IF(ISNUMBER(LOOKUP("Â",Code128(C242),1)),"Error!",Code128(C242)))</f>
        <v/>
      </c>
      <c r="D241" s="177"/>
    </row>
    <row r="242" spans="1:4" x14ac:dyDescent="0.3">
      <c r="A242" s="42" t="str">
        <f>IF(DB!D243="","",DB!D243)</f>
        <v/>
      </c>
      <c r="B242" s="43" t="str">
        <f>IF(DB!D243="","",DB!E243)</f>
        <v/>
      </c>
      <c r="C242" s="42" t="str">
        <f>IF(DB!D244="","",DB!D244)</f>
        <v/>
      </c>
      <c r="D242" s="43" t="str">
        <f>IF(DB!D244="","",DB!E244)</f>
        <v/>
      </c>
    </row>
    <row r="243" spans="1:4" ht="52.8" x14ac:dyDescent="0.3">
      <c r="A243" s="177" t="str">
        <f>IF(A244="","",IF(ISNUMBER(LOOKUP("Â",Code128(A244),1)),"Error!",Code128(A244)))</f>
        <v/>
      </c>
      <c r="B243" s="177"/>
      <c r="C243" s="177" t="str">
        <f>IF(C244="","",IF(ISNUMBER(LOOKUP("Â",Code128(C244),1)),"Error!",Code128(C244)))</f>
        <v/>
      </c>
      <c r="D243" s="177"/>
    </row>
    <row r="244" spans="1:4" x14ac:dyDescent="0.3">
      <c r="A244" s="42" t="str">
        <f>IF(DB!D245="","",DB!D245)</f>
        <v/>
      </c>
      <c r="B244" s="43" t="str">
        <f>IF(DB!D245="","",DB!E245)</f>
        <v/>
      </c>
      <c r="C244" s="42" t="str">
        <f>IF(DB!D246="","",DB!D246)</f>
        <v/>
      </c>
      <c r="D244" s="43" t="str">
        <f>IF(DB!D246="","",DB!E246)</f>
        <v/>
      </c>
    </row>
    <row r="245" spans="1:4" ht="52.8" x14ac:dyDescent="0.3">
      <c r="A245" s="177" t="str">
        <f>IF(A246="","",IF(ISNUMBER(LOOKUP("Â",Code128(A246),1)),"Error!",Code128(A246)))</f>
        <v/>
      </c>
      <c r="B245" s="177"/>
      <c r="C245" s="177" t="str">
        <f>IF(C246="","",IF(ISNUMBER(LOOKUP("Â",Code128(C246),1)),"Error!",Code128(C246)))</f>
        <v/>
      </c>
      <c r="D245" s="177"/>
    </row>
    <row r="246" spans="1:4" x14ac:dyDescent="0.3">
      <c r="A246" s="42" t="str">
        <f>IF(DB!D247="","",DB!D247)</f>
        <v/>
      </c>
      <c r="B246" s="43" t="str">
        <f>IF(DB!D247="","",DB!E247)</f>
        <v/>
      </c>
      <c r="C246" s="42" t="str">
        <f>IF(DB!D248="","",DB!D248)</f>
        <v/>
      </c>
      <c r="D246" s="43" t="str">
        <f>IF(DB!D248="","",DB!E248)</f>
        <v/>
      </c>
    </row>
    <row r="247" spans="1:4" ht="52.8" x14ac:dyDescent="0.3">
      <c r="A247" s="177" t="str">
        <f>IF(A248="","",IF(ISNUMBER(LOOKUP("Â",Code128(A248),1)),"Error!",Code128(A248)))</f>
        <v/>
      </c>
      <c r="B247" s="177"/>
      <c r="C247" s="177" t="str">
        <f>IF(C248="","",IF(ISNUMBER(LOOKUP("Â",Code128(C248),1)),"Error!",Code128(C248)))</f>
        <v/>
      </c>
      <c r="D247" s="177"/>
    </row>
    <row r="248" spans="1:4" x14ac:dyDescent="0.3">
      <c r="A248" s="42" t="str">
        <f>IF(DB!D249="","",DB!D249)</f>
        <v/>
      </c>
      <c r="B248" s="43" t="str">
        <f>IF(DB!D249="","",DB!E249)</f>
        <v/>
      </c>
      <c r="C248" s="42" t="str">
        <f>IF(DB!D250="","",DB!D250)</f>
        <v/>
      </c>
      <c r="D248" s="43" t="str">
        <f>IF(DB!D250="","",DB!E250)</f>
        <v/>
      </c>
    </row>
    <row r="249" spans="1:4" ht="52.8" x14ac:dyDescent="0.3">
      <c r="A249" s="177" t="str">
        <f>IF(A250="","",IF(ISNUMBER(LOOKUP("Â",Code128(A250),1)),"Error!",Code128(A250)))</f>
        <v/>
      </c>
      <c r="B249" s="177"/>
      <c r="C249" s="177" t="str">
        <f>IF(C250="","",IF(ISNUMBER(LOOKUP("Â",Code128(C250),1)),"Error!",Code128(C250)))</f>
        <v/>
      </c>
      <c r="D249" s="177"/>
    </row>
    <row r="250" spans="1:4" x14ac:dyDescent="0.3">
      <c r="A250" s="42" t="str">
        <f>IF(DB!D251="","",DB!D251)</f>
        <v/>
      </c>
      <c r="B250" s="43" t="str">
        <f>IF(DB!D251="","",DB!E251)</f>
        <v/>
      </c>
      <c r="C250" s="42" t="str">
        <f>IF(DB!D252="","",DB!D252)</f>
        <v/>
      </c>
      <c r="D250" s="43" t="str">
        <f>IF(DB!D252="","",DB!E252)</f>
        <v/>
      </c>
    </row>
    <row r="251" spans="1:4" ht="52.8" x14ac:dyDescent="0.3">
      <c r="A251" s="177" t="str">
        <f>IF(A252="","",IF(ISNUMBER(LOOKUP("Â",Code128(A252),1)),"Error!",Code128(A252)))</f>
        <v/>
      </c>
      <c r="B251" s="177"/>
      <c r="C251" s="177" t="str">
        <f>IF(C252="","",IF(ISNUMBER(LOOKUP("Â",Code128(C252),1)),"Error!",Code128(C252)))</f>
        <v/>
      </c>
      <c r="D251" s="177"/>
    </row>
    <row r="252" spans="1:4" x14ac:dyDescent="0.3">
      <c r="A252" s="42" t="str">
        <f>IF(DB!D253="","",DB!D253)</f>
        <v/>
      </c>
      <c r="B252" s="43" t="str">
        <f>IF(DB!D253="","",DB!E253)</f>
        <v/>
      </c>
      <c r="C252" s="42" t="str">
        <f>IF(DB!D254="","",DB!D254)</f>
        <v/>
      </c>
      <c r="D252" s="43" t="str">
        <f>IF(DB!D254="","",DB!E254)</f>
        <v/>
      </c>
    </row>
    <row r="253" spans="1:4" ht="52.8" x14ac:dyDescent="0.3">
      <c r="A253" s="177" t="str">
        <f>IF(A254="","",IF(ISNUMBER(LOOKUP("Â",Code128(A254),1)),"Error!",Code128(A254)))</f>
        <v/>
      </c>
      <c r="B253" s="177"/>
      <c r="C253" s="177" t="str">
        <f>IF(C254="","",IF(ISNUMBER(LOOKUP("Â",Code128(C254),1)),"Error!",Code128(C254)))</f>
        <v/>
      </c>
      <c r="D253" s="177"/>
    </row>
    <row r="254" spans="1:4" x14ac:dyDescent="0.3">
      <c r="A254" s="42" t="str">
        <f>IF(DB!D255="","",DB!D255)</f>
        <v/>
      </c>
      <c r="B254" s="43" t="str">
        <f>IF(DB!D255="","",DB!E255)</f>
        <v/>
      </c>
      <c r="C254" s="42" t="str">
        <f>IF(DB!D256="","",DB!D256)</f>
        <v/>
      </c>
      <c r="D254" s="43" t="str">
        <f>IF(DB!D256="","",DB!E256)</f>
        <v/>
      </c>
    </row>
    <row r="255" spans="1:4" ht="52.8" x14ac:dyDescent="0.3">
      <c r="A255" s="177" t="str">
        <f>IF(A256="","",IF(ISNUMBER(LOOKUP("Â",Code128(A256),1)),"Error!",Code128(A256)))</f>
        <v/>
      </c>
      <c r="B255" s="177"/>
      <c r="C255" s="177" t="str">
        <f>IF(C256="","",IF(ISNUMBER(LOOKUP("Â",Code128(C256),1)),"Error!",Code128(C256)))</f>
        <v/>
      </c>
      <c r="D255" s="177"/>
    </row>
    <row r="256" spans="1:4" x14ac:dyDescent="0.3">
      <c r="A256" s="42" t="str">
        <f>IF(DB!D257="","",DB!D257)</f>
        <v/>
      </c>
      <c r="B256" s="43" t="str">
        <f>IF(DB!D257="","",DB!E257)</f>
        <v/>
      </c>
      <c r="C256" s="42" t="str">
        <f>IF(DB!D258="","",DB!D258)</f>
        <v/>
      </c>
      <c r="D256" s="43" t="str">
        <f>IF(DB!D258="","",DB!E258)</f>
        <v/>
      </c>
    </row>
    <row r="257" spans="1:4" ht="52.8" x14ac:dyDescent="0.3">
      <c r="A257" s="177" t="str">
        <f>IF(A258="","",IF(ISNUMBER(LOOKUP("Â",Code128(A258),1)),"Error!",Code128(A258)))</f>
        <v/>
      </c>
      <c r="B257" s="177"/>
      <c r="C257" s="177" t="str">
        <f>IF(C258="","",IF(ISNUMBER(LOOKUP("Â",Code128(C258),1)),"Error!",Code128(C258)))</f>
        <v/>
      </c>
      <c r="D257" s="177"/>
    </row>
    <row r="258" spans="1:4" x14ac:dyDescent="0.3">
      <c r="A258" s="42" t="str">
        <f>IF(DB!D259="","",DB!D259)</f>
        <v/>
      </c>
      <c r="B258" s="43" t="str">
        <f>IF(DB!D259="","",DB!E259)</f>
        <v/>
      </c>
      <c r="C258" s="42" t="str">
        <f>IF(DB!D260="","",DB!D260)</f>
        <v/>
      </c>
      <c r="D258" s="43" t="str">
        <f>IF(DB!D260="","",DB!E260)</f>
        <v/>
      </c>
    </row>
    <row r="259" spans="1:4" ht="52.8" x14ac:dyDescent="0.3">
      <c r="A259" s="177" t="str">
        <f>IF(A260="","",IF(ISNUMBER(LOOKUP("Â",Code128(A260),1)),"Error!",Code128(A260)))</f>
        <v/>
      </c>
      <c r="B259" s="177"/>
      <c r="C259" s="177" t="str">
        <f>IF(C260="","",IF(ISNUMBER(LOOKUP("Â",Code128(C260),1)),"Error!",Code128(C260)))</f>
        <v/>
      </c>
      <c r="D259" s="177"/>
    </row>
    <row r="260" spans="1:4" x14ac:dyDescent="0.3">
      <c r="A260" s="42" t="str">
        <f>IF(DB!D261="","",DB!D261)</f>
        <v/>
      </c>
      <c r="B260" s="43" t="str">
        <f>IF(DB!D261="","",DB!E261)</f>
        <v/>
      </c>
      <c r="C260" s="42" t="str">
        <f>IF(DB!D262="","",DB!D262)</f>
        <v/>
      </c>
      <c r="D260" s="43" t="str">
        <f>IF(DB!D262="","",DB!E262)</f>
        <v/>
      </c>
    </row>
    <row r="261" spans="1:4" ht="52.8" x14ac:dyDescent="0.3">
      <c r="A261" s="177" t="str">
        <f>IF(A262="","",IF(ISNUMBER(LOOKUP("Â",Code128(A262),1)),"Error!",Code128(A262)))</f>
        <v/>
      </c>
      <c r="B261" s="177"/>
      <c r="C261" s="177" t="str">
        <f>IF(C262="","",IF(ISNUMBER(LOOKUP("Â",Code128(C262),1)),"Error!",Code128(C262)))</f>
        <v/>
      </c>
      <c r="D261" s="177"/>
    </row>
    <row r="262" spans="1:4" x14ac:dyDescent="0.3">
      <c r="A262" s="42" t="str">
        <f>IF(DB!D263="","",DB!D263)</f>
        <v/>
      </c>
      <c r="B262" s="43" t="str">
        <f>IF(DB!D263="","",DB!E263)</f>
        <v/>
      </c>
      <c r="C262" s="42" t="str">
        <f>IF(DB!D264="","",DB!D264)</f>
        <v/>
      </c>
      <c r="D262" s="43" t="str">
        <f>IF(DB!D264="","",DB!E264)</f>
        <v/>
      </c>
    </row>
    <row r="263" spans="1:4" ht="52.8" x14ac:dyDescent="0.3">
      <c r="A263" s="177" t="str">
        <f>IF(A264="","",IF(ISNUMBER(LOOKUP("Â",Code128(A264),1)),"Error!",Code128(A264)))</f>
        <v/>
      </c>
      <c r="B263" s="177"/>
      <c r="C263" s="177" t="str">
        <f>IF(C264="","",IF(ISNUMBER(LOOKUP("Â",Code128(C264),1)),"Error!",Code128(C264)))</f>
        <v/>
      </c>
      <c r="D263" s="177"/>
    </row>
    <row r="264" spans="1:4" x14ac:dyDescent="0.3">
      <c r="A264" s="42" t="str">
        <f>IF(DB!D265="","",DB!D265)</f>
        <v/>
      </c>
      <c r="B264" s="43" t="str">
        <f>IF(DB!D265="","",DB!E265)</f>
        <v/>
      </c>
      <c r="C264" s="42" t="str">
        <f>IF(DB!D266="","",DB!D266)</f>
        <v/>
      </c>
      <c r="D264" s="43" t="str">
        <f>IF(DB!D266="","",DB!E266)</f>
        <v/>
      </c>
    </row>
    <row r="265" spans="1:4" ht="52.8" x14ac:dyDescent="0.3">
      <c r="A265" s="177" t="str">
        <f>IF(A266="","",IF(ISNUMBER(LOOKUP("Â",Code128(A266),1)),"Error!",Code128(A266)))</f>
        <v/>
      </c>
      <c r="B265" s="177"/>
      <c r="C265" s="177" t="str">
        <f>IF(C266="","",IF(ISNUMBER(LOOKUP("Â",Code128(C266),1)),"Error!",Code128(C266)))</f>
        <v/>
      </c>
      <c r="D265" s="177"/>
    </row>
    <row r="266" spans="1:4" x14ac:dyDescent="0.3">
      <c r="A266" s="42" t="str">
        <f>IF(DB!D267="","",DB!D267)</f>
        <v/>
      </c>
      <c r="B266" s="43" t="str">
        <f>IF(DB!D267="","",DB!E267)</f>
        <v/>
      </c>
      <c r="C266" s="42" t="str">
        <f>IF(DB!D268="","",DB!D268)</f>
        <v/>
      </c>
      <c r="D266" s="43" t="str">
        <f>IF(DB!D268="","",DB!E268)</f>
        <v/>
      </c>
    </row>
    <row r="267" spans="1:4" ht="52.8" x14ac:dyDescent="0.3">
      <c r="A267" s="177" t="str">
        <f>IF(A268="","",IF(ISNUMBER(LOOKUP("Â",Code128(A268),1)),"Error!",Code128(A268)))</f>
        <v/>
      </c>
      <c r="B267" s="177"/>
      <c r="C267" s="177" t="str">
        <f>IF(C268="","",IF(ISNUMBER(LOOKUP("Â",Code128(C268),1)),"Error!",Code128(C268)))</f>
        <v/>
      </c>
      <c r="D267" s="177"/>
    </row>
    <row r="268" spans="1:4" x14ac:dyDescent="0.3">
      <c r="A268" s="42" t="str">
        <f>IF(DB!D269="","",DB!D269)</f>
        <v/>
      </c>
      <c r="B268" s="43" t="str">
        <f>IF(DB!D269="","",DB!E269)</f>
        <v/>
      </c>
      <c r="C268" s="42" t="str">
        <f>IF(DB!D270="","",DB!D270)</f>
        <v/>
      </c>
      <c r="D268" s="43" t="str">
        <f>IF(DB!D270="","",DB!E270)</f>
        <v/>
      </c>
    </row>
    <row r="269" spans="1:4" ht="52.8" x14ac:dyDescent="0.3">
      <c r="A269" s="177" t="str">
        <f>IF(A270="","",IF(ISNUMBER(LOOKUP("Â",Code128(A270),1)),"Error!",Code128(A270)))</f>
        <v/>
      </c>
      <c r="B269" s="177"/>
      <c r="C269" s="177" t="str">
        <f>IF(C270="","",IF(ISNUMBER(LOOKUP("Â",Code128(C270),1)),"Error!",Code128(C270)))</f>
        <v/>
      </c>
      <c r="D269" s="177"/>
    </row>
    <row r="270" spans="1:4" x14ac:dyDescent="0.3">
      <c r="A270" s="42" t="str">
        <f>IF(DB!D271="","",DB!D271)</f>
        <v/>
      </c>
      <c r="B270" s="43" t="str">
        <f>IF(DB!D271="","",DB!E271)</f>
        <v/>
      </c>
      <c r="C270" s="42" t="str">
        <f>IF(DB!D272="","",DB!D272)</f>
        <v/>
      </c>
      <c r="D270" s="43" t="str">
        <f>IF(DB!D272="","",DB!E272)</f>
        <v/>
      </c>
    </row>
    <row r="271" spans="1:4" ht="52.8" x14ac:dyDescent="0.3">
      <c r="A271" s="177" t="str">
        <f>IF(A272="","",IF(ISNUMBER(LOOKUP("Â",Code128(A272),1)),"Error!",Code128(A272)))</f>
        <v/>
      </c>
      <c r="B271" s="177"/>
      <c r="C271" s="177" t="str">
        <f>IF(C272="","",IF(ISNUMBER(LOOKUP("Â",Code128(C272),1)),"Error!",Code128(C272)))</f>
        <v/>
      </c>
      <c r="D271" s="177"/>
    </row>
    <row r="272" spans="1:4" x14ac:dyDescent="0.3">
      <c r="A272" s="42" t="str">
        <f>IF(DB!D273="","",DB!D273)</f>
        <v/>
      </c>
      <c r="B272" s="43" t="str">
        <f>IF(DB!D273="","",DB!E273)</f>
        <v/>
      </c>
      <c r="C272" s="42" t="str">
        <f>IF(DB!D274="","",DB!D274)</f>
        <v/>
      </c>
      <c r="D272" s="43" t="str">
        <f>IF(DB!D274="","",DB!E274)</f>
        <v/>
      </c>
    </row>
    <row r="273" spans="1:4" ht="52.8" x14ac:dyDescent="0.3">
      <c r="A273" s="177" t="str">
        <f>IF(A274="","",IF(ISNUMBER(LOOKUP("Â",Code128(A274),1)),"Error!",Code128(A274)))</f>
        <v/>
      </c>
      <c r="B273" s="177"/>
      <c r="C273" s="177" t="str">
        <f>IF(C274="","",IF(ISNUMBER(LOOKUP("Â",Code128(C274),1)),"Error!",Code128(C274)))</f>
        <v/>
      </c>
      <c r="D273" s="177"/>
    </row>
    <row r="274" spans="1:4" x14ac:dyDescent="0.3">
      <c r="A274" s="42" t="str">
        <f>IF(DB!D275="","",DB!D275)</f>
        <v/>
      </c>
      <c r="B274" s="43" t="str">
        <f>IF(DB!D275="","",DB!E275)</f>
        <v/>
      </c>
      <c r="C274" s="42" t="str">
        <f>IF(DB!D276="","",DB!D276)</f>
        <v/>
      </c>
      <c r="D274" s="43" t="str">
        <f>IF(DB!D276="","",DB!E276)</f>
        <v/>
      </c>
    </row>
    <row r="275" spans="1:4" ht="52.8" x14ac:dyDescent="0.3">
      <c r="A275" s="177" t="str">
        <f>IF(A276="","",IF(ISNUMBER(LOOKUP("Â",Code128(A276),1)),"Error!",Code128(A276)))</f>
        <v/>
      </c>
      <c r="B275" s="177"/>
      <c r="C275" s="177" t="str">
        <f>IF(C276="","",IF(ISNUMBER(LOOKUP("Â",Code128(C276),1)),"Error!",Code128(C276)))</f>
        <v/>
      </c>
      <c r="D275" s="177"/>
    </row>
    <row r="276" spans="1:4" x14ac:dyDescent="0.3">
      <c r="A276" s="42" t="str">
        <f>IF(DB!D277="","",DB!D277)</f>
        <v/>
      </c>
      <c r="B276" s="43" t="str">
        <f>IF(DB!D277="","",DB!E277)</f>
        <v/>
      </c>
      <c r="C276" s="42" t="str">
        <f>IF(DB!D278="","",DB!D278)</f>
        <v/>
      </c>
      <c r="D276" s="43" t="str">
        <f>IF(DB!D278="","",DB!E278)</f>
        <v/>
      </c>
    </row>
    <row r="277" spans="1:4" ht="52.8" x14ac:dyDescent="0.3">
      <c r="A277" s="177" t="str">
        <f>IF(A278="","",IF(ISNUMBER(LOOKUP("Â",Code128(A278),1)),"Error!",Code128(A278)))</f>
        <v/>
      </c>
      <c r="B277" s="177"/>
      <c r="C277" s="177" t="str">
        <f>IF(C278="","",IF(ISNUMBER(LOOKUP("Â",Code128(C278),1)),"Error!",Code128(C278)))</f>
        <v/>
      </c>
      <c r="D277" s="177"/>
    </row>
    <row r="278" spans="1:4" x14ac:dyDescent="0.3">
      <c r="A278" s="42" t="str">
        <f>IF(DB!D279="","",DB!D279)</f>
        <v/>
      </c>
      <c r="B278" s="43" t="str">
        <f>IF(DB!D279="","",DB!E279)</f>
        <v/>
      </c>
      <c r="C278" s="42" t="str">
        <f>IF(DB!D280="","",DB!D280)</f>
        <v/>
      </c>
      <c r="D278" s="43" t="str">
        <f>IF(DB!D280="","",DB!E280)</f>
        <v/>
      </c>
    </row>
    <row r="279" spans="1:4" ht="52.8" x14ac:dyDescent="0.3">
      <c r="A279" s="177" t="str">
        <f>IF(A280="","",IF(ISNUMBER(LOOKUP("Â",Code128(A280),1)),"Error!",Code128(A280)))</f>
        <v/>
      </c>
      <c r="B279" s="177"/>
      <c r="C279" s="177" t="str">
        <f>IF(C280="","",IF(ISNUMBER(LOOKUP("Â",Code128(C280),1)),"Error!",Code128(C280)))</f>
        <v/>
      </c>
      <c r="D279" s="177"/>
    </row>
    <row r="280" spans="1:4" x14ac:dyDescent="0.3">
      <c r="A280" s="42" t="str">
        <f>IF(DB!D281="","",DB!D281)</f>
        <v/>
      </c>
      <c r="B280" s="43" t="str">
        <f>IF(DB!D281="","",DB!E281)</f>
        <v/>
      </c>
      <c r="C280" s="42" t="str">
        <f>IF(DB!D282="","",DB!D282)</f>
        <v/>
      </c>
      <c r="D280" s="43" t="str">
        <f>IF(DB!D282="","",DB!E282)</f>
        <v/>
      </c>
    </row>
    <row r="281" spans="1:4" ht="52.8" x14ac:dyDescent="0.3">
      <c r="A281" s="177" t="str">
        <f>IF(A282="","",IF(ISNUMBER(LOOKUP("Â",Code128(A282),1)),"Error!",Code128(A282)))</f>
        <v/>
      </c>
      <c r="B281" s="177"/>
      <c r="C281" s="177" t="str">
        <f>IF(C282="","",IF(ISNUMBER(LOOKUP("Â",Code128(C282),1)),"Error!",Code128(C282)))</f>
        <v/>
      </c>
      <c r="D281" s="177"/>
    </row>
    <row r="282" spans="1:4" x14ac:dyDescent="0.3">
      <c r="A282" s="42" t="str">
        <f>IF(DB!D283="","",DB!D283)</f>
        <v/>
      </c>
      <c r="B282" s="43" t="str">
        <f>IF(DB!D283="","",DB!E283)</f>
        <v/>
      </c>
      <c r="C282" s="42" t="str">
        <f>IF(DB!D284="","",DB!D284)</f>
        <v/>
      </c>
      <c r="D282" s="43" t="str">
        <f>IF(DB!D284="","",DB!E284)</f>
        <v/>
      </c>
    </row>
    <row r="283" spans="1:4" ht="52.8" x14ac:dyDescent="0.3">
      <c r="A283" s="177" t="str">
        <f>IF(A284="","",IF(ISNUMBER(LOOKUP("Â",Code128(A284),1)),"Error!",Code128(A284)))</f>
        <v/>
      </c>
      <c r="B283" s="177"/>
      <c r="C283" s="177" t="str">
        <f>IF(C284="","",IF(ISNUMBER(LOOKUP("Â",Code128(C284),1)),"Error!",Code128(C284)))</f>
        <v/>
      </c>
      <c r="D283" s="177"/>
    </row>
    <row r="284" spans="1:4" x14ac:dyDescent="0.3">
      <c r="A284" s="42" t="str">
        <f>IF(DB!D285="","",DB!D285)</f>
        <v/>
      </c>
      <c r="B284" s="43" t="str">
        <f>IF(DB!D285="","",DB!E285)</f>
        <v/>
      </c>
      <c r="C284" s="42" t="str">
        <f>IF(DB!D286="","",DB!D286)</f>
        <v/>
      </c>
      <c r="D284" s="43" t="str">
        <f>IF(DB!D286="","",DB!E286)</f>
        <v/>
      </c>
    </row>
    <row r="285" spans="1:4" ht="52.8" x14ac:dyDescent="0.3">
      <c r="A285" s="177" t="str">
        <f>IF(A286="","",IF(ISNUMBER(LOOKUP("Â",Code128(A286),1)),"Error!",Code128(A286)))</f>
        <v/>
      </c>
      <c r="B285" s="177"/>
      <c r="C285" s="177" t="str">
        <f>IF(C286="","",IF(ISNUMBER(LOOKUP("Â",Code128(C286),1)),"Error!",Code128(C286)))</f>
        <v/>
      </c>
      <c r="D285" s="177"/>
    </row>
    <row r="286" spans="1:4" x14ac:dyDescent="0.3">
      <c r="A286" s="42" t="str">
        <f>IF(DB!D287="","",DB!D287)</f>
        <v/>
      </c>
      <c r="B286" s="43" t="str">
        <f>IF(DB!D287="","",DB!E287)</f>
        <v/>
      </c>
      <c r="C286" s="42" t="str">
        <f>IF(DB!D288="","",DB!D288)</f>
        <v/>
      </c>
      <c r="D286" s="43" t="str">
        <f>IF(DB!D288="","",DB!E288)</f>
        <v/>
      </c>
    </row>
    <row r="287" spans="1:4" ht="52.8" x14ac:dyDescent="0.3">
      <c r="A287" s="177" t="str">
        <f>IF(A288="","",IF(ISNUMBER(LOOKUP("Â",Code128(A288),1)),"Error!",Code128(A288)))</f>
        <v/>
      </c>
      <c r="B287" s="177"/>
      <c r="C287" s="177" t="str">
        <f>IF(C288="","",IF(ISNUMBER(LOOKUP("Â",Code128(C288),1)),"Error!",Code128(C288)))</f>
        <v/>
      </c>
      <c r="D287" s="177"/>
    </row>
    <row r="288" spans="1:4" x14ac:dyDescent="0.3">
      <c r="A288" s="42" t="str">
        <f>IF(DB!D289="","",DB!D289)</f>
        <v/>
      </c>
      <c r="B288" s="43" t="str">
        <f>IF(DB!D289="","",DB!E289)</f>
        <v/>
      </c>
      <c r="C288" s="42" t="str">
        <f>IF(DB!D290="","",DB!D290)</f>
        <v/>
      </c>
      <c r="D288" s="43" t="str">
        <f>IF(DB!D290="","",DB!E290)</f>
        <v/>
      </c>
    </row>
    <row r="289" spans="1:4" ht="52.8" x14ac:dyDescent="0.3">
      <c r="A289" s="177" t="str">
        <f>IF(A290="","",IF(ISNUMBER(LOOKUP("Â",Code128(A290),1)),"Error!",Code128(A290)))</f>
        <v/>
      </c>
      <c r="B289" s="177"/>
      <c r="C289" s="177" t="str">
        <f>IF(C290="","",IF(ISNUMBER(LOOKUP("Â",Code128(C290),1)),"Error!",Code128(C290)))</f>
        <v/>
      </c>
      <c r="D289" s="177"/>
    </row>
    <row r="290" spans="1:4" x14ac:dyDescent="0.3">
      <c r="A290" s="42" t="str">
        <f>IF(DB!D291="","",DB!D291)</f>
        <v/>
      </c>
      <c r="B290" s="43" t="str">
        <f>IF(DB!D291="","",DB!E291)</f>
        <v/>
      </c>
      <c r="C290" s="42" t="str">
        <f>IF(DB!D292="","",DB!D292)</f>
        <v/>
      </c>
      <c r="D290" s="43" t="str">
        <f>IF(DB!D292="","",DB!E292)</f>
        <v/>
      </c>
    </row>
    <row r="291" spans="1:4" ht="52.8" x14ac:dyDescent="0.3">
      <c r="A291" s="177" t="str">
        <f>IF(A292="","",IF(ISNUMBER(LOOKUP("Â",Code128(A292),1)),"Error!",Code128(A292)))</f>
        <v/>
      </c>
      <c r="B291" s="177"/>
      <c r="C291" s="177" t="str">
        <f>IF(C292="","",IF(ISNUMBER(LOOKUP("Â",Code128(C292),1)),"Error!",Code128(C292)))</f>
        <v/>
      </c>
      <c r="D291" s="177"/>
    </row>
    <row r="292" spans="1:4" x14ac:dyDescent="0.3">
      <c r="A292" s="42" t="str">
        <f>IF(DB!D293="","",DB!D293)</f>
        <v/>
      </c>
      <c r="B292" s="43" t="str">
        <f>IF(DB!D293="","",DB!E293)</f>
        <v/>
      </c>
      <c r="C292" s="42" t="str">
        <f>IF(DB!D294="","",DB!D294)</f>
        <v/>
      </c>
      <c r="D292" s="43" t="str">
        <f>IF(DB!D294="","",DB!E294)</f>
        <v/>
      </c>
    </row>
    <row r="293" spans="1:4" ht="52.8" x14ac:dyDescent="0.3">
      <c r="A293" s="177" t="str">
        <f>IF(A294="","",IF(ISNUMBER(LOOKUP("Â",Code128(A294),1)),"Error!",Code128(A294)))</f>
        <v/>
      </c>
      <c r="B293" s="177"/>
      <c r="C293" s="177" t="str">
        <f>IF(C294="","",IF(ISNUMBER(LOOKUP("Â",Code128(C294),1)),"Error!",Code128(C294)))</f>
        <v/>
      </c>
      <c r="D293" s="177"/>
    </row>
    <row r="294" spans="1:4" x14ac:dyDescent="0.3">
      <c r="A294" s="42" t="str">
        <f>IF(DB!D295="","",DB!D295)</f>
        <v/>
      </c>
      <c r="B294" s="43" t="str">
        <f>IF(DB!D295="","",DB!E295)</f>
        <v/>
      </c>
      <c r="C294" s="42" t="str">
        <f>IF(DB!D296="","",DB!D296)</f>
        <v/>
      </c>
      <c r="D294" s="43" t="str">
        <f>IF(DB!D296="","",DB!E296)</f>
        <v/>
      </c>
    </row>
    <row r="295" spans="1:4" ht="52.8" x14ac:dyDescent="0.3">
      <c r="A295" s="177" t="str">
        <f>IF(A296="","",IF(ISNUMBER(LOOKUP("Â",Code128(A296),1)),"Error!",Code128(A296)))</f>
        <v/>
      </c>
      <c r="B295" s="177"/>
      <c r="C295" s="177" t="str">
        <f>IF(C296="","",IF(ISNUMBER(LOOKUP("Â",Code128(C296),1)),"Error!",Code128(C296)))</f>
        <v/>
      </c>
      <c r="D295" s="177"/>
    </row>
    <row r="296" spans="1:4" x14ac:dyDescent="0.3">
      <c r="A296" s="42" t="str">
        <f>IF(DB!D297="","",DB!D297)</f>
        <v/>
      </c>
      <c r="B296" s="43" t="str">
        <f>IF(DB!D297="","",DB!E297)</f>
        <v/>
      </c>
      <c r="C296" s="42" t="str">
        <f>IF(DB!D298="","",DB!D298)</f>
        <v/>
      </c>
      <c r="D296" s="43" t="str">
        <f>IF(DB!D298="","",DB!E298)</f>
        <v/>
      </c>
    </row>
    <row r="297" spans="1:4" ht="52.8" x14ac:dyDescent="0.3">
      <c r="A297" s="177" t="str">
        <f>IF(A298="","",IF(ISNUMBER(LOOKUP("Â",Code128(A298),1)),"Error!",Code128(A298)))</f>
        <v/>
      </c>
      <c r="B297" s="177"/>
      <c r="C297" s="177" t="str">
        <f>IF(C298="","",IF(ISNUMBER(LOOKUP("Â",Code128(C298),1)),"Error!",Code128(C298)))</f>
        <v/>
      </c>
      <c r="D297" s="177"/>
    </row>
    <row r="298" spans="1:4" x14ac:dyDescent="0.3">
      <c r="A298" s="42" t="str">
        <f>IF(DB!D299="","",DB!D299)</f>
        <v/>
      </c>
      <c r="B298" s="43" t="str">
        <f>IF(DB!D299="","",DB!E299)</f>
        <v/>
      </c>
      <c r="C298" s="42" t="str">
        <f>IF(DB!D300="","",DB!D300)</f>
        <v/>
      </c>
      <c r="D298" s="43" t="str">
        <f>IF(DB!D300="","",DB!E300)</f>
        <v/>
      </c>
    </row>
    <row r="299" spans="1:4" ht="52.8" x14ac:dyDescent="0.3">
      <c r="A299" s="177" t="str">
        <f>IF(A300="","",IF(ISNUMBER(LOOKUP("Â",Code128(A300),1)),"Error!",Code128(A300)))</f>
        <v/>
      </c>
      <c r="B299" s="177"/>
      <c r="C299" s="177" t="str">
        <f>IF(C300="","",IF(ISNUMBER(LOOKUP("Â",Code128(C300),1)),"Error!",Code128(C300)))</f>
        <v/>
      </c>
      <c r="D299" s="177"/>
    </row>
    <row r="300" spans="1:4" x14ac:dyDescent="0.3">
      <c r="A300" s="42" t="str">
        <f>IF(DB!D301="","",DB!D301)</f>
        <v/>
      </c>
      <c r="B300" s="43" t="str">
        <f>IF(DB!D301="","",DB!E301)</f>
        <v/>
      </c>
      <c r="C300" s="42" t="str">
        <f>IF(DB!D302="","",DB!D302)</f>
        <v/>
      </c>
      <c r="D300" s="43" t="str">
        <f>IF(DB!D302="","",DB!E302)</f>
        <v/>
      </c>
    </row>
  </sheetData>
  <mergeCells count="300"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EC3C3-950D-45EE-B87B-65220DF04559}">
  <sheetPr codeName="Blad8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7" t="str">
        <f>IF(A2="","",IF(ISNUMBER(LOOKUP("Â",Code128(A2),1)),"Error!",Code128(A2)))</f>
        <v/>
      </c>
      <c r="B1" s="177"/>
      <c r="C1" s="177" t="str">
        <f>IF(C2="","",IF(ISNUMBER(LOOKUP("Â",Code128(C2),1)),"Error!",Code128(C2)))</f>
        <v/>
      </c>
      <c r="D1" s="177"/>
    </row>
    <row r="2" spans="1:4" x14ac:dyDescent="0.3">
      <c r="A2" s="42" t="str">
        <f>IF(DB!A3="","",DB!A3)</f>
        <v/>
      </c>
      <c r="B2" s="43" t="str">
        <f>IF(DB!A3="","",DB!B3)</f>
        <v/>
      </c>
      <c r="C2" s="42" t="str">
        <f>IF(DB!A4="","",DB!A4)</f>
        <v/>
      </c>
      <c r="D2" s="43" t="str">
        <f>IF(DB!A4="","",DB!B4)</f>
        <v/>
      </c>
    </row>
    <row r="3" spans="1:4" ht="52.8" x14ac:dyDescent="0.3">
      <c r="A3" s="177" t="str">
        <f>IF(A4="","",IF(ISNUMBER(LOOKUP("Â",Code128(A4),1)),"Error!",Code128(A4)))</f>
        <v/>
      </c>
      <c r="B3" s="177"/>
      <c r="C3" s="177" t="str">
        <f>IF(C4="","",IF(ISNUMBER(LOOKUP("Â",Code128(C4),1)),"Error!",Code128(C4)))</f>
        <v/>
      </c>
      <c r="D3" s="177"/>
    </row>
    <row r="4" spans="1:4" x14ac:dyDescent="0.3">
      <c r="A4" s="42" t="str">
        <f>IF(DB!A5="","",DB!A5)</f>
        <v/>
      </c>
      <c r="B4" s="43" t="str">
        <f>IF(DB!A5="","",DB!B5)</f>
        <v/>
      </c>
      <c r="C4" s="42" t="str">
        <f>IF(DB!A6="","",DB!A6)</f>
        <v/>
      </c>
      <c r="D4" s="43" t="str">
        <f>IF(DB!A6="","",DB!B6)</f>
        <v/>
      </c>
    </row>
    <row r="5" spans="1:4" ht="52.8" x14ac:dyDescent="0.3">
      <c r="A5" s="177" t="str">
        <f>IF(A6="","",IF(ISNUMBER(LOOKUP("Â",Code128(A6),1)),"Error!",Code128(A6)))</f>
        <v/>
      </c>
      <c r="B5" s="177"/>
      <c r="C5" s="177" t="str">
        <f>IF(C6="","",IF(ISNUMBER(LOOKUP("Â",Code128(C6),1)),"Error!",Code128(C6)))</f>
        <v/>
      </c>
      <c r="D5" s="177"/>
    </row>
    <row r="6" spans="1:4" x14ac:dyDescent="0.3">
      <c r="A6" s="42" t="str">
        <f>IF(DB!A7="","",DB!A7)</f>
        <v/>
      </c>
      <c r="B6" s="43" t="str">
        <f>IF(DB!A7="","",DB!B7)</f>
        <v/>
      </c>
      <c r="C6" s="42" t="str">
        <f>IF(DB!A8="","",DB!A8)</f>
        <v/>
      </c>
      <c r="D6" s="43" t="str">
        <f>IF(DB!A8="","",DB!B8)</f>
        <v/>
      </c>
    </row>
    <row r="7" spans="1:4" ht="52.8" x14ac:dyDescent="0.3">
      <c r="A7" s="177" t="str">
        <f>IF(A8="","",IF(ISNUMBER(LOOKUP("Â",Code128(A8),1)),"Error!",Code128(A8)))</f>
        <v/>
      </c>
      <c r="B7" s="177"/>
      <c r="C7" s="177" t="str">
        <f>IF(C8="","",IF(ISNUMBER(LOOKUP("Â",Code128(C8),1)),"Error!",Code128(C8)))</f>
        <v/>
      </c>
      <c r="D7" s="177"/>
    </row>
    <row r="8" spans="1:4" x14ac:dyDescent="0.3">
      <c r="A8" s="42" t="str">
        <f>IF(DB!A9="","",DB!A9)</f>
        <v/>
      </c>
      <c r="B8" s="43" t="str">
        <f>IF(DB!A9="","",DB!B9)</f>
        <v/>
      </c>
      <c r="C8" s="42" t="str">
        <f>IF(DB!A10="","",DB!A10)</f>
        <v/>
      </c>
      <c r="D8" s="43" t="str">
        <f>IF(DB!A10="","",DB!B10)</f>
        <v/>
      </c>
    </row>
    <row r="9" spans="1:4" ht="52.8" x14ac:dyDescent="0.3">
      <c r="A9" s="177" t="str">
        <f>IF(A10="","",IF(ISNUMBER(LOOKUP("Â",Code128(A10),1)),"Error!",Code128(A10)))</f>
        <v/>
      </c>
      <c r="B9" s="177"/>
      <c r="C9" s="177" t="str">
        <f>IF(C10="","",IF(ISNUMBER(LOOKUP("Â",Code128(C10),1)),"Error!",Code128(C10)))</f>
        <v/>
      </c>
      <c r="D9" s="177"/>
    </row>
    <row r="10" spans="1:4" x14ac:dyDescent="0.3">
      <c r="A10" s="42" t="str">
        <f>IF(DB!A11="","",DB!A11)</f>
        <v/>
      </c>
      <c r="B10" s="43" t="str">
        <f>IF(DB!A11="","",DB!B11)</f>
        <v/>
      </c>
      <c r="C10" s="42" t="str">
        <f>IF(DB!A12="","",DB!A12)</f>
        <v/>
      </c>
      <c r="D10" s="43" t="str">
        <f>IF(DB!A12="","",DB!B12)</f>
        <v/>
      </c>
    </row>
    <row r="11" spans="1:4" ht="52.8" x14ac:dyDescent="0.3">
      <c r="A11" s="177" t="str">
        <f>IF(A12="","",IF(ISNUMBER(LOOKUP("Â",Code128(A12),1)),"Error!",Code128(A12)))</f>
        <v/>
      </c>
      <c r="B11" s="177"/>
      <c r="C11" s="177" t="str">
        <f>IF(C12="","",IF(ISNUMBER(LOOKUP("Â",Code128(C12),1)),"Error!",Code128(C12)))</f>
        <v/>
      </c>
      <c r="D11" s="177"/>
    </row>
    <row r="12" spans="1:4" x14ac:dyDescent="0.3">
      <c r="A12" s="42" t="str">
        <f>IF(DB!A13="","",DB!A13)</f>
        <v/>
      </c>
      <c r="B12" s="43" t="str">
        <f>IF(DB!A13="","",DB!B13)</f>
        <v/>
      </c>
      <c r="C12" s="42" t="str">
        <f>IF(DB!A14="","",DB!A14)</f>
        <v/>
      </c>
      <c r="D12" s="43" t="str">
        <f>IF(DB!A14="","",DB!B14)</f>
        <v/>
      </c>
    </row>
    <row r="13" spans="1:4" ht="52.8" x14ac:dyDescent="0.3">
      <c r="A13" s="177" t="str">
        <f>IF(A14="","",IF(ISNUMBER(LOOKUP("Â",Code128(A14),1)),"Error!",Code128(A14)))</f>
        <v/>
      </c>
      <c r="B13" s="177"/>
      <c r="C13" s="177" t="str">
        <f>IF(C14="","",IF(ISNUMBER(LOOKUP("Â",Code128(C14),1)),"Error!",Code128(C14)))</f>
        <v/>
      </c>
      <c r="D13" s="177"/>
    </row>
    <row r="14" spans="1:4" x14ac:dyDescent="0.3">
      <c r="A14" s="42" t="str">
        <f>IF(DB!A15="","",DB!A15)</f>
        <v/>
      </c>
      <c r="B14" s="43" t="str">
        <f>IF(DB!A15="","",DB!B15)</f>
        <v/>
      </c>
      <c r="C14" s="42" t="str">
        <f>IF(DB!A16="","",DB!A16)</f>
        <v/>
      </c>
      <c r="D14" s="43" t="str">
        <f>IF(DB!A16="","",DB!B16)</f>
        <v/>
      </c>
    </row>
    <row r="15" spans="1:4" ht="52.8" x14ac:dyDescent="0.3">
      <c r="A15" s="177" t="str">
        <f>IF(A16="","",IF(ISNUMBER(LOOKUP("Â",Code128(A16),1)),"Error!",Code128(A16)))</f>
        <v/>
      </c>
      <c r="B15" s="177"/>
      <c r="C15" s="177" t="str">
        <f>IF(C16="","",IF(ISNUMBER(LOOKUP("Â",Code128(C16),1)),"Error!",Code128(C16)))</f>
        <v/>
      </c>
      <c r="D15" s="177"/>
    </row>
    <row r="16" spans="1:4" x14ac:dyDescent="0.3">
      <c r="A16" s="42" t="str">
        <f>IF(DB!A17="","",DB!A17)</f>
        <v/>
      </c>
      <c r="B16" s="43" t="str">
        <f>IF(DB!A17="","",DB!B17)</f>
        <v/>
      </c>
      <c r="C16" s="42" t="str">
        <f>IF(DB!A18="","",DB!A18)</f>
        <v/>
      </c>
      <c r="D16" s="43" t="str">
        <f>IF(DB!A18="","",DB!B18)</f>
        <v/>
      </c>
    </row>
    <row r="17" spans="1:4" ht="52.8" x14ac:dyDescent="0.3">
      <c r="A17" s="177" t="str">
        <f>IF(A18="","",IF(ISNUMBER(LOOKUP("Â",Code128(A18),1)),"Error!",Code128(A18)))</f>
        <v/>
      </c>
      <c r="B17" s="177"/>
      <c r="C17" s="177" t="str">
        <f>IF(C18="","",IF(ISNUMBER(LOOKUP("Â",Code128(C18),1)),"Error!",Code128(C18)))</f>
        <v/>
      </c>
      <c r="D17" s="177"/>
    </row>
    <row r="18" spans="1:4" x14ac:dyDescent="0.3">
      <c r="A18" s="42" t="str">
        <f>IF(DB!A19="","",DB!A19)</f>
        <v/>
      </c>
      <c r="B18" s="43" t="str">
        <f>IF(DB!A19="","",DB!B19)</f>
        <v/>
      </c>
      <c r="C18" s="42" t="str">
        <f>IF(DB!A20="","",DB!A20)</f>
        <v/>
      </c>
      <c r="D18" s="43" t="str">
        <f>IF(DB!A20="","",DB!B20)</f>
        <v/>
      </c>
    </row>
    <row r="19" spans="1:4" ht="52.8" x14ac:dyDescent="0.3">
      <c r="A19" s="177" t="str">
        <f>IF(A20="","",IF(ISNUMBER(LOOKUP("Â",Code128(A20),1)),"Error!",Code128(A20)))</f>
        <v/>
      </c>
      <c r="B19" s="177"/>
      <c r="C19" s="177" t="str">
        <f>IF(C20="","",IF(ISNUMBER(LOOKUP("Â",Code128(C20),1)),"Error!",Code128(C20)))</f>
        <v/>
      </c>
      <c r="D19" s="177"/>
    </row>
    <row r="20" spans="1:4" x14ac:dyDescent="0.3">
      <c r="A20" s="42" t="str">
        <f>IF(DB!A21="","",DB!A21)</f>
        <v/>
      </c>
      <c r="B20" s="43" t="str">
        <f>IF(DB!A21="","",DB!B21)</f>
        <v/>
      </c>
      <c r="C20" s="42" t="str">
        <f>IF(DB!A22="","",DB!A22)</f>
        <v/>
      </c>
      <c r="D20" s="43" t="str">
        <f>IF(DB!A22="","",DB!B22)</f>
        <v/>
      </c>
    </row>
    <row r="21" spans="1:4" ht="52.8" x14ac:dyDescent="0.3">
      <c r="A21" s="177" t="str">
        <f>IF(A22="","",IF(ISNUMBER(LOOKUP("Â",Code128(A22),1)),"Error!",Code128(A22)))</f>
        <v/>
      </c>
      <c r="B21" s="177"/>
      <c r="C21" s="177" t="str">
        <f>IF(C22="","",IF(ISNUMBER(LOOKUP("Â",Code128(C22),1)),"Error!",Code128(C22)))</f>
        <v/>
      </c>
      <c r="D21" s="177"/>
    </row>
    <row r="22" spans="1:4" x14ac:dyDescent="0.3">
      <c r="A22" s="42" t="str">
        <f>IF(DB!A23="","",DB!A23)</f>
        <v/>
      </c>
      <c r="B22" s="43" t="str">
        <f>IF(DB!A23="","",DB!B23)</f>
        <v/>
      </c>
      <c r="C22" s="42" t="str">
        <f>IF(DB!A24="","",DB!A24)</f>
        <v/>
      </c>
      <c r="D22" s="43" t="str">
        <f>IF(DB!A24="","",DB!B24)</f>
        <v/>
      </c>
    </row>
    <row r="23" spans="1:4" ht="52.8" x14ac:dyDescent="0.3">
      <c r="A23" s="177" t="str">
        <f>IF(A24="","",IF(ISNUMBER(LOOKUP("Â",Code128(A24),1)),"Error!",Code128(A24)))</f>
        <v/>
      </c>
      <c r="B23" s="177"/>
      <c r="C23" s="177" t="str">
        <f>IF(C24="","",IF(ISNUMBER(LOOKUP("Â",Code128(C24),1)),"Error!",Code128(C24)))</f>
        <v/>
      </c>
      <c r="D23" s="177"/>
    </row>
    <row r="24" spans="1:4" x14ac:dyDescent="0.3">
      <c r="A24" s="42" t="str">
        <f>IF(DB!A25="","",DB!A25)</f>
        <v/>
      </c>
      <c r="B24" s="43" t="str">
        <f>IF(DB!A25="","",DB!B25)</f>
        <v/>
      </c>
      <c r="C24" s="42" t="str">
        <f>IF(DB!A26="","",DB!A26)</f>
        <v/>
      </c>
      <c r="D24" s="43" t="str">
        <f>IF(DB!A26="","",DB!B26)</f>
        <v/>
      </c>
    </row>
    <row r="25" spans="1:4" ht="52.8" x14ac:dyDescent="0.3">
      <c r="A25" s="177" t="str">
        <f>IF(A26="","",IF(ISNUMBER(LOOKUP("Â",Code128(A26),1)),"Error!",Code128(A26)))</f>
        <v/>
      </c>
      <c r="B25" s="177"/>
      <c r="C25" s="177" t="str">
        <f>IF(C26="","",IF(ISNUMBER(LOOKUP("Â",Code128(C26),1)),"Error!",Code128(C26)))</f>
        <v/>
      </c>
      <c r="D25" s="177"/>
    </row>
    <row r="26" spans="1:4" x14ac:dyDescent="0.3">
      <c r="A26" s="42" t="str">
        <f>IF(DB!A27="","",DB!A27)</f>
        <v/>
      </c>
      <c r="B26" s="43" t="str">
        <f>IF(DB!A27="","",DB!B27)</f>
        <v/>
      </c>
      <c r="C26" s="42" t="str">
        <f>IF(DB!A28="","",DB!A28)</f>
        <v/>
      </c>
      <c r="D26" s="43" t="str">
        <f>IF(DB!A28="","",DB!B28)</f>
        <v/>
      </c>
    </row>
    <row r="27" spans="1:4" ht="52.8" x14ac:dyDescent="0.3">
      <c r="A27" s="177" t="str">
        <f>IF(A28="","",IF(ISNUMBER(LOOKUP("Â",Code128(A28),1)),"Error!",Code128(A28)))</f>
        <v/>
      </c>
      <c r="B27" s="177"/>
      <c r="C27" s="177" t="str">
        <f>IF(C28="","",IF(ISNUMBER(LOOKUP("Â",Code128(C28),1)),"Error!",Code128(C28)))</f>
        <v/>
      </c>
      <c r="D27" s="177"/>
    </row>
    <row r="28" spans="1:4" x14ac:dyDescent="0.3">
      <c r="A28" s="42" t="str">
        <f>IF(DB!A29="","",DB!A29)</f>
        <v/>
      </c>
      <c r="B28" s="43" t="str">
        <f>IF(DB!A29="","",DB!B29)</f>
        <v/>
      </c>
      <c r="C28" s="42" t="str">
        <f>IF(DB!A30="","",DB!A30)</f>
        <v/>
      </c>
      <c r="D28" s="43" t="str">
        <f>IF(DB!A30="","",DB!B30)</f>
        <v/>
      </c>
    </row>
    <row r="29" spans="1:4" ht="52.8" x14ac:dyDescent="0.3">
      <c r="A29" s="177" t="str">
        <f>IF(A30="","",IF(ISNUMBER(LOOKUP("Â",Code128(A30),1)),"Error!",Code128(A30)))</f>
        <v/>
      </c>
      <c r="B29" s="177"/>
      <c r="C29" s="177" t="str">
        <f>IF(C30="","",IF(ISNUMBER(LOOKUP("Â",Code128(C30),1)),"Error!",Code128(C30)))</f>
        <v/>
      </c>
      <c r="D29" s="177"/>
    </row>
    <row r="30" spans="1:4" x14ac:dyDescent="0.3">
      <c r="A30" s="42" t="str">
        <f>IF(DB!A31="","",DB!A31)</f>
        <v/>
      </c>
      <c r="B30" s="43" t="str">
        <f>IF(DB!A31="","",DB!B31)</f>
        <v/>
      </c>
      <c r="C30" s="42" t="str">
        <f>IF(DB!A32="","",DB!A32)</f>
        <v/>
      </c>
      <c r="D30" s="43" t="str">
        <f>IF(DB!A32="","",DB!B32)</f>
        <v/>
      </c>
    </row>
    <row r="31" spans="1:4" ht="52.8" x14ac:dyDescent="0.3">
      <c r="A31" s="177" t="str">
        <f>IF(A32="","",IF(ISNUMBER(LOOKUP("Â",Code128(A32),1)),"Error!",Code128(A32)))</f>
        <v/>
      </c>
      <c r="B31" s="177"/>
      <c r="C31" s="177" t="str">
        <f>IF(C32="","",IF(ISNUMBER(LOOKUP("Â",Code128(C32),1)),"Error!",Code128(C32)))</f>
        <v/>
      </c>
      <c r="D31" s="177"/>
    </row>
    <row r="32" spans="1:4" x14ac:dyDescent="0.3">
      <c r="A32" s="42" t="str">
        <f>IF(DB!A33="","",DB!A33)</f>
        <v/>
      </c>
      <c r="B32" s="43" t="str">
        <f>IF(DB!A33="","",DB!B33)</f>
        <v/>
      </c>
      <c r="C32" s="42" t="str">
        <f>IF(DB!A34="","",DB!A34)</f>
        <v/>
      </c>
      <c r="D32" s="43" t="str">
        <f>IF(DB!A34="","",DB!B34)</f>
        <v/>
      </c>
    </row>
    <row r="33" spans="1:4" ht="52.8" x14ac:dyDescent="0.3">
      <c r="A33" s="177" t="str">
        <f>IF(A34="","",IF(ISNUMBER(LOOKUP("Â",Code128(A34),1)),"Error!",Code128(A34)))</f>
        <v/>
      </c>
      <c r="B33" s="177"/>
      <c r="C33" s="177" t="str">
        <f>IF(C34="","",IF(ISNUMBER(LOOKUP("Â",Code128(C34),1)),"Error!",Code128(C34)))</f>
        <v/>
      </c>
      <c r="D33" s="177"/>
    </row>
    <row r="34" spans="1:4" x14ac:dyDescent="0.3">
      <c r="A34" s="42" t="str">
        <f>IF(DB!A35="","",DB!A35)</f>
        <v/>
      </c>
      <c r="B34" s="43" t="str">
        <f>IF(DB!A35="","",DB!B35)</f>
        <v/>
      </c>
      <c r="C34" s="42" t="str">
        <f>IF(DB!A36="","",DB!A36)</f>
        <v/>
      </c>
      <c r="D34" s="43" t="str">
        <f>IF(DB!A36="","",DB!B36)</f>
        <v/>
      </c>
    </row>
    <row r="35" spans="1:4" ht="52.8" x14ac:dyDescent="0.3">
      <c r="A35" s="177" t="str">
        <f>IF(A36="","",IF(ISNUMBER(LOOKUP("Â",Code128(A36),1)),"Error!",Code128(A36)))</f>
        <v/>
      </c>
      <c r="B35" s="177"/>
      <c r="C35" s="177" t="str">
        <f>IF(C36="","",IF(ISNUMBER(LOOKUP("Â",Code128(C36),1)),"Error!",Code128(C36)))</f>
        <v/>
      </c>
      <c r="D35" s="177"/>
    </row>
    <row r="36" spans="1:4" x14ac:dyDescent="0.3">
      <c r="A36" s="42" t="str">
        <f>IF(DB!A37="","",DB!A37)</f>
        <v/>
      </c>
      <c r="B36" s="43" t="str">
        <f>IF(DB!A37="","",DB!B37)</f>
        <v/>
      </c>
      <c r="C36" s="42" t="str">
        <f>IF(DB!A38="","",DB!A38)</f>
        <v/>
      </c>
      <c r="D36" s="43" t="str">
        <f>IF(DB!A38="","",DB!B38)</f>
        <v/>
      </c>
    </row>
    <row r="37" spans="1:4" ht="52.8" x14ac:dyDescent="0.3">
      <c r="A37" s="177" t="str">
        <f>IF(A38="","",IF(ISNUMBER(LOOKUP("Â",Code128(A38),1)),"Error!",Code128(A38)))</f>
        <v/>
      </c>
      <c r="B37" s="177"/>
      <c r="C37" s="177" t="str">
        <f>IF(C38="","",IF(ISNUMBER(LOOKUP("Â",Code128(C38),1)),"Error!",Code128(C38)))</f>
        <v/>
      </c>
      <c r="D37" s="177"/>
    </row>
    <row r="38" spans="1:4" x14ac:dyDescent="0.3">
      <c r="A38" s="42" t="str">
        <f>IF(DB!A39="","",DB!A39)</f>
        <v/>
      </c>
      <c r="B38" s="43" t="str">
        <f>IF(DB!A39="","",DB!B39)</f>
        <v/>
      </c>
      <c r="C38" s="42" t="str">
        <f>IF(DB!A40="","",DB!A40)</f>
        <v/>
      </c>
      <c r="D38" s="43" t="str">
        <f>IF(DB!A40="","",DB!B40)</f>
        <v/>
      </c>
    </row>
    <row r="39" spans="1:4" ht="52.8" x14ac:dyDescent="0.3">
      <c r="A39" s="177" t="str">
        <f>IF(A40="","",IF(ISNUMBER(LOOKUP("Â",Code128(A40),1)),"Error!",Code128(A40)))</f>
        <v/>
      </c>
      <c r="B39" s="177"/>
      <c r="C39" s="177" t="str">
        <f>IF(C40="","",IF(ISNUMBER(LOOKUP("Â",Code128(C40),1)),"Error!",Code128(C40)))</f>
        <v/>
      </c>
      <c r="D39" s="177"/>
    </row>
    <row r="40" spans="1:4" x14ac:dyDescent="0.3">
      <c r="A40" s="42" t="str">
        <f>IF(DB!A41="","",DB!A41)</f>
        <v/>
      </c>
      <c r="B40" s="43" t="str">
        <f>IF(DB!A41="","",DB!B41)</f>
        <v/>
      </c>
      <c r="C40" s="42" t="str">
        <f>IF(DB!A42="","",DB!A42)</f>
        <v/>
      </c>
      <c r="D40" s="43" t="str">
        <f>IF(DB!A42="","",DB!B42)</f>
        <v/>
      </c>
    </row>
    <row r="41" spans="1:4" ht="52.8" x14ac:dyDescent="0.3">
      <c r="A41" s="177" t="str">
        <f>IF(A42="","",IF(ISNUMBER(LOOKUP("Â",Code128(A42),1)),"Error!",Code128(A42)))</f>
        <v/>
      </c>
      <c r="B41" s="177"/>
      <c r="C41" s="177" t="str">
        <f>IF(C42="","",IF(ISNUMBER(LOOKUP("Â",Code128(C42),1)),"Error!",Code128(C42)))</f>
        <v/>
      </c>
      <c r="D41" s="177"/>
    </row>
    <row r="42" spans="1:4" x14ac:dyDescent="0.3">
      <c r="A42" s="42" t="str">
        <f>IF(DB!A43="","",DB!A43)</f>
        <v/>
      </c>
      <c r="B42" s="43" t="str">
        <f>IF(DB!A43="","",DB!B43)</f>
        <v/>
      </c>
      <c r="C42" s="42" t="str">
        <f>IF(DB!A44="","",DB!A44)</f>
        <v/>
      </c>
      <c r="D42" s="43" t="str">
        <f>IF(DB!A44="","",DB!B44)</f>
        <v/>
      </c>
    </row>
    <row r="43" spans="1:4" ht="52.8" x14ac:dyDescent="0.3">
      <c r="A43" s="177" t="str">
        <f>IF(A44="","",IF(ISNUMBER(LOOKUP("Â",Code128(A44),1)),"Error!",Code128(A44)))</f>
        <v/>
      </c>
      <c r="B43" s="177"/>
      <c r="C43" s="177" t="str">
        <f>IF(C44="","",IF(ISNUMBER(LOOKUP("Â",Code128(C44),1)),"Error!",Code128(C44)))</f>
        <v/>
      </c>
      <c r="D43" s="177"/>
    </row>
    <row r="44" spans="1:4" x14ac:dyDescent="0.3">
      <c r="A44" s="42" t="str">
        <f>IF(DB!A45="","",DB!A45)</f>
        <v/>
      </c>
      <c r="B44" s="43" t="str">
        <f>IF(DB!A45="","",DB!B45)</f>
        <v/>
      </c>
      <c r="C44" s="42" t="str">
        <f>IF(DB!A46="","",DB!A46)</f>
        <v/>
      </c>
      <c r="D44" s="43" t="str">
        <f>IF(DB!A46="","",DB!B46)</f>
        <v/>
      </c>
    </row>
    <row r="45" spans="1:4" ht="52.8" x14ac:dyDescent="0.3">
      <c r="A45" s="177" t="str">
        <f>IF(A46="","",IF(ISNUMBER(LOOKUP("Â",Code128(A46),1)),"Error!",Code128(A46)))</f>
        <v/>
      </c>
      <c r="B45" s="177"/>
      <c r="C45" s="177" t="str">
        <f>IF(C46="","",IF(ISNUMBER(LOOKUP("Â",Code128(C46),1)),"Error!",Code128(C46)))</f>
        <v/>
      </c>
      <c r="D45" s="177"/>
    </row>
    <row r="46" spans="1:4" x14ac:dyDescent="0.3">
      <c r="A46" s="42" t="str">
        <f>IF(DB!A47="","",DB!A47)</f>
        <v/>
      </c>
      <c r="B46" s="43" t="str">
        <f>IF(DB!A47="","",DB!B47)</f>
        <v/>
      </c>
      <c r="C46" s="42" t="str">
        <f>IF(DB!A48="","",DB!A48)</f>
        <v/>
      </c>
      <c r="D46" s="43" t="str">
        <f>IF(DB!A48="","",DB!B48)</f>
        <v/>
      </c>
    </row>
    <row r="47" spans="1:4" ht="52.8" x14ac:dyDescent="0.3">
      <c r="A47" s="177" t="str">
        <f>IF(A48="","",IF(ISNUMBER(LOOKUP("Â",Code128(A48),1)),"Error!",Code128(A48)))</f>
        <v/>
      </c>
      <c r="B47" s="177"/>
      <c r="C47" s="177" t="str">
        <f>IF(C48="","",IF(ISNUMBER(LOOKUP("Â",Code128(C48),1)),"Error!",Code128(C48)))</f>
        <v/>
      </c>
      <c r="D47" s="177"/>
    </row>
    <row r="48" spans="1:4" x14ac:dyDescent="0.3">
      <c r="A48" s="42" t="str">
        <f>IF(DB!A49="","",DB!A49)</f>
        <v/>
      </c>
      <c r="B48" s="43" t="str">
        <f>IF(DB!A49="","",DB!B49)</f>
        <v/>
      </c>
      <c r="C48" s="42" t="str">
        <f>IF(DB!A50="","",DB!A50)</f>
        <v/>
      </c>
      <c r="D48" s="43" t="str">
        <f>IF(DB!A50="","",DB!B50)</f>
        <v/>
      </c>
    </row>
    <row r="49" spans="1:4" ht="52.8" x14ac:dyDescent="0.3">
      <c r="A49" s="177" t="str">
        <f>IF(A50="","",IF(ISNUMBER(LOOKUP("Â",Code128(A50),1)),"Error!",Code128(A50)))</f>
        <v/>
      </c>
      <c r="B49" s="177"/>
      <c r="C49" s="177" t="str">
        <f>IF(C50="","",IF(ISNUMBER(LOOKUP("Â",Code128(C50),1)),"Error!",Code128(C50)))</f>
        <v/>
      </c>
      <c r="D49" s="177"/>
    </row>
    <row r="50" spans="1:4" x14ac:dyDescent="0.3">
      <c r="A50" s="42" t="str">
        <f>IF(DB!A51="","",DB!A51)</f>
        <v/>
      </c>
      <c r="B50" s="43" t="str">
        <f>IF(DB!A51="","",DB!B51)</f>
        <v/>
      </c>
      <c r="C50" s="42" t="str">
        <f>IF(DB!A52="","",DB!A52)</f>
        <v/>
      </c>
      <c r="D50" s="43" t="str">
        <f>IF(DB!A52="","",DB!B52)</f>
        <v/>
      </c>
    </row>
    <row r="51" spans="1:4" ht="52.8" x14ac:dyDescent="0.3">
      <c r="A51" s="177" t="str">
        <f>IF(A52="","",IF(ISNUMBER(LOOKUP("Â",Code128(A52),1)),"Error!",Code128(A52)))</f>
        <v/>
      </c>
      <c r="B51" s="177"/>
      <c r="C51" s="177" t="str">
        <f>IF(C52="","",IF(ISNUMBER(LOOKUP("Â",Code128(C52),1)),"Error!",Code128(C52)))</f>
        <v/>
      </c>
      <c r="D51" s="177"/>
    </row>
    <row r="52" spans="1:4" x14ac:dyDescent="0.3">
      <c r="A52" s="42" t="str">
        <f>IF(DB!A53="","",DB!A53)</f>
        <v/>
      </c>
      <c r="B52" s="43" t="str">
        <f>IF(DB!A53="","",DB!B53)</f>
        <v/>
      </c>
      <c r="C52" s="42" t="str">
        <f>IF(DB!A54="","",DB!A54)</f>
        <v/>
      </c>
      <c r="D52" s="43" t="str">
        <f>IF(DB!A54="","",DB!B54)</f>
        <v/>
      </c>
    </row>
    <row r="53" spans="1:4" ht="52.8" x14ac:dyDescent="0.3">
      <c r="A53" s="177" t="str">
        <f>IF(A54="","",IF(ISNUMBER(LOOKUP("Â",Code128(A54),1)),"Error!",Code128(A54)))</f>
        <v/>
      </c>
      <c r="B53" s="177"/>
      <c r="C53" s="177" t="str">
        <f>IF(C54="","",IF(ISNUMBER(LOOKUP("Â",Code128(C54),1)),"Error!",Code128(C54)))</f>
        <v/>
      </c>
      <c r="D53" s="177"/>
    </row>
    <row r="54" spans="1:4" x14ac:dyDescent="0.3">
      <c r="A54" s="42" t="str">
        <f>IF(DB!A55="","",DB!A55)</f>
        <v/>
      </c>
      <c r="B54" s="43" t="str">
        <f>IF(DB!A55="","",DB!B55)</f>
        <v/>
      </c>
      <c r="C54" s="42" t="str">
        <f>IF(DB!A56="","",DB!A56)</f>
        <v/>
      </c>
      <c r="D54" s="43" t="str">
        <f>IF(DB!A56="","",DB!B56)</f>
        <v/>
      </c>
    </row>
    <row r="55" spans="1:4" ht="52.8" x14ac:dyDescent="0.3">
      <c r="A55" s="177" t="str">
        <f>IF(A56="","",IF(ISNUMBER(LOOKUP("Â",Code128(A56),1)),"Error!",Code128(A56)))</f>
        <v/>
      </c>
      <c r="B55" s="177"/>
      <c r="C55" s="177" t="str">
        <f>IF(C56="","",IF(ISNUMBER(LOOKUP("Â",Code128(C56),1)),"Error!",Code128(C56)))</f>
        <v/>
      </c>
      <c r="D55" s="177"/>
    </row>
    <row r="56" spans="1:4" x14ac:dyDescent="0.3">
      <c r="A56" s="42" t="str">
        <f>IF(DB!A57="","",DB!A57)</f>
        <v/>
      </c>
      <c r="B56" s="43" t="str">
        <f>IF(DB!A57="","",DB!B57)</f>
        <v/>
      </c>
      <c r="C56" s="42" t="str">
        <f>IF(DB!A58="","",DB!A58)</f>
        <v/>
      </c>
      <c r="D56" s="43" t="str">
        <f>IF(DB!A58="","",DB!B58)</f>
        <v/>
      </c>
    </row>
    <row r="57" spans="1:4" ht="52.8" x14ac:dyDescent="0.3">
      <c r="A57" s="177" t="str">
        <f>IF(A58="","",IF(ISNUMBER(LOOKUP("Â",Code128(A58),1)),"Error!",Code128(A58)))</f>
        <v/>
      </c>
      <c r="B57" s="177"/>
      <c r="C57" s="177" t="str">
        <f>IF(C58="","",IF(ISNUMBER(LOOKUP("Â",Code128(C58),1)),"Error!",Code128(C58)))</f>
        <v/>
      </c>
      <c r="D57" s="177"/>
    </row>
    <row r="58" spans="1:4" x14ac:dyDescent="0.3">
      <c r="A58" s="42" t="str">
        <f>IF(DB!A59="","",DB!A59)</f>
        <v/>
      </c>
      <c r="B58" s="43" t="str">
        <f>IF(DB!A59="","",DB!B59)</f>
        <v/>
      </c>
      <c r="C58" s="42" t="str">
        <f>IF(DB!A60="","",DB!A60)</f>
        <v/>
      </c>
      <c r="D58" s="43" t="str">
        <f>IF(DB!A60="","",DB!B60)</f>
        <v/>
      </c>
    </row>
    <row r="59" spans="1:4" ht="52.8" x14ac:dyDescent="0.3">
      <c r="A59" s="177" t="str">
        <f>IF(A60="","",IF(ISNUMBER(LOOKUP("Â",Code128(A60),1)),"Error!",Code128(A60)))</f>
        <v/>
      </c>
      <c r="B59" s="177"/>
      <c r="C59" s="177" t="str">
        <f>IF(C60="","",IF(ISNUMBER(LOOKUP("Â",Code128(C60),1)),"Error!",Code128(C60)))</f>
        <v/>
      </c>
      <c r="D59" s="177"/>
    </row>
    <row r="60" spans="1:4" x14ac:dyDescent="0.3">
      <c r="A60" s="42" t="str">
        <f>IF(DB!A61="","",DB!A61)</f>
        <v/>
      </c>
      <c r="B60" s="43" t="str">
        <f>IF(DB!A61="","",DB!B61)</f>
        <v/>
      </c>
      <c r="C60" s="42" t="str">
        <f>IF(DB!A62="","",DB!A62)</f>
        <v/>
      </c>
      <c r="D60" s="43" t="str">
        <f>IF(DB!A62="","",DB!B62)</f>
        <v/>
      </c>
    </row>
    <row r="61" spans="1:4" ht="52.8" x14ac:dyDescent="0.3">
      <c r="A61" s="177" t="str">
        <f>IF(A62="","",IF(ISNUMBER(LOOKUP("Â",Code128(A62),1)),"Error!",Code128(A62)))</f>
        <v/>
      </c>
      <c r="B61" s="177"/>
      <c r="C61" s="177" t="str">
        <f>IF(C62="","",IF(ISNUMBER(LOOKUP("Â",Code128(C62),1)),"Error!",Code128(C62)))</f>
        <v/>
      </c>
      <c r="D61" s="177"/>
    </row>
    <row r="62" spans="1:4" x14ac:dyDescent="0.3">
      <c r="A62" s="42" t="str">
        <f>IF(DB!A63="","",DB!A63)</f>
        <v/>
      </c>
      <c r="B62" s="43" t="str">
        <f>IF(DB!A63="","",DB!B63)</f>
        <v/>
      </c>
      <c r="C62" s="42" t="str">
        <f>IF(DB!A64="","",DB!A64)</f>
        <v/>
      </c>
      <c r="D62" s="43" t="str">
        <f>IF(DB!A64="","",DB!B64)</f>
        <v/>
      </c>
    </row>
    <row r="63" spans="1:4" ht="52.8" x14ac:dyDescent="0.3">
      <c r="A63" s="177" t="str">
        <f>IF(A64="","",IF(ISNUMBER(LOOKUP("Â",Code128(A64),1)),"Error!",Code128(A64)))</f>
        <v/>
      </c>
      <c r="B63" s="177"/>
      <c r="C63" s="177" t="str">
        <f>IF(C64="","",IF(ISNUMBER(LOOKUP("Â",Code128(C64),1)),"Error!",Code128(C64)))</f>
        <v/>
      </c>
      <c r="D63" s="177"/>
    </row>
    <row r="64" spans="1:4" x14ac:dyDescent="0.3">
      <c r="A64" s="42" t="str">
        <f>IF(DB!A65="","",DB!A65)</f>
        <v/>
      </c>
      <c r="B64" s="43" t="str">
        <f>IF(DB!A65="","",DB!B65)</f>
        <v/>
      </c>
      <c r="C64" s="42" t="str">
        <f>IF(DB!A66="","",DB!A66)</f>
        <v/>
      </c>
      <c r="D64" s="43" t="str">
        <f>IF(DB!A66="","",DB!B66)</f>
        <v/>
      </c>
    </row>
    <row r="65" spans="1:4" ht="52.8" x14ac:dyDescent="0.3">
      <c r="A65" s="177" t="str">
        <f>IF(A66="","",IF(ISNUMBER(LOOKUP("Â",Code128(A66),1)),"Error!",Code128(A66)))</f>
        <v/>
      </c>
      <c r="B65" s="177"/>
      <c r="C65" s="177" t="str">
        <f>IF(C66="","",IF(ISNUMBER(LOOKUP("Â",Code128(C66),1)),"Error!",Code128(C66)))</f>
        <v/>
      </c>
      <c r="D65" s="177"/>
    </row>
    <row r="66" spans="1:4" x14ac:dyDescent="0.3">
      <c r="A66" s="42" t="str">
        <f>IF(DB!A67="","",DB!A67)</f>
        <v/>
      </c>
      <c r="B66" s="43" t="str">
        <f>IF(DB!A67="","",DB!B67)</f>
        <v/>
      </c>
      <c r="C66" s="42" t="str">
        <f>IF(DB!A68="","",DB!A68)</f>
        <v/>
      </c>
      <c r="D66" s="43" t="str">
        <f>IF(DB!A68="","",DB!B68)</f>
        <v/>
      </c>
    </row>
    <row r="67" spans="1:4" ht="52.8" x14ac:dyDescent="0.3">
      <c r="A67" s="177" t="str">
        <f>IF(A68="","",IF(ISNUMBER(LOOKUP("Â",Code128(A68),1)),"Error!",Code128(A68)))</f>
        <v/>
      </c>
      <c r="B67" s="177"/>
      <c r="C67" s="177" t="str">
        <f>IF(C68="","",IF(ISNUMBER(LOOKUP("Â",Code128(C68),1)),"Error!",Code128(C68)))</f>
        <v/>
      </c>
      <c r="D67" s="177"/>
    </row>
    <row r="68" spans="1:4" x14ac:dyDescent="0.3">
      <c r="A68" s="42" t="str">
        <f>IF(DB!A69="","",DB!A69)</f>
        <v/>
      </c>
      <c r="B68" s="43" t="str">
        <f>IF(DB!A69="","",DB!B69)</f>
        <v/>
      </c>
      <c r="C68" s="42" t="str">
        <f>IF(DB!A70="","",DB!A70)</f>
        <v/>
      </c>
      <c r="D68" s="43" t="str">
        <f>IF(DB!A70="","",DB!B70)</f>
        <v/>
      </c>
    </row>
    <row r="69" spans="1:4" ht="52.8" x14ac:dyDescent="0.3">
      <c r="A69" s="177" t="str">
        <f>IF(A70="","",IF(ISNUMBER(LOOKUP("Â",Code128(A70),1)),"Error!",Code128(A70)))</f>
        <v/>
      </c>
      <c r="B69" s="177"/>
      <c r="C69" s="177" t="str">
        <f>IF(C70="","",IF(ISNUMBER(LOOKUP("Â",Code128(C70),1)),"Error!",Code128(C70)))</f>
        <v/>
      </c>
      <c r="D69" s="177"/>
    </row>
    <row r="70" spans="1:4" x14ac:dyDescent="0.3">
      <c r="A70" s="42" t="str">
        <f>IF(DB!A71="","",DB!A71)</f>
        <v/>
      </c>
      <c r="B70" s="43" t="str">
        <f>IF(DB!A71="","",DB!B71)</f>
        <v/>
      </c>
      <c r="C70" s="42" t="str">
        <f>IF(DB!A72="","",DB!A72)</f>
        <v/>
      </c>
      <c r="D70" s="43" t="str">
        <f>IF(DB!A72="","",DB!B72)</f>
        <v/>
      </c>
    </row>
    <row r="71" spans="1:4" ht="52.8" x14ac:dyDescent="0.3">
      <c r="A71" s="177" t="str">
        <f>IF(A72="","",IF(ISNUMBER(LOOKUP("Â",Code128(A72),1)),"Error!",Code128(A72)))</f>
        <v/>
      </c>
      <c r="B71" s="177"/>
      <c r="C71" s="177" t="str">
        <f>IF(C72="","",IF(ISNUMBER(LOOKUP("Â",Code128(C72),1)),"Error!",Code128(C72)))</f>
        <v/>
      </c>
      <c r="D71" s="177"/>
    </row>
    <row r="72" spans="1:4" x14ac:dyDescent="0.3">
      <c r="A72" s="42" t="str">
        <f>IF(DB!A73="","",DB!A73)</f>
        <v/>
      </c>
      <c r="B72" s="43" t="str">
        <f>IF(DB!A73="","",DB!B73)</f>
        <v/>
      </c>
      <c r="C72" s="42" t="str">
        <f>IF(DB!A74="","",DB!A74)</f>
        <v/>
      </c>
      <c r="D72" s="43" t="str">
        <f>IF(DB!A74="","",DB!B74)</f>
        <v/>
      </c>
    </row>
    <row r="73" spans="1:4" ht="52.8" x14ac:dyDescent="0.3">
      <c r="A73" s="177" t="str">
        <f>IF(A74="","",IF(ISNUMBER(LOOKUP("Â",Code128(A74),1)),"Error!",Code128(A74)))</f>
        <v/>
      </c>
      <c r="B73" s="177"/>
      <c r="C73" s="177" t="str">
        <f>IF(C74="","",IF(ISNUMBER(LOOKUP("Â",Code128(C74),1)),"Error!",Code128(C74)))</f>
        <v/>
      </c>
      <c r="D73" s="177"/>
    </row>
    <row r="74" spans="1:4" x14ac:dyDescent="0.3">
      <c r="A74" s="42" t="str">
        <f>IF(DB!A75="","",DB!A75)</f>
        <v/>
      </c>
      <c r="B74" s="43" t="str">
        <f>IF(DB!A75="","",DB!B75)</f>
        <v/>
      </c>
      <c r="C74" s="42" t="str">
        <f>IF(DB!A76="","",DB!A76)</f>
        <v/>
      </c>
      <c r="D74" s="43" t="str">
        <f>IF(DB!A76="","",DB!B76)</f>
        <v/>
      </c>
    </row>
    <row r="75" spans="1:4" ht="52.8" x14ac:dyDescent="0.3">
      <c r="A75" s="177" t="str">
        <f>IF(A76="","",IF(ISNUMBER(LOOKUP("Â",Code128(A76),1)),"Error!",Code128(A76)))</f>
        <v/>
      </c>
      <c r="B75" s="177"/>
      <c r="C75" s="177" t="str">
        <f>IF(C76="","",IF(ISNUMBER(LOOKUP("Â",Code128(C76),1)),"Error!",Code128(C76)))</f>
        <v/>
      </c>
      <c r="D75" s="177"/>
    </row>
    <row r="76" spans="1:4" x14ac:dyDescent="0.3">
      <c r="A76" s="42" t="str">
        <f>IF(DB!A77="","",DB!A77)</f>
        <v/>
      </c>
      <c r="B76" s="43" t="str">
        <f>IF(DB!A77="","",DB!B77)</f>
        <v/>
      </c>
      <c r="C76" s="42" t="str">
        <f>IF(DB!A78="","",DB!A78)</f>
        <v/>
      </c>
      <c r="D76" s="43" t="str">
        <f>IF(DB!A78="","",DB!B78)</f>
        <v/>
      </c>
    </row>
    <row r="77" spans="1:4" ht="52.8" x14ac:dyDescent="0.3">
      <c r="A77" s="177" t="str">
        <f>IF(A78="","",IF(ISNUMBER(LOOKUP("Â",Code128(A78),1)),"Error!",Code128(A78)))</f>
        <v/>
      </c>
      <c r="B77" s="177"/>
      <c r="C77" s="177" t="str">
        <f>IF(C78="","",IF(ISNUMBER(LOOKUP("Â",Code128(C78),1)),"Error!",Code128(C78)))</f>
        <v/>
      </c>
      <c r="D77" s="177"/>
    </row>
    <row r="78" spans="1:4" x14ac:dyDescent="0.3">
      <c r="A78" s="42" t="str">
        <f>IF(DB!A79="","",DB!A79)</f>
        <v/>
      </c>
      <c r="B78" s="43" t="str">
        <f>IF(DB!A79="","",DB!B79)</f>
        <v/>
      </c>
      <c r="C78" s="42" t="str">
        <f>IF(DB!A80="","",DB!A80)</f>
        <v/>
      </c>
      <c r="D78" s="43" t="str">
        <f>IF(DB!A80="","",DB!B80)</f>
        <v/>
      </c>
    </row>
    <row r="79" spans="1:4" ht="52.8" x14ac:dyDescent="0.3">
      <c r="A79" s="177" t="str">
        <f>IF(A80="","",IF(ISNUMBER(LOOKUP("Â",Code128(A80),1)),"Error!",Code128(A80)))</f>
        <v/>
      </c>
      <c r="B79" s="177"/>
      <c r="C79" s="177" t="str">
        <f>IF(C80="","",IF(ISNUMBER(LOOKUP("Â",Code128(C80),1)),"Error!",Code128(C80)))</f>
        <v/>
      </c>
      <c r="D79" s="177"/>
    </row>
    <row r="80" spans="1:4" x14ac:dyDescent="0.3">
      <c r="A80" s="42" t="str">
        <f>IF(DB!A81="","",DB!A81)</f>
        <v/>
      </c>
      <c r="B80" s="43" t="str">
        <f>IF(DB!A81="","",DB!B81)</f>
        <v/>
      </c>
      <c r="C80" s="42" t="str">
        <f>IF(DB!A82="","",DB!A82)</f>
        <v/>
      </c>
      <c r="D80" s="43" t="str">
        <f>IF(DB!A82="","",DB!B82)</f>
        <v/>
      </c>
    </row>
    <row r="81" spans="1:4" ht="52.8" x14ac:dyDescent="0.3">
      <c r="A81" s="177" t="str">
        <f>IF(A82="","",IF(ISNUMBER(LOOKUP("Â",Code128(A82),1)),"Error!",Code128(A82)))</f>
        <v/>
      </c>
      <c r="B81" s="177"/>
      <c r="C81" s="177" t="str">
        <f>IF(C82="","",IF(ISNUMBER(LOOKUP("Â",Code128(C82),1)),"Error!",Code128(C82)))</f>
        <v/>
      </c>
      <c r="D81" s="177"/>
    </row>
    <row r="82" spans="1:4" x14ac:dyDescent="0.3">
      <c r="A82" s="42" t="str">
        <f>IF(DB!A83="","",DB!A83)</f>
        <v/>
      </c>
      <c r="B82" s="43" t="str">
        <f>IF(DB!A83="","",DB!B83)</f>
        <v/>
      </c>
      <c r="C82" s="42" t="str">
        <f>IF(DB!A84="","",DB!A84)</f>
        <v/>
      </c>
      <c r="D82" s="43" t="str">
        <f>IF(DB!A84="","",DB!B84)</f>
        <v/>
      </c>
    </row>
    <row r="83" spans="1:4" ht="52.8" x14ac:dyDescent="0.3">
      <c r="A83" s="177" t="str">
        <f>IF(A84="","",IF(ISNUMBER(LOOKUP("Â",Code128(A84),1)),"Error!",Code128(A84)))</f>
        <v/>
      </c>
      <c r="B83" s="177"/>
      <c r="C83" s="177" t="str">
        <f>IF(C84="","",IF(ISNUMBER(LOOKUP("Â",Code128(C84),1)),"Error!",Code128(C84)))</f>
        <v/>
      </c>
      <c r="D83" s="177"/>
    </row>
    <row r="84" spans="1:4" x14ac:dyDescent="0.3">
      <c r="A84" s="42" t="str">
        <f>IF(DB!A85="","",DB!A85)</f>
        <v/>
      </c>
      <c r="B84" s="43" t="str">
        <f>IF(DB!A85="","",DB!B85)</f>
        <v/>
      </c>
      <c r="C84" s="42" t="str">
        <f>IF(DB!A86="","",DB!A86)</f>
        <v/>
      </c>
      <c r="D84" s="43" t="str">
        <f>IF(DB!A86="","",DB!B86)</f>
        <v/>
      </c>
    </row>
    <row r="85" spans="1:4" ht="52.8" x14ac:dyDescent="0.3">
      <c r="A85" s="177" t="str">
        <f>IF(A86="","",IF(ISNUMBER(LOOKUP("Â",Code128(A86),1)),"Error!",Code128(A86)))</f>
        <v/>
      </c>
      <c r="B85" s="177"/>
      <c r="C85" s="177" t="str">
        <f>IF(C86="","",IF(ISNUMBER(LOOKUP("Â",Code128(C86),1)),"Error!",Code128(C86)))</f>
        <v/>
      </c>
      <c r="D85" s="177"/>
    </row>
    <row r="86" spans="1:4" x14ac:dyDescent="0.3">
      <c r="A86" s="42" t="str">
        <f>IF(DB!A87="","",DB!A87)</f>
        <v/>
      </c>
      <c r="B86" s="43" t="str">
        <f>IF(DB!A87="","",DB!B87)</f>
        <v/>
      </c>
      <c r="C86" s="42" t="str">
        <f>IF(DB!A88="","",DB!A88)</f>
        <v/>
      </c>
      <c r="D86" s="43" t="str">
        <f>IF(DB!A88="","",DB!B88)</f>
        <v/>
      </c>
    </row>
    <row r="87" spans="1:4" ht="52.8" x14ac:dyDescent="0.3">
      <c r="A87" s="177" t="str">
        <f>IF(A88="","",IF(ISNUMBER(LOOKUP("Â",Code128(A88),1)),"Error!",Code128(A88)))</f>
        <v/>
      </c>
      <c r="B87" s="177"/>
      <c r="C87" s="177" t="str">
        <f>IF(C88="","",IF(ISNUMBER(LOOKUP("Â",Code128(C88),1)),"Error!",Code128(C88)))</f>
        <v/>
      </c>
      <c r="D87" s="177"/>
    </row>
    <row r="88" spans="1:4" x14ac:dyDescent="0.3">
      <c r="A88" s="42" t="str">
        <f>IF(DB!A89="","",DB!A89)</f>
        <v/>
      </c>
      <c r="B88" s="43" t="str">
        <f>IF(DB!A89="","",DB!B89)</f>
        <v/>
      </c>
      <c r="C88" s="42" t="str">
        <f>IF(DB!A90="","",DB!A90)</f>
        <v/>
      </c>
      <c r="D88" s="43" t="str">
        <f>IF(DB!A90="","",DB!B90)</f>
        <v/>
      </c>
    </row>
    <row r="89" spans="1:4" ht="52.8" x14ac:dyDescent="0.3">
      <c r="A89" s="177" t="str">
        <f>IF(A90="","",IF(ISNUMBER(LOOKUP("Â",Code128(A90),1)),"Error!",Code128(A90)))</f>
        <v/>
      </c>
      <c r="B89" s="177"/>
      <c r="C89" s="177" t="str">
        <f>IF(C90="","",IF(ISNUMBER(LOOKUP("Â",Code128(C90),1)),"Error!",Code128(C90)))</f>
        <v/>
      </c>
      <c r="D89" s="177"/>
    </row>
    <row r="90" spans="1:4" x14ac:dyDescent="0.3">
      <c r="A90" s="42" t="str">
        <f>IF(DB!A91="","",DB!A91)</f>
        <v/>
      </c>
      <c r="B90" s="43" t="str">
        <f>IF(DB!A91="","",DB!B91)</f>
        <v/>
      </c>
      <c r="C90" s="42" t="str">
        <f>IF(DB!A92="","",DB!A92)</f>
        <v/>
      </c>
      <c r="D90" s="43" t="str">
        <f>IF(DB!A92="","",DB!B92)</f>
        <v/>
      </c>
    </row>
    <row r="91" spans="1:4" ht="52.8" x14ac:dyDescent="0.3">
      <c r="A91" s="177" t="str">
        <f>IF(A92="","",IF(ISNUMBER(LOOKUP("Â",Code128(A92),1)),"Error!",Code128(A92)))</f>
        <v/>
      </c>
      <c r="B91" s="177"/>
      <c r="C91" s="177" t="str">
        <f>IF(C92="","",IF(ISNUMBER(LOOKUP("Â",Code128(C92),1)),"Error!",Code128(C92)))</f>
        <v/>
      </c>
      <c r="D91" s="177"/>
    </row>
    <row r="92" spans="1:4" x14ac:dyDescent="0.3">
      <c r="A92" s="42" t="str">
        <f>IF(DB!A93="","",DB!A93)</f>
        <v/>
      </c>
      <c r="B92" s="43" t="str">
        <f>IF(DB!A93="","",DB!B93)</f>
        <v/>
      </c>
      <c r="C92" s="42" t="str">
        <f>IF(DB!A94="","",DB!A94)</f>
        <v/>
      </c>
      <c r="D92" s="43" t="str">
        <f>IF(DB!A94="","",DB!B94)</f>
        <v/>
      </c>
    </row>
    <row r="93" spans="1:4" ht="52.8" x14ac:dyDescent="0.3">
      <c r="A93" s="177" t="str">
        <f>IF(A94="","",IF(ISNUMBER(LOOKUP("Â",Code128(A94),1)),"Error!",Code128(A94)))</f>
        <v/>
      </c>
      <c r="B93" s="177"/>
      <c r="C93" s="177" t="str">
        <f>IF(C94="","",IF(ISNUMBER(LOOKUP("Â",Code128(C94),1)),"Error!",Code128(C94)))</f>
        <v/>
      </c>
      <c r="D93" s="177"/>
    </row>
    <row r="94" spans="1:4" x14ac:dyDescent="0.3">
      <c r="A94" s="42" t="str">
        <f>IF(DB!A95="","",DB!A95)</f>
        <v/>
      </c>
      <c r="B94" s="43" t="str">
        <f>IF(DB!A95="","",DB!B95)</f>
        <v/>
      </c>
      <c r="C94" s="42" t="str">
        <f>IF(DB!A96="","",DB!A96)</f>
        <v/>
      </c>
      <c r="D94" s="43" t="str">
        <f>IF(DB!A96="","",DB!B96)</f>
        <v/>
      </c>
    </row>
    <row r="95" spans="1:4" ht="52.8" x14ac:dyDescent="0.3">
      <c r="A95" s="177" t="str">
        <f>IF(A96="","",IF(ISNUMBER(LOOKUP("Â",Code128(A96),1)),"Error!",Code128(A96)))</f>
        <v/>
      </c>
      <c r="B95" s="177"/>
      <c r="C95" s="177" t="str">
        <f>IF(C96="","",IF(ISNUMBER(LOOKUP("Â",Code128(C96),1)),"Error!",Code128(C96)))</f>
        <v/>
      </c>
      <c r="D95" s="177"/>
    </row>
    <row r="96" spans="1:4" x14ac:dyDescent="0.3">
      <c r="A96" s="42" t="str">
        <f>IF(DB!A97="","",DB!A97)</f>
        <v/>
      </c>
      <c r="B96" s="43" t="str">
        <f>IF(DB!A97="","",DB!B97)</f>
        <v/>
      </c>
      <c r="C96" s="42" t="str">
        <f>IF(DB!A98="","",DB!A98)</f>
        <v/>
      </c>
      <c r="D96" s="43" t="str">
        <f>IF(DB!A98="","",DB!B98)</f>
        <v/>
      </c>
    </row>
    <row r="97" spans="1:4" ht="52.8" x14ac:dyDescent="0.3">
      <c r="A97" s="177" t="str">
        <f>IF(A98="","",IF(ISNUMBER(LOOKUP("Â",Code128(A98),1)),"Error!",Code128(A98)))</f>
        <v/>
      </c>
      <c r="B97" s="177"/>
      <c r="C97" s="177" t="str">
        <f>IF(C98="","",IF(ISNUMBER(LOOKUP("Â",Code128(C98),1)),"Error!",Code128(C98)))</f>
        <v/>
      </c>
      <c r="D97" s="177"/>
    </row>
    <row r="98" spans="1:4" x14ac:dyDescent="0.3">
      <c r="A98" s="42" t="str">
        <f>IF(DB!A99="","",DB!A99)</f>
        <v/>
      </c>
      <c r="B98" s="43" t="str">
        <f>IF(DB!A99="","",DB!B99)</f>
        <v/>
      </c>
      <c r="C98" s="42" t="str">
        <f>IF(DB!A100="","",DB!A100)</f>
        <v/>
      </c>
      <c r="D98" s="43" t="str">
        <f>IF(DB!A100="","",DB!B100)</f>
        <v/>
      </c>
    </row>
    <row r="99" spans="1:4" ht="52.8" x14ac:dyDescent="0.3">
      <c r="A99" s="177" t="str">
        <f>IF(A100="","",IF(ISNUMBER(LOOKUP("Â",Code128(A100),1)),"Error!",Code128(A100)))</f>
        <v/>
      </c>
      <c r="B99" s="177"/>
      <c r="C99" s="177" t="str">
        <f>IF(C100="","",IF(ISNUMBER(LOOKUP("Â",Code128(C100),1)),"Error!",Code128(C100)))</f>
        <v/>
      </c>
      <c r="D99" s="177"/>
    </row>
    <row r="100" spans="1:4" x14ac:dyDescent="0.3">
      <c r="A100" s="42" t="str">
        <f>IF(DB!A101="","",DB!A101)</f>
        <v/>
      </c>
      <c r="B100" s="43" t="str">
        <f>IF(DB!A101="","",DB!B101)</f>
        <v/>
      </c>
      <c r="C100" s="42" t="str">
        <f>IF(DB!A102="","",DB!A102)</f>
        <v/>
      </c>
      <c r="D100" s="43" t="str">
        <f>IF(DB!A102="","",DB!B102)</f>
        <v/>
      </c>
    </row>
    <row r="101" spans="1:4" ht="52.8" x14ac:dyDescent="0.3">
      <c r="A101" s="177" t="str">
        <f>IF(A102="","",IF(ISNUMBER(LOOKUP("Â",Code128(A102),1)),"Error!",Code128(A102)))</f>
        <v/>
      </c>
      <c r="B101" s="177"/>
      <c r="C101" s="177" t="str">
        <f>IF(C102="","",IF(ISNUMBER(LOOKUP("Â",Code128(C102),1)),"Error!",Code128(C102)))</f>
        <v/>
      </c>
      <c r="D101" s="177"/>
    </row>
    <row r="102" spans="1:4" x14ac:dyDescent="0.3">
      <c r="A102" s="42" t="str">
        <f>IF(DB!A103="","",DB!A103)</f>
        <v/>
      </c>
      <c r="B102" s="43" t="str">
        <f>IF(DB!A103="","",DB!B103)</f>
        <v/>
      </c>
      <c r="C102" s="42" t="str">
        <f>IF(DB!A104="","",DB!A104)</f>
        <v/>
      </c>
      <c r="D102" s="43" t="str">
        <f>IF(DB!A104="","",DB!B104)</f>
        <v/>
      </c>
    </row>
    <row r="103" spans="1:4" ht="52.8" x14ac:dyDescent="0.3">
      <c r="A103" s="177" t="str">
        <f>IF(A104="","",IF(ISNUMBER(LOOKUP("Â",Code128(A104),1)),"Error!",Code128(A104)))</f>
        <v/>
      </c>
      <c r="B103" s="177"/>
      <c r="C103" s="177" t="str">
        <f>IF(C104="","",IF(ISNUMBER(LOOKUP("Â",Code128(C104),1)),"Error!",Code128(C104)))</f>
        <v/>
      </c>
      <c r="D103" s="177"/>
    </row>
    <row r="104" spans="1:4" x14ac:dyDescent="0.3">
      <c r="A104" s="42" t="str">
        <f>IF(DB!A105="","",DB!A105)</f>
        <v/>
      </c>
      <c r="B104" s="43" t="str">
        <f>IF(DB!A105="","",DB!B105)</f>
        <v/>
      </c>
      <c r="C104" s="42" t="str">
        <f>IF(DB!A106="","",DB!A106)</f>
        <v/>
      </c>
      <c r="D104" s="43" t="str">
        <f>IF(DB!A106="","",DB!B106)</f>
        <v/>
      </c>
    </row>
    <row r="105" spans="1:4" ht="52.8" x14ac:dyDescent="0.3">
      <c r="A105" s="177" t="str">
        <f>IF(A106="","",IF(ISNUMBER(LOOKUP("Â",Code128(A106),1)),"Error!",Code128(A106)))</f>
        <v/>
      </c>
      <c r="B105" s="177"/>
      <c r="C105" s="177" t="str">
        <f>IF(C106="","",IF(ISNUMBER(LOOKUP("Â",Code128(C106),1)),"Error!",Code128(C106)))</f>
        <v/>
      </c>
      <c r="D105" s="177"/>
    </row>
    <row r="106" spans="1:4" x14ac:dyDescent="0.3">
      <c r="A106" s="42" t="str">
        <f>IF(DB!A107="","",DB!A107)</f>
        <v/>
      </c>
      <c r="B106" s="43" t="str">
        <f>IF(DB!A107="","",DB!B107)</f>
        <v/>
      </c>
      <c r="C106" s="42" t="str">
        <f>IF(DB!A108="","",DB!A108)</f>
        <v/>
      </c>
      <c r="D106" s="43" t="str">
        <f>IF(DB!A108="","",DB!B108)</f>
        <v/>
      </c>
    </row>
    <row r="107" spans="1:4" ht="52.8" x14ac:dyDescent="0.3">
      <c r="A107" s="177" t="str">
        <f>IF(A108="","",IF(ISNUMBER(LOOKUP("Â",Code128(A108),1)),"Error!",Code128(A108)))</f>
        <v/>
      </c>
      <c r="B107" s="177"/>
      <c r="C107" s="177" t="str">
        <f>IF(C108="","",IF(ISNUMBER(LOOKUP("Â",Code128(C108),1)),"Error!",Code128(C108)))</f>
        <v/>
      </c>
      <c r="D107" s="177"/>
    </row>
    <row r="108" spans="1:4" x14ac:dyDescent="0.3">
      <c r="A108" s="42" t="str">
        <f>IF(DB!A109="","",DB!A109)</f>
        <v/>
      </c>
      <c r="B108" s="43" t="str">
        <f>IF(DB!A109="","",DB!B109)</f>
        <v/>
      </c>
      <c r="C108" s="42" t="str">
        <f>IF(DB!A110="","",DB!A110)</f>
        <v/>
      </c>
      <c r="D108" s="43" t="str">
        <f>IF(DB!A110="","",DB!B110)</f>
        <v/>
      </c>
    </row>
    <row r="109" spans="1:4" ht="52.8" x14ac:dyDescent="0.3">
      <c r="A109" s="177" t="str">
        <f>IF(A110="","",IF(ISNUMBER(LOOKUP("Â",Code128(A110),1)),"Error!",Code128(A110)))</f>
        <v/>
      </c>
      <c r="B109" s="177"/>
      <c r="C109" s="177" t="str">
        <f>IF(C110="","",IF(ISNUMBER(LOOKUP("Â",Code128(C110),1)),"Error!",Code128(C110)))</f>
        <v/>
      </c>
      <c r="D109" s="177"/>
    </row>
    <row r="110" spans="1:4" x14ac:dyDescent="0.3">
      <c r="A110" s="42" t="str">
        <f>IF(DB!A111="","",DB!A111)</f>
        <v/>
      </c>
      <c r="B110" s="43" t="str">
        <f>IF(DB!A111="","",DB!B111)</f>
        <v/>
      </c>
      <c r="C110" s="42" t="str">
        <f>IF(DB!A112="","",DB!A112)</f>
        <v/>
      </c>
      <c r="D110" s="43" t="str">
        <f>IF(DB!A112="","",DB!B112)</f>
        <v/>
      </c>
    </row>
    <row r="111" spans="1:4" ht="52.8" x14ac:dyDescent="0.3">
      <c r="A111" s="177" t="str">
        <f>IF(A112="","",IF(ISNUMBER(LOOKUP("Â",Code128(A112),1)),"Error!",Code128(A112)))</f>
        <v/>
      </c>
      <c r="B111" s="177"/>
      <c r="C111" s="177" t="str">
        <f>IF(C112="","",IF(ISNUMBER(LOOKUP("Â",Code128(C112),1)),"Error!",Code128(C112)))</f>
        <v/>
      </c>
      <c r="D111" s="177"/>
    </row>
    <row r="112" spans="1:4" x14ac:dyDescent="0.3">
      <c r="A112" s="42" t="str">
        <f>IF(DB!A113="","",DB!A113)</f>
        <v/>
      </c>
      <c r="B112" s="43" t="str">
        <f>IF(DB!A113="","",DB!B113)</f>
        <v/>
      </c>
      <c r="C112" s="42" t="str">
        <f>IF(DB!A114="","",DB!A114)</f>
        <v/>
      </c>
      <c r="D112" s="43" t="str">
        <f>IF(DB!A114="","",DB!B114)</f>
        <v/>
      </c>
    </row>
    <row r="113" spans="1:4" ht="52.8" x14ac:dyDescent="0.3">
      <c r="A113" s="177" t="str">
        <f>IF(A114="","",IF(ISNUMBER(LOOKUP("Â",Code128(A114),1)),"Error!",Code128(A114)))</f>
        <v/>
      </c>
      <c r="B113" s="177"/>
      <c r="C113" s="177" t="str">
        <f>IF(C114="","",IF(ISNUMBER(LOOKUP("Â",Code128(C114),1)),"Error!",Code128(C114)))</f>
        <v/>
      </c>
      <c r="D113" s="177"/>
    </row>
    <row r="114" spans="1:4" x14ac:dyDescent="0.3">
      <c r="A114" s="42" t="str">
        <f>IF(DB!A115="","",DB!A115)</f>
        <v/>
      </c>
      <c r="B114" s="43" t="str">
        <f>IF(DB!A115="","",DB!B115)</f>
        <v/>
      </c>
      <c r="C114" s="42" t="str">
        <f>IF(DB!A116="","",DB!A116)</f>
        <v/>
      </c>
      <c r="D114" s="43" t="str">
        <f>IF(DB!A116="","",DB!B116)</f>
        <v/>
      </c>
    </row>
    <row r="115" spans="1:4" ht="52.8" x14ac:dyDescent="0.3">
      <c r="A115" s="177" t="str">
        <f>IF(A116="","",IF(ISNUMBER(LOOKUP("Â",Code128(A116),1)),"Error!",Code128(A116)))</f>
        <v/>
      </c>
      <c r="B115" s="177"/>
      <c r="C115" s="177" t="str">
        <f>IF(C116="","",IF(ISNUMBER(LOOKUP("Â",Code128(C116),1)),"Error!",Code128(C116)))</f>
        <v/>
      </c>
      <c r="D115" s="177"/>
    </row>
    <row r="116" spans="1:4" x14ac:dyDescent="0.3">
      <c r="A116" s="42" t="str">
        <f>IF(DB!A117="","",DB!A117)</f>
        <v/>
      </c>
      <c r="B116" s="43" t="str">
        <f>IF(DB!A117="","",DB!B117)</f>
        <v/>
      </c>
      <c r="C116" s="42" t="str">
        <f>IF(DB!A118="","",DB!A118)</f>
        <v/>
      </c>
      <c r="D116" s="43" t="str">
        <f>IF(DB!A118="","",DB!B118)</f>
        <v/>
      </c>
    </row>
    <row r="117" spans="1:4" ht="52.8" x14ac:dyDescent="0.3">
      <c r="A117" s="177" t="str">
        <f>IF(A118="","",IF(ISNUMBER(LOOKUP("Â",Code128(A118),1)),"Error!",Code128(A118)))</f>
        <v/>
      </c>
      <c r="B117" s="177"/>
      <c r="C117" s="177" t="str">
        <f>IF(C118="","",IF(ISNUMBER(LOOKUP("Â",Code128(C118),1)),"Error!",Code128(C118)))</f>
        <v/>
      </c>
      <c r="D117" s="177"/>
    </row>
    <row r="118" spans="1:4" x14ac:dyDescent="0.3">
      <c r="A118" s="42" t="str">
        <f>IF(DB!A119="","",DB!A119)</f>
        <v/>
      </c>
      <c r="B118" s="43" t="str">
        <f>IF(DB!A119="","",DB!B119)</f>
        <v/>
      </c>
      <c r="C118" s="42" t="str">
        <f>IF(DB!A120="","",DB!A120)</f>
        <v/>
      </c>
      <c r="D118" s="43" t="str">
        <f>IF(DB!A120="","",DB!B120)</f>
        <v/>
      </c>
    </row>
    <row r="119" spans="1:4" ht="52.8" x14ac:dyDescent="0.3">
      <c r="A119" s="177" t="str">
        <f>IF(A120="","",IF(ISNUMBER(LOOKUP("Â",Code128(A120),1)),"Error!",Code128(A120)))</f>
        <v/>
      </c>
      <c r="B119" s="177"/>
      <c r="C119" s="177" t="str">
        <f>IF(C120="","",IF(ISNUMBER(LOOKUP("Â",Code128(C120),1)),"Error!",Code128(C120)))</f>
        <v/>
      </c>
      <c r="D119" s="177"/>
    </row>
    <row r="120" spans="1:4" x14ac:dyDescent="0.3">
      <c r="A120" s="42" t="str">
        <f>IF(DB!A121="","",DB!A121)</f>
        <v/>
      </c>
      <c r="B120" s="43" t="str">
        <f>IF(DB!A121="","",DB!B121)</f>
        <v/>
      </c>
      <c r="C120" s="42" t="str">
        <f>IF(DB!A122="","",DB!A122)</f>
        <v/>
      </c>
      <c r="D120" s="43" t="str">
        <f>IF(DB!A122="","",DB!B122)</f>
        <v/>
      </c>
    </row>
    <row r="121" spans="1:4" ht="52.8" x14ac:dyDescent="0.3">
      <c r="A121" s="177" t="str">
        <f>IF(A122="","",IF(ISNUMBER(LOOKUP("Â",Code128(A122),1)),"Error!",Code128(A122)))</f>
        <v/>
      </c>
      <c r="B121" s="177"/>
      <c r="C121" s="177" t="str">
        <f>IF(C122="","",IF(ISNUMBER(LOOKUP("Â",Code128(C122),1)),"Error!",Code128(C122)))</f>
        <v/>
      </c>
      <c r="D121" s="177"/>
    </row>
    <row r="122" spans="1:4" x14ac:dyDescent="0.3">
      <c r="A122" s="42" t="str">
        <f>IF(DB!A123="","",DB!A123)</f>
        <v/>
      </c>
      <c r="B122" s="43" t="str">
        <f>IF(DB!A123="","",DB!B123)</f>
        <v/>
      </c>
      <c r="C122" s="42" t="str">
        <f>IF(DB!A124="","",DB!A124)</f>
        <v/>
      </c>
      <c r="D122" s="43" t="str">
        <f>IF(DB!A124="","",DB!B124)</f>
        <v/>
      </c>
    </row>
    <row r="123" spans="1:4" ht="52.8" x14ac:dyDescent="0.3">
      <c r="A123" s="177" t="str">
        <f>IF(A124="","",IF(ISNUMBER(LOOKUP("Â",Code128(A124),1)),"Error!",Code128(A124)))</f>
        <v/>
      </c>
      <c r="B123" s="177"/>
      <c r="C123" s="177" t="str">
        <f>IF(C124="","",IF(ISNUMBER(LOOKUP("Â",Code128(C124),1)),"Error!",Code128(C124)))</f>
        <v/>
      </c>
      <c r="D123" s="177"/>
    </row>
    <row r="124" spans="1:4" x14ac:dyDescent="0.3">
      <c r="A124" s="42" t="str">
        <f>IF(DB!A125="","",DB!A125)</f>
        <v/>
      </c>
      <c r="B124" s="43" t="str">
        <f>IF(DB!A125="","",DB!B125)</f>
        <v/>
      </c>
      <c r="C124" s="42" t="str">
        <f>IF(DB!A126="","",DB!A126)</f>
        <v/>
      </c>
      <c r="D124" s="43" t="str">
        <f>IF(DB!A126="","",DB!B126)</f>
        <v/>
      </c>
    </row>
    <row r="125" spans="1:4" ht="52.8" x14ac:dyDescent="0.3">
      <c r="A125" s="177" t="str">
        <f>IF(A126="","",IF(ISNUMBER(LOOKUP("Â",Code128(A126),1)),"Error!",Code128(A126)))</f>
        <v/>
      </c>
      <c r="B125" s="177"/>
      <c r="C125" s="177" t="str">
        <f>IF(C126="","",IF(ISNUMBER(LOOKUP("Â",Code128(C126),1)),"Error!",Code128(C126)))</f>
        <v/>
      </c>
      <c r="D125" s="177"/>
    </row>
    <row r="126" spans="1:4" x14ac:dyDescent="0.3">
      <c r="A126" s="42" t="str">
        <f>IF(DB!A127="","",DB!A127)</f>
        <v/>
      </c>
      <c r="B126" s="43" t="str">
        <f>IF(DB!A127="","",DB!B127)</f>
        <v/>
      </c>
      <c r="C126" s="42" t="str">
        <f>IF(DB!A128="","",DB!A128)</f>
        <v/>
      </c>
      <c r="D126" s="43" t="str">
        <f>IF(DB!A128="","",DB!B128)</f>
        <v/>
      </c>
    </row>
    <row r="127" spans="1:4" ht="52.8" x14ac:dyDescent="0.3">
      <c r="A127" s="177" t="str">
        <f>IF(A128="","",IF(ISNUMBER(LOOKUP("Â",Code128(A128),1)),"Error!",Code128(A128)))</f>
        <v/>
      </c>
      <c r="B127" s="177"/>
      <c r="C127" s="177" t="str">
        <f>IF(C128="","",IF(ISNUMBER(LOOKUP("Â",Code128(C128),1)),"Error!",Code128(C128)))</f>
        <v/>
      </c>
      <c r="D127" s="177"/>
    </row>
    <row r="128" spans="1:4" x14ac:dyDescent="0.3">
      <c r="A128" s="42" t="str">
        <f>IF(DB!A129="","",DB!A129)</f>
        <v/>
      </c>
      <c r="B128" s="43" t="str">
        <f>IF(DB!A129="","",DB!B129)</f>
        <v/>
      </c>
      <c r="C128" s="42" t="str">
        <f>IF(DB!A130="","",DB!A130)</f>
        <v/>
      </c>
      <c r="D128" s="43" t="str">
        <f>IF(DB!A130="","",DB!B130)</f>
        <v/>
      </c>
    </row>
    <row r="129" spans="1:4" ht="52.8" x14ac:dyDescent="0.3">
      <c r="A129" s="177" t="str">
        <f>IF(A130="","",IF(ISNUMBER(LOOKUP("Â",Code128(A130),1)),"Error!",Code128(A130)))</f>
        <v/>
      </c>
      <c r="B129" s="177"/>
      <c r="C129" s="177" t="str">
        <f>IF(C130="","",IF(ISNUMBER(LOOKUP("Â",Code128(C130),1)),"Error!",Code128(C130)))</f>
        <v/>
      </c>
      <c r="D129" s="177"/>
    </row>
    <row r="130" spans="1:4" x14ac:dyDescent="0.3">
      <c r="A130" s="42" t="str">
        <f>IF(DB!A131="","",DB!A131)</f>
        <v/>
      </c>
      <c r="B130" s="43" t="str">
        <f>IF(DB!A131="","",DB!B131)</f>
        <v/>
      </c>
      <c r="C130" s="42" t="str">
        <f>IF(DB!A132="","",DB!A132)</f>
        <v/>
      </c>
      <c r="D130" s="43" t="str">
        <f>IF(DB!A132="","",DB!B132)</f>
        <v/>
      </c>
    </row>
    <row r="131" spans="1:4" ht="52.8" x14ac:dyDescent="0.3">
      <c r="A131" s="177" t="str">
        <f>IF(A132="","",IF(ISNUMBER(LOOKUP("Â",Code128(A132),1)),"Error!",Code128(A132)))</f>
        <v/>
      </c>
      <c r="B131" s="177"/>
      <c r="C131" s="177" t="str">
        <f>IF(C132="","",IF(ISNUMBER(LOOKUP("Â",Code128(C132),1)),"Error!",Code128(C132)))</f>
        <v/>
      </c>
      <c r="D131" s="177"/>
    </row>
    <row r="132" spans="1:4" x14ac:dyDescent="0.3">
      <c r="A132" s="42" t="str">
        <f>IF(DB!A133="","",DB!A133)</f>
        <v/>
      </c>
      <c r="B132" s="43" t="str">
        <f>IF(DB!A133="","",DB!B133)</f>
        <v/>
      </c>
      <c r="C132" s="42" t="str">
        <f>IF(DB!A134="","",DB!A134)</f>
        <v/>
      </c>
      <c r="D132" s="43" t="str">
        <f>IF(DB!A134="","",DB!B134)</f>
        <v/>
      </c>
    </row>
    <row r="133" spans="1:4" ht="52.8" x14ac:dyDescent="0.3">
      <c r="A133" s="177" t="str">
        <f>IF(A134="","",IF(ISNUMBER(LOOKUP("Â",Code128(A134),1)),"Error!",Code128(A134)))</f>
        <v/>
      </c>
      <c r="B133" s="177"/>
      <c r="C133" s="177" t="str">
        <f>IF(C134="","",IF(ISNUMBER(LOOKUP("Â",Code128(C134),1)),"Error!",Code128(C134)))</f>
        <v/>
      </c>
      <c r="D133" s="177"/>
    </row>
    <row r="134" spans="1:4" x14ac:dyDescent="0.3">
      <c r="A134" s="42" t="str">
        <f>IF(DB!A135="","",DB!A135)</f>
        <v/>
      </c>
      <c r="B134" s="43" t="str">
        <f>IF(DB!A135="","",DB!B135)</f>
        <v/>
      </c>
      <c r="C134" s="42" t="str">
        <f>IF(DB!A136="","",DB!A136)</f>
        <v/>
      </c>
      <c r="D134" s="43" t="str">
        <f>IF(DB!A136="","",DB!B136)</f>
        <v/>
      </c>
    </row>
    <row r="135" spans="1:4" ht="52.8" x14ac:dyDescent="0.3">
      <c r="A135" s="177" t="str">
        <f>IF(A136="","",IF(ISNUMBER(LOOKUP("Â",Code128(A136),1)),"Error!",Code128(A136)))</f>
        <v/>
      </c>
      <c r="B135" s="177"/>
      <c r="C135" s="177" t="str">
        <f>IF(C136="","",IF(ISNUMBER(LOOKUP("Â",Code128(C136),1)),"Error!",Code128(C136)))</f>
        <v/>
      </c>
      <c r="D135" s="177"/>
    </row>
    <row r="136" spans="1:4" x14ac:dyDescent="0.3">
      <c r="A136" s="42" t="str">
        <f>IF(DB!A137="","",DB!A137)</f>
        <v/>
      </c>
      <c r="B136" s="43" t="str">
        <f>IF(DB!A137="","",DB!B137)</f>
        <v/>
      </c>
      <c r="C136" s="42" t="str">
        <f>IF(DB!A138="","",DB!A138)</f>
        <v/>
      </c>
      <c r="D136" s="43" t="str">
        <f>IF(DB!A138="","",DB!B138)</f>
        <v/>
      </c>
    </row>
    <row r="137" spans="1:4" ht="52.8" x14ac:dyDescent="0.3">
      <c r="A137" s="177" t="str">
        <f>IF(A138="","",IF(ISNUMBER(LOOKUP("Â",Code128(A138),1)),"Error!",Code128(A138)))</f>
        <v/>
      </c>
      <c r="B137" s="177"/>
      <c r="C137" s="177" t="str">
        <f>IF(C138="","",IF(ISNUMBER(LOOKUP("Â",Code128(C138),1)),"Error!",Code128(C138)))</f>
        <v/>
      </c>
      <c r="D137" s="177"/>
    </row>
    <row r="138" spans="1:4" x14ac:dyDescent="0.3">
      <c r="A138" s="42" t="str">
        <f>IF(DB!A139="","",DB!A139)</f>
        <v/>
      </c>
      <c r="B138" s="43" t="str">
        <f>IF(DB!A139="","",DB!B139)</f>
        <v/>
      </c>
      <c r="C138" s="42" t="str">
        <f>IF(DB!A140="","",DB!A140)</f>
        <v/>
      </c>
      <c r="D138" s="43" t="str">
        <f>IF(DB!A140="","",DB!B140)</f>
        <v/>
      </c>
    </row>
    <row r="139" spans="1:4" ht="52.8" x14ac:dyDescent="0.3">
      <c r="A139" s="177" t="str">
        <f>IF(A140="","",IF(ISNUMBER(LOOKUP("Â",Code128(A140),1)),"Error!",Code128(A140)))</f>
        <v/>
      </c>
      <c r="B139" s="177"/>
      <c r="C139" s="177" t="str">
        <f>IF(C140="","",IF(ISNUMBER(LOOKUP("Â",Code128(C140),1)),"Error!",Code128(C140)))</f>
        <v/>
      </c>
      <c r="D139" s="177"/>
    </row>
    <row r="140" spans="1:4" x14ac:dyDescent="0.3">
      <c r="A140" s="42" t="str">
        <f>IF(DB!A141="","",DB!A141)</f>
        <v/>
      </c>
      <c r="B140" s="43" t="str">
        <f>IF(DB!A141="","",DB!B141)</f>
        <v/>
      </c>
      <c r="C140" s="42" t="str">
        <f>IF(DB!A142="","",DB!A142)</f>
        <v/>
      </c>
      <c r="D140" s="43" t="str">
        <f>IF(DB!A142="","",DB!B142)</f>
        <v/>
      </c>
    </row>
    <row r="141" spans="1:4" ht="52.8" x14ac:dyDescent="0.3">
      <c r="A141" s="177" t="str">
        <f>IF(A142="","",IF(ISNUMBER(LOOKUP("Â",Code128(A142),1)),"Error!",Code128(A142)))</f>
        <v/>
      </c>
      <c r="B141" s="177"/>
      <c r="C141" s="177" t="str">
        <f>IF(C142="","",IF(ISNUMBER(LOOKUP("Â",Code128(C142),1)),"Error!",Code128(C142)))</f>
        <v/>
      </c>
      <c r="D141" s="177"/>
    </row>
    <row r="142" spans="1:4" x14ac:dyDescent="0.3">
      <c r="A142" s="42" t="str">
        <f>IF(DB!A143="","",DB!A143)</f>
        <v/>
      </c>
      <c r="B142" s="43" t="str">
        <f>IF(DB!A143="","",DB!B143)</f>
        <v/>
      </c>
      <c r="C142" s="42" t="str">
        <f>IF(DB!A144="","",DB!A144)</f>
        <v/>
      </c>
      <c r="D142" s="43" t="str">
        <f>IF(DB!A144="","",DB!B144)</f>
        <v/>
      </c>
    </row>
    <row r="143" spans="1:4" ht="52.8" x14ac:dyDescent="0.3">
      <c r="A143" s="177" t="str">
        <f>IF(A144="","",IF(ISNUMBER(LOOKUP("Â",Code128(A144),1)),"Error!",Code128(A144)))</f>
        <v/>
      </c>
      <c r="B143" s="177"/>
      <c r="C143" s="177" t="str">
        <f>IF(C144="","",IF(ISNUMBER(LOOKUP("Â",Code128(C144),1)),"Error!",Code128(C144)))</f>
        <v/>
      </c>
      <c r="D143" s="177"/>
    </row>
    <row r="144" spans="1:4" x14ac:dyDescent="0.3">
      <c r="A144" s="42" t="str">
        <f>IF(DB!A145="","",DB!A145)</f>
        <v/>
      </c>
      <c r="B144" s="43" t="str">
        <f>IF(DB!A145="","",DB!B145)</f>
        <v/>
      </c>
      <c r="C144" s="42" t="str">
        <f>IF(DB!A146="","",DB!A146)</f>
        <v/>
      </c>
      <c r="D144" s="43" t="str">
        <f>IF(DB!A146="","",DB!B146)</f>
        <v/>
      </c>
    </row>
    <row r="145" spans="1:4" ht="52.8" x14ac:dyDescent="0.3">
      <c r="A145" s="177" t="str">
        <f>IF(A146="","",IF(ISNUMBER(LOOKUP("Â",Code128(A146),1)),"Error!",Code128(A146)))</f>
        <v/>
      </c>
      <c r="B145" s="177"/>
      <c r="C145" s="177" t="str">
        <f>IF(C146="","",IF(ISNUMBER(LOOKUP("Â",Code128(C146),1)),"Error!",Code128(C146)))</f>
        <v/>
      </c>
      <c r="D145" s="177"/>
    </row>
    <row r="146" spans="1:4" x14ac:dyDescent="0.3">
      <c r="A146" s="42" t="str">
        <f>IF(DB!A147="","",DB!A147)</f>
        <v/>
      </c>
      <c r="B146" s="43" t="str">
        <f>IF(DB!A147="","",DB!B147)</f>
        <v/>
      </c>
      <c r="C146" s="42" t="str">
        <f>IF(DB!A148="","",DB!A148)</f>
        <v/>
      </c>
      <c r="D146" s="43" t="str">
        <f>IF(DB!A148="","",DB!B148)</f>
        <v/>
      </c>
    </row>
    <row r="147" spans="1:4" ht="52.8" x14ac:dyDescent="0.3">
      <c r="A147" s="177" t="str">
        <f>IF(A148="","",IF(ISNUMBER(LOOKUP("Â",Code128(A148),1)),"Error!",Code128(A148)))</f>
        <v/>
      </c>
      <c r="B147" s="177"/>
      <c r="C147" s="177" t="str">
        <f>IF(C148="","",IF(ISNUMBER(LOOKUP("Â",Code128(C148),1)),"Error!",Code128(C148)))</f>
        <v/>
      </c>
      <c r="D147" s="177"/>
    </row>
    <row r="148" spans="1:4" x14ac:dyDescent="0.3">
      <c r="A148" s="42" t="str">
        <f>IF(DB!A149="","",DB!A149)</f>
        <v/>
      </c>
      <c r="B148" s="43" t="str">
        <f>IF(DB!A149="","",DB!B149)</f>
        <v/>
      </c>
      <c r="C148" s="42" t="str">
        <f>IF(DB!A150="","",DB!A150)</f>
        <v/>
      </c>
      <c r="D148" s="43" t="str">
        <f>IF(DB!A150="","",DB!B150)</f>
        <v/>
      </c>
    </row>
    <row r="149" spans="1:4" ht="52.8" x14ac:dyDescent="0.3">
      <c r="A149" s="177" t="str">
        <f>IF(A150="","",IF(ISNUMBER(LOOKUP("Â",Code128(A150),1)),"Error!",Code128(A150)))</f>
        <v/>
      </c>
      <c r="B149" s="177"/>
      <c r="C149" s="177" t="str">
        <f>IF(C150="","",IF(ISNUMBER(LOOKUP("Â",Code128(C150),1)),"Error!",Code128(C150)))</f>
        <v/>
      </c>
      <c r="D149" s="177"/>
    </row>
    <row r="150" spans="1:4" x14ac:dyDescent="0.3">
      <c r="A150" s="42" t="str">
        <f>IF(DB!A151="","",DB!A151)</f>
        <v/>
      </c>
      <c r="B150" s="43" t="str">
        <f>IF(DB!A151="","",DB!B151)</f>
        <v/>
      </c>
      <c r="C150" s="42" t="str">
        <f>IF(DB!A152="","",DB!A152)</f>
        <v/>
      </c>
      <c r="D150" s="43" t="str">
        <f>IF(DB!A152="","",DB!B152)</f>
        <v/>
      </c>
    </row>
    <row r="151" spans="1:4" ht="52.8" x14ac:dyDescent="0.3">
      <c r="A151" s="177" t="str">
        <f>IF(A152="","",IF(ISNUMBER(LOOKUP("Â",Code128(A152),1)),"Error!",Code128(A152)))</f>
        <v/>
      </c>
      <c r="B151" s="177"/>
      <c r="C151" s="177" t="str">
        <f>IF(C152="","",IF(ISNUMBER(LOOKUP("Â",Code128(C152),1)),"Error!",Code128(C152)))</f>
        <v/>
      </c>
      <c r="D151" s="177"/>
    </row>
    <row r="152" spans="1:4" x14ac:dyDescent="0.3">
      <c r="A152" s="42" t="str">
        <f>IF(DB!A153="","",DB!A153)</f>
        <v/>
      </c>
      <c r="B152" s="43" t="str">
        <f>IF(DB!A153="","",DB!B153)</f>
        <v/>
      </c>
      <c r="C152" s="42" t="str">
        <f>IF(DB!A154="","",DB!A154)</f>
        <v/>
      </c>
      <c r="D152" s="43" t="str">
        <f>IF(DB!A154="","",DB!B154)</f>
        <v/>
      </c>
    </row>
    <row r="153" spans="1:4" ht="52.8" x14ac:dyDescent="0.3">
      <c r="A153" s="177" t="str">
        <f>IF(A154="","",IF(ISNUMBER(LOOKUP("Â",Code128(A154),1)),"Error!",Code128(A154)))</f>
        <v/>
      </c>
      <c r="B153" s="177"/>
      <c r="C153" s="177" t="str">
        <f>IF(C154="","",IF(ISNUMBER(LOOKUP("Â",Code128(C154),1)),"Error!",Code128(C154)))</f>
        <v/>
      </c>
      <c r="D153" s="177"/>
    </row>
    <row r="154" spans="1:4" x14ac:dyDescent="0.3">
      <c r="A154" s="42" t="str">
        <f>IF(DB!A155="","",DB!A155)</f>
        <v/>
      </c>
      <c r="B154" s="43" t="str">
        <f>IF(DB!A155="","",DB!B155)</f>
        <v/>
      </c>
      <c r="C154" s="42" t="str">
        <f>IF(DB!A156="","",DB!A156)</f>
        <v/>
      </c>
      <c r="D154" s="43" t="str">
        <f>IF(DB!A156="","",DB!B156)</f>
        <v/>
      </c>
    </row>
    <row r="155" spans="1:4" ht="52.8" x14ac:dyDescent="0.3">
      <c r="A155" s="177" t="str">
        <f>IF(A156="","",IF(ISNUMBER(LOOKUP("Â",Code128(A156),1)),"Error!",Code128(A156)))</f>
        <v/>
      </c>
      <c r="B155" s="177"/>
      <c r="C155" s="177" t="str">
        <f>IF(C156="","",IF(ISNUMBER(LOOKUP("Â",Code128(C156),1)),"Error!",Code128(C156)))</f>
        <v/>
      </c>
      <c r="D155" s="177"/>
    </row>
    <row r="156" spans="1:4" x14ac:dyDescent="0.3">
      <c r="A156" s="42" t="str">
        <f>IF(DB!A157="","",DB!A157)</f>
        <v/>
      </c>
      <c r="B156" s="43" t="str">
        <f>IF(DB!A157="","",DB!B157)</f>
        <v/>
      </c>
      <c r="C156" s="42" t="str">
        <f>IF(DB!A158="","",DB!A158)</f>
        <v/>
      </c>
      <c r="D156" s="43" t="str">
        <f>IF(DB!A158="","",DB!B158)</f>
        <v/>
      </c>
    </row>
    <row r="157" spans="1:4" ht="52.8" x14ac:dyDescent="0.3">
      <c r="A157" s="177" t="str">
        <f>IF(A158="","",IF(ISNUMBER(LOOKUP("Â",Code128(A158),1)),"Error!",Code128(A158)))</f>
        <v/>
      </c>
      <c r="B157" s="177"/>
      <c r="C157" s="177" t="str">
        <f>IF(C158="","",IF(ISNUMBER(LOOKUP("Â",Code128(C158),1)),"Error!",Code128(C158)))</f>
        <v/>
      </c>
      <c r="D157" s="177"/>
    </row>
    <row r="158" spans="1:4" x14ac:dyDescent="0.3">
      <c r="A158" s="42" t="str">
        <f>IF(DB!A159="","",DB!A159)</f>
        <v/>
      </c>
      <c r="B158" s="43" t="str">
        <f>IF(DB!A159="","",DB!B159)</f>
        <v/>
      </c>
      <c r="C158" s="42" t="str">
        <f>IF(DB!A160="","",DB!A160)</f>
        <v/>
      </c>
      <c r="D158" s="43" t="str">
        <f>IF(DB!A160="","",DB!B160)</f>
        <v/>
      </c>
    </row>
    <row r="159" spans="1:4" ht="52.8" x14ac:dyDescent="0.3">
      <c r="A159" s="177" t="str">
        <f>IF(A160="","",IF(ISNUMBER(LOOKUP("Â",Code128(A160),1)),"Error!",Code128(A160)))</f>
        <v/>
      </c>
      <c r="B159" s="177"/>
      <c r="C159" s="177" t="str">
        <f>IF(C160="","",IF(ISNUMBER(LOOKUP("Â",Code128(C160),1)),"Error!",Code128(C160)))</f>
        <v/>
      </c>
      <c r="D159" s="177"/>
    </row>
    <row r="160" spans="1:4" x14ac:dyDescent="0.3">
      <c r="A160" s="42" t="str">
        <f>IF(DB!A161="","",DB!A161)</f>
        <v/>
      </c>
      <c r="B160" s="43" t="str">
        <f>IF(DB!A161="","",DB!B161)</f>
        <v/>
      </c>
      <c r="C160" s="42" t="str">
        <f>IF(DB!A162="","",DB!A162)</f>
        <v/>
      </c>
      <c r="D160" s="43" t="str">
        <f>IF(DB!A162="","",DB!B162)</f>
        <v/>
      </c>
    </row>
    <row r="161" spans="1:4" ht="52.8" x14ac:dyDescent="0.3">
      <c r="A161" s="177" t="str">
        <f>IF(A162="","",IF(ISNUMBER(LOOKUP("Â",Code128(A162),1)),"Error!",Code128(A162)))</f>
        <v/>
      </c>
      <c r="B161" s="177"/>
      <c r="C161" s="177" t="str">
        <f>IF(C162="","",IF(ISNUMBER(LOOKUP("Â",Code128(C162),1)),"Error!",Code128(C162)))</f>
        <v/>
      </c>
      <c r="D161" s="177"/>
    </row>
    <row r="162" spans="1:4" x14ac:dyDescent="0.3">
      <c r="A162" s="42" t="str">
        <f>IF(DB!A163="","",DB!A163)</f>
        <v/>
      </c>
      <c r="B162" s="43" t="str">
        <f>IF(DB!A163="","",DB!B163)</f>
        <v/>
      </c>
      <c r="C162" s="42" t="str">
        <f>IF(DB!A164="","",DB!A164)</f>
        <v/>
      </c>
      <c r="D162" s="43" t="str">
        <f>IF(DB!A164="","",DB!B164)</f>
        <v/>
      </c>
    </row>
    <row r="163" spans="1:4" ht="52.8" x14ac:dyDescent="0.3">
      <c r="A163" s="177" t="str">
        <f>IF(A164="","",IF(ISNUMBER(LOOKUP("Â",Code128(A164),1)),"Error!",Code128(A164)))</f>
        <v/>
      </c>
      <c r="B163" s="177"/>
      <c r="C163" s="177" t="str">
        <f>IF(C164="","",IF(ISNUMBER(LOOKUP("Â",Code128(C164),1)),"Error!",Code128(C164)))</f>
        <v/>
      </c>
      <c r="D163" s="177"/>
    </row>
    <row r="164" spans="1:4" x14ac:dyDescent="0.3">
      <c r="A164" s="42" t="str">
        <f>IF(DB!A165="","",DB!A165)</f>
        <v/>
      </c>
      <c r="B164" s="43" t="str">
        <f>IF(DB!A165="","",DB!B165)</f>
        <v/>
      </c>
      <c r="C164" s="42" t="str">
        <f>IF(DB!A166="","",DB!A166)</f>
        <v/>
      </c>
      <c r="D164" s="43" t="str">
        <f>IF(DB!A166="","",DB!B166)</f>
        <v/>
      </c>
    </row>
    <row r="165" spans="1:4" ht="52.8" x14ac:dyDescent="0.3">
      <c r="A165" s="177" t="str">
        <f>IF(A166="","",IF(ISNUMBER(LOOKUP("Â",Code128(A166),1)),"Error!",Code128(A166)))</f>
        <v/>
      </c>
      <c r="B165" s="177"/>
      <c r="C165" s="177" t="str">
        <f>IF(C166="","",IF(ISNUMBER(LOOKUP("Â",Code128(C166),1)),"Error!",Code128(C166)))</f>
        <v/>
      </c>
      <c r="D165" s="177"/>
    </row>
    <row r="166" spans="1:4" x14ac:dyDescent="0.3">
      <c r="A166" s="42" t="str">
        <f>IF(DB!A167="","",DB!A167)</f>
        <v/>
      </c>
      <c r="B166" s="43" t="str">
        <f>IF(DB!A167="","",DB!B167)</f>
        <v/>
      </c>
      <c r="C166" s="42" t="str">
        <f>IF(DB!A168="","",DB!A168)</f>
        <v/>
      </c>
      <c r="D166" s="43" t="str">
        <f>IF(DB!A168="","",DB!B168)</f>
        <v/>
      </c>
    </row>
    <row r="167" spans="1:4" ht="52.8" x14ac:dyDescent="0.3">
      <c r="A167" s="177" t="str">
        <f>IF(A168="","",IF(ISNUMBER(LOOKUP("Â",Code128(A168),1)),"Error!",Code128(A168)))</f>
        <v/>
      </c>
      <c r="B167" s="177"/>
      <c r="C167" s="177" t="str">
        <f>IF(C168="","",IF(ISNUMBER(LOOKUP("Â",Code128(C168),1)),"Error!",Code128(C168)))</f>
        <v/>
      </c>
      <c r="D167" s="177"/>
    </row>
    <row r="168" spans="1:4" x14ac:dyDescent="0.3">
      <c r="A168" s="42" t="str">
        <f>IF(DB!A169="","",DB!A169)</f>
        <v/>
      </c>
      <c r="B168" s="43" t="str">
        <f>IF(DB!A169="","",DB!B169)</f>
        <v/>
      </c>
      <c r="C168" s="42" t="str">
        <f>IF(DB!A170="","",DB!A170)</f>
        <v/>
      </c>
      <c r="D168" s="43" t="str">
        <f>IF(DB!A170="","",DB!B170)</f>
        <v/>
      </c>
    </row>
    <row r="169" spans="1:4" ht="52.8" x14ac:dyDescent="0.3">
      <c r="A169" s="177" t="str">
        <f>IF(A170="","",IF(ISNUMBER(LOOKUP("Â",Code128(A170),1)),"Error!",Code128(A170)))</f>
        <v/>
      </c>
      <c r="B169" s="177"/>
      <c r="C169" s="177" t="str">
        <f>IF(C170="","",IF(ISNUMBER(LOOKUP("Â",Code128(C170),1)),"Error!",Code128(C170)))</f>
        <v/>
      </c>
      <c r="D169" s="177"/>
    </row>
    <row r="170" spans="1:4" x14ac:dyDescent="0.3">
      <c r="A170" s="42" t="str">
        <f>IF(DB!A171="","",DB!A171)</f>
        <v/>
      </c>
      <c r="B170" s="43" t="str">
        <f>IF(DB!A171="","",DB!B171)</f>
        <v/>
      </c>
      <c r="C170" s="42" t="str">
        <f>IF(DB!A172="","",DB!A172)</f>
        <v/>
      </c>
      <c r="D170" s="43" t="str">
        <f>IF(DB!A172="","",DB!B172)</f>
        <v/>
      </c>
    </row>
    <row r="171" spans="1:4" ht="52.8" x14ac:dyDescent="0.3">
      <c r="A171" s="177" t="str">
        <f>IF(A172="","",IF(ISNUMBER(LOOKUP("Â",Code128(A172),1)),"Error!",Code128(A172)))</f>
        <v/>
      </c>
      <c r="B171" s="177"/>
      <c r="C171" s="177" t="str">
        <f>IF(C172="","",IF(ISNUMBER(LOOKUP("Â",Code128(C172),1)),"Error!",Code128(C172)))</f>
        <v/>
      </c>
      <c r="D171" s="177"/>
    </row>
    <row r="172" spans="1:4" x14ac:dyDescent="0.3">
      <c r="A172" s="42" t="str">
        <f>IF(DB!A173="","",DB!A173)</f>
        <v/>
      </c>
      <c r="B172" s="43" t="str">
        <f>IF(DB!A173="","",DB!B173)</f>
        <v/>
      </c>
      <c r="C172" s="42" t="str">
        <f>IF(DB!A174="","",DB!A174)</f>
        <v/>
      </c>
      <c r="D172" s="43" t="str">
        <f>IF(DB!A174="","",DB!B174)</f>
        <v/>
      </c>
    </row>
    <row r="173" spans="1:4" ht="52.8" x14ac:dyDescent="0.3">
      <c r="A173" s="177" t="str">
        <f>IF(A174="","",IF(ISNUMBER(LOOKUP("Â",Code128(A174),1)),"Error!",Code128(A174)))</f>
        <v/>
      </c>
      <c r="B173" s="177"/>
      <c r="C173" s="177" t="str">
        <f>IF(C174="","",IF(ISNUMBER(LOOKUP("Â",Code128(C174),1)),"Error!",Code128(C174)))</f>
        <v/>
      </c>
      <c r="D173" s="177"/>
    </row>
    <row r="174" spans="1:4" x14ac:dyDescent="0.3">
      <c r="A174" s="42" t="str">
        <f>IF(DB!A175="","",DB!A175)</f>
        <v/>
      </c>
      <c r="B174" s="43" t="str">
        <f>IF(DB!A175="","",DB!B175)</f>
        <v/>
      </c>
      <c r="C174" s="42" t="str">
        <f>IF(DB!A176="","",DB!A176)</f>
        <v/>
      </c>
      <c r="D174" s="43" t="str">
        <f>IF(DB!A176="","",DB!B176)</f>
        <v/>
      </c>
    </row>
    <row r="175" spans="1:4" ht="52.8" x14ac:dyDescent="0.3">
      <c r="A175" s="177" t="str">
        <f>IF(A176="","",IF(ISNUMBER(LOOKUP("Â",Code128(A176),1)),"Error!",Code128(A176)))</f>
        <v/>
      </c>
      <c r="B175" s="177"/>
      <c r="C175" s="177" t="str">
        <f>IF(C176="","",IF(ISNUMBER(LOOKUP("Â",Code128(C176),1)),"Error!",Code128(C176)))</f>
        <v/>
      </c>
      <c r="D175" s="177"/>
    </row>
    <row r="176" spans="1:4" x14ac:dyDescent="0.3">
      <c r="A176" s="42" t="str">
        <f>IF(DB!A177="","",DB!A177)</f>
        <v/>
      </c>
      <c r="B176" s="43" t="str">
        <f>IF(DB!A177="","",DB!B177)</f>
        <v/>
      </c>
      <c r="C176" s="42" t="str">
        <f>IF(DB!A178="","",DB!A178)</f>
        <v/>
      </c>
      <c r="D176" s="43" t="str">
        <f>IF(DB!A178="","",DB!B178)</f>
        <v/>
      </c>
    </row>
    <row r="177" spans="1:4" ht="52.8" x14ac:dyDescent="0.3">
      <c r="A177" s="177" t="str">
        <f>IF(A178="","",IF(ISNUMBER(LOOKUP("Â",Code128(A178),1)),"Error!",Code128(A178)))</f>
        <v/>
      </c>
      <c r="B177" s="177"/>
      <c r="C177" s="177" t="str">
        <f>IF(C178="","",IF(ISNUMBER(LOOKUP("Â",Code128(C178),1)),"Error!",Code128(C178)))</f>
        <v/>
      </c>
      <c r="D177" s="177"/>
    </row>
    <row r="178" spans="1:4" x14ac:dyDescent="0.3">
      <c r="A178" s="42" t="str">
        <f>IF(DB!A179="","",DB!A179)</f>
        <v/>
      </c>
      <c r="B178" s="43" t="str">
        <f>IF(DB!A179="","",DB!B179)</f>
        <v/>
      </c>
      <c r="C178" s="42" t="str">
        <f>IF(DB!A180="","",DB!A180)</f>
        <v/>
      </c>
      <c r="D178" s="43" t="str">
        <f>IF(DB!A180="","",DB!B180)</f>
        <v/>
      </c>
    </row>
    <row r="179" spans="1:4" ht="52.8" x14ac:dyDescent="0.3">
      <c r="A179" s="177" t="str">
        <f>IF(A180="","",IF(ISNUMBER(LOOKUP("Â",Code128(A180),1)),"Error!",Code128(A180)))</f>
        <v/>
      </c>
      <c r="B179" s="177"/>
      <c r="C179" s="177" t="str">
        <f>IF(C180="","",IF(ISNUMBER(LOOKUP("Â",Code128(C180),1)),"Error!",Code128(C180)))</f>
        <v/>
      </c>
      <c r="D179" s="177"/>
    </row>
    <row r="180" spans="1:4" x14ac:dyDescent="0.3">
      <c r="A180" s="42" t="str">
        <f>IF(DB!A181="","",DB!A181)</f>
        <v/>
      </c>
      <c r="B180" s="43" t="str">
        <f>IF(DB!A181="","",DB!B181)</f>
        <v/>
      </c>
      <c r="C180" s="42" t="str">
        <f>IF(DB!A182="","",DB!A182)</f>
        <v/>
      </c>
      <c r="D180" s="43" t="str">
        <f>IF(DB!A182="","",DB!B182)</f>
        <v/>
      </c>
    </row>
    <row r="181" spans="1:4" ht="52.8" x14ac:dyDescent="0.3">
      <c r="A181" s="177" t="str">
        <f>IF(A182="","",IF(ISNUMBER(LOOKUP("Â",Code128(A182),1)),"Error!",Code128(A182)))</f>
        <v/>
      </c>
      <c r="B181" s="177"/>
      <c r="C181" s="177" t="str">
        <f>IF(C182="","",IF(ISNUMBER(LOOKUP("Â",Code128(C182),1)),"Error!",Code128(C182)))</f>
        <v/>
      </c>
      <c r="D181" s="177"/>
    </row>
    <row r="182" spans="1:4" x14ac:dyDescent="0.3">
      <c r="A182" s="42" t="str">
        <f>IF(DB!A183="","",DB!A183)</f>
        <v/>
      </c>
      <c r="B182" s="43" t="str">
        <f>IF(DB!A183="","",DB!B183)</f>
        <v/>
      </c>
      <c r="C182" s="42" t="str">
        <f>IF(DB!A184="","",DB!A184)</f>
        <v/>
      </c>
      <c r="D182" s="43" t="str">
        <f>IF(DB!A184="","",DB!B184)</f>
        <v/>
      </c>
    </row>
    <row r="183" spans="1:4" ht="52.8" x14ac:dyDescent="0.3">
      <c r="A183" s="177" t="str">
        <f>IF(A184="","",IF(ISNUMBER(LOOKUP("Â",Code128(A184),1)),"Error!",Code128(A184)))</f>
        <v/>
      </c>
      <c r="B183" s="177"/>
      <c r="C183" s="177" t="str">
        <f>IF(C184="","",IF(ISNUMBER(LOOKUP("Â",Code128(C184),1)),"Error!",Code128(C184)))</f>
        <v/>
      </c>
      <c r="D183" s="177"/>
    </row>
    <row r="184" spans="1:4" x14ac:dyDescent="0.3">
      <c r="A184" s="42" t="str">
        <f>IF(DB!A185="","",DB!A185)</f>
        <v/>
      </c>
      <c r="B184" s="43" t="str">
        <f>IF(DB!A185="","",DB!B185)</f>
        <v/>
      </c>
      <c r="C184" s="42" t="str">
        <f>IF(DB!A186="","",DB!A186)</f>
        <v/>
      </c>
      <c r="D184" s="43" t="str">
        <f>IF(DB!A186="","",DB!B186)</f>
        <v/>
      </c>
    </row>
    <row r="185" spans="1:4" ht="52.8" x14ac:dyDescent="0.3">
      <c r="A185" s="177" t="str">
        <f>IF(A186="","",IF(ISNUMBER(LOOKUP("Â",Code128(A186),1)),"Error!",Code128(A186)))</f>
        <v/>
      </c>
      <c r="B185" s="177"/>
      <c r="C185" s="177" t="str">
        <f>IF(C186="","",IF(ISNUMBER(LOOKUP("Â",Code128(C186),1)),"Error!",Code128(C186)))</f>
        <v/>
      </c>
      <c r="D185" s="177"/>
    </row>
    <row r="186" spans="1:4" x14ac:dyDescent="0.3">
      <c r="A186" s="42" t="str">
        <f>IF(DB!A187="","",DB!A187)</f>
        <v/>
      </c>
      <c r="B186" s="43" t="str">
        <f>IF(DB!A187="","",DB!B187)</f>
        <v/>
      </c>
      <c r="C186" s="42" t="str">
        <f>IF(DB!A188="","",DB!A188)</f>
        <v/>
      </c>
      <c r="D186" s="43" t="str">
        <f>IF(DB!A188="","",DB!B188)</f>
        <v/>
      </c>
    </row>
    <row r="187" spans="1:4" ht="52.8" x14ac:dyDescent="0.3">
      <c r="A187" s="177" t="str">
        <f>IF(A188="","",IF(ISNUMBER(LOOKUP("Â",Code128(A188),1)),"Error!",Code128(A188)))</f>
        <v/>
      </c>
      <c r="B187" s="177"/>
      <c r="C187" s="177" t="str">
        <f>IF(C188="","",IF(ISNUMBER(LOOKUP("Â",Code128(C188),1)),"Error!",Code128(C188)))</f>
        <v/>
      </c>
      <c r="D187" s="177"/>
    </row>
    <row r="188" spans="1:4" x14ac:dyDescent="0.3">
      <c r="A188" s="42" t="str">
        <f>IF(DB!A189="","",DB!A189)</f>
        <v/>
      </c>
      <c r="B188" s="43" t="str">
        <f>IF(DB!A189="","",DB!B189)</f>
        <v/>
      </c>
      <c r="C188" s="42" t="str">
        <f>IF(DB!A190="","",DB!A190)</f>
        <v/>
      </c>
      <c r="D188" s="43" t="str">
        <f>IF(DB!A190="","",DB!B190)</f>
        <v/>
      </c>
    </row>
    <row r="189" spans="1:4" ht="52.8" x14ac:dyDescent="0.3">
      <c r="A189" s="177" t="str">
        <f>IF(A190="","",IF(ISNUMBER(LOOKUP("Â",Code128(A190),1)),"Error!",Code128(A190)))</f>
        <v/>
      </c>
      <c r="B189" s="177"/>
      <c r="C189" s="177" t="str">
        <f>IF(C190="","",IF(ISNUMBER(LOOKUP("Â",Code128(C190),1)),"Error!",Code128(C190)))</f>
        <v/>
      </c>
      <c r="D189" s="177"/>
    </row>
    <row r="190" spans="1:4" x14ac:dyDescent="0.3">
      <c r="A190" s="42" t="str">
        <f>IF(DB!A191="","",DB!A191)</f>
        <v/>
      </c>
      <c r="B190" s="43" t="str">
        <f>IF(DB!A191="","",DB!B191)</f>
        <v/>
      </c>
      <c r="C190" s="42" t="str">
        <f>IF(DB!A192="","",DB!A192)</f>
        <v/>
      </c>
      <c r="D190" s="43" t="str">
        <f>IF(DB!A192="","",DB!B192)</f>
        <v/>
      </c>
    </row>
    <row r="191" spans="1:4" ht="52.8" x14ac:dyDescent="0.3">
      <c r="A191" s="177" t="str">
        <f>IF(A192="","",IF(ISNUMBER(LOOKUP("Â",Code128(A192),1)),"Error!",Code128(A192)))</f>
        <v/>
      </c>
      <c r="B191" s="177"/>
      <c r="C191" s="177" t="str">
        <f>IF(C192="","",IF(ISNUMBER(LOOKUP("Â",Code128(C192),1)),"Error!",Code128(C192)))</f>
        <v/>
      </c>
      <c r="D191" s="177"/>
    </row>
    <row r="192" spans="1:4" x14ac:dyDescent="0.3">
      <c r="A192" s="42" t="str">
        <f>IF(DB!A193="","",DB!A193)</f>
        <v/>
      </c>
      <c r="B192" s="43" t="str">
        <f>IF(DB!A193="","",DB!B193)</f>
        <v/>
      </c>
      <c r="C192" s="42" t="str">
        <f>IF(DB!A194="","",DB!A194)</f>
        <v/>
      </c>
      <c r="D192" s="43" t="str">
        <f>IF(DB!A194="","",DB!B194)</f>
        <v/>
      </c>
    </row>
    <row r="193" spans="1:4" ht="52.8" x14ac:dyDescent="0.3">
      <c r="A193" s="177" t="str">
        <f>IF(A194="","",IF(ISNUMBER(LOOKUP("Â",Code128(A194),1)),"Error!",Code128(A194)))</f>
        <v/>
      </c>
      <c r="B193" s="177"/>
      <c r="C193" s="177" t="str">
        <f>IF(C194="","",IF(ISNUMBER(LOOKUP("Â",Code128(C194),1)),"Error!",Code128(C194)))</f>
        <v/>
      </c>
      <c r="D193" s="177"/>
    </row>
    <row r="194" spans="1:4" x14ac:dyDescent="0.3">
      <c r="A194" s="42" t="str">
        <f>IF(DB!A195="","",DB!A195)</f>
        <v/>
      </c>
      <c r="B194" s="43" t="str">
        <f>IF(DB!A195="","",DB!B195)</f>
        <v/>
      </c>
      <c r="C194" s="42" t="str">
        <f>IF(DB!A196="","",DB!A196)</f>
        <v/>
      </c>
      <c r="D194" s="43" t="str">
        <f>IF(DB!A196="","",DB!B196)</f>
        <v/>
      </c>
    </row>
    <row r="195" spans="1:4" ht="52.8" x14ac:dyDescent="0.3">
      <c r="A195" s="177" t="str">
        <f>IF(A196="","",IF(ISNUMBER(LOOKUP("Â",Code128(A196),1)),"Error!",Code128(A196)))</f>
        <v/>
      </c>
      <c r="B195" s="177"/>
      <c r="C195" s="177" t="str">
        <f>IF(C196="","",IF(ISNUMBER(LOOKUP("Â",Code128(C196),1)),"Error!",Code128(C196)))</f>
        <v/>
      </c>
      <c r="D195" s="177"/>
    </row>
    <row r="196" spans="1:4" x14ac:dyDescent="0.3">
      <c r="A196" s="42" t="str">
        <f>IF(DB!A197="","",DB!A197)</f>
        <v/>
      </c>
      <c r="B196" s="43" t="str">
        <f>IF(DB!A197="","",DB!B197)</f>
        <v/>
      </c>
      <c r="C196" s="42" t="str">
        <f>IF(DB!A198="","",DB!A198)</f>
        <v/>
      </c>
      <c r="D196" s="43" t="str">
        <f>IF(DB!A198="","",DB!B198)</f>
        <v/>
      </c>
    </row>
    <row r="197" spans="1:4" ht="52.8" x14ac:dyDescent="0.3">
      <c r="A197" s="177" t="str">
        <f>IF(A198="","",IF(ISNUMBER(LOOKUP("Â",Code128(A198),1)),"Error!",Code128(A198)))</f>
        <v/>
      </c>
      <c r="B197" s="177"/>
      <c r="C197" s="177" t="str">
        <f>IF(C198="","",IF(ISNUMBER(LOOKUP("Â",Code128(C198),1)),"Error!",Code128(C198)))</f>
        <v/>
      </c>
      <c r="D197" s="177"/>
    </row>
    <row r="198" spans="1:4" x14ac:dyDescent="0.3">
      <c r="A198" s="42" t="str">
        <f>IF(DB!A199="","",DB!A199)</f>
        <v/>
      </c>
      <c r="B198" s="43" t="str">
        <f>IF(DB!A199="","",DB!B199)</f>
        <v/>
      </c>
      <c r="C198" s="42" t="str">
        <f>IF(DB!A200="","",DB!A200)</f>
        <v/>
      </c>
      <c r="D198" s="43" t="str">
        <f>IF(DB!A200="","",DB!B200)</f>
        <v/>
      </c>
    </row>
    <row r="199" spans="1:4" ht="52.8" x14ac:dyDescent="0.3">
      <c r="A199" s="177" t="str">
        <f>IF(A200="","",IF(ISNUMBER(LOOKUP("Â",Code128(A200),1)),"Error!",Code128(A200)))</f>
        <v/>
      </c>
      <c r="B199" s="177"/>
      <c r="C199" s="177" t="str">
        <f>IF(C200="","",IF(ISNUMBER(LOOKUP("Â",Code128(C200),1)),"Error!",Code128(C200)))</f>
        <v/>
      </c>
      <c r="D199" s="177"/>
    </row>
    <row r="200" spans="1:4" x14ac:dyDescent="0.3">
      <c r="A200" s="42" t="str">
        <f>IF(DB!A201="","",DB!A201)</f>
        <v/>
      </c>
      <c r="B200" s="43" t="str">
        <f>IF(DB!A201="","",DB!B201)</f>
        <v/>
      </c>
      <c r="C200" s="42" t="str">
        <f>IF(DB!A202="","",DB!A202)</f>
        <v/>
      </c>
      <c r="D200" s="43" t="str">
        <f>IF(DB!A202="","",DB!B202)</f>
        <v/>
      </c>
    </row>
    <row r="201" spans="1:4" ht="52.8" x14ac:dyDescent="0.3">
      <c r="A201" s="177" t="str">
        <f>IF(A202="","",IF(ISNUMBER(LOOKUP("Â",Code128(A202),1)),"Error!",Code128(A202)))</f>
        <v/>
      </c>
      <c r="B201" s="177"/>
      <c r="C201" s="177" t="str">
        <f>IF(C202="","",IF(ISNUMBER(LOOKUP("Â",Code128(C202),1)),"Error!",Code128(C202)))</f>
        <v/>
      </c>
      <c r="D201" s="177"/>
    </row>
    <row r="202" spans="1:4" x14ac:dyDescent="0.3">
      <c r="A202" s="42" t="str">
        <f>IF(DB!A203="","",DB!A203)</f>
        <v/>
      </c>
      <c r="B202" s="43" t="str">
        <f>IF(DB!A203="","",DB!B203)</f>
        <v/>
      </c>
      <c r="C202" s="42" t="str">
        <f>IF(DB!A204="","",DB!A204)</f>
        <v/>
      </c>
      <c r="D202" s="43" t="str">
        <f>IF(DB!A204="","",DB!B204)</f>
        <v/>
      </c>
    </row>
    <row r="203" spans="1:4" ht="52.8" x14ac:dyDescent="0.3">
      <c r="A203" s="177" t="str">
        <f>IF(A204="","",IF(ISNUMBER(LOOKUP("Â",Code128(A204),1)),"Error!",Code128(A204)))</f>
        <v/>
      </c>
      <c r="B203" s="177"/>
      <c r="C203" s="177" t="str">
        <f>IF(C204="","",IF(ISNUMBER(LOOKUP("Â",Code128(C204),1)),"Error!",Code128(C204)))</f>
        <v/>
      </c>
      <c r="D203" s="177"/>
    </row>
    <row r="204" spans="1:4" x14ac:dyDescent="0.3">
      <c r="A204" s="42" t="str">
        <f>IF(DB!A205="","",DB!A205)</f>
        <v/>
      </c>
      <c r="B204" s="43" t="str">
        <f>IF(DB!A205="","",DB!B205)</f>
        <v/>
      </c>
      <c r="C204" s="42" t="str">
        <f>IF(DB!A206="","",DB!A206)</f>
        <v/>
      </c>
      <c r="D204" s="43" t="str">
        <f>IF(DB!A206="","",DB!B206)</f>
        <v/>
      </c>
    </row>
    <row r="205" spans="1:4" ht="52.8" x14ac:dyDescent="0.3">
      <c r="A205" s="177" t="str">
        <f>IF(A206="","",IF(ISNUMBER(LOOKUP("Â",Code128(A206),1)),"Error!",Code128(A206)))</f>
        <v/>
      </c>
      <c r="B205" s="177"/>
      <c r="C205" s="177" t="str">
        <f>IF(C206="","",IF(ISNUMBER(LOOKUP("Â",Code128(C206),1)),"Error!",Code128(C206)))</f>
        <v/>
      </c>
      <c r="D205" s="177"/>
    </row>
    <row r="206" spans="1:4" x14ac:dyDescent="0.3">
      <c r="A206" s="42" t="str">
        <f>IF(DB!A207="","",DB!A207)</f>
        <v/>
      </c>
      <c r="B206" s="43" t="str">
        <f>IF(DB!A207="","",DB!B207)</f>
        <v/>
      </c>
      <c r="C206" s="42" t="str">
        <f>IF(DB!A208="","",DB!A208)</f>
        <v/>
      </c>
      <c r="D206" s="43" t="str">
        <f>IF(DB!A208="","",DB!B208)</f>
        <v/>
      </c>
    </row>
    <row r="207" spans="1:4" ht="52.8" x14ac:dyDescent="0.3">
      <c r="A207" s="177" t="str">
        <f>IF(A208="","",IF(ISNUMBER(LOOKUP("Â",Code128(A208),1)),"Error!",Code128(A208)))</f>
        <v/>
      </c>
      <c r="B207" s="177"/>
      <c r="C207" s="177" t="str">
        <f>IF(C208="","",IF(ISNUMBER(LOOKUP("Â",Code128(C208),1)),"Error!",Code128(C208)))</f>
        <v/>
      </c>
      <c r="D207" s="177"/>
    </row>
    <row r="208" spans="1:4" x14ac:dyDescent="0.3">
      <c r="A208" s="42" t="str">
        <f>IF(DB!A209="","",DB!A209)</f>
        <v/>
      </c>
      <c r="B208" s="43" t="str">
        <f>IF(DB!A209="","",DB!B209)</f>
        <v/>
      </c>
      <c r="C208" s="42" t="str">
        <f>IF(DB!A210="","",DB!A210)</f>
        <v/>
      </c>
      <c r="D208" s="43" t="str">
        <f>IF(DB!A210="","",DB!B210)</f>
        <v/>
      </c>
    </row>
    <row r="209" spans="1:4" ht="52.8" x14ac:dyDescent="0.3">
      <c r="A209" s="177" t="str">
        <f>IF(A210="","",IF(ISNUMBER(LOOKUP("Â",Code128(A210),1)),"Error!",Code128(A210)))</f>
        <v/>
      </c>
      <c r="B209" s="177"/>
      <c r="C209" s="177" t="str">
        <f>IF(C210="","",IF(ISNUMBER(LOOKUP("Â",Code128(C210),1)),"Error!",Code128(C210)))</f>
        <v/>
      </c>
      <c r="D209" s="177"/>
    </row>
    <row r="210" spans="1:4" x14ac:dyDescent="0.3">
      <c r="A210" s="42" t="str">
        <f>IF(DB!A211="","",DB!A211)</f>
        <v/>
      </c>
      <c r="B210" s="43" t="str">
        <f>IF(DB!A211="","",DB!B211)</f>
        <v/>
      </c>
      <c r="C210" s="42" t="str">
        <f>IF(DB!A212="","",DB!A212)</f>
        <v/>
      </c>
      <c r="D210" s="43" t="str">
        <f>IF(DB!A212="","",DB!B212)</f>
        <v/>
      </c>
    </row>
    <row r="211" spans="1:4" ht="52.8" x14ac:dyDescent="0.3">
      <c r="A211" s="177" t="str">
        <f>IF(A212="","",IF(ISNUMBER(LOOKUP("Â",Code128(A212),1)),"Error!",Code128(A212)))</f>
        <v/>
      </c>
      <c r="B211" s="177"/>
      <c r="C211" s="177" t="str">
        <f>IF(C212="","",IF(ISNUMBER(LOOKUP("Â",Code128(C212),1)),"Error!",Code128(C212)))</f>
        <v/>
      </c>
      <c r="D211" s="177"/>
    </row>
    <row r="212" spans="1:4" x14ac:dyDescent="0.3">
      <c r="A212" s="42" t="str">
        <f>IF(DB!A213="","",DB!A213)</f>
        <v/>
      </c>
      <c r="B212" s="43" t="str">
        <f>IF(DB!A213="","",DB!B213)</f>
        <v/>
      </c>
      <c r="C212" s="42" t="str">
        <f>IF(DB!A214="","",DB!A214)</f>
        <v/>
      </c>
      <c r="D212" s="43" t="str">
        <f>IF(DB!A214="","",DB!B214)</f>
        <v/>
      </c>
    </row>
    <row r="213" spans="1:4" ht="52.8" x14ac:dyDescent="0.3">
      <c r="A213" s="177" t="str">
        <f>IF(A214="","",IF(ISNUMBER(LOOKUP("Â",Code128(A214),1)),"Error!",Code128(A214)))</f>
        <v/>
      </c>
      <c r="B213" s="177"/>
      <c r="C213" s="177" t="str">
        <f>IF(C214="","",IF(ISNUMBER(LOOKUP("Â",Code128(C214),1)),"Error!",Code128(C214)))</f>
        <v/>
      </c>
      <c r="D213" s="177"/>
    </row>
    <row r="214" spans="1:4" x14ac:dyDescent="0.3">
      <c r="A214" s="42" t="str">
        <f>IF(DB!A215="","",DB!A215)</f>
        <v/>
      </c>
      <c r="B214" s="43" t="str">
        <f>IF(DB!A215="","",DB!B215)</f>
        <v/>
      </c>
      <c r="C214" s="42" t="str">
        <f>IF(DB!A216="","",DB!A216)</f>
        <v/>
      </c>
      <c r="D214" s="43" t="str">
        <f>IF(DB!A216="","",DB!B216)</f>
        <v/>
      </c>
    </row>
    <row r="215" spans="1:4" ht="52.8" x14ac:dyDescent="0.3">
      <c r="A215" s="177" t="str">
        <f>IF(A216="","",IF(ISNUMBER(LOOKUP("Â",Code128(A216),1)),"Error!",Code128(A216)))</f>
        <v/>
      </c>
      <c r="B215" s="177"/>
      <c r="C215" s="177" t="str">
        <f>IF(C216="","",IF(ISNUMBER(LOOKUP("Â",Code128(C216),1)),"Error!",Code128(C216)))</f>
        <v/>
      </c>
      <c r="D215" s="177"/>
    </row>
    <row r="216" spans="1:4" x14ac:dyDescent="0.3">
      <c r="A216" s="42" t="str">
        <f>IF(DB!A217="","",DB!A217)</f>
        <v/>
      </c>
      <c r="B216" s="43" t="str">
        <f>IF(DB!A217="","",DB!B217)</f>
        <v/>
      </c>
      <c r="C216" s="42" t="str">
        <f>IF(DB!A218="","",DB!A218)</f>
        <v/>
      </c>
      <c r="D216" s="43" t="str">
        <f>IF(DB!A218="","",DB!B218)</f>
        <v/>
      </c>
    </row>
    <row r="217" spans="1:4" ht="52.8" x14ac:dyDescent="0.3">
      <c r="A217" s="177" t="str">
        <f>IF(A218="","",IF(ISNUMBER(LOOKUP("Â",Code128(A218),1)),"Error!",Code128(A218)))</f>
        <v/>
      </c>
      <c r="B217" s="177"/>
      <c r="C217" s="177" t="str">
        <f>IF(C218="","",IF(ISNUMBER(LOOKUP("Â",Code128(C218),1)),"Error!",Code128(C218)))</f>
        <v/>
      </c>
      <c r="D217" s="177"/>
    </row>
    <row r="218" spans="1:4" x14ac:dyDescent="0.3">
      <c r="A218" s="42" t="str">
        <f>IF(DB!A219="","",DB!A219)</f>
        <v/>
      </c>
      <c r="B218" s="43" t="str">
        <f>IF(DB!A219="","",DB!B219)</f>
        <v/>
      </c>
      <c r="C218" s="42" t="str">
        <f>IF(DB!A220="","",DB!A220)</f>
        <v/>
      </c>
      <c r="D218" s="43" t="str">
        <f>IF(DB!A220="","",DB!B220)</f>
        <v/>
      </c>
    </row>
    <row r="219" spans="1:4" ht="52.8" x14ac:dyDescent="0.3">
      <c r="A219" s="177" t="str">
        <f>IF(A220="","",IF(ISNUMBER(LOOKUP("Â",Code128(A220),1)),"Error!",Code128(A220)))</f>
        <v/>
      </c>
      <c r="B219" s="177"/>
      <c r="C219" s="177" t="str">
        <f>IF(C220="","",IF(ISNUMBER(LOOKUP("Â",Code128(C220),1)),"Error!",Code128(C220)))</f>
        <v/>
      </c>
      <c r="D219" s="177"/>
    </row>
    <row r="220" spans="1:4" x14ac:dyDescent="0.3">
      <c r="A220" s="42" t="str">
        <f>IF(DB!A221="","",DB!A221)</f>
        <v/>
      </c>
      <c r="B220" s="43" t="str">
        <f>IF(DB!A221="","",DB!B221)</f>
        <v/>
      </c>
      <c r="C220" s="42" t="str">
        <f>IF(DB!A222="","",DB!A222)</f>
        <v/>
      </c>
      <c r="D220" s="43" t="str">
        <f>IF(DB!A222="","",DB!B222)</f>
        <v/>
      </c>
    </row>
    <row r="221" spans="1:4" ht="52.8" x14ac:dyDescent="0.3">
      <c r="A221" s="177" t="str">
        <f>IF(A222="","",IF(ISNUMBER(LOOKUP("Â",Code128(A222),1)),"Error!",Code128(A222)))</f>
        <v/>
      </c>
      <c r="B221" s="177"/>
      <c r="C221" s="177" t="str">
        <f>IF(C222="","",IF(ISNUMBER(LOOKUP("Â",Code128(C222),1)),"Error!",Code128(C222)))</f>
        <v/>
      </c>
      <c r="D221" s="177"/>
    </row>
    <row r="222" spans="1:4" x14ac:dyDescent="0.3">
      <c r="A222" s="42" t="str">
        <f>IF(DB!A223="","",DB!A223)</f>
        <v/>
      </c>
      <c r="B222" s="43" t="str">
        <f>IF(DB!A223="","",DB!B223)</f>
        <v/>
      </c>
      <c r="C222" s="42" t="str">
        <f>IF(DB!A224="","",DB!A224)</f>
        <v/>
      </c>
      <c r="D222" s="43" t="str">
        <f>IF(DB!A224="","",DB!B224)</f>
        <v/>
      </c>
    </row>
    <row r="223" spans="1:4" ht="52.8" x14ac:dyDescent="0.3">
      <c r="A223" s="177" t="str">
        <f>IF(A224="","",IF(ISNUMBER(LOOKUP("Â",Code128(A224),1)),"Error!",Code128(A224)))</f>
        <v/>
      </c>
      <c r="B223" s="177"/>
      <c r="C223" s="177" t="str">
        <f>IF(C224="","",IF(ISNUMBER(LOOKUP("Â",Code128(C224),1)),"Error!",Code128(C224)))</f>
        <v/>
      </c>
      <c r="D223" s="177"/>
    </row>
    <row r="224" spans="1:4" x14ac:dyDescent="0.3">
      <c r="A224" s="42" t="str">
        <f>IF(DB!A225="","",DB!A225)</f>
        <v/>
      </c>
      <c r="B224" s="43" t="str">
        <f>IF(DB!A225="","",DB!B225)</f>
        <v/>
      </c>
      <c r="C224" s="42" t="str">
        <f>IF(DB!A226="","",DB!A226)</f>
        <v/>
      </c>
      <c r="D224" s="43" t="str">
        <f>IF(DB!A226="","",DB!B226)</f>
        <v/>
      </c>
    </row>
    <row r="225" spans="1:4" ht="52.8" x14ac:dyDescent="0.3">
      <c r="A225" s="177" t="str">
        <f>IF(A226="","",IF(ISNUMBER(LOOKUP("Â",Code128(A226),1)),"Error!",Code128(A226)))</f>
        <v/>
      </c>
      <c r="B225" s="177"/>
      <c r="C225" s="177" t="str">
        <f>IF(C226="","",IF(ISNUMBER(LOOKUP("Â",Code128(C226),1)),"Error!",Code128(C226)))</f>
        <v/>
      </c>
      <c r="D225" s="177"/>
    </row>
    <row r="226" spans="1:4" x14ac:dyDescent="0.3">
      <c r="A226" s="42" t="str">
        <f>IF(DB!A227="","",DB!A227)</f>
        <v/>
      </c>
      <c r="B226" s="43" t="str">
        <f>IF(DB!A227="","",DB!B227)</f>
        <v/>
      </c>
      <c r="C226" s="42" t="str">
        <f>IF(DB!A228="","",DB!A228)</f>
        <v/>
      </c>
      <c r="D226" s="43" t="str">
        <f>IF(DB!A228="","",DB!B228)</f>
        <v/>
      </c>
    </row>
    <row r="227" spans="1:4" ht="52.8" x14ac:dyDescent="0.3">
      <c r="A227" s="177" t="str">
        <f>IF(A228="","",IF(ISNUMBER(LOOKUP("Â",Code128(A228),1)),"Error!",Code128(A228)))</f>
        <v/>
      </c>
      <c r="B227" s="177"/>
      <c r="C227" s="177" t="str">
        <f>IF(C228="","",IF(ISNUMBER(LOOKUP("Â",Code128(C228),1)),"Error!",Code128(C228)))</f>
        <v/>
      </c>
      <c r="D227" s="177"/>
    </row>
    <row r="228" spans="1:4" x14ac:dyDescent="0.3">
      <c r="A228" s="42" t="str">
        <f>IF(DB!A229="","",DB!A229)</f>
        <v/>
      </c>
      <c r="B228" s="43" t="str">
        <f>IF(DB!A229="","",DB!B229)</f>
        <v/>
      </c>
      <c r="C228" s="42" t="str">
        <f>IF(DB!A230="","",DB!A230)</f>
        <v/>
      </c>
      <c r="D228" s="43" t="str">
        <f>IF(DB!A230="","",DB!B230)</f>
        <v/>
      </c>
    </row>
    <row r="229" spans="1:4" ht="52.8" x14ac:dyDescent="0.3">
      <c r="A229" s="177" t="str">
        <f>IF(A230="","",IF(ISNUMBER(LOOKUP("Â",Code128(A230),1)),"Error!",Code128(A230)))</f>
        <v/>
      </c>
      <c r="B229" s="177"/>
      <c r="C229" s="177" t="str">
        <f>IF(C230="","",IF(ISNUMBER(LOOKUP("Â",Code128(C230),1)),"Error!",Code128(C230)))</f>
        <v/>
      </c>
      <c r="D229" s="177"/>
    </row>
    <row r="230" spans="1:4" x14ac:dyDescent="0.3">
      <c r="A230" s="42" t="str">
        <f>IF(DB!A231="","",DB!A231)</f>
        <v/>
      </c>
      <c r="B230" s="43" t="str">
        <f>IF(DB!A231="","",DB!B231)</f>
        <v/>
      </c>
      <c r="C230" s="42" t="str">
        <f>IF(DB!A232="","",DB!A232)</f>
        <v/>
      </c>
      <c r="D230" s="43" t="str">
        <f>IF(DB!A232="","",DB!B232)</f>
        <v/>
      </c>
    </row>
    <row r="231" spans="1:4" ht="52.8" x14ac:dyDescent="0.3">
      <c r="A231" s="177" t="str">
        <f>IF(A232="","",IF(ISNUMBER(LOOKUP("Â",Code128(A232),1)),"Error!",Code128(A232)))</f>
        <v/>
      </c>
      <c r="B231" s="177"/>
      <c r="C231" s="177" t="str">
        <f>IF(C232="","",IF(ISNUMBER(LOOKUP("Â",Code128(C232),1)),"Error!",Code128(C232)))</f>
        <v/>
      </c>
      <c r="D231" s="177"/>
    </row>
    <row r="232" spans="1:4" x14ac:dyDescent="0.3">
      <c r="A232" s="42" t="str">
        <f>IF(DB!A233="","",DB!A233)</f>
        <v/>
      </c>
      <c r="B232" s="43" t="str">
        <f>IF(DB!A233="","",DB!B233)</f>
        <v/>
      </c>
      <c r="C232" s="42" t="str">
        <f>IF(DB!A234="","",DB!A234)</f>
        <v/>
      </c>
      <c r="D232" s="43" t="str">
        <f>IF(DB!A234="","",DB!B234)</f>
        <v/>
      </c>
    </row>
    <row r="233" spans="1:4" ht="52.8" x14ac:dyDescent="0.3">
      <c r="A233" s="177" t="str">
        <f>IF(A234="","",IF(ISNUMBER(LOOKUP("Â",Code128(A234),1)),"Error!",Code128(A234)))</f>
        <v/>
      </c>
      <c r="B233" s="177"/>
      <c r="C233" s="177" t="str">
        <f>IF(C234="","",IF(ISNUMBER(LOOKUP("Â",Code128(C234),1)),"Error!",Code128(C234)))</f>
        <v/>
      </c>
      <c r="D233" s="177"/>
    </row>
    <row r="234" spans="1:4" x14ac:dyDescent="0.3">
      <c r="A234" s="42" t="str">
        <f>IF(DB!A235="","",DB!A235)</f>
        <v/>
      </c>
      <c r="B234" s="43" t="str">
        <f>IF(DB!A235="","",DB!B235)</f>
        <v/>
      </c>
      <c r="C234" s="42" t="str">
        <f>IF(DB!A236="","",DB!A236)</f>
        <v/>
      </c>
      <c r="D234" s="43" t="str">
        <f>IF(DB!A236="","",DB!B236)</f>
        <v/>
      </c>
    </row>
    <row r="235" spans="1:4" ht="52.8" x14ac:dyDescent="0.3">
      <c r="A235" s="177" t="str">
        <f>IF(A236="","",IF(ISNUMBER(LOOKUP("Â",Code128(A236),1)),"Error!",Code128(A236)))</f>
        <v/>
      </c>
      <c r="B235" s="177"/>
      <c r="C235" s="177" t="str">
        <f>IF(C236="","",IF(ISNUMBER(LOOKUP("Â",Code128(C236),1)),"Error!",Code128(C236)))</f>
        <v/>
      </c>
      <c r="D235" s="177"/>
    </row>
    <row r="236" spans="1:4" x14ac:dyDescent="0.3">
      <c r="A236" s="42" t="str">
        <f>IF(DB!A237="","",DB!A237)</f>
        <v/>
      </c>
      <c r="B236" s="43" t="str">
        <f>IF(DB!A237="","",DB!B237)</f>
        <v/>
      </c>
      <c r="C236" s="42" t="str">
        <f>IF(DB!A238="","",DB!A238)</f>
        <v/>
      </c>
      <c r="D236" s="43" t="str">
        <f>IF(DB!A238="","",DB!B238)</f>
        <v/>
      </c>
    </row>
    <row r="237" spans="1:4" ht="52.8" x14ac:dyDescent="0.3">
      <c r="A237" s="177" t="str">
        <f>IF(A238="","",IF(ISNUMBER(LOOKUP("Â",Code128(A238),1)),"Error!",Code128(A238)))</f>
        <v/>
      </c>
      <c r="B237" s="177"/>
      <c r="C237" s="177" t="str">
        <f>IF(C238="","",IF(ISNUMBER(LOOKUP("Â",Code128(C238),1)),"Error!",Code128(C238)))</f>
        <v/>
      </c>
      <c r="D237" s="177"/>
    </row>
    <row r="238" spans="1:4" x14ac:dyDescent="0.3">
      <c r="A238" s="42" t="str">
        <f>IF(DB!A239="","",DB!A239)</f>
        <v/>
      </c>
      <c r="B238" s="43" t="str">
        <f>IF(DB!A239="","",DB!B239)</f>
        <v/>
      </c>
      <c r="C238" s="42" t="str">
        <f>IF(DB!A240="","",DB!A240)</f>
        <v/>
      </c>
      <c r="D238" s="43" t="str">
        <f>IF(DB!A240="","",DB!B240)</f>
        <v/>
      </c>
    </row>
    <row r="239" spans="1:4" ht="52.8" x14ac:dyDescent="0.3">
      <c r="A239" s="177" t="str">
        <f>IF(A240="","",IF(ISNUMBER(LOOKUP("Â",Code128(A240),1)),"Error!",Code128(A240)))</f>
        <v/>
      </c>
      <c r="B239" s="177"/>
      <c r="C239" s="177" t="str">
        <f>IF(C240="","",IF(ISNUMBER(LOOKUP("Â",Code128(C240),1)),"Error!",Code128(C240)))</f>
        <v/>
      </c>
      <c r="D239" s="177"/>
    </row>
    <row r="240" spans="1:4" x14ac:dyDescent="0.3">
      <c r="A240" s="42" t="str">
        <f>IF(DB!A241="","",DB!A241)</f>
        <v/>
      </c>
      <c r="B240" s="43" t="str">
        <f>IF(DB!A241="","",DB!B241)</f>
        <v/>
      </c>
      <c r="C240" s="42" t="str">
        <f>IF(DB!A242="","",DB!A242)</f>
        <v/>
      </c>
      <c r="D240" s="43" t="str">
        <f>IF(DB!A242="","",DB!B242)</f>
        <v/>
      </c>
    </row>
    <row r="241" spans="1:4" ht="52.8" x14ac:dyDescent="0.3">
      <c r="A241" s="177" t="str">
        <f>IF(A242="","",IF(ISNUMBER(LOOKUP("Â",Code128(A242),1)),"Error!",Code128(A242)))</f>
        <v/>
      </c>
      <c r="B241" s="177"/>
      <c r="C241" s="177" t="str">
        <f>IF(C242="","",IF(ISNUMBER(LOOKUP("Â",Code128(C242),1)),"Error!",Code128(C242)))</f>
        <v/>
      </c>
      <c r="D241" s="177"/>
    </row>
    <row r="242" spans="1:4" x14ac:dyDescent="0.3">
      <c r="A242" s="42" t="str">
        <f>IF(DB!A243="","",DB!A243)</f>
        <v/>
      </c>
      <c r="B242" s="43" t="str">
        <f>IF(DB!A243="","",DB!B243)</f>
        <v/>
      </c>
      <c r="C242" s="42" t="str">
        <f>IF(DB!A244="","",DB!A244)</f>
        <v/>
      </c>
      <c r="D242" s="43" t="str">
        <f>IF(DB!A244="","",DB!B244)</f>
        <v/>
      </c>
    </row>
    <row r="243" spans="1:4" ht="52.8" x14ac:dyDescent="0.3">
      <c r="A243" s="177" t="str">
        <f>IF(A244="","",IF(ISNUMBER(LOOKUP("Â",Code128(A244),1)),"Error!",Code128(A244)))</f>
        <v/>
      </c>
      <c r="B243" s="177"/>
      <c r="C243" s="177" t="str">
        <f>IF(C244="","",IF(ISNUMBER(LOOKUP("Â",Code128(C244),1)),"Error!",Code128(C244)))</f>
        <v/>
      </c>
      <c r="D243" s="177"/>
    </row>
    <row r="244" spans="1:4" x14ac:dyDescent="0.3">
      <c r="A244" s="42" t="str">
        <f>IF(DB!A245="","",DB!A245)</f>
        <v/>
      </c>
      <c r="B244" s="43" t="str">
        <f>IF(DB!A245="","",DB!B245)</f>
        <v/>
      </c>
      <c r="C244" s="42" t="str">
        <f>IF(DB!A246="","",DB!A246)</f>
        <v/>
      </c>
      <c r="D244" s="43" t="str">
        <f>IF(DB!A246="","",DB!B246)</f>
        <v/>
      </c>
    </row>
    <row r="245" spans="1:4" ht="52.8" x14ac:dyDescent="0.3">
      <c r="A245" s="177" t="str">
        <f>IF(A246="","",IF(ISNUMBER(LOOKUP("Â",Code128(A246),1)),"Error!",Code128(A246)))</f>
        <v/>
      </c>
      <c r="B245" s="177"/>
      <c r="C245" s="177" t="str">
        <f>IF(C246="","",IF(ISNUMBER(LOOKUP("Â",Code128(C246),1)),"Error!",Code128(C246)))</f>
        <v/>
      </c>
      <c r="D245" s="177"/>
    </row>
    <row r="246" spans="1:4" x14ac:dyDescent="0.3">
      <c r="A246" s="42" t="str">
        <f>IF(DB!A247="","",DB!A247)</f>
        <v/>
      </c>
      <c r="B246" s="43" t="str">
        <f>IF(DB!A247="","",DB!B247)</f>
        <v/>
      </c>
      <c r="C246" s="42" t="str">
        <f>IF(DB!A248="","",DB!A248)</f>
        <v/>
      </c>
      <c r="D246" s="43" t="str">
        <f>IF(DB!A248="","",DB!B248)</f>
        <v/>
      </c>
    </row>
    <row r="247" spans="1:4" ht="52.8" x14ac:dyDescent="0.3">
      <c r="A247" s="177" t="str">
        <f>IF(A248="","",IF(ISNUMBER(LOOKUP("Â",Code128(A248),1)),"Error!",Code128(A248)))</f>
        <v/>
      </c>
      <c r="B247" s="177"/>
      <c r="C247" s="177" t="str">
        <f>IF(C248="","",IF(ISNUMBER(LOOKUP("Â",Code128(C248),1)),"Error!",Code128(C248)))</f>
        <v/>
      </c>
      <c r="D247" s="177"/>
    </row>
    <row r="248" spans="1:4" x14ac:dyDescent="0.3">
      <c r="A248" s="42" t="str">
        <f>IF(DB!A249="","",DB!A249)</f>
        <v/>
      </c>
      <c r="B248" s="43" t="str">
        <f>IF(DB!A249="","",DB!B249)</f>
        <v/>
      </c>
      <c r="C248" s="42" t="str">
        <f>IF(DB!A250="","",DB!A250)</f>
        <v/>
      </c>
      <c r="D248" s="43" t="str">
        <f>IF(DB!A250="","",DB!B250)</f>
        <v/>
      </c>
    </row>
    <row r="249" spans="1:4" ht="52.8" x14ac:dyDescent="0.3">
      <c r="A249" s="177" t="str">
        <f>IF(A250="","",IF(ISNUMBER(LOOKUP("Â",Code128(A250),1)),"Error!",Code128(A250)))</f>
        <v/>
      </c>
      <c r="B249" s="177"/>
      <c r="C249" s="177" t="str">
        <f>IF(C250="","",IF(ISNUMBER(LOOKUP("Â",Code128(C250),1)),"Error!",Code128(C250)))</f>
        <v/>
      </c>
      <c r="D249" s="177"/>
    </row>
    <row r="250" spans="1:4" x14ac:dyDescent="0.3">
      <c r="A250" s="42" t="str">
        <f>IF(DB!A251="","",DB!A251)</f>
        <v/>
      </c>
      <c r="B250" s="43" t="str">
        <f>IF(DB!A251="","",DB!B251)</f>
        <v/>
      </c>
      <c r="C250" s="42" t="str">
        <f>IF(DB!A252="","",DB!A252)</f>
        <v/>
      </c>
      <c r="D250" s="43" t="str">
        <f>IF(DB!A252="","",DB!B252)</f>
        <v/>
      </c>
    </row>
    <row r="251" spans="1:4" ht="52.8" x14ac:dyDescent="0.3">
      <c r="A251" s="177" t="str">
        <f>IF(A252="","",IF(ISNUMBER(LOOKUP("Â",Code128(A252),1)),"Error!",Code128(A252)))</f>
        <v/>
      </c>
      <c r="B251" s="177"/>
      <c r="C251" s="177" t="str">
        <f>IF(C252="","",IF(ISNUMBER(LOOKUP("Â",Code128(C252),1)),"Error!",Code128(C252)))</f>
        <v/>
      </c>
      <c r="D251" s="177"/>
    </row>
    <row r="252" spans="1:4" x14ac:dyDescent="0.3">
      <c r="A252" s="42" t="str">
        <f>IF(DB!A253="","",DB!A253)</f>
        <v/>
      </c>
      <c r="B252" s="43" t="str">
        <f>IF(DB!A253="","",DB!B253)</f>
        <v/>
      </c>
      <c r="C252" s="42" t="str">
        <f>IF(DB!A254="","",DB!A254)</f>
        <v/>
      </c>
      <c r="D252" s="43" t="str">
        <f>IF(DB!A254="","",DB!B254)</f>
        <v/>
      </c>
    </row>
    <row r="253" spans="1:4" ht="52.8" x14ac:dyDescent="0.3">
      <c r="A253" s="177" t="str">
        <f>IF(A254="","",IF(ISNUMBER(LOOKUP("Â",Code128(A254),1)),"Error!",Code128(A254)))</f>
        <v/>
      </c>
      <c r="B253" s="177"/>
      <c r="C253" s="177" t="str">
        <f>IF(C254="","",IF(ISNUMBER(LOOKUP("Â",Code128(C254),1)),"Error!",Code128(C254)))</f>
        <v/>
      </c>
      <c r="D253" s="177"/>
    </row>
    <row r="254" spans="1:4" x14ac:dyDescent="0.3">
      <c r="A254" s="42" t="str">
        <f>IF(DB!A255="","",DB!A255)</f>
        <v/>
      </c>
      <c r="B254" s="43" t="str">
        <f>IF(DB!A255="","",DB!B255)</f>
        <v/>
      </c>
      <c r="C254" s="42" t="str">
        <f>IF(DB!A256="","",DB!A256)</f>
        <v/>
      </c>
      <c r="D254" s="43" t="str">
        <f>IF(DB!A256="","",DB!B256)</f>
        <v/>
      </c>
    </row>
    <row r="255" spans="1:4" ht="52.8" x14ac:dyDescent="0.3">
      <c r="A255" s="177" t="str">
        <f>IF(A256="","",IF(ISNUMBER(LOOKUP("Â",Code128(A256),1)),"Error!",Code128(A256)))</f>
        <v/>
      </c>
      <c r="B255" s="177"/>
      <c r="C255" s="177" t="str">
        <f>IF(C256="","",IF(ISNUMBER(LOOKUP("Â",Code128(C256),1)),"Error!",Code128(C256)))</f>
        <v/>
      </c>
      <c r="D255" s="177"/>
    </row>
    <row r="256" spans="1:4" x14ac:dyDescent="0.3">
      <c r="A256" s="42" t="str">
        <f>IF(DB!A257="","",DB!A257)</f>
        <v/>
      </c>
      <c r="B256" s="43" t="str">
        <f>IF(DB!A257="","",DB!B257)</f>
        <v/>
      </c>
      <c r="C256" s="42" t="str">
        <f>IF(DB!A258="","",DB!A258)</f>
        <v/>
      </c>
      <c r="D256" s="43" t="str">
        <f>IF(DB!A258="","",DB!B258)</f>
        <v/>
      </c>
    </row>
    <row r="257" spans="1:4" ht="52.8" x14ac:dyDescent="0.3">
      <c r="A257" s="177" t="str">
        <f>IF(A258="","",IF(ISNUMBER(LOOKUP("Â",Code128(A258),1)),"Error!",Code128(A258)))</f>
        <v/>
      </c>
      <c r="B257" s="177"/>
      <c r="C257" s="177" t="str">
        <f>IF(C258="","",IF(ISNUMBER(LOOKUP("Â",Code128(C258),1)),"Error!",Code128(C258)))</f>
        <v/>
      </c>
      <c r="D257" s="177"/>
    </row>
    <row r="258" spans="1:4" x14ac:dyDescent="0.3">
      <c r="A258" s="42" t="str">
        <f>IF(DB!A259="","",DB!A259)</f>
        <v/>
      </c>
      <c r="B258" s="43" t="str">
        <f>IF(DB!A259="","",DB!B259)</f>
        <v/>
      </c>
      <c r="C258" s="42" t="str">
        <f>IF(DB!A260="","",DB!A260)</f>
        <v/>
      </c>
      <c r="D258" s="43" t="str">
        <f>IF(DB!A260="","",DB!B260)</f>
        <v/>
      </c>
    </row>
    <row r="259" spans="1:4" ht="52.8" x14ac:dyDescent="0.3">
      <c r="A259" s="177" t="str">
        <f>IF(A260="","",IF(ISNUMBER(LOOKUP("Â",Code128(A260),1)),"Error!",Code128(A260)))</f>
        <v/>
      </c>
      <c r="B259" s="177"/>
      <c r="C259" s="177" t="str">
        <f>IF(C260="","",IF(ISNUMBER(LOOKUP("Â",Code128(C260),1)),"Error!",Code128(C260)))</f>
        <v/>
      </c>
      <c r="D259" s="177"/>
    </row>
    <row r="260" spans="1:4" x14ac:dyDescent="0.3">
      <c r="A260" s="42" t="str">
        <f>IF(DB!A261="","",DB!A261)</f>
        <v/>
      </c>
      <c r="B260" s="43" t="str">
        <f>IF(DB!A261="","",DB!B261)</f>
        <v/>
      </c>
      <c r="C260" s="42" t="str">
        <f>IF(DB!A262="","",DB!A262)</f>
        <v/>
      </c>
      <c r="D260" s="43" t="str">
        <f>IF(DB!A262="","",DB!B262)</f>
        <v/>
      </c>
    </row>
    <row r="261" spans="1:4" ht="52.8" x14ac:dyDescent="0.3">
      <c r="A261" s="177" t="str">
        <f>IF(A262="","",IF(ISNUMBER(LOOKUP("Â",Code128(A262),1)),"Error!",Code128(A262)))</f>
        <v/>
      </c>
      <c r="B261" s="177"/>
      <c r="C261" s="177" t="str">
        <f>IF(C262="","",IF(ISNUMBER(LOOKUP("Â",Code128(C262),1)),"Error!",Code128(C262)))</f>
        <v/>
      </c>
      <c r="D261" s="177"/>
    </row>
    <row r="262" spans="1:4" x14ac:dyDescent="0.3">
      <c r="A262" s="42" t="str">
        <f>IF(DB!A263="","",DB!A263)</f>
        <v/>
      </c>
      <c r="B262" s="43" t="str">
        <f>IF(DB!A263="","",DB!B263)</f>
        <v/>
      </c>
      <c r="C262" s="42" t="str">
        <f>IF(DB!A264="","",DB!A264)</f>
        <v/>
      </c>
      <c r="D262" s="43" t="str">
        <f>IF(DB!A264="","",DB!B264)</f>
        <v/>
      </c>
    </row>
    <row r="263" spans="1:4" ht="52.8" x14ac:dyDescent="0.3">
      <c r="A263" s="177" t="str">
        <f>IF(A264="","",IF(ISNUMBER(LOOKUP("Â",Code128(A264),1)),"Error!",Code128(A264)))</f>
        <v/>
      </c>
      <c r="B263" s="177"/>
      <c r="C263" s="177" t="str">
        <f>IF(C264="","",IF(ISNUMBER(LOOKUP("Â",Code128(C264),1)),"Error!",Code128(C264)))</f>
        <v/>
      </c>
      <c r="D263" s="177"/>
    </row>
    <row r="264" spans="1:4" x14ac:dyDescent="0.3">
      <c r="A264" s="42" t="str">
        <f>IF(DB!A265="","",DB!A265)</f>
        <v/>
      </c>
      <c r="B264" s="43" t="str">
        <f>IF(DB!A265="","",DB!B265)</f>
        <v/>
      </c>
      <c r="C264" s="42" t="str">
        <f>IF(DB!A266="","",DB!A266)</f>
        <v/>
      </c>
      <c r="D264" s="43" t="str">
        <f>IF(DB!A266="","",DB!B266)</f>
        <v/>
      </c>
    </row>
    <row r="265" spans="1:4" ht="52.8" x14ac:dyDescent="0.3">
      <c r="A265" s="177" t="str">
        <f>IF(A266="","",IF(ISNUMBER(LOOKUP("Â",Code128(A266),1)),"Error!",Code128(A266)))</f>
        <v/>
      </c>
      <c r="B265" s="177"/>
      <c r="C265" s="177" t="str">
        <f>IF(C266="","",IF(ISNUMBER(LOOKUP("Â",Code128(C266),1)),"Error!",Code128(C266)))</f>
        <v/>
      </c>
      <c r="D265" s="177"/>
    </row>
    <row r="266" spans="1:4" x14ac:dyDescent="0.3">
      <c r="A266" s="42" t="str">
        <f>IF(DB!A267="","",DB!A267)</f>
        <v/>
      </c>
      <c r="B266" s="43" t="str">
        <f>IF(DB!A267="","",DB!B267)</f>
        <v/>
      </c>
      <c r="C266" s="42" t="str">
        <f>IF(DB!A268="","",DB!A268)</f>
        <v/>
      </c>
      <c r="D266" s="43" t="str">
        <f>IF(DB!A268="","",DB!B268)</f>
        <v/>
      </c>
    </row>
    <row r="267" spans="1:4" ht="52.8" x14ac:dyDescent="0.3">
      <c r="A267" s="177" t="str">
        <f>IF(A268="","",IF(ISNUMBER(LOOKUP("Â",Code128(A268),1)),"Error!",Code128(A268)))</f>
        <v/>
      </c>
      <c r="B267" s="177"/>
      <c r="C267" s="177" t="str">
        <f>IF(C268="","",IF(ISNUMBER(LOOKUP("Â",Code128(C268),1)),"Error!",Code128(C268)))</f>
        <v/>
      </c>
      <c r="D267" s="177"/>
    </row>
    <row r="268" spans="1:4" x14ac:dyDescent="0.3">
      <c r="A268" s="42" t="str">
        <f>IF(DB!A269="","",DB!A269)</f>
        <v/>
      </c>
      <c r="B268" s="43" t="str">
        <f>IF(DB!A269="","",DB!B269)</f>
        <v/>
      </c>
      <c r="C268" s="42" t="str">
        <f>IF(DB!A270="","",DB!A270)</f>
        <v/>
      </c>
      <c r="D268" s="43" t="str">
        <f>IF(DB!A270="","",DB!B270)</f>
        <v/>
      </c>
    </row>
    <row r="269" spans="1:4" ht="52.8" x14ac:dyDescent="0.3">
      <c r="A269" s="177" t="str">
        <f>IF(A270="","",IF(ISNUMBER(LOOKUP("Â",Code128(A270),1)),"Error!",Code128(A270)))</f>
        <v/>
      </c>
      <c r="B269" s="177"/>
      <c r="C269" s="177" t="str">
        <f>IF(C270="","",IF(ISNUMBER(LOOKUP("Â",Code128(C270),1)),"Error!",Code128(C270)))</f>
        <v/>
      </c>
      <c r="D269" s="177"/>
    </row>
    <row r="270" spans="1:4" x14ac:dyDescent="0.3">
      <c r="A270" s="42" t="str">
        <f>IF(DB!A271="","",DB!A271)</f>
        <v/>
      </c>
      <c r="B270" s="43" t="str">
        <f>IF(DB!A271="","",DB!B271)</f>
        <v/>
      </c>
      <c r="C270" s="42" t="str">
        <f>IF(DB!A272="","",DB!A272)</f>
        <v/>
      </c>
      <c r="D270" s="43" t="str">
        <f>IF(DB!A272="","",DB!B272)</f>
        <v/>
      </c>
    </row>
    <row r="271" spans="1:4" ht="52.8" x14ac:dyDescent="0.3">
      <c r="A271" s="177" t="str">
        <f>IF(A272="","",IF(ISNUMBER(LOOKUP("Â",Code128(A272),1)),"Error!",Code128(A272)))</f>
        <v/>
      </c>
      <c r="B271" s="177"/>
      <c r="C271" s="177" t="str">
        <f>IF(C272="","",IF(ISNUMBER(LOOKUP("Â",Code128(C272),1)),"Error!",Code128(C272)))</f>
        <v/>
      </c>
      <c r="D271" s="177"/>
    </row>
    <row r="272" spans="1:4" x14ac:dyDescent="0.3">
      <c r="A272" s="42" t="str">
        <f>IF(DB!A273="","",DB!A273)</f>
        <v/>
      </c>
      <c r="B272" s="43" t="str">
        <f>IF(DB!A273="","",DB!B273)</f>
        <v/>
      </c>
      <c r="C272" s="42" t="str">
        <f>IF(DB!A274="","",DB!A274)</f>
        <v/>
      </c>
      <c r="D272" s="43" t="str">
        <f>IF(DB!A274="","",DB!B274)</f>
        <v/>
      </c>
    </row>
    <row r="273" spans="1:4" ht="52.8" x14ac:dyDescent="0.3">
      <c r="A273" s="177" t="str">
        <f>IF(A274="","",IF(ISNUMBER(LOOKUP("Â",Code128(A274),1)),"Error!",Code128(A274)))</f>
        <v/>
      </c>
      <c r="B273" s="177"/>
      <c r="C273" s="177" t="str">
        <f>IF(C274="","",IF(ISNUMBER(LOOKUP("Â",Code128(C274),1)),"Error!",Code128(C274)))</f>
        <v/>
      </c>
      <c r="D273" s="177"/>
    </row>
    <row r="274" spans="1:4" x14ac:dyDescent="0.3">
      <c r="A274" s="42" t="str">
        <f>IF(DB!A275="","",DB!A275)</f>
        <v/>
      </c>
      <c r="B274" s="43" t="str">
        <f>IF(DB!A275="","",DB!B275)</f>
        <v/>
      </c>
      <c r="C274" s="42" t="str">
        <f>IF(DB!A276="","",DB!A276)</f>
        <v/>
      </c>
      <c r="D274" s="43" t="str">
        <f>IF(DB!A276="","",DB!B276)</f>
        <v/>
      </c>
    </row>
    <row r="275" spans="1:4" ht="52.8" x14ac:dyDescent="0.3">
      <c r="A275" s="177" t="str">
        <f>IF(A276="","",IF(ISNUMBER(LOOKUP("Â",Code128(A276),1)),"Error!",Code128(A276)))</f>
        <v/>
      </c>
      <c r="B275" s="177"/>
      <c r="C275" s="177" t="str">
        <f>IF(C276="","",IF(ISNUMBER(LOOKUP("Â",Code128(C276),1)),"Error!",Code128(C276)))</f>
        <v/>
      </c>
      <c r="D275" s="177"/>
    </row>
    <row r="276" spans="1:4" x14ac:dyDescent="0.3">
      <c r="A276" s="42" t="str">
        <f>IF(DB!A277="","",DB!A277)</f>
        <v/>
      </c>
      <c r="B276" s="43" t="str">
        <f>IF(DB!A277="","",DB!B277)</f>
        <v/>
      </c>
      <c r="C276" s="42" t="str">
        <f>IF(DB!A278="","",DB!A278)</f>
        <v/>
      </c>
      <c r="D276" s="43" t="str">
        <f>IF(DB!A278="","",DB!B278)</f>
        <v/>
      </c>
    </row>
    <row r="277" spans="1:4" ht="52.8" x14ac:dyDescent="0.3">
      <c r="A277" s="177" t="str">
        <f>IF(A278="","",IF(ISNUMBER(LOOKUP("Â",Code128(A278),1)),"Error!",Code128(A278)))</f>
        <v/>
      </c>
      <c r="B277" s="177"/>
      <c r="C277" s="177" t="str">
        <f>IF(C278="","",IF(ISNUMBER(LOOKUP("Â",Code128(C278),1)),"Error!",Code128(C278)))</f>
        <v/>
      </c>
      <c r="D277" s="177"/>
    </row>
    <row r="278" spans="1:4" x14ac:dyDescent="0.3">
      <c r="A278" s="42" t="str">
        <f>IF(DB!A279="","",DB!A279)</f>
        <v/>
      </c>
      <c r="B278" s="43" t="str">
        <f>IF(DB!A279="","",DB!B279)</f>
        <v/>
      </c>
      <c r="C278" s="42" t="str">
        <f>IF(DB!A280="","",DB!A280)</f>
        <v/>
      </c>
      <c r="D278" s="43" t="str">
        <f>IF(DB!A280="","",DB!B280)</f>
        <v/>
      </c>
    </row>
    <row r="279" spans="1:4" ht="52.8" x14ac:dyDescent="0.3">
      <c r="A279" s="177" t="str">
        <f>IF(A280="","",IF(ISNUMBER(LOOKUP("Â",Code128(A280),1)),"Error!",Code128(A280)))</f>
        <v/>
      </c>
      <c r="B279" s="177"/>
      <c r="C279" s="177" t="str">
        <f>IF(C280="","",IF(ISNUMBER(LOOKUP("Â",Code128(C280),1)),"Error!",Code128(C280)))</f>
        <v/>
      </c>
      <c r="D279" s="177"/>
    </row>
    <row r="280" spans="1:4" x14ac:dyDescent="0.3">
      <c r="A280" s="42" t="str">
        <f>IF(DB!A281="","",DB!A281)</f>
        <v/>
      </c>
      <c r="B280" s="43" t="str">
        <f>IF(DB!A281="","",DB!B281)</f>
        <v/>
      </c>
      <c r="C280" s="42" t="str">
        <f>IF(DB!A282="","",DB!A282)</f>
        <v/>
      </c>
      <c r="D280" s="43" t="str">
        <f>IF(DB!A282="","",DB!B282)</f>
        <v/>
      </c>
    </row>
    <row r="281" spans="1:4" ht="52.8" x14ac:dyDescent="0.3">
      <c r="A281" s="177" t="str">
        <f>IF(A282="","",IF(ISNUMBER(LOOKUP("Â",Code128(A282),1)),"Error!",Code128(A282)))</f>
        <v/>
      </c>
      <c r="B281" s="177"/>
      <c r="C281" s="177" t="str">
        <f>IF(C282="","",IF(ISNUMBER(LOOKUP("Â",Code128(C282),1)),"Error!",Code128(C282)))</f>
        <v/>
      </c>
      <c r="D281" s="177"/>
    </row>
    <row r="282" spans="1:4" x14ac:dyDescent="0.3">
      <c r="A282" s="42" t="str">
        <f>IF(DB!A283="","",DB!A283)</f>
        <v/>
      </c>
      <c r="B282" s="43" t="str">
        <f>IF(DB!A283="","",DB!B283)</f>
        <v/>
      </c>
      <c r="C282" s="42" t="str">
        <f>IF(DB!A284="","",DB!A284)</f>
        <v/>
      </c>
      <c r="D282" s="43" t="str">
        <f>IF(DB!A284="","",DB!B284)</f>
        <v/>
      </c>
    </row>
    <row r="283" spans="1:4" ht="52.8" x14ac:dyDescent="0.3">
      <c r="A283" s="177" t="str">
        <f>IF(A284="","",IF(ISNUMBER(LOOKUP("Â",Code128(A284),1)),"Error!",Code128(A284)))</f>
        <v/>
      </c>
      <c r="B283" s="177"/>
      <c r="C283" s="177" t="str">
        <f>IF(C284="","",IF(ISNUMBER(LOOKUP("Â",Code128(C284),1)),"Error!",Code128(C284)))</f>
        <v/>
      </c>
      <c r="D283" s="177"/>
    </row>
    <row r="284" spans="1:4" x14ac:dyDescent="0.3">
      <c r="A284" s="42" t="str">
        <f>IF(DB!A285="","",DB!A285)</f>
        <v/>
      </c>
      <c r="B284" s="43" t="str">
        <f>IF(DB!A285="","",DB!B285)</f>
        <v/>
      </c>
      <c r="C284" s="42" t="str">
        <f>IF(DB!A286="","",DB!A286)</f>
        <v/>
      </c>
      <c r="D284" s="43" t="str">
        <f>IF(DB!A286="","",DB!B286)</f>
        <v/>
      </c>
    </row>
    <row r="285" spans="1:4" ht="52.8" x14ac:dyDescent="0.3">
      <c r="A285" s="177" t="str">
        <f>IF(A286="","",IF(ISNUMBER(LOOKUP("Â",Code128(A286),1)),"Error!",Code128(A286)))</f>
        <v/>
      </c>
      <c r="B285" s="177"/>
      <c r="C285" s="177" t="str">
        <f>IF(C286="","",IF(ISNUMBER(LOOKUP("Â",Code128(C286),1)),"Error!",Code128(C286)))</f>
        <v/>
      </c>
      <c r="D285" s="177"/>
    </row>
    <row r="286" spans="1:4" x14ac:dyDescent="0.3">
      <c r="A286" s="42" t="str">
        <f>IF(DB!A287="","",DB!A287)</f>
        <v/>
      </c>
      <c r="B286" s="43" t="str">
        <f>IF(DB!A287="","",DB!B287)</f>
        <v/>
      </c>
      <c r="C286" s="42" t="str">
        <f>IF(DB!A288="","",DB!A288)</f>
        <v/>
      </c>
      <c r="D286" s="43" t="str">
        <f>IF(DB!A288="","",DB!B288)</f>
        <v/>
      </c>
    </row>
    <row r="287" spans="1:4" ht="52.8" x14ac:dyDescent="0.3">
      <c r="A287" s="177" t="str">
        <f>IF(A288="","",IF(ISNUMBER(LOOKUP("Â",Code128(A288),1)),"Error!",Code128(A288)))</f>
        <v/>
      </c>
      <c r="B287" s="177"/>
      <c r="C287" s="177" t="str">
        <f>IF(C288="","",IF(ISNUMBER(LOOKUP("Â",Code128(C288),1)),"Error!",Code128(C288)))</f>
        <v/>
      </c>
      <c r="D287" s="177"/>
    </row>
    <row r="288" spans="1:4" x14ac:dyDescent="0.3">
      <c r="A288" s="42" t="str">
        <f>IF(DB!A289="","",DB!A289)</f>
        <v/>
      </c>
      <c r="B288" s="43" t="str">
        <f>IF(DB!A289="","",DB!B289)</f>
        <v/>
      </c>
      <c r="C288" s="42" t="str">
        <f>IF(DB!A290="","",DB!A290)</f>
        <v/>
      </c>
      <c r="D288" s="43" t="str">
        <f>IF(DB!A290="","",DB!B290)</f>
        <v/>
      </c>
    </row>
    <row r="289" spans="1:4" ht="52.8" x14ac:dyDescent="0.3">
      <c r="A289" s="177" t="str">
        <f>IF(A290="","",IF(ISNUMBER(LOOKUP("Â",Code128(A290),1)),"Error!",Code128(A290)))</f>
        <v/>
      </c>
      <c r="B289" s="177"/>
      <c r="C289" s="177" t="str">
        <f>IF(C290="","",IF(ISNUMBER(LOOKUP("Â",Code128(C290),1)),"Error!",Code128(C290)))</f>
        <v/>
      </c>
      <c r="D289" s="177"/>
    </row>
    <row r="290" spans="1:4" x14ac:dyDescent="0.3">
      <c r="A290" s="42" t="str">
        <f>IF(DB!A291="","",DB!A291)</f>
        <v/>
      </c>
      <c r="B290" s="43" t="str">
        <f>IF(DB!A291="","",DB!B291)</f>
        <v/>
      </c>
      <c r="C290" s="42" t="str">
        <f>IF(DB!A292="","",DB!A292)</f>
        <v/>
      </c>
      <c r="D290" s="43" t="str">
        <f>IF(DB!A292="","",DB!B292)</f>
        <v/>
      </c>
    </row>
    <row r="291" spans="1:4" ht="52.8" x14ac:dyDescent="0.3">
      <c r="A291" s="177" t="str">
        <f>IF(A292="","",IF(ISNUMBER(LOOKUP("Â",Code128(A292),1)),"Error!",Code128(A292)))</f>
        <v/>
      </c>
      <c r="B291" s="177"/>
      <c r="C291" s="177" t="str">
        <f>IF(C292="","",IF(ISNUMBER(LOOKUP("Â",Code128(C292),1)),"Error!",Code128(C292)))</f>
        <v/>
      </c>
      <c r="D291" s="177"/>
    </row>
    <row r="292" spans="1:4" x14ac:dyDescent="0.3">
      <c r="A292" s="42" t="str">
        <f>IF(DB!A293="","",DB!A293)</f>
        <v/>
      </c>
      <c r="B292" s="43" t="str">
        <f>IF(DB!A293="","",DB!B293)</f>
        <v/>
      </c>
      <c r="C292" s="42" t="str">
        <f>IF(DB!A294="","",DB!A294)</f>
        <v/>
      </c>
      <c r="D292" s="43" t="str">
        <f>IF(DB!A294="","",DB!B294)</f>
        <v/>
      </c>
    </row>
    <row r="293" spans="1:4" ht="52.8" x14ac:dyDescent="0.3">
      <c r="A293" s="177" t="str">
        <f>IF(A294="","",IF(ISNUMBER(LOOKUP("Â",Code128(A294),1)),"Error!",Code128(A294)))</f>
        <v/>
      </c>
      <c r="B293" s="177"/>
      <c r="C293" s="177" t="str">
        <f>IF(C294="","",IF(ISNUMBER(LOOKUP("Â",Code128(C294),1)),"Error!",Code128(C294)))</f>
        <v/>
      </c>
      <c r="D293" s="177"/>
    </row>
    <row r="294" spans="1:4" x14ac:dyDescent="0.3">
      <c r="A294" s="42" t="str">
        <f>IF(DB!A295="","",DB!A295)</f>
        <v/>
      </c>
      <c r="B294" s="43" t="str">
        <f>IF(DB!A295="","",DB!B295)</f>
        <v/>
      </c>
      <c r="C294" s="42" t="str">
        <f>IF(DB!A296="","",DB!A296)</f>
        <v/>
      </c>
      <c r="D294" s="43" t="str">
        <f>IF(DB!A296="","",DB!B296)</f>
        <v/>
      </c>
    </row>
    <row r="295" spans="1:4" ht="52.8" x14ac:dyDescent="0.3">
      <c r="A295" s="177" t="str">
        <f>IF(A296="","",IF(ISNUMBER(LOOKUP("Â",Code128(A296),1)),"Error!",Code128(A296)))</f>
        <v/>
      </c>
      <c r="B295" s="177"/>
      <c r="C295" s="177" t="str">
        <f>IF(C296="","",IF(ISNUMBER(LOOKUP("Â",Code128(C296),1)),"Error!",Code128(C296)))</f>
        <v/>
      </c>
      <c r="D295" s="177"/>
    </row>
    <row r="296" spans="1:4" x14ac:dyDescent="0.3">
      <c r="A296" s="42" t="str">
        <f>IF(DB!A297="","",DB!A297)</f>
        <v/>
      </c>
      <c r="B296" s="43" t="str">
        <f>IF(DB!A297="","",DB!B297)</f>
        <v/>
      </c>
      <c r="C296" s="42" t="str">
        <f>IF(DB!A298="","",DB!A298)</f>
        <v/>
      </c>
      <c r="D296" s="43" t="str">
        <f>IF(DB!A298="","",DB!B298)</f>
        <v/>
      </c>
    </row>
    <row r="297" spans="1:4" ht="52.8" x14ac:dyDescent="0.3">
      <c r="A297" s="177" t="str">
        <f>IF(A298="","",IF(ISNUMBER(LOOKUP("Â",Code128(A298),1)),"Error!",Code128(A298)))</f>
        <v/>
      </c>
      <c r="B297" s="177"/>
      <c r="C297" s="177" t="str">
        <f>IF(C298="","",IF(ISNUMBER(LOOKUP("Â",Code128(C298),1)),"Error!",Code128(C298)))</f>
        <v/>
      </c>
      <c r="D297" s="177"/>
    </row>
    <row r="298" spans="1:4" x14ac:dyDescent="0.3">
      <c r="A298" s="42" t="str">
        <f>IF(DB!A299="","",DB!A299)</f>
        <v/>
      </c>
      <c r="B298" s="43" t="str">
        <f>IF(DB!A299="","",DB!B299)</f>
        <v/>
      </c>
      <c r="C298" s="42" t="str">
        <f>IF(DB!A300="","",DB!A300)</f>
        <v/>
      </c>
      <c r="D298" s="43" t="str">
        <f>IF(DB!A300="","",DB!B300)</f>
        <v/>
      </c>
    </row>
    <row r="299" spans="1:4" ht="52.8" x14ac:dyDescent="0.3">
      <c r="A299" s="177" t="str">
        <f>IF(A300="","",IF(ISNUMBER(LOOKUP("Â",Code128(A300),1)),"Error!",Code128(A300)))</f>
        <v/>
      </c>
      <c r="B299" s="177"/>
      <c r="C299" s="177" t="str">
        <f>IF(C300="","",IF(ISNUMBER(LOOKUP("Â",Code128(C300),1)),"Error!",Code128(C300)))</f>
        <v/>
      </c>
      <c r="D299" s="177"/>
    </row>
    <row r="300" spans="1:4" x14ac:dyDescent="0.3">
      <c r="A300" s="42" t="str">
        <f>IF(DB!A301="","",DB!A301)</f>
        <v/>
      </c>
      <c r="B300" s="43" t="str">
        <f>IF(DB!A301="","",DB!B301)</f>
        <v/>
      </c>
      <c r="C300" s="42" t="str">
        <f>IF(DB!A302="","",DB!A302)</f>
        <v/>
      </c>
      <c r="D300" s="43" t="str">
        <f>IF(DB!A302="","",DB!B302)</f>
        <v/>
      </c>
    </row>
  </sheetData>
  <mergeCells count="300"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C334-7761-4E3E-B7E9-113F66E292BC}">
  <sheetPr codeName="Blad3"/>
  <dimension ref="A1:J43"/>
  <sheetViews>
    <sheetView showGridLines="0" showRowColHeaders="0" zoomScaleNormal="100" workbookViewId="0">
      <pane xSplit="10" ySplit="21" topLeftCell="XFD1048564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customHeight="1" zeroHeight="1" x14ac:dyDescent="0.3"/>
  <cols>
    <col min="1" max="1" width="2.88671875" style="1" customWidth="1"/>
    <col min="2" max="2" width="22.5546875" customWidth="1"/>
    <col min="3" max="3" width="17.88671875" customWidth="1"/>
    <col min="4" max="4" width="2.88671875" style="1" customWidth="1"/>
    <col min="5" max="5" width="12.77734375" customWidth="1"/>
    <col min="6" max="6" width="2.88671875" style="1" customWidth="1"/>
    <col min="7" max="7" width="29.6640625" customWidth="1"/>
    <col min="8" max="8" width="10.109375" bestFit="1" customWidth="1"/>
    <col min="9" max="9" width="37.44140625" customWidth="1"/>
    <col min="10" max="10" width="2.88671875" customWidth="1"/>
    <col min="11" max="16384" width="9.109375" hidden="1"/>
  </cols>
  <sheetData>
    <row r="1" spans="1:10" ht="18" x14ac:dyDescent="0.35">
      <c r="A1" s="6"/>
      <c r="B1" s="6"/>
      <c r="C1" s="6"/>
      <c r="D1" s="6"/>
      <c r="E1" s="6"/>
      <c r="F1" s="6"/>
      <c r="G1" s="90" t="s">
        <v>1</v>
      </c>
      <c r="H1" s="17"/>
      <c r="I1" s="17"/>
      <c r="J1" s="6"/>
    </row>
    <row r="2" spans="1:10" ht="18" x14ac:dyDescent="0.35">
      <c r="A2" s="6"/>
      <c r="B2" s="8" t="s">
        <v>2</v>
      </c>
      <c r="C2" s="107" t="s">
        <v>3</v>
      </c>
      <c r="D2" s="6" t="s">
        <v>0</v>
      </c>
      <c r="E2" s="108" t="s">
        <v>45</v>
      </c>
      <c r="F2" s="6"/>
      <c r="G2" s="109"/>
      <c r="H2" s="17"/>
      <c r="I2" s="17"/>
      <c r="J2" s="6"/>
    </row>
    <row r="3" spans="1:10" ht="7.5" customHeight="1" x14ac:dyDescent="0.35">
      <c r="A3" s="6"/>
      <c r="B3" s="6"/>
      <c r="C3" s="6" t="s">
        <v>3</v>
      </c>
      <c r="D3" s="6"/>
      <c r="E3" s="6"/>
      <c r="F3" s="6"/>
      <c r="G3" s="180"/>
      <c r="H3" s="17"/>
      <c r="I3" s="17"/>
      <c r="J3" s="6"/>
    </row>
    <row r="4" spans="1:10" ht="7.5" customHeight="1" x14ac:dyDescent="0.35">
      <c r="A4" s="6"/>
      <c r="B4" s="6"/>
      <c r="C4" s="6" t="s">
        <v>3</v>
      </c>
      <c r="D4" s="6"/>
      <c r="E4" s="6"/>
      <c r="F4" s="6"/>
      <c r="G4" s="180"/>
      <c r="H4" s="17"/>
      <c r="I4" s="17"/>
      <c r="J4" s="6"/>
    </row>
    <row r="5" spans="1:10" ht="18" x14ac:dyDescent="0.35">
      <c r="A5" s="6"/>
      <c r="B5" s="8" t="s">
        <v>15</v>
      </c>
      <c r="C5" s="107" t="s">
        <v>3</v>
      </c>
      <c r="D5" s="6" t="s">
        <v>0</v>
      </c>
      <c r="E5" s="110" t="s">
        <v>46</v>
      </c>
      <c r="F5" s="6"/>
      <c r="G5" s="22"/>
      <c r="H5" s="17"/>
      <c r="I5" s="17"/>
      <c r="J5" s="6"/>
    </row>
    <row r="6" spans="1:10" ht="3.75" customHeight="1" x14ac:dyDescent="0.35">
      <c r="A6" s="6"/>
      <c r="B6" s="6"/>
      <c r="C6" s="6" t="s">
        <v>3</v>
      </c>
      <c r="D6" s="6"/>
      <c r="E6" s="6"/>
      <c r="F6" s="6"/>
      <c r="G6" s="6"/>
      <c r="H6" s="17"/>
      <c r="I6" s="17"/>
      <c r="J6" s="6"/>
    </row>
    <row r="7" spans="1:10" ht="15" customHeight="1" x14ac:dyDescent="0.35">
      <c r="A7" s="6"/>
      <c r="B7" s="6"/>
      <c r="C7" s="6" t="s">
        <v>3</v>
      </c>
      <c r="D7" s="6"/>
      <c r="E7" s="6"/>
      <c r="F7" s="6"/>
      <c r="G7" s="17"/>
      <c r="H7" s="17"/>
      <c r="I7" s="17"/>
      <c r="J7" s="6"/>
    </row>
    <row r="8" spans="1:10" ht="3.75" customHeight="1" x14ac:dyDescent="0.35">
      <c r="A8" s="6"/>
      <c r="B8" s="6"/>
      <c r="C8" s="6" t="s">
        <v>3</v>
      </c>
      <c r="D8" s="6"/>
      <c r="E8" s="6"/>
      <c r="F8" s="6"/>
      <c r="G8" s="17"/>
      <c r="H8" s="17"/>
      <c r="I8" s="17"/>
      <c r="J8" s="6"/>
    </row>
    <row r="9" spans="1:10" ht="18" x14ac:dyDescent="0.35">
      <c r="A9" s="6"/>
      <c r="B9" s="8" t="s">
        <v>5</v>
      </c>
      <c r="C9" s="107" t="s">
        <v>3</v>
      </c>
      <c r="D9" s="6" t="s">
        <v>0</v>
      </c>
      <c r="E9" s="108" t="s">
        <v>45</v>
      </c>
      <c r="F9" s="6"/>
      <c r="G9" s="111"/>
      <c r="H9" s="111"/>
      <c r="I9" s="111"/>
      <c r="J9" s="6"/>
    </row>
    <row r="10" spans="1:10" ht="3.75" customHeight="1" x14ac:dyDescent="0.35">
      <c r="A10" s="6"/>
      <c r="B10" s="6"/>
      <c r="C10" s="6" t="s">
        <v>3</v>
      </c>
      <c r="D10" s="6"/>
      <c r="E10" s="6"/>
      <c r="F10" s="6"/>
      <c r="G10" s="111"/>
      <c r="H10" s="111"/>
      <c r="I10" s="111"/>
      <c r="J10" s="6"/>
    </row>
    <row r="11" spans="1:10" ht="3.75" customHeight="1" x14ac:dyDescent="0.35">
      <c r="A11" s="6"/>
      <c r="B11" s="6"/>
      <c r="C11" s="6" t="s">
        <v>3</v>
      </c>
      <c r="D11" s="6"/>
      <c r="E11" s="6"/>
      <c r="F11" s="6"/>
      <c r="G11" s="21"/>
      <c r="H11" s="21"/>
      <c r="I11" s="21"/>
      <c r="J11" s="6"/>
    </row>
    <row r="12" spans="1:10" ht="18" x14ac:dyDescent="0.35">
      <c r="A12" s="6"/>
      <c r="B12" s="8" t="s">
        <v>6</v>
      </c>
      <c r="C12" s="107" t="s">
        <v>3</v>
      </c>
      <c r="D12" s="6" t="s">
        <v>0</v>
      </c>
      <c r="E12" s="110" t="s">
        <v>46</v>
      </c>
      <c r="F12" s="6"/>
      <c r="G12" s="21"/>
      <c r="H12" s="21"/>
      <c r="I12" s="21"/>
      <c r="J12" s="6"/>
    </row>
    <row r="13" spans="1:10" ht="3.75" customHeight="1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ht="15" hidden="1" customHeight="1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idden="1" x14ac:dyDescent="0.3">
      <c r="B15" s="44" t="s">
        <v>47</v>
      </c>
      <c r="C15" s="3" t="s">
        <v>48</v>
      </c>
      <c r="D15" s="1" t="s">
        <v>0</v>
      </c>
      <c r="E15" s="3" t="s">
        <v>49</v>
      </c>
      <c r="G15" s="115" t="s">
        <v>441</v>
      </c>
      <c r="H15" s="116" t="str">
        <f>"0M"</f>
        <v>0M</v>
      </c>
      <c r="I15" s="117" t="str">
        <f xml:space="preserve"> "Dat is een voorwerp, geen persoon"</f>
        <v>Dat is een voorwerp, geen persoon</v>
      </c>
      <c r="J15" s="1"/>
    </row>
    <row r="16" spans="1:10" hidden="1" x14ac:dyDescent="0.3">
      <c r="B16" s="125" t="s">
        <v>50</v>
      </c>
      <c r="C16" s="124">
        <v>2000</v>
      </c>
      <c r="E16" s="124" t="s">
        <v>51</v>
      </c>
      <c r="G16" s="1" t="s">
        <v>52</v>
      </c>
      <c r="H16" s="118" t="str">
        <f xml:space="preserve"> "0B"</f>
        <v>0B</v>
      </c>
      <c r="I16" s="119" t="str">
        <f xml:space="preserve"> "Voer een gebruikers ID in"</f>
        <v>Voer een gebruikers ID in</v>
      </c>
      <c r="J16" s="1"/>
    </row>
    <row r="17" spans="1:10" hidden="1" x14ac:dyDescent="0.3">
      <c r="B17" s="126" t="s">
        <v>53</v>
      </c>
      <c r="C17" s="1"/>
      <c r="F17" s="113"/>
      <c r="G17" s="112" t="s">
        <v>54</v>
      </c>
      <c r="H17" s="118" t="str">
        <f>"1B"</f>
        <v>1B</v>
      </c>
      <c r="I17" s="119" t="str">
        <f xml:space="preserve"> "Voer een item ID in"</f>
        <v>Voer een item ID in</v>
      </c>
      <c r="J17" s="1"/>
    </row>
    <row r="18" spans="1:10" hidden="1" x14ac:dyDescent="0.3">
      <c r="B18" s="126" t="s">
        <v>55</v>
      </c>
      <c r="C18" s="1"/>
      <c r="F18" s="114" t="s">
        <v>0</v>
      </c>
      <c r="G18" s="38"/>
      <c r="H18" s="120" t="str">
        <f xml:space="preserve"> "Ingenomen"</f>
        <v>Ingenomen</v>
      </c>
      <c r="I18" s="119" t="str">
        <f xml:space="preserve"> "Dat is een persoon, geen voorwerp"</f>
        <v>Dat is een persoon, geen voorwerp</v>
      </c>
      <c r="J18" s="1"/>
    </row>
    <row r="19" spans="1:10" hidden="1" x14ac:dyDescent="0.3">
      <c r="B19" s="126" t="s">
        <v>56</v>
      </c>
      <c r="C19" s="181" t="s">
        <v>440</v>
      </c>
      <c r="D19" s="181"/>
      <c r="E19" s="181"/>
      <c r="F19" s="181"/>
      <c r="G19" s="181"/>
      <c r="H19" s="121" t="str">
        <f xml:space="preserve"> "Uitgeleend"</f>
        <v>Uitgeleend</v>
      </c>
      <c r="I19" s="119" t="str">
        <f xml:space="preserve"> "Deze gebruiker heeft nog niks geleend"</f>
        <v>Deze gebruiker heeft nog niks geleend</v>
      </c>
      <c r="J19" s="1"/>
    </row>
    <row r="20" spans="1:10" hidden="1" x14ac:dyDescent="0.3">
      <c r="B20" s="127" t="s">
        <v>57</v>
      </c>
      <c r="C20" s="178" t="s">
        <v>439</v>
      </c>
      <c r="D20" s="178"/>
      <c r="E20" s="178"/>
      <c r="F20" s="178"/>
      <c r="G20" s="179"/>
      <c r="H20" s="122" t="str">
        <f xml:space="preserve"> " Bezit"</f>
        <v xml:space="preserve"> Bezit</v>
      </c>
      <c r="I20" s="123" t="str">
        <f xml:space="preserve"> "Item niet bij deze gebruiker gevonden"</f>
        <v>Item niet bij deze gebruiker gevonden</v>
      </c>
      <c r="J20" s="1"/>
    </row>
    <row r="21" spans="1:10" x14ac:dyDescent="0.3">
      <c r="B21" s="1"/>
      <c r="C21" s="1"/>
      <c r="E21" s="1"/>
      <c r="F21" s="114"/>
      <c r="G21" s="38"/>
      <c r="J21" s="1"/>
    </row>
    <row r="22" spans="1:10" ht="14.4" hidden="1" customHeight="1" x14ac:dyDescent="0.35">
      <c r="A22" s="6"/>
      <c r="B22" s="6"/>
      <c r="C22" s="6"/>
      <c r="D22" s="6"/>
      <c r="E22" s="6"/>
      <c r="F22" s="6"/>
      <c r="G22" s="90" t="s">
        <v>1</v>
      </c>
      <c r="H22" s="17"/>
      <c r="I22" s="17"/>
      <c r="J22" s="6"/>
    </row>
    <row r="23" spans="1:10" ht="18" hidden="1" x14ac:dyDescent="0.35">
      <c r="A23" s="6"/>
      <c r="B23" s="8" t="s">
        <v>2</v>
      </c>
      <c r="C23" s="107" t="s">
        <v>3</v>
      </c>
      <c r="D23" s="6" t="s">
        <v>0</v>
      </c>
      <c r="E23" s="108" t="s">
        <v>45</v>
      </c>
      <c r="F23" s="6"/>
      <c r="G23" s="109"/>
      <c r="H23" s="17"/>
      <c r="I23" s="17"/>
      <c r="J23" s="6"/>
    </row>
    <row r="24" spans="1:10" ht="7.5" hidden="1" customHeight="1" x14ac:dyDescent="0.35">
      <c r="A24" s="6"/>
      <c r="B24" s="6"/>
      <c r="C24" s="6" t="s">
        <v>3</v>
      </c>
      <c r="D24" s="6"/>
      <c r="E24" s="6"/>
      <c r="F24" s="6"/>
      <c r="G24" s="180"/>
      <c r="H24" s="17"/>
      <c r="I24" s="17"/>
      <c r="J24" s="6"/>
    </row>
    <row r="25" spans="1:10" ht="7.5" hidden="1" customHeight="1" x14ac:dyDescent="0.35">
      <c r="A25" s="6"/>
      <c r="B25" s="6"/>
      <c r="C25" s="6" t="s">
        <v>3</v>
      </c>
      <c r="D25" s="6"/>
      <c r="E25" s="6"/>
      <c r="F25" s="6"/>
      <c r="G25" s="180"/>
      <c r="H25" s="17"/>
      <c r="I25" s="17"/>
      <c r="J25" s="6"/>
    </row>
    <row r="26" spans="1:10" ht="18" hidden="1" x14ac:dyDescent="0.35">
      <c r="A26" s="6"/>
      <c r="B26" s="8" t="s">
        <v>15</v>
      </c>
      <c r="C26" s="107" t="s">
        <v>3</v>
      </c>
      <c r="D26" s="6" t="s">
        <v>0</v>
      </c>
      <c r="E26" s="110" t="s">
        <v>46</v>
      </c>
      <c r="F26" s="6"/>
      <c r="G26" s="22"/>
      <c r="H26" s="17"/>
      <c r="I26" s="17"/>
      <c r="J26" s="6"/>
    </row>
    <row r="27" spans="1:10" ht="3.75" hidden="1" customHeight="1" x14ac:dyDescent="0.35">
      <c r="A27" s="6"/>
      <c r="B27" s="6"/>
      <c r="C27" s="6" t="s">
        <v>3</v>
      </c>
      <c r="D27" s="6"/>
      <c r="E27" s="6"/>
      <c r="F27" s="6"/>
      <c r="G27" s="6"/>
      <c r="H27" s="17"/>
      <c r="I27" s="17"/>
      <c r="J27" s="6"/>
    </row>
    <row r="28" spans="1:10" ht="18" hidden="1" x14ac:dyDescent="0.35">
      <c r="A28" s="6"/>
      <c r="B28" s="6"/>
      <c r="C28" s="6" t="s">
        <v>3</v>
      </c>
      <c r="D28" s="6"/>
      <c r="E28" s="6"/>
      <c r="F28" s="6"/>
      <c r="G28" s="17"/>
      <c r="H28" s="17"/>
      <c r="I28" s="17"/>
      <c r="J28" s="6"/>
    </row>
    <row r="29" spans="1:10" ht="3.75" hidden="1" customHeight="1" x14ac:dyDescent="0.35">
      <c r="A29" s="6"/>
      <c r="B29" s="6"/>
      <c r="C29" s="6" t="s">
        <v>3</v>
      </c>
      <c r="D29" s="6"/>
      <c r="E29" s="6"/>
      <c r="F29" s="6"/>
      <c r="G29" s="17"/>
      <c r="H29" s="17"/>
      <c r="I29" s="17"/>
      <c r="J29" s="6"/>
    </row>
    <row r="30" spans="1:10" ht="18" hidden="1" x14ac:dyDescent="0.35">
      <c r="A30" s="6"/>
      <c r="B30" s="8" t="s">
        <v>5</v>
      </c>
      <c r="C30" s="107" t="s">
        <v>3</v>
      </c>
      <c r="D30" s="6" t="s">
        <v>0</v>
      </c>
      <c r="E30" s="108" t="s">
        <v>45</v>
      </c>
      <c r="F30" s="6"/>
      <c r="G30" s="111"/>
      <c r="H30" s="111"/>
      <c r="I30" s="111"/>
      <c r="J30" s="6"/>
    </row>
    <row r="31" spans="1:10" ht="3.75" hidden="1" customHeight="1" x14ac:dyDescent="0.35">
      <c r="A31" s="6"/>
      <c r="B31" s="6"/>
      <c r="C31" s="6" t="s">
        <v>3</v>
      </c>
      <c r="D31" s="6"/>
      <c r="E31" s="6"/>
      <c r="F31" s="6"/>
      <c r="G31" s="111"/>
      <c r="H31" s="111"/>
      <c r="I31" s="111"/>
      <c r="J31" s="6"/>
    </row>
    <row r="32" spans="1:10" ht="3.75" hidden="1" customHeight="1" x14ac:dyDescent="0.35">
      <c r="A32" s="6"/>
      <c r="B32" s="6"/>
      <c r="C32" s="6" t="s">
        <v>3</v>
      </c>
      <c r="D32" s="6"/>
      <c r="E32" s="6"/>
      <c r="F32" s="6"/>
      <c r="G32" s="21"/>
      <c r="H32" s="21"/>
      <c r="I32" s="21"/>
      <c r="J32" s="6"/>
    </row>
    <row r="33" spans="1:10" ht="18" hidden="1" x14ac:dyDescent="0.35">
      <c r="A33" s="6"/>
      <c r="B33" s="8" t="s">
        <v>6</v>
      </c>
      <c r="C33" s="107" t="s">
        <v>3</v>
      </c>
      <c r="D33" s="6" t="s">
        <v>0</v>
      </c>
      <c r="E33" s="110" t="s">
        <v>46</v>
      </c>
      <c r="F33" s="6"/>
      <c r="G33" s="21"/>
      <c r="H33" s="21"/>
      <c r="I33" s="21"/>
      <c r="J33" s="6"/>
    </row>
    <row r="34" spans="1:10" ht="3.75" hidden="1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18" hidden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idden="1" x14ac:dyDescent="0.3">
      <c r="B36" s="44" t="s">
        <v>47</v>
      </c>
      <c r="C36" s="3" t="s">
        <v>48</v>
      </c>
      <c r="D36" s="1" t="s">
        <v>0</v>
      </c>
      <c r="E36" s="3" t="s">
        <v>49</v>
      </c>
      <c r="G36" s="115" t="s">
        <v>441</v>
      </c>
      <c r="H36" s="116" t="str">
        <f>"0M"</f>
        <v>0M</v>
      </c>
      <c r="I36" s="117" t="str">
        <f xml:space="preserve"> "Dat is een voorwerp, geen persoon"</f>
        <v>Dat is een voorwerp, geen persoon</v>
      </c>
      <c r="J36" s="1"/>
    </row>
    <row r="37" spans="1:10" hidden="1" x14ac:dyDescent="0.3">
      <c r="B37" s="125" t="s">
        <v>50</v>
      </c>
      <c r="C37" s="124">
        <v>2000</v>
      </c>
      <c r="E37" s="124" t="s">
        <v>51</v>
      </c>
      <c r="G37" s="1" t="s">
        <v>52</v>
      </c>
      <c r="H37" s="118" t="str">
        <f xml:space="preserve"> "0B"</f>
        <v>0B</v>
      </c>
      <c r="I37" s="119" t="str">
        <f xml:space="preserve"> "Voer een gebruikers ID in"</f>
        <v>Voer een gebruikers ID in</v>
      </c>
      <c r="J37" s="1"/>
    </row>
    <row r="38" spans="1:10" hidden="1" x14ac:dyDescent="0.3">
      <c r="B38" s="126" t="s">
        <v>53</v>
      </c>
      <c r="C38" s="1"/>
      <c r="F38" s="113"/>
      <c r="G38" s="112" t="s">
        <v>54</v>
      </c>
      <c r="H38" s="118" t="str">
        <f>"1B"</f>
        <v>1B</v>
      </c>
      <c r="I38" s="119" t="str">
        <f xml:space="preserve"> "Voer een item ID in"</f>
        <v>Voer een item ID in</v>
      </c>
      <c r="J38" s="1"/>
    </row>
    <row r="39" spans="1:10" hidden="1" x14ac:dyDescent="0.3">
      <c r="B39" s="126" t="s">
        <v>55</v>
      </c>
      <c r="C39" s="1"/>
      <c r="F39" s="114" t="s">
        <v>0</v>
      </c>
      <c r="G39" s="38"/>
      <c r="H39" s="120" t="str">
        <f xml:space="preserve"> "Ingenomen"</f>
        <v>Ingenomen</v>
      </c>
      <c r="I39" s="119" t="str">
        <f xml:space="preserve"> "Dat is een persoon, geen voorwerp"</f>
        <v>Dat is een persoon, geen voorwerp</v>
      </c>
      <c r="J39" s="1"/>
    </row>
    <row r="40" spans="1:10" hidden="1" x14ac:dyDescent="0.3">
      <c r="B40" s="126" t="s">
        <v>56</v>
      </c>
      <c r="C40" s="181" t="s">
        <v>440</v>
      </c>
      <c r="D40" s="181"/>
      <c r="E40" s="181"/>
      <c r="F40" s="181"/>
      <c r="G40" s="181"/>
      <c r="H40" s="121" t="str">
        <f xml:space="preserve"> "Uitgeleend"</f>
        <v>Uitgeleend</v>
      </c>
      <c r="I40" s="119" t="str">
        <f xml:space="preserve"> "Deze gebruiker heeft nog niks geleend"</f>
        <v>Deze gebruiker heeft nog niks geleend</v>
      </c>
      <c r="J40" s="1"/>
    </row>
    <row r="41" spans="1:10" hidden="1" x14ac:dyDescent="0.3">
      <c r="B41" s="127" t="s">
        <v>57</v>
      </c>
      <c r="C41" s="178" t="s">
        <v>439</v>
      </c>
      <c r="D41" s="178"/>
      <c r="E41" s="178"/>
      <c r="F41" s="178"/>
      <c r="G41" s="179"/>
      <c r="H41" s="122" t="str">
        <f xml:space="preserve"> " Bezit"</f>
        <v xml:space="preserve"> Bezit</v>
      </c>
      <c r="I41" s="123" t="str">
        <f xml:space="preserve"> "Item niet bij deze gebruiker gevonden"</f>
        <v>Item niet bij deze gebruiker gevonden</v>
      </c>
      <c r="J41" s="1"/>
    </row>
    <row r="42" spans="1:10" ht="15" hidden="1" thickBot="1" x14ac:dyDescent="0.35">
      <c r="B42" s="1"/>
      <c r="C42" s="1"/>
      <c r="E42" s="1"/>
      <c r="F42" s="114"/>
      <c r="G42" s="38"/>
      <c r="J42" s="1"/>
    </row>
    <row r="43" spans="1:10" ht="14.4" hidden="1" customHeight="1" thickBot="1" x14ac:dyDescent="0.35">
      <c r="B43" s="163" t="s">
        <v>442</v>
      </c>
      <c r="C43" s="37" t="s">
        <v>443</v>
      </c>
      <c r="D43" s="163" t="s">
        <v>23</v>
      </c>
      <c r="E43" s="36" t="s">
        <v>13</v>
      </c>
      <c r="F43" s="37" t="s">
        <v>24</v>
      </c>
    </row>
  </sheetData>
  <mergeCells count="6">
    <mergeCell ref="C41:G41"/>
    <mergeCell ref="G3:G4"/>
    <mergeCell ref="G24:G25"/>
    <mergeCell ref="C19:G19"/>
    <mergeCell ref="C20:G20"/>
    <mergeCell ref="C40:G4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18-FCB7-4444-B8B1-36EC7DEB1E9B}">
  <sheetPr codeName="Blad4"/>
  <dimension ref="A1:I306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13" sqref="B13"/>
    </sheetView>
  </sheetViews>
  <sheetFormatPr defaultColWidth="0" defaultRowHeight="14.4" x14ac:dyDescent="0.3"/>
  <cols>
    <col min="1" max="1" width="14.33203125" style="59" customWidth="1"/>
    <col min="2" max="2" width="25.6640625" style="60" bestFit="1" customWidth="1"/>
    <col min="3" max="3" width="2.88671875" style="81" customWidth="1"/>
    <col min="4" max="4" width="14.33203125" style="59" customWidth="1"/>
    <col min="5" max="5" width="21.44140625" style="60" customWidth="1"/>
    <col min="6" max="6" width="2.44140625" hidden="1" customWidth="1"/>
    <col min="7" max="7" width="7.109375" style="39" hidden="1" customWidth="1"/>
    <col min="8" max="8" width="7.109375" style="40" hidden="1" customWidth="1"/>
    <col min="9" max="9" width="3.33203125" customWidth="1"/>
    <col min="10" max="16384" width="9.109375" hidden="1"/>
  </cols>
  <sheetData>
    <row r="1" spans="1:8" x14ac:dyDescent="0.3">
      <c r="A1" s="182" t="s">
        <v>58</v>
      </c>
      <c r="B1" s="183"/>
      <c r="C1" s="45"/>
      <c r="D1" s="182" t="s">
        <v>59</v>
      </c>
      <c r="E1" s="183"/>
      <c r="G1" s="46"/>
      <c r="H1" s="47"/>
    </row>
    <row r="2" spans="1:8" ht="15" thickBot="1" x14ac:dyDescent="0.35">
      <c r="A2" s="48" t="s">
        <v>23</v>
      </c>
      <c r="B2" s="49" t="s">
        <v>13</v>
      </c>
      <c r="C2" s="45"/>
      <c r="D2" s="48" t="s">
        <v>23</v>
      </c>
      <c r="E2" s="49" t="s">
        <v>13</v>
      </c>
    </row>
    <row r="3" spans="1:8" x14ac:dyDescent="0.3">
      <c r="C3" s="54"/>
      <c r="G3" s="52" t="s">
        <v>62</v>
      </c>
      <c r="H3" s="53" t="s">
        <v>63</v>
      </c>
    </row>
    <row r="4" spans="1:8" x14ac:dyDescent="0.3">
      <c r="C4" s="54"/>
      <c r="G4" s="52" t="s">
        <v>66</v>
      </c>
      <c r="H4" s="53" t="s">
        <v>67</v>
      </c>
    </row>
    <row r="5" spans="1:8" x14ac:dyDescent="0.3">
      <c r="C5" s="54"/>
      <c r="G5" s="52" t="s">
        <v>70</v>
      </c>
      <c r="H5" s="53" t="s">
        <v>71</v>
      </c>
    </row>
    <row r="6" spans="1:8" x14ac:dyDescent="0.3">
      <c r="C6" s="54"/>
      <c r="G6" s="52" t="s">
        <v>74</v>
      </c>
      <c r="H6" s="53" t="s">
        <v>75</v>
      </c>
    </row>
    <row r="7" spans="1:8" x14ac:dyDescent="0.3">
      <c r="C7" s="54"/>
      <c r="G7" s="52" t="s">
        <v>78</v>
      </c>
      <c r="H7" s="53" t="s">
        <v>79</v>
      </c>
    </row>
    <row r="8" spans="1:8" x14ac:dyDescent="0.3">
      <c r="C8" s="54"/>
      <c r="G8" s="52" t="s">
        <v>82</v>
      </c>
      <c r="H8" s="53" t="s">
        <v>83</v>
      </c>
    </row>
    <row r="9" spans="1:8" x14ac:dyDescent="0.3">
      <c r="C9" s="54"/>
      <c r="G9" s="52" t="s">
        <v>86</v>
      </c>
      <c r="H9" s="53" t="s">
        <v>87</v>
      </c>
    </row>
    <row r="10" spans="1:8" x14ac:dyDescent="0.3">
      <c r="C10" s="54"/>
      <c r="G10" s="52" t="s">
        <v>90</v>
      </c>
      <c r="H10" s="53" t="s">
        <v>91</v>
      </c>
    </row>
    <row r="11" spans="1:8" x14ac:dyDescent="0.3">
      <c r="C11" s="54"/>
      <c r="G11" s="52" t="s">
        <v>94</v>
      </c>
      <c r="H11" s="53" t="s">
        <v>95</v>
      </c>
    </row>
    <row r="12" spans="1:8" x14ac:dyDescent="0.3">
      <c r="C12" s="54"/>
      <c r="G12" s="52" t="s">
        <v>98</v>
      </c>
      <c r="H12" s="53" t="s">
        <v>99</v>
      </c>
    </row>
    <row r="13" spans="1:8" x14ac:dyDescent="0.3">
      <c r="C13" s="54"/>
      <c r="G13" s="52" t="s">
        <v>60</v>
      </c>
      <c r="H13" s="53" t="s">
        <v>61</v>
      </c>
    </row>
    <row r="14" spans="1:8" x14ac:dyDescent="0.3">
      <c r="C14" s="54"/>
      <c r="G14" s="52" t="s">
        <v>64</v>
      </c>
      <c r="H14" s="53" t="s">
        <v>65</v>
      </c>
    </row>
    <row r="15" spans="1:8" x14ac:dyDescent="0.3">
      <c r="C15" s="54"/>
      <c r="G15" s="52" t="s">
        <v>68</v>
      </c>
      <c r="H15" s="53" t="s">
        <v>69</v>
      </c>
    </row>
    <row r="16" spans="1:8" x14ac:dyDescent="0.3">
      <c r="C16" s="54"/>
      <c r="G16" s="52" t="s">
        <v>72</v>
      </c>
      <c r="H16" s="53" t="s">
        <v>73</v>
      </c>
    </row>
    <row r="17" spans="3:8" x14ac:dyDescent="0.3">
      <c r="C17" s="54"/>
      <c r="G17" s="52" t="s">
        <v>76</v>
      </c>
      <c r="H17" s="53" t="s">
        <v>77</v>
      </c>
    </row>
    <row r="18" spans="3:8" x14ac:dyDescent="0.3">
      <c r="C18" s="54"/>
      <c r="G18" s="52" t="s">
        <v>80</v>
      </c>
      <c r="H18" s="53" t="s">
        <v>81</v>
      </c>
    </row>
    <row r="19" spans="3:8" x14ac:dyDescent="0.3">
      <c r="C19" s="54"/>
      <c r="G19" s="52" t="s">
        <v>84</v>
      </c>
      <c r="H19" s="53" t="s">
        <v>85</v>
      </c>
    </row>
    <row r="20" spans="3:8" x14ac:dyDescent="0.3">
      <c r="C20" s="54"/>
      <c r="G20" s="52" t="s">
        <v>88</v>
      </c>
      <c r="H20" s="53" t="s">
        <v>89</v>
      </c>
    </row>
    <row r="21" spans="3:8" x14ac:dyDescent="0.3">
      <c r="C21" s="54"/>
      <c r="G21" s="52" t="s">
        <v>92</v>
      </c>
      <c r="H21" s="53" t="s">
        <v>93</v>
      </c>
    </row>
    <row r="22" spans="3:8" x14ac:dyDescent="0.3">
      <c r="C22" s="54"/>
      <c r="G22" s="52" t="s">
        <v>110</v>
      </c>
      <c r="H22" s="53" t="s">
        <v>111</v>
      </c>
    </row>
    <row r="23" spans="3:8" x14ac:dyDescent="0.3">
      <c r="C23" s="54"/>
      <c r="G23" s="52" t="s">
        <v>112</v>
      </c>
      <c r="H23" s="53" t="s">
        <v>113</v>
      </c>
    </row>
    <row r="24" spans="3:8" x14ac:dyDescent="0.3">
      <c r="C24" s="54"/>
      <c r="G24" s="52" t="s">
        <v>114</v>
      </c>
      <c r="H24" s="53" t="s">
        <v>115</v>
      </c>
    </row>
    <row r="25" spans="3:8" x14ac:dyDescent="0.3">
      <c r="C25" s="54"/>
      <c r="G25" s="52" t="s">
        <v>116</v>
      </c>
      <c r="H25" s="53" t="s">
        <v>117</v>
      </c>
    </row>
    <row r="26" spans="3:8" x14ac:dyDescent="0.3">
      <c r="C26" s="54"/>
      <c r="G26" s="52" t="s">
        <v>118</v>
      </c>
      <c r="H26" s="53" t="s">
        <v>119</v>
      </c>
    </row>
    <row r="27" spans="3:8" x14ac:dyDescent="0.3">
      <c r="C27" s="54"/>
      <c r="G27" s="52" t="s">
        <v>120</v>
      </c>
      <c r="H27" s="53" t="s">
        <v>121</v>
      </c>
    </row>
    <row r="28" spans="3:8" x14ac:dyDescent="0.3">
      <c r="C28" s="54"/>
      <c r="G28" s="52" t="s">
        <v>124</v>
      </c>
      <c r="H28" s="53" t="s">
        <v>125</v>
      </c>
    </row>
    <row r="29" spans="3:8" x14ac:dyDescent="0.3">
      <c r="C29" s="54"/>
      <c r="G29" s="52" t="s">
        <v>128</v>
      </c>
      <c r="H29" s="53" t="s">
        <v>129</v>
      </c>
    </row>
    <row r="30" spans="3:8" x14ac:dyDescent="0.3">
      <c r="C30" s="54"/>
      <c r="G30" s="52" t="s">
        <v>132</v>
      </c>
      <c r="H30" s="53" t="s">
        <v>133</v>
      </c>
    </row>
    <row r="31" spans="3:8" x14ac:dyDescent="0.3">
      <c r="C31" s="54"/>
      <c r="G31" s="52" t="s">
        <v>136</v>
      </c>
      <c r="H31" s="53" t="s">
        <v>137</v>
      </c>
    </row>
    <row r="32" spans="3:8" x14ac:dyDescent="0.3">
      <c r="C32" s="54"/>
      <c r="G32" s="52" t="s">
        <v>138</v>
      </c>
      <c r="H32" s="53" t="s">
        <v>139</v>
      </c>
    </row>
    <row r="33" spans="3:8" x14ac:dyDescent="0.3">
      <c r="C33" s="54"/>
      <c r="G33" s="52" t="s">
        <v>140</v>
      </c>
      <c r="H33" s="53" t="s">
        <v>141</v>
      </c>
    </row>
    <row r="34" spans="3:8" x14ac:dyDescent="0.3">
      <c r="C34" s="54"/>
      <c r="G34" s="52" t="s">
        <v>142</v>
      </c>
      <c r="H34" s="53" t="s">
        <v>143</v>
      </c>
    </row>
    <row r="35" spans="3:8" x14ac:dyDescent="0.3">
      <c r="C35" s="54"/>
      <c r="G35" s="52" t="s">
        <v>144</v>
      </c>
      <c r="H35" s="53" t="s">
        <v>145</v>
      </c>
    </row>
    <row r="36" spans="3:8" x14ac:dyDescent="0.3">
      <c r="C36" s="54"/>
      <c r="G36" s="52" t="s">
        <v>146</v>
      </c>
      <c r="H36" s="53" t="s">
        <v>147</v>
      </c>
    </row>
    <row r="37" spans="3:8" x14ac:dyDescent="0.3">
      <c r="C37" s="54"/>
      <c r="G37" s="52" t="s">
        <v>148</v>
      </c>
      <c r="H37" s="53" t="s">
        <v>149</v>
      </c>
    </row>
    <row r="38" spans="3:8" x14ac:dyDescent="0.3">
      <c r="C38" s="54"/>
      <c r="G38" s="59"/>
      <c r="H38" s="60"/>
    </row>
    <row r="39" spans="3:8" x14ac:dyDescent="0.3">
      <c r="C39" s="54"/>
      <c r="G39" s="59"/>
      <c r="H39" s="60"/>
    </row>
    <row r="40" spans="3:8" x14ac:dyDescent="0.3">
      <c r="C40" s="54"/>
      <c r="G40" s="59"/>
      <c r="H40" s="60"/>
    </row>
    <row r="41" spans="3:8" x14ac:dyDescent="0.3">
      <c r="C41" s="54"/>
      <c r="G41" s="59"/>
      <c r="H41" s="60"/>
    </row>
    <row r="42" spans="3:8" x14ac:dyDescent="0.3">
      <c r="C42" s="54"/>
      <c r="G42" s="59"/>
      <c r="H42" s="60"/>
    </row>
    <row r="43" spans="3:8" x14ac:dyDescent="0.3">
      <c r="C43" s="54"/>
      <c r="G43" s="57" t="s">
        <v>150</v>
      </c>
      <c r="H43" s="58" t="s">
        <v>151</v>
      </c>
    </row>
    <row r="44" spans="3:8" x14ac:dyDescent="0.3">
      <c r="C44" s="54"/>
      <c r="G44" s="57" t="s">
        <v>152</v>
      </c>
      <c r="H44" s="58" t="s">
        <v>153</v>
      </c>
    </row>
    <row r="45" spans="3:8" x14ac:dyDescent="0.3">
      <c r="C45" s="54"/>
      <c r="G45" s="57" t="s">
        <v>154</v>
      </c>
      <c r="H45" s="58" t="s">
        <v>155</v>
      </c>
    </row>
    <row r="46" spans="3:8" x14ac:dyDescent="0.3">
      <c r="C46" s="54"/>
      <c r="G46" s="57" t="s">
        <v>156</v>
      </c>
      <c r="H46" s="58" t="s">
        <v>157</v>
      </c>
    </row>
    <row r="47" spans="3:8" x14ac:dyDescent="0.3">
      <c r="C47" s="54"/>
      <c r="G47" s="57" t="s">
        <v>158</v>
      </c>
      <c r="H47" s="58" t="s">
        <v>159</v>
      </c>
    </row>
    <row r="48" spans="3:8" x14ac:dyDescent="0.3">
      <c r="C48" s="54"/>
      <c r="G48" s="57" t="s">
        <v>160</v>
      </c>
      <c r="H48" s="63" t="s">
        <v>161</v>
      </c>
    </row>
    <row r="49" spans="3:8" x14ac:dyDescent="0.3">
      <c r="C49" s="54"/>
      <c r="G49" s="57" t="s">
        <v>27</v>
      </c>
      <c r="H49" s="58" t="s">
        <v>28</v>
      </c>
    </row>
    <row r="50" spans="3:8" x14ac:dyDescent="0.3">
      <c r="C50" s="54"/>
      <c r="G50" s="57" t="s">
        <v>162</v>
      </c>
      <c r="H50" s="58" t="s">
        <v>163</v>
      </c>
    </row>
    <row r="51" spans="3:8" x14ac:dyDescent="0.3">
      <c r="C51" s="54"/>
      <c r="G51" s="57" t="s">
        <v>164</v>
      </c>
      <c r="H51" s="58" t="s">
        <v>165</v>
      </c>
    </row>
    <row r="52" spans="3:8" x14ac:dyDescent="0.3">
      <c r="C52" s="54"/>
      <c r="G52" s="57" t="s">
        <v>166</v>
      </c>
      <c r="H52" s="58" t="s">
        <v>167</v>
      </c>
    </row>
    <row r="53" spans="3:8" x14ac:dyDescent="0.3">
      <c r="C53" s="54"/>
      <c r="G53" s="57" t="s">
        <v>168</v>
      </c>
      <c r="H53" s="58" t="s">
        <v>169</v>
      </c>
    </row>
    <row r="54" spans="3:8" x14ac:dyDescent="0.3">
      <c r="C54" s="54"/>
      <c r="G54" s="57" t="s">
        <v>170</v>
      </c>
      <c r="H54" s="58" t="s">
        <v>171</v>
      </c>
    </row>
    <row r="55" spans="3:8" x14ac:dyDescent="0.3">
      <c r="C55" s="54"/>
      <c r="G55" s="57" t="s">
        <v>172</v>
      </c>
      <c r="H55" s="58" t="s">
        <v>173</v>
      </c>
    </row>
    <row r="56" spans="3:8" x14ac:dyDescent="0.3">
      <c r="C56" s="54"/>
      <c r="G56" s="59"/>
      <c r="H56" s="60"/>
    </row>
    <row r="57" spans="3:8" x14ac:dyDescent="0.3">
      <c r="C57" s="54"/>
      <c r="G57" s="59"/>
      <c r="H57" s="60"/>
    </row>
    <row r="58" spans="3:8" x14ac:dyDescent="0.3">
      <c r="C58" s="54"/>
      <c r="G58" s="59"/>
      <c r="H58" s="60"/>
    </row>
    <row r="59" spans="3:8" x14ac:dyDescent="0.3">
      <c r="C59" s="54"/>
      <c r="G59" s="59"/>
      <c r="H59" s="60"/>
    </row>
    <row r="60" spans="3:8" x14ac:dyDescent="0.3">
      <c r="C60" s="54"/>
      <c r="G60" s="59"/>
      <c r="H60" s="60"/>
    </row>
    <row r="61" spans="3:8" x14ac:dyDescent="0.3">
      <c r="C61" s="54"/>
      <c r="G61" s="59"/>
      <c r="H61" s="60"/>
    </row>
    <row r="62" spans="3:8" x14ac:dyDescent="0.3">
      <c r="C62" s="54"/>
      <c r="G62" s="59"/>
      <c r="H62" s="60"/>
    </row>
    <row r="63" spans="3:8" x14ac:dyDescent="0.3">
      <c r="C63" s="54"/>
      <c r="G63" s="64" t="s">
        <v>178</v>
      </c>
      <c r="H63" s="65" t="s">
        <v>179</v>
      </c>
    </row>
    <row r="64" spans="3:8" x14ac:dyDescent="0.3">
      <c r="C64" s="54"/>
      <c r="G64" s="64" t="s">
        <v>180</v>
      </c>
      <c r="H64" s="65" t="s">
        <v>181</v>
      </c>
    </row>
    <row r="65" spans="3:8" x14ac:dyDescent="0.3">
      <c r="C65" s="54"/>
      <c r="G65" s="64" t="s">
        <v>182</v>
      </c>
      <c r="H65" s="65" t="s">
        <v>183</v>
      </c>
    </row>
    <row r="66" spans="3:8" x14ac:dyDescent="0.3">
      <c r="C66" s="54"/>
      <c r="G66" s="64" t="s">
        <v>184</v>
      </c>
      <c r="H66" s="65" t="s">
        <v>185</v>
      </c>
    </row>
    <row r="67" spans="3:8" x14ac:dyDescent="0.3">
      <c r="C67" s="54"/>
      <c r="G67" s="64" t="s">
        <v>186</v>
      </c>
      <c r="H67" s="65" t="s">
        <v>187</v>
      </c>
    </row>
    <row r="68" spans="3:8" x14ac:dyDescent="0.3">
      <c r="C68" s="54"/>
      <c r="G68" s="64" t="s">
        <v>188</v>
      </c>
      <c r="H68" s="65" t="s">
        <v>189</v>
      </c>
    </row>
    <row r="69" spans="3:8" x14ac:dyDescent="0.3">
      <c r="C69" s="54"/>
      <c r="G69" s="64" t="s">
        <v>190</v>
      </c>
      <c r="H69" s="65" t="s">
        <v>191</v>
      </c>
    </row>
    <row r="70" spans="3:8" x14ac:dyDescent="0.3">
      <c r="C70" s="54"/>
      <c r="G70" s="64" t="s">
        <v>192</v>
      </c>
      <c r="H70" s="65" t="s">
        <v>193</v>
      </c>
    </row>
    <row r="71" spans="3:8" x14ac:dyDescent="0.3">
      <c r="C71" s="54"/>
      <c r="G71" s="64" t="s">
        <v>194</v>
      </c>
      <c r="H71" s="65" t="s">
        <v>195</v>
      </c>
    </row>
    <row r="72" spans="3:8" x14ac:dyDescent="0.3">
      <c r="C72" s="54"/>
      <c r="G72" s="64" t="s">
        <v>196</v>
      </c>
      <c r="H72" s="65" t="s">
        <v>197</v>
      </c>
    </row>
    <row r="73" spans="3:8" x14ac:dyDescent="0.3">
      <c r="C73" s="54"/>
      <c r="G73" s="64" t="s">
        <v>198</v>
      </c>
      <c r="H73" s="65" t="s">
        <v>199</v>
      </c>
    </row>
    <row r="74" spans="3:8" x14ac:dyDescent="0.3">
      <c r="C74" s="54"/>
      <c r="G74" s="64" t="s">
        <v>200</v>
      </c>
      <c r="H74" s="65" t="s">
        <v>201</v>
      </c>
    </row>
    <row r="75" spans="3:8" x14ac:dyDescent="0.3">
      <c r="C75" s="54"/>
      <c r="G75" s="64" t="s">
        <v>202</v>
      </c>
      <c r="H75" s="65" t="s">
        <v>203</v>
      </c>
    </row>
    <row r="76" spans="3:8" x14ac:dyDescent="0.3">
      <c r="C76" s="54"/>
      <c r="G76" s="64" t="s">
        <v>204</v>
      </c>
      <c r="H76" s="65" t="s">
        <v>205</v>
      </c>
    </row>
    <row r="77" spans="3:8" x14ac:dyDescent="0.3">
      <c r="C77" s="54"/>
      <c r="G77" s="64" t="s">
        <v>206</v>
      </c>
      <c r="H77" s="65" t="s">
        <v>207</v>
      </c>
    </row>
    <row r="78" spans="3:8" x14ac:dyDescent="0.3">
      <c r="C78" s="54"/>
      <c r="G78" s="64" t="s">
        <v>208</v>
      </c>
      <c r="H78" s="65" t="s">
        <v>209</v>
      </c>
    </row>
    <row r="79" spans="3:8" x14ac:dyDescent="0.3">
      <c r="C79" s="54"/>
      <c r="G79" s="64" t="s">
        <v>210</v>
      </c>
      <c r="H79" s="65" t="s">
        <v>211</v>
      </c>
    </row>
    <row r="80" spans="3:8" x14ac:dyDescent="0.3">
      <c r="C80" s="54"/>
      <c r="G80" s="64" t="s">
        <v>212</v>
      </c>
      <c r="H80" s="65" t="s">
        <v>213</v>
      </c>
    </row>
    <row r="81" spans="3:8" x14ac:dyDescent="0.3">
      <c r="C81" s="54"/>
      <c r="G81" s="64" t="s">
        <v>214</v>
      </c>
      <c r="H81" s="65" t="s">
        <v>215</v>
      </c>
    </row>
    <row r="82" spans="3:8" x14ac:dyDescent="0.3">
      <c r="C82" s="54"/>
      <c r="G82" s="64" t="s">
        <v>216</v>
      </c>
      <c r="H82" s="65" t="s">
        <v>217</v>
      </c>
    </row>
    <row r="83" spans="3:8" x14ac:dyDescent="0.3">
      <c r="C83" s="54"/>
      <c r="G83" s="64" t="s">
        <v>218</v>
      </c>
      <c r="H83" s="65" t="s">
        <v>219</v>
      </c>
    </row>
    <row r="84" spans="3:8" x14ac:dyDescent="0.3">
      <c r="C84" s="54"/>
      <c r="G84" s="64" t="s">
        <v>220</v>
      </c>
      <c r="H84" s="65" t="s">
        <v>221</v>
      </c>
    </row>
    <row r="85" spans="3:8" x14ac:dyDescent="0.3">
      <c r="C85" s="54"/>
      <c r="G85" s="64" t="s">
        <v>222</v>
      </c>
      <c r="H85" s="65" t="s">
        <v>223</v>
      </c>
    </row>
    <row r="86" spans="3:8" x14ac:dyDescent="0.3">
      <c r="C86" s="54"/>
      <c r="G86" s="64" t="s">
        <v>224</v>
      </c>
      <c r="H86" s="65" t="s">
        <v>225</v>
      </c>
    </row>
    <row r="87" spans="3:8" x14ac:dyDescent="0.3">
      <c r="C87" s="54"/>
      <c r="G87" s="64" t="s">
        <v>226</v>
      </c>
      <c r="H87" s="65" t="s">
        <v>227</v>
      </c>
    </row>
    <row r="88" spans="3:8" x14ac:dyDescent="0.3">
      <c r="C88" s="54"/>
      <c r="G88" s="64" t="s">
        <v>228</v>
      </c>
      <c r="H88" s="65" t="s">
        <v>229</v>
      </c>
    </row>
    <row r="89" spans="3:8" x14ac:dyDescent="0.3">
      <c r="C89" s="54"/>
      <c r="G89" s="64" t="s">
        <v>230</v>
      </c>
      <c r="H89" s="65" t="s">
        <v>231</v>
      </c>
    </row>
    <row r="90" spans="3:8" x14ac:dyDescent="0.3">
      <c r="C90" s="54"/>
      <c r="G90" s="64" t="s">
        <v>232</v>
      </c>
      <c r="H90" s="65" t="s">
        <v>233</v>
      </c>
    </row>
    <row r="91" spans="3:8" x14ac:dyDescent="0.3">
      <c r="C91" s="54"/>
      <c r="G91" s="64" t="s">
        <v>234</v>
      </c>
      <c r="H91" s="65" t="s">
        <v>235</v>
      </c>
    </row>
    <row r="92" spans="3:8" x14ac:dyDescent="0.3">
      <c r="C92" s="54"/>
      <c r="G92" s="64" t="s">
        <v>236</v>
      </c>
      <c r="H92" s="65" t="s">
        <v>237</v>
      </c>
    </row>
    <row r="93" spans="3:8" x14ac:dyDescent="0.3">
      <c r="C93" s="54"/>
      <c r="G93" s="64" t="s">
        <v>238</v>
      </c>
      <c r="H93" s="65" t="s">
        <v>239</v>
      </c>
    </row>
    <row r="94" spans="3:8" x14ac:dyDescent="0.3">
      <c r="C94" s="54"/>
      <c r="G94" s="64" t="s">
        <v>240</v>
      </c>
      <c r="H94" s="65" t="s">
        <v>241</v>
      </c>
    </row>
    <row r="95" spans="3:8" x14ac:dyDescent="0.3">
      <c r="C95" s="54"/>
      <c r="G95" s="64" t="s">
        <v>242</v>
      </c>
      <c r="H95" s="65" t="s">
        <v>243</v>
      </c>
    </row>
    <row r="96" spans="3:8" x14ac:dyDescent="0.3">
      <c r="C96" s="54"/>
      <c r="G96" s="59"/>
      <c r="H96" s="60"/>
    </row>
    <row r="97" spans="3:8" x14ac:dyDescent="0.3">
      <c r="C97" s="54"/>
      <c r="G97" s="59"/>
      <c r="H97" s="60"/>
    </row>
    <row r="98" spans="3:8" x14ac:dyDescent="0.3">
      <c r="C98" s="54"/>
      <c r="G98" s="59"/>
      <c r="H98" s="60"/>
    </row>
    <row r="99" spans="3:8" x14ac:dyDescent="0.3">
      <c r="C99" s="54"/>
      <c r="G99" s="59"/>
      <c r="H99" s="60"/>
    </row>
    <row r="100" spans="3:8" x14ac:dyDescent="0.3">
      <c r="C100" s="54"/>
      <c r="G100" s="59"/>
      <c r="H100" s="60"/>
    </row>
    <row r="101" spans="3:8" x14ac:dyDescent="0.3">
      <c r="C101" s="54"/>
      <c r="G101" s="59"/>
      <c r="H101" s="60"/>
    </row>
    <row r="102" spans="3:8" x14ac:dyDescent="0.3">
      <c r="C102" s="54"/>
      <c r="G102" s="59"/>
      <c r="H102" s="60"/>
    </row>
    <row r="103" spans="3:8" x14ac:dyDescent="0.3">
      <c r="C103" s="54"/>
      <c r="G103" s="68" t="s">
        <v>96</v>
      </c>
      <c r="H103" s="69" t="s">
        <v>97</v>
      </c>
    </row>
    <row r="104" spans="3:8" x14ac:dyDescent="0.3">
      <c r="C104" s="54"/>
      <c r="G104" s="68" t="s">
        <v>100</v>
      </c>
      <c r="H104" s="69" t="s">
        <v>101</v>
      </c>
    </row>
    <row r="105" spans="3:8" x14ac:dyDescent="0.3">
      <c r="C105" s="54"/>
      <c r="G105" s="68" t="s">
        <v>102</v>
      </c>
      <c r="H105" s="69" t="s">
        <v>103</v>
      </c>
    </row>
    <row r="106" spans="3:8" x14ac:dyDescent="0.3">
      <c r="C106" s="54"/>
      <c r="G106" s="68" t="s">
        <v>104</v>
      </c>
      <c r="H106" s="69" t="s">
        <v>105</v>
      </c>
    </row>
    <row r="107" spans="3:8" x14ac:dyDescent="0.3">
      <c r="C107" s="54"/>
      <c r="G107" s="68" t="s">
        <v>106</v>
      </c>
      <c r="H107" s="69" t="s">
        <v>107</v>
      </c>
    </row>
    <row r="108" spans="3:8" x14ac:dyDescent="0.3">
      <c r="C108" s="54"/>
      <c r="G108" s="68" t="s">
        <v>108</v>
      </c>
      <c r="H108" s="69" t="s">
        <v>109</v>
      </c>
    </row>
    <row r="109" spans="3:8" x14ac:dyDescent="0.3">
      <c r="C109" s="54"/>
      <c r="G109" s="59"/>
      <c r="H109" s="60"/>
    </row>
    <row r="110" spans="3:8" x14ac:dyDescent="0.3">
      <c r="C110" s="54"/>
      <c r="G110" s="59"/>
      <c r="H110" s="60"/>
    </row>
    <row r="111" spans="3:8" x14ac:dyDescent="0.3">
      <c r="C111" s="54"/>
      <c r="G111" s="59"/>
      <c r="H111" s="60"/>
    </row>
    <row r="112" spans="3:8" x14ac:dyDescent="0.3">
      <c r="C112" s="54"/>
      <c r="G112" s="59"/>
      <c r="H112" s="60"/>
    </row>
    <row r="113" spans="3:8" x14ac:dyDescent="0.3">
      <c r="C113" s="54"/>
      <c r="G113" s="59"/>
      <c r="H113" s="60"/>
    </row>
    <row r="114" spans="3:8" x14ac:dyDescent="0.3">
      <c r="C114" s="54"/>
      <c r="G114" s="59"/>
      <c r="H114" s="60"/>
    </row>
    <row r="115" spans="3:8" x14ac:dyDescent="0.3">
      <c r="C115" s="54"/>
      <c r="G115" s="59"/>
      <c r="H115" s="60"/>
    </row>
    <row r="116" spans="3:8" x14ac:dyDescent="0.3">
      <c r="C116" s="54"/>
      <c r="G116" s="59"/>
      <c r="H116" s="60"/>
    </row>
    <row r="117" spans="3:8" x14ac:dyDescent="0.3">
      <c r="C117" s="54"/>
      <c r="G117" s="59"/>
      <c r="H117" s="60"/>
    </row>
    <row r="118" spans="3:8" x14ac:dyDescent="0.3">
      <c r="C118" s="54"/>
      <c r="G118" s="59"/>
      <c r="H118" s="60"/>
    </row>
    <row r="119" spans="3:8" x14ac:dyDescent="0.3">
      <c r="C119" s="54"/>
      <c r="G119" s="59"/>
      <c r="H119" s="60"/>
    </row>
    <row r="120" spans="3:8" x14ac:dyDescent="0.3">
      <c r="C120" s="54"/>
      <c r="G120" s="59"/>
      <c r="H120" s="60"/>
    </row>
    <row r="121" spans="3:8" x14ac:dyDescent="0.3">
      <c r="C121" s="54"/>
      <c r="G121" s="59"/>
      <c r="H121" s="60"/>
    </row>
    <row r="122" spans="3:8" x14ac:dyDescent="0.3">
      <c r="C122" s="54"/>
      <c r="G122" s="59"/>
      <c r="H122" s="60"/>
    </row>
    <row r="123" spans="3:8" x14ac:dyDescent="0.3">
      <c r="C123" s="54"/>
      <c r="G123" s="70" t="s">
        <v>260</v>
      </c>
      <c r="H123" s="71" t="s">
        <v>261</v>
      </c>
    </row>
    <row r="124" spans="3:8" x14ac:dyDescent="0.3">
      <c r="C124" s="54"/>
      <c r="G124" s="70" t="s">
        <v>256</v>
      </c>
      <c r="H124" s="71" t="s">
        <v>257</v>
      </c>
    </row>
    <row r="125" spans="3:8" x14ac:dyDescent="0.3">
      <c r="C125" s="54"/>
      <c r="G125" s="70" t="s">
        <v>252</v>
      </c>
      <c r="H125" s="71" t="s">
        <v>253</v>
      </c>
    </row>
    <row r="126" spans="3:8" x14ac:dyDescent="0.3">
      <c r="C126" s="54"/>
      <c r="G126" s="70" t="s">
        <v>262</v>
      </c>
      <c r="H126" s="71" t="s">
        <v>263</v>
      </c>
    </row>
    <row r="127" spans="3:8" x14ac:dyDescent="0.3">
      <c r="C127" s="54"/>
      <c r="G127" s="70" t="s">
        <v>264</v>
      </c>
      <c r="H127" s="71" t="s">
        <v>265</v>
      </c>
    </row>
    <row r="128" spans="3:8" x14ac:dyDescent="0.3">
      <c r="C128" s="54"/>
      <c r="G128" s="70" t="s">
        <v>266</v>
      </c>
      <c r="H128" s="71" t="s">
        <v>267</v>
      </c>
    </row>
    <row r="129" spans="3:8" x14ac:dyDescent="0.3">
      <c r="C129" s="54"/>
      <c r="G129" s="70" t="s">
        <v>268</v>
      </c>
      <c r="H129" s="71" t="s">
        <v>269</v>
      </c>
    </row>
    <row r="130" spans="3:8" x14ac:dyDescent="0.3">
      <c r="C130" s="54"/>
      <c r="G130" s="70" t="s">
        <v>244</v>
      </c>
      <c r="H130" s="71" t="s">
        <v>245</v>
      </c>
    </row>
    <row r="131" spans="3:8" x14ac:dyDescent="0.3">
      <c r="C131" s="54"/>
      <c r="G131" s="70" t="s">
        <v>246</v>
      </c>
      <c r="H131" s="71" t="s">
        <v>247</v>
      </c>
    </row>
    <row r="132" spans="3:8" x14ac:dyDescent="0.3">
      <c r="C132" s="54"/>
      <c r="G132" s="70" t="s">
        <v>248</v>
      </c>
      <c r="H132" s="71" t="s">
        <v>249</v>
      </c>
    </row>
    <row r="133" spans="3:8" x14ac:dyDescent="0.3">
      <c r="C133" s="54"/>
      <c r="G133" s="70" t="s">
        <v>18</v>
      </c>
      <c r="H133" s="71" t="s">
        <v>315</v>
      </c>
    </row>
    <row r="134" spans="3:8" x14ac:dyDescent="0.3">
      <c r="C134" s="54"/>
      <c r="G134" s="70" t="s">
        <v>250</v>
      </c>
      <c r="H134" s="71" t="s">
        <v>251</v>
      </c>
    </row>
    <row r="135" spans="3:8" x14ac:dyDescent="0.3">
      <c r="C135" s="54"/>
      <c r="G135" s="70" t="s">
        <v>258</v>
      </c>
      <c r="H135" s="71" t="s">
        <v>259</v>
      </c>
    </row>
    <row r="136" spans="3:8" x14ac:dyDescent="0.3">
      <c r="C136" s="54"/>
      <c r="G136" s="70" t="s">
        <v>270</v>
      </c>
      <c r="H136" s="71" t="s">
        <v>271</v>
      </c>
    </row>
    <row r="137" spans="3:8" x14ac:dyDescent="0.3">
      <c r="C137" s="54"/>
      <c r="G137" s="59"/>
      <c r="H137" s="60"/>
    </row>
    <row r="138" spans="3:8" x14ac:dyDescent="0.3">
      <c r="C138" s="54"/>
      <c r="G138" s="59"/>
      <c r="H138" s="60"/>
    </row>
    <row r="139" spans="3:8" x14ac:dyDescent="0.3">
      <c r="C139" s="54"/>
      <c r="G139" s="59"/>
      <c r="H139" s="60"/>
    </row>
    <row r="140" spans="3:8" x14ac:dyDescent="0.3">
      <c r="C140" s="54"/>
      <c r="G140" s="59"/>
      <c r="H140" s="60"/>
    </row>
    <row r="141" spans="3:8" x14ac:dyDescent="0.3">
      <c r="C141" s="54"/>
      <c r="G141" s="59"/>
      <c r="H141" s="60"/>
    </row>
    <row r="142" spans="3:8" x14ac:dyDescent="0.3">
      <c r="C142" s="54"/>
      <c r="G142" s="59"/>
      <c r="H142" s="60"/>
    </row>
    <row r="143" spans="3:8" x14ac:dyDescent="0.3">
      <c r="C143" s="54"/>
      <c r="G143" s="72" t="s">
        <v>272</v>
      </c>
      <c r="H143" s="73" t="s">
        <v>273</v>
      </c>
    </row>
    <row r="144" spans="3:8" x14ac:dyDescent="0.3">
      <c r="C144" s="54"/>
      <c r="G144" s="72" t="s">
        <v>274</v>
      </c>
      <c r="H144" s="73" t="s">
        <v>275</v>
      </c>
    </row>
    <row r="145" spans="3:8" x14ac:dyDescent="0.3">
      <c r="C145" s="54"/>
      <c r="G145" s="72" t="s">
        <v>276</v>
      </c>
      <c r="H145" s="73" t="s">
        <v>277</v>
      </c>
    </row>
    <row r="146" spans="3:8" x14ac:dyDescent="0.3">
      <c r="C146" s="54"/>
      <c r="G146" s="72" t="s">
        <v>278</v>
      </c>
      <c r="H146" s="73" t="s">
        <v>279</v>
      </c>
    </row>
    <row r="147" spans="3:8" x14ac:dyDescent="0.3">
      <c r="C147" s="54"/>
      <c r="G147" s="72" t="s">
        <v>280</v>
      </c>
      <c r="H147" s="73" t="s">
        <v>281</v>
      </c>
    </row>
    <row r="148" spans="3:8" x14ac:dyDescent="0.3">
      <c r="C148" s="54"/>
      <c r="G148" s="72" t="s">
        <v>282</v>
      </c>
      <c r="H148" s="73" t="s">
        <v>283</v>
      </c>
    </row>
    <row r="149" spans="3:8" x14ac:dyDescent="0.3">
      <c r="C149" s="54"/>
      <c r="G149" s="72" t="s">
        <v>284</v>
      </c>
      <c r="H149" s="73" t="s">
        <v>285</v>
      </c>
    </row>
    <row r="150" spans="3:8" x14ac:dyDescent="0.3">
      <c r="C150" s="54"/>
      <c r="G150" s="72" t="s">
        <v>286</v>
      </c>
      <c r="H150" s="73" t="s">
        <v>290</v>
      </c>
    </row>
    <row r="151" spans="3:8" x14ac:dyDescent="0.3">
      <c r="C151" s="54"/>
      <c r="G151" s="72" t="s">
        <v>287</v>
      </c>
      <c r="H151" s="73" t="s">
        <v>288</v>
      </c>
    </row>
    <row r="152" spans="3:8" x14ac:dyDescent="0.3">
      <c r="C152" s="54"/>
      <c r="G152" s="72" t="s">
        <v>289</v>
      </c>
      <c r="H152" s="73" t="s">
        <v>290</v>
      </c>
    </row>
    <row r="153" spans="3:8" x14ac:dyDescent="0.3">
      <c r="C153" s="54"/>
      <c r="G153" s="72" t="s">
        <v>291</v>
      </c>
      <c r="H153" s="73" t="s">
        <v>292</v>
      </c>
    </row>
    <row r="154" spans="3:8" x14ac:dyDescent="0.3">
      <c r="C154" s="54"/>
      <c r="G154" s="72" t="s">
        <v>293</v>
      </c>
      <c r="H154" s="73" t="s">
        <v>294</v>
      </c>
    </row>
    <row r="155" spans="3:8" x14ac:dyDescent="0.3">
      <c r="C155" s="54"/>
      <c r="G155" s="72" t="s">
        <v>295</v>
      </c>
      <c r="H155" s="73" t="s">
        <v>296</v>
      </c>
    </row>
    <row r="156" spans="3:8" x14ac:dyDescent="0.3">
      <c r="C156" s="54"/>
      <c r="G156" s="72" t="s">
        <v>297</v>
      </c>
      <c r="H156" s="73" t="s">
        <v>298</v>
      </c>
    </row>
    <row r="157" spans="3:8" x14ac:dyDescent="0.3">
      <c r="C157" s="54"/>
      <c r="G157" s="72" t="s">
        <v>299</v>
      </c>
      <c r="H157" s="73" t="s">
        <v>300</v>
      </c>
    </row>
    <row r="158" spans="3:8" x14ac:dyDescent="0.3">
      <c r="C158" s="54"/>
      <c r="G158" s="72" t="s">
        <v>301</v>
      </c>
      <c r="H158" s="73" t="s">
        <v>302</v>
      </c>
    </row>
    <row r="159" spans="3:8" x14ac:dyDescent="0.3">
      <c r="C159" s="54"/>
      <c r="G159" s="72" t="s">
        <v>303</v>
      </c>
      <c r="H159" s="73" t="s">
        <v>304</v>
      </c>
    </row>
    <row r="160" spans="3:8" x14ac:dyDescent="0.3">
      <c r="C160" s="54"/>
      <c r="G160" s="72" t="s">
        <v>305</v>
      </c>
      <c r="H160" s="73" t="s">
        <v>306</v>
      </c>
    </row>
    <row r="161" spans="3:8" x14ac:dyDescent="0.3">
      <c r="C161" s="54"/>
      <c r="G161" s="72" t="s">
        <v>307</v>
      </c>
      <c r="H161" s="73" t="s">
        <v>308</v>
      </c>
    </row>
    <row r="162" spans="3:8" x14ac:dyDescent="0.3">
      <c r="C162" s="54"/>
      <c r="G162" s="72" t="s">
        <v>309</v>
      </c>
      <c r="H162" s="73" t="s">
        <v>310</v>
      </c>
    </row>
    <row r="163" spans="3:8" x14ac:dyDescent="0.3">
      <c r="C163" s="54"/>
      <c r="G163" s="72" t="s">
        <v>311</v>
      </c>
      <c r="H163" s="73" t="s">
        <v>312</v>
      </c>
    </row>
    <row r="164" spans="3:8" x14ac:dyDescent="0.3">
      <c r="C164" s="54"/>
      <c r="G164" s="72" t="s">
        <v>313</v>
      </c>
      <c r="H164" s="73" t="s">
        <v>314</v>
      </c>
    </row>
    <row r="165" spans="3:8" x14ac:dyDescent="0.3">
      <c r="C165" s="54"/>
      <c r="G165" s="72" t="s">
        <v>316</v>
      </c>
      <c r="H165" s="73" t="s">
        <v>317</v>
      </c>
    </row>
    <row r="166" spans="3:8" x14ac:dyDescent="0.3">
      <c r="C166" s="54"/>
      <c r="G166" s="72" t="s">
        <v>318</v>
      </c>
      <c r="H166" s="73" t="s">
        <v>319</v>
      </c>
    </row>
    <row r="167" spans="3:8" x14ac:dyDescent="0.3">
      <c r="C167" s="54"/>
      <c r="G167" s="72" t="s">
        <v>320</v>
      </c>
      <c r="H167" s="73" t="s">
        <v>321</v>
      </c>
    </row>
    <row r="168" spans="3:8" x14ac:dyDescent="0.3">
      <c r="C168" s="54"/>
      <c r="G168" s="59"/>
      <c r="H168" s="60"/>
    </row>
    <row r="169" spans="3:8" x14ac:dyDescent="0.3">
      <c r="C169" s="54"/>
      <c r="G169" s="59"/>
      <c r="H169" s="60"/>
    </row>
    <row r="170" spans="3:8" x14ac:dyDescent="0.3">
      <c r="C170" s="54"/>
      <c r="G170" s="59"/>
      <c r="H170" s="60"/>
    </row>
    <row r="171" spans="3:8" x14ac:dyDescent="0.3">
      <c r="C171" s="54"/>
      <c r="G171" s="59"/>
      <c r="H171" s="60"/>
    </row>
    <row r="172" spans="3:8" x14ac:dyDescent="0.3">
      <c r="C172" s="54"/>
      <c r="G172" s="59"/>
      <c r="H172" s="60"/>
    </row>
    <row r="173" spans="3:8" x14ac:dyDescent="0.3">
      <c r="C173" s="54"/>
      <c r="G173" s="59"/>
      <c r="H173" s="60"/>
    </row>
    <row r="174" spans="3:8" x14ac:dyDescent="0.3">
      <c r="C174" s="54"/>
      <c r="G174" s="59"/>
      <c r="H174" s="60"/>
    </row>
    <row r="175" spans="3:8" x14ac:dyDescent="0.3">
      <c r="C175" s="54"/>
      <c r="G175" s="59"/>
      <c r="H175" s="60"/>
    </row>
    <row r="176" spans="3:8" x14ac:dyDescent="0.3">
      <c r="C176" s="54"/>
      <c r="G176" s="59"/>
      <c r="H176" s="60"/>
    </row>
    <row r="177" spans="3:8" x14ac:dyDescent="0.3">
      <c r="C177" s="54"/>
      <c r="G177" s="59"/>
      <c r="H177" s="60"/>
    </row>
    <row r="178" spans="3:8" x14ac:dyDescent="0.3">
      <c r="C178" s="54"/>
      <c r="G178" s="59"/>
      <c r="H178" s="60"/>
    </row>
    <row r="179" spans="3:8" x14ac:dyDescent="0.3">
      <c r="C179" s="54"/>
      <c r="G179" s="59"/>
      <c r="H179" s="60"/>
    </row>
    <row r="180" spans="3:8" x14ac:dyDescent="0.3">
      <c r="C180" s="54"/>
      <c r="G180" s="59"/>
      <c r="H180" s="60"/>
    </row>
    <row r="181" spans="3:8" x14ac:dyDescent="0.3">
      <c r="C181" s="54"/>
      <c r="G181" s="59"/>
      <c r="H181" s="60"/>
    </row>
    <row r="182" spans="3:8" x14ac:dyDescent="0.3">
      <c r="C182" s="54"/>
      <c r="G182" s="59"/>
      <c r="H182" s="60"/>
    </row>
    <row r="183" spans="3:8" x14ac:dyDescent="0.3">
      <c r="C183" s="54"/>
      <c r="G183" s="76" t="s">
        <v>354</v>
      </c>
      <c r="H183" s="77" t="s">
        <v>355</v>
      </c>
    </row>
    <row r="184" spans="3:8" x14ac:dyDescent="0.3">
      <c r="C184" s="54"/>
      <c r="G184" s="76" t="s">
        <v>356</v>
      </c>
      <c r="H184" s="77" t="s">
        <v>357</v>
      </c>
    </row>
    <row r="185" spans="3:8" x14ac:dyDescent="0.3">
      <c r="C185" s="54"/>
      <c r="G185" s="76" t="s">
        <v>358</v>
      </c>
      <c r="H185" s="77" t="s">
        <v>359</v>
      </c>
    </row>
    <row r="186" spans="3:8" x14ac:dyDescent="0.3">
      <c r="C186" s="54"/>
      <c r="G186" s="76" t="s">
        <v>360</v>
      </c>
      <c r="H186" s="77" t="s">
        <v>361</v>
      </c>
    </row>
    <row r="187" spans="3:8" x14ac:dyDescent="0.3">
      <c r="C187" s="54"/>
      <c r="G187" s="76" t="s">
        <v>332</v>
      </c>
      <c r="H187" s="77" t="s">
        <v>333</v>
      </c>
    </row>
    <row r="188" spans="3:8" x14ac:dyDescent="0.3">
      <c r="C188" s="54"/>
      <c r="G188" s="76" t="s">
        <v>334</v>
      </c>
      <c r="H188" s="77" t="s">
        <v>335</v>
      </c>
    </row>
    <row r="189" spans="3:8" x14ac:dyDescent="0.3">
      <c r="C189" s="54"/>
      <c r="G189" s="76" t="s">
        <v>336</v>
      </c>
      <c r="H189" s="77" t="s">
        <v>337</v>
      </c>
    </row>
    <row r="190" spans="3:8" x14ac:dyDescent="0.3">
      <c r="C190" s="54"/>
      <c r="G190" s="76" t="s">
        <v>338</v>
      </c>
      <c r="H190" s="77" t="s">
        <v>339</v>
      </c>
    </row>
    <row r="191" spans="3:8" x14ac:dyDescent="0.3">
      <c r="C191" s="54"/>
      <c r="G191" s="76" t="s">
        <v>340</v>
      </c>
      <c r="H191" s="77" t="s">
        <v>341</v>
      </c>
    </row>
    <row r="192" spans="3:8" x14ac:dyDescent="0.3">
      <c r="C192" s="54"/>
      <c r="G192" s="76" t="s">
        <v>342</v>
      </c>
      <c r="H192" s="77" t="s">
        <v>343</v>
      </c>
    </row>
    <row r="193" spans="3:8" x14ac:dyDescent="0.3">
      <c r="C193" s="54"/>
      <c r="G193" s="76" t="s">
        <v>344</v>
      </c>
      <c r="H193" s="77" t="s">
        <v>345</v>
      </c>
    </row>
    <row r="194" spans="3:8" x14ac:dyDescent="0.3">
      <c r="C194" s="54"/>
      <c r="G194" s="76" t="s">
        <v>346</v>
      </c>
      <c r="H194" s="77" t="s">
        <v>347</v>
      </c>
    </row>
    <row r="195" spans="3:8" x14ac:dyDescent="0.3">
      <c r="C195" s="54"/>
      <c r="G195" s="76" t="s">
        <v>348</v>
      </c>
      <c r="H195" s="77" t="s">
        <v>349</v>
      </c>
    </row>
    <row r="196" spans="3:8" x14ac:dyDescent="0.3">
      <c r="C196" s="54"/>
      <c r="G196" s="76" t="s">
        <v>362</v>
      </c>
      <c r="H196" s="77" t="s">
        <v>363</v>
      </c>
    </row>
    <row r="197" spans="3:8" x14ac:dyDescent="0.3">
      <c r="C197" s="54"/>
      <c r="G197" s="59"/>
      <c r="H197" s="60"/>
    </row>
    <row r="198" spans="3:8" x14ac:dyDescent="0.3">
      <c r="C198" s="54"/>
      <c r="G198" s="59"/>
      <c r="H198" s="60"/>
    </row>
    <row r="199" spans="3:8" x14ac:dyDescent="0.3">
      <c r="C199" s="54"/>
      <c r="G199" s="59"/>
      <c r="H199" s="60"/>
    </row>
    <row r="200" spans="3:8" x14ac:dyDescent="0.3">
      <c r="C200" s="54"/>
      <c r="G200" s="59"/>
      <c r="H200" s="60"/>
    </row>
    <row r="201" spans="3:8" x14ac:dyDescent="0.3">
      <c r="C201" s="54"/>
      <c r="G201" s="59"/>
      <c r="H201" s="60"/>
    </row>
    <row r="202" spans="3:8" x14ac:dyDescent="0.3">
      <c r="C202" s="54"/>
      <c r="G202" s="59"/>
      <c r="H202" s="60"/>
    </row>
    <row r="203" spans="3:8" x14ac:dyDescent="0.3">
      <c r="C203" s="54"/>
      <c r="G203" s="55" t="s">
        <v>328</v>
      </c>
      <c r="H203" s="56" t="s">
        <v>329</v>
      </c>
    </row>
    <row r="204" spans="3:8" x14ac:dyDescent="0.3">
      <c r="C204" s="54"/>
      <c r="G204" s="55" t="s">
        <v>324</v>
      </c>
      <c r="H204" s="56" t="s">
        <v>325</v>
      </c>
    </row>
    <row r="205" spans="3:8" x14ac:dyDescent="0.3">
      <c r="C205" s="54"/>
      <c r="G205" s="55" t="s">
        <v>16</v>
      </c>
      <c r="H205" s="56" t="s">
        <v>17</v>
      </c>
    </row>
    <row r="206" spans="3:8" x14ac:dyDescent="0.3">
      <c r="C206" s="54"/>
      <c r="G206" s="55" t="s">
        <v>326</v>
      </c>
      <c r="H206" s="56" t="s">
        <v>327</v>
      </c>
    </row>
    <row r="207" spans="3:8" x14ac:dyDescent="0.3">
      <c r="C207" s="54"/>
      <c r="G207" s="55" t="s">
        <v>330</v>
      </c>
      <c r="H207" s="56" t="s">
        <v>331</v>
      </c>
    </row>
    <row r="208" spans="3:8" x14ac:dyDescent="0.3">
      <c r="C208" s="54"/>
      <c r="G208" s="55" t="s">
        <v>322</v>
      </c>
      <c r="H208" s="56" t="s">
        <v>323</v>
      </c>
    </row>
    <row r="209" spans="3:8" x14ac:dyDescent="0.3">
      <c r="C209" s="54"/>
      <c r="G209" s="55" t="s">
        <v>350</v>
      </c>
      <c r="H209" s="56" t="s">
        <v>351</v>
      </c>
    </row>
    <row r="210" spans="3:8" x14ac:dyDescent="0.3">
      <c r="C210" s="54"/>
      <c r="G210" s="55" t="s">
        <v>352</v>
      </c>
      <c r="H210" s="56" t="s">
        <v>353</v>
      </c>
    </row>
    <row r="211" spans="3:8" x14ac:dyDescent="0.3">
      <c r="C211" s="54"/>
      <c r="G211" s="55" t="s">
        <v>21</v>
      </c>
      <c r="H211" s="56" t="s">
        <v>22</v>
      </c>
    </row>
    <row r="212" spans="3:8" x14ac:dyDescent="0.3">
      <c r="C212" s="54"/>
      <c r="G212" s="55" t="s">
        <v>254</v>
      </c>
      <c r="H212" s="56" t="s">
        <v>255</v>
      </c>
    </row>
    <row r="213" spans="3:8" x14ac:dyDescent="0.3">
      <c r="C213" s="54"/>
      <c r="G213" s="59"/>
      <c r="H213" s="60"/>
    </row>
    <row r="214" spans="3:8" x14ac:dyDescent="0.3">
      <c r="C214" s="54"/>
      <c r="G214" s="59"/>
      <c r="H214" s="60"/>
    </row>
    <row r="215" spans="3:8" x14ac:dyDescent="0.3">
      <c r="C215" s="54"/>
      <c r="G215" s="59"/>
      <c r="H215" s="60"/>
    </row>
    <row r="216" spans="3:8" x14ac:dyDescent="0.3">
      <c r="C216" s="54"/>
      <c r="G216" s="59"/>
      <c r="H216" s="60"/>
    </row>
    <row r="217" spans="3:8" x14ac:dyDescent="0.3">
      <c r="C217" s="54"/>
      <c r="G217" s="59"/>
      <c r="H217" s="60"/>
    </row>
    <row r="218" spans="3:8" x14ac:dyDescent="0.3">
      <c r="C218" s="54"/>
      <c r="G218" s="59"/>
      <c r="H218" s="60"/>
    </row>
    <row r="219" spans="3:8" x14ac:dyDescent="0.3">
      <c r="C219" s="54"/>
      <c r="G219" s="59"/>
      <c r="H219" s="60"/>
    </row>
    <row r="220" spans="3:8" x14ac:dyDescent="0.3">
      <c r="C220" s="54"/>
      <c r="G220" s="59"/>
      <c r="H220" s="60"/>
    </row>
    <row r="221" spans="3:8" x14ac:dyDescent="0.3">
      <c r="C221" s="54"/>
      <c r="G221" s="59"/>
      <c r="H221" s="60"/>
    </row>
    <row r="222" spans="3:8" x14ac:dyDescent="0.3">
      <c r="C222" s="54"/>
      <c r="G222" s="59"/>
      <c r="H222" s="60"/>
    </row>
    <row r="223" spans="3:8" x14ac:dyDescent="0.3">
      <c r="C223" s="54"/>
      <c r="G223" s="78" t="s">
        <v>364</v>
      </c>
      <c r="H223" s="79" t="s">
        <v>365</v>
      </c>
    </row>
    <row r="224" spans="3:8" x14ac:dyDescent="0.3">
      <c r="C224" s="54"/>
      <c r="G224" s="78" t="s">
        <v>368</v>
      </c>
      <c r="H224" s="79" t="s">
        <v>369</v>
      </c>
    </row>
    <row r="225" spans="3:8" x14ac:dyDescent="0.3">
      <c r="C225" s="54"/>
      <c r="G225" s="78" t="s">
        <v>366</v>
      </c>
      <c r="H225" s="79" t="s">
        <v>367</v>
      </c>
    </row>
    <row r="226" spans="3:8" x14ac:dyDescent="0.3">
      <c r="C226" s="54"/>
      <c r="G226" s="78" t="s">
        <v>370</v>
      </c>
      <c r="H226" s="79" t="s">
        <v>371</v>
      </c>
    </row>
    <row r="227" spans="3:8" x14ac:dyDescent="0.3">
      <c r="C227" s="54"/>
      <c r="G227" s="78" t="s">
        <v>373</v>
      </c>
      <c r="H227" s="79" t="s">
        <v>426</v>
      </c>
    </row>
    <row r="228" spans="3:8" x14ac:dyDescent="0.3">
      <c r="C228" s="54"/>
      <c r="G228" s="78" t="s">
        <v>372</v>
      </c>
      <c r="H228" s="79" t="s">
        <v>427</v>
      </c>
    </row>
    <row r="229" spans="3:8" x14ac:dyDescent="0.3">
      <c r="C229" s="54"/>
      <c r="G229" s="59"/>
      <c r="H229" s="60"/>
    </row>
    <row r="230" spans="3:8" x14ac:dyDescent="0.3">
      <c r="C230" s="54"/>
      <c r="G230" s="59"/>
      <c r="H230" s="60"/>
    </row>
    <row r="231" spans="3:8" x14ac:dyDescent="0.3">
      <c r="C231" s="80"/>
      <c r="G231" s="59"/>
      <c r="H231" s="60"/>
    </row>
    <row r="232" spans="3:8" x14ac:dyDescent="0.3">
      <c r="C232" s="80"/>
      <c r="G232" s="59"/>
      <c r="H232" s="60"/>
    </row>
    <row r="233" spans="3:8" x14ac:dyDescent="0.3">
      <c r="C233" s="80"/>
      <c r="G233" s="59"/>
      <c r="H233" s="60"/>
    </row>
    <row r="234" spans="3:8" x14ac:dyDescent="0.3">
      <c r="C234" s="80"/>
      <c r="G234" s="59"/>
      <c r="H234" s="60"/>
    </row>
    <row r="235" spans="3:8" x14ac:dyDescent="0.3">
      <c r="C235" s="80"/>
      <c r="G235" s="59"/>
      <c r="H235" s="60"/>
    </row>
    <row r="236" spans="3:8" x14ac:dyDescent="0.3">
      <c r="C236" s="80"/>
      <c r="G236" s="59"/>
      <c r="H236" s="60"/>
    </row>
    <row r="237" spans="3:8" x14ac:dyDescent="0.3">
      <c r="C237" s="80"/>
      <c r="G237" s="59"/>
      <c r="H237" s="60"/>
    </row>
    <row r="238" spans="3:8" x14ac:dyDescent="0.3">
      <c r="C238" s="80"/>
      <c r="G238" s="59"/>
      <c r="H238" s="60"/>
    </row>
    <row r="239" spans="3:8" x14ac:dyDescent="0.3">
      <c r="C239" s="80"/>
      <c r="G239" s="59"/>
      <c r="H239" s="60"/>
    </row>
    <row r="240" spans="3:8" x14ac:dyDescent="0.3">
      <c r="C240" s="80"/>
      <c r="G240" s="59"/>
      <c r="H240" s="60"/>
    </row>
    <row r="241" spans="3:8" x14ac:dyDescent="0.3">
      <c r="C241" s="80"/>
      <c r="G241" s="59"/>
      <c r="H241" s="60"/>
    </row>
    <row r="242" spans="3:8" x14ac:dyDescent="0.3">
      <c r="C242" s="80"/>
      <c r="G242" s="59"/>
      <c r="H242" s="60"/>
    </row>
    <row r="243" spans="3:8" x14ac:dyDescent="0.3">
      <c r="C243" s="80"/>
      <c r="G243" s="66" t="s">
        <v>400</v>
      </c>
      <c r="H243" s="67" t="s">
        <v>401</v>
      </c>
    </row>
    <row r="244" spans="3:8" x14ac:dyDescent="0.3">
      <c r="C244" s="80"/>
      <c r="G244" s="66" t="s">
        <v>402</v>
      </c>
      <c r="H244" s="67" t="s">
        <v>403</v>
      </c>
    </row>
    <row r="245" spans="3:8" x14ac:dyDescent="0.3">
      <c r="C245" s="80"/>
      <c r="G245" s="66" t="s">
        <v>25</v>
      </c>
      <c r="H245" s="67" t="s">
        <v>26</v>
      </c>
    </row>
    <row r="246" spans="3:8" x14ac:dyDescent="0.3">
      <c r="C246" s="80"/>
      <c r="G246" s="66" t="s">
        <v>374</v>
      </c>
      <c r="H246" s="67" t="s">
        <v>375</v>
      </c>
    </row>
    <row r="247" spans="3:8" x14ac:dyDescent="0.3">
      <c r="C247" s="80"/>
      <c r="G247" s="66" t="s">
        <v>376</v>
      </c>
      <c r="H247" s="67" t="s">
        <v>377</v>
      </c>
    </row>
    <row r="248" spans="3:8" x14ac:dyDescent="0.3">
      <c r="C248" s="80"/>
      <c r="G248" s="66" t="s">
        <v>378</v>
      </c>
      <c r="H248" s="67" t="s">
        <v>379</v>
      </c>
    </row>
    <row r="249" spans="3:8" x14ac:dyDescent="0.3">
      <c r="C249" s="80"/>
      <c r="G249" s="66" t="s">
        <v>380</v>
      </c>
      <c r="H249" s="67" t="s">
        <v>381</v>
      </c>
    </row>
    <row r="250" spans="3:8" x14ac:dyDescent="0.3">
      <c r="C250" s="80"/>
      <c r="G250" s="66" t="s">
        <v>382</v>
      </c>
      <c r="H250" s="67" t="s">
        <v>383</v>
      </c>
    </row>
    <row r="251" spans="3:8" x14ac:dyDescent="0.3">
      <c r="C251" s="80"/>
      <c r="G251" s="66" t="s">
        <v>384</v>
      </c>
      <c r="H251" s="67" t="s">
        <v>385</v>
      </c>
    </row>
    <row r="252" spans="3:8" x14ac:dyDescent="0.3">
      <c r="C252" s="80"/>
      <c r="G252" s="66" t="s">
        <v>386</v>
      </c>
      <c r="H252" s="67" t="s">
        <v>387</v>
      </c>
    </row>
    <row r="253" spans="3:8" x14ac:dyDescent="0.3">
      <c r="C253" s="80"/>
      <c r="G253" s="66" t="s">
        <v>388</v>
      </c>
      <c r="H253" s="67" t="s">
        <v>389</v>
      </c>
    </row>
    <row r="254" spans="3:8" x14ac:dyDescent="0.3">
      <c r="C254" s="80"/>
      <c r="G254" s="66" t="s">
        <v>390</v>
      </c>
      <c r="H254" s="67" t="s">
        <v>391</v>
      </c>
    </row>
    <row r="255" spans="3:8" x14ac:dyDescent="0.3">
      <c r="C255" s="80"/>
      <c r="G255" s="66" t="s">
        <v>392</v>
      </c>
      <c r="H255" s="67" t="s">
        <v>393</v>
      </c>
    </row>
    <row r="256" spans="3:8" x14ac:dyDescent="0.3">
      <c r="C256" s="80"/>
      <c r="G256" s="66" t="s">
        <v>394</v>
      </c>
      <c r="H256" s="67" t="s">
        <v>395</v>
      </c>
    </row>
    <row r="257" spans="3:8" x14ac:dyDescent="0.3">
      <c r="C257" s="80"/>
      <c r="G257" s="66" t="s">
        <v>396</v>
      </c>
      <c r="H257" s="67" t="s">
        <v>397</v>
      </c>
    </row>
    <row r="258" spans="3:8" x14ac:dyDescent="0.3">
      <c r="C258" s="80"/>
      <c r="G258" s="66" t="s">
        <v>398</v>
      </c>
      <c r="H258" s="67" t="s">
        <v>399</v>
      </c>
    </row>
    <row r="259" spans="3:8" x14ac:dyDescent="0.3">
      <c r="C259" s="80"/>
      <c r="G259" s="59"/>
      <c r="H259" s="60"/>
    </row>
    <row r="260" spans="3:8" x14ac:dyDescent="0.3">
      <c r="C260" s="80"/>
      <c r="G260" s="59"/>
      <c r="H260" s="60"/>
    </row>
    <row r="261" spans="3:8" x14ac:dyDescent="0.3">
      <c r="C261" s="80"/>
      <c r="G261" s="59"/>
      <c r="H261" s="60"/>
    </row>
    <row r="262" spans="3:8" x14ac:dyDescent="0.3">
      <c r="C262" s="80"/>
      <c r="G262" s="59"/>
      <c r="H262" s="60"/>
    </row>
    <row r="263" spans="3:8" x14ac:dyDescent="0.3">
      <c r="C263" s="80"/>
      <c r="G263" s="74" t="s">
        <v>418</v>
      </c>
      <c r="H263" s="75" t="s">
        <v>419</v>
      </c>
    </row>
    <row r="264" spans="3:8" x14ac:dyDescent="0.3">
      <c r="C264" s="80"/>
      <c r="G264" s="74" t="s">
        <v>420</v>
      </c>
      <c r="H264" s="75" t="s">
        <v>421</v>
      </c>
    </row>
    <row r="265" spans="3:8" x14ac:dyDescent="0.3">
      <c r="C265" s="80"/>
      <c r="G265" s="74" t="s">
        <v>422</v>
      </c>
      <c r="H265" s="75" t="s">
        <v>423</v>
      </c>
    </row>
    <row r="266" spans="3:8" x14ac:dyDescent="0.3">
      <c r="C266" s="80"/>
      <c r="G266" s="74" t="s">
        <v>424</v>
      </c>
      <c r="H266" s="75" t="s">
        <v>425</v>
      </c>
    </row>
    <row r="267" spans="3:8" x14ac:dyDescent="0.3">
      <c r="C267" s="80"/>
      <c r="G267" s="59"/>
      <c r="H267" s="60"/>
    </row>
    <row r="268" spans="3:8" x14ac:dyDescent="0.3">
      <c r="C268" s="80"/>
      <c r="G268" s="59"/>
      <c r="H268" s="60"/>
    </row>
    <row r="269" spans="3:8" x14ac:dyDescent="0.3">
      <c r="C269" s="80"/>
      <c r="G269" s="59"/>
      <c r="H269" s="60"/>
    </row>
    <row r="270" spans="3:8" x14ac:dyDescent="0.3">
      <c r="C270" s="80"/>
      <c r="G270" s="59"/>
      <c r="H270" s="60"/>
    </row>
    <row r="271" spans="3:8" x14ac:dyDescent="0.3">
      <c r="C271" s="80"/>
      <c r="G271" s="59"/>
      <c r="H271" s="60"/>
    </row>
    <row r="272" spans="3:8" x14ac:dyDescent="0.3">
      <c r="G272" s="59"/>
      <c r="H272" s="60"/>
    </row>
    <row r="273" spans="7:8" x14ac:dyDescent="0.3">
      <c r="G273" s="82" t="s">
        <v>29</v>
      </c>
      <c r="H273" s="83" t="s">
        <v>30</v>
      </c>
    </row>
    <row r="274" spans="7:8" x14ac:dyDescent="0.3">
      <c r="G274" s="82" t="s">
        <v>31</v>
      </c>
      <c r="H274" s="83" t="s">
        <v>32</v>
      </c>
    </row>
    <row r="275" spans="7:8" x14ac:dyDescent="0.3">
      <c r="G275" s="82" t="s">
        <v>35</v>
      </c>
      <c r="H275" s="83" t="s">
        <v>36</v>
      </c>
    </row>
    <row r="276" spans="7:8" x14ac:dyDescent="0.3">
      <c r="G276" s="82" t="s">
        <v>33</v>
      </c>
      <c r="H276" s="83" t="s">
        <v>34</v>
      </c>
    </row>
    <row r="277" spans="7:8" x14ac:dyDescent="0.3">
      <c r="G277" s="82" t="s">
        <v>404</v>
      </c>
      <c r="H277" s="83" t="s">
        <v>405</v>
      </c>
    </row>
    <row r="278" spans="7:8" x14ac:dyDescent="0.3">
      <c r="G278" s="82" t="s">
        <v>41</v>
      </c>
      <c r="H278" s="83" t="s">
        <v>42</v>
      </c>
    </row>
    <row r="279" spans="7:8" x14ac:dyDescent="0.3">
      <c r="G279" s="82" t="s">
        <v>37</v>
      </c>
      <c r="H279" s="83" t="s">
        <v>38</v>
      </c>
    </row>
    <row r="280" spans="7:8" x14ac:dyDescent="0.3">
      <c r="G280" s="82" t="s">
        <v>39</v>
      </c>
      <c r="H280" s="83" t="s">
        <v>40</v>
      </c>
    </row>
    <row r="281" spans="7:8" x14ac:dyDescent="0.3">
      <c r="G281" s="82" t="s">
        <v>406</v>
      </c>
      <c r="H281" s="83" t="s">
        <v>407</v>
      </c>
    </row>
    <row r="282" spans="7:8" x14ac:dyDescent="0.3">
      <c r="G282" s="82" t="s">
        <v>408</v>
      </c>
      <c r="H282" s="83" t="s">
        <v>409</v>
      </c>
    </row>
    <row r="283" spans="7:8" x14ac:dyDescent="0.3">
      <c r="G283" s="82" t="s">
        <v>414</v>
      </c>
      <c r="H283" s="83" t="s">
        <v>415</v>
      </c>
    </row>
    <row r="284" spans="7:8" x14ac:dyDescent="0.3">
      <c r="G284" s="82" t="s">
        <v>410</v>
      </c>
      <c r="H284" s="83" t="s">
        <v>411</v>
      </c>
    </row>
    <row r="285" spans="7:8" x14ac:dyDescent="0.3">
      <c r="G285" s="82" t="s">
        <v>412</v>
      </c>
      <c r="H285" s="83" t="s">
        <v>413</v>
      </c>
    </row>
    <row r="286" spans="7:8" x14ac:dyDescent="0.3">
      <c r="G286" s="82" t="s">
        <v>416</v>
      </c>
      <c r="H286" s="83" t="s">
        <v>417</v>
      </c>
    </row>
    <row r="287" spans="7:8" x14ac:dyDescent="0.3">
      <c r="G287" s="59"/>
      <c r="H287" s="60"/>
    </row>
    <row r="288" spans="7:8" x14ac:dyDescent="0.3">
      <c r="G288" s="59"/>
      <c r="H288" s="60"/>
    </row>
    <row r="289" spans="7:8" x14ac:dyDescent="0.3">
      <c r="G289" s="50" t="s">
        <v>122</v>
      </c>
      <c r="H289" s="51" t="s">
        <v>123</v>
      </c>
    </row>
    <row r="290" spans="7:8" x14ac:dyDescent="0.3">
      <c r="G290" s="50" t="s">
        <v>126</v>
      </c>
      <c r="H290" s="51" t="s">
        <v>127</v>
      </c>
    </row>
    <row r="291" spans="7:8" x14ac:dyDescent="0.3">
      <c r="G291" s="50" t="s">
        <v>130</v>
      </c>
      <c r="H291" s="51" t="s">
        <v>131</v>
      </c>
    </row>
    <row r="292" spans="7:8" x14ac:dyDescent="0.3">
      <c r="G292" s="50" t="s">
        <v>134</v>
      </c>
      <c r="H292" s="51" t="s">
        <v>135</v>
      </c>
    </row>
    <row r="293" spans="7:8" x14ac:dyDescent="0.3">
      <c r="G293" s="59"/>
      <c r="H293" s="60"/>
    </row>
    <row r="294" spans="7:8" x14ac:dyDescent="0.3">
      <c r="G294" s="59"/>
      <c r="H294" s="60"/>
    </row>
    <row r="295" spans="7:8" x14ac:dyDescent="0.3">
      <c r="G295" s="61" t="s">
        <v>174</v>
      </c>
      <c r="H295" s="62" t="s">
        <v>175</v>
      </c>
    </row>
    <row r="296" spans="7:8" x14ac:dyDescent="0.3">
      <c r="G296" s="61" t="s">
        <v>176</v>
      </c>
      <c r="H296" s="62" t="s">
        <v>177</v>
      </c>
    </row>
    <row r="297" spans="7:8" x14ac:dyDescent="0.3">
      <c r="G297" s="59"/>
      <c r="H297" s="60"/>
    </row>
    <row r="298" spans="7:8" x14ac:dyDescent="0.3">
      <c r="G298" s="59"/>
      <c r="H298" s="60"/>
    </row>
    <row r="299" spans="7:8" x14ac:dyDescent="0.3">
      <c r="G299" s="84" t="s">
        <v>428</v>
      </c>
      <c r="H299" s="85" t="s">
        <v>429</v>
      </c>
    </row>
    <row r="302" spans="7:8" x14ac:dyDescent="0.3">
      <c r="G302" s="59" t="s">
        <v>19</v>
      </c>
      <c r="H302" s="60" t="s">
        <v>430</v>
      </c>
    </row>
    <row r="303" spans="7:8" x14ac:dyDescent="0.3">
      <c r="G303" s="59" t="s">
        <v>431</v>
      </c>
      <c r="H303" s="60" t="s">
        <v>432</v>
      </c>
    </row>
    <row r="304" spans="7:8" x14ac:dyDescent="0.3">
      <c r="G304" s="59" t="s">
        <v>433</v>
      </c>
      <c r="H304" s="60" t="s">
        <v>434</v>
      </c>
    </row>
    <row r="305" spans="7:8" x14ac:dyDescent="0.3">
      <c r="G305" s="59" t="s">
        <v>20</v>
      </c>
      <c r="H305" s="60" t="s">
        <v>435</v>
      </c>
    </row>
    <row r="306" spans="7:8" x14ac:dyDescent="0.3">
      <c r="G306" s="59" t="s">
        <v>43</v>
      </c>
      <c r="H306" s="60" t="s">
        <v>44</v>
      </c>
    </row>
  </sheetData>
  <mergeCells count="2">
    <mergeCell ref="A1:B1"/>
    <mergeCell ref="D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Uitlenen en innemen</vt:lpstr>
      <vt:lpstr>Momenteel uitgeleend</vt:lpstr>
      <vt:lpstr>DB uitgeleend</vt:lpstr>
      <vt:lpstr>Barcodes Gebruikers</vt:lpstr>
      <vt:lpstr>Barcodes Voorwerpen</vt:lpstr>
      <vt:lpstr>Instellingen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2018-09-20T05:54:43Z</dcterms:created>
  <dcterms:modified xsi:type="dcterms:W3CDTF">2018-10-09T07:51:21Z</dcterms:modified>
</cp:coreProperties>
</file>