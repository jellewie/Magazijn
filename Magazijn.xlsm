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8_{1F12316D-E63E-45C8-97D6-98C39D251CC2}" xr6:coauthVersionLast="36" xr6:coauthVersionMax="36" xr10:uidLastSave="{00000000-0000-0000-0000-000000000000}"/>
  <bookViews>
    <workbookView xWindow="0" yWindow="0" windowWidth="18876" windowHeight="7656" tabRatio="870" xr2:uid="{49BA3084-4370-4BC1-B718-3AC37BC5488D}"/>
  </bookViews>
  <sheets>
    <sheet name="Uitlenen en innemen" sheetId="3" r:id="rId1"/>
    <sheet name="Momenteel uitgeleend" sheetId="14" r:id="rId2"/>
    <sheet name="DB uitgeleend" sheetId="5" r:id="rId3"/>
    <sheet name="Barcodes Voorwerpen" sheetId="17" r:id="rId4"/>
    <sheet name="Barcodes Gebruikers" sheetId="13" r:id="rId5"/>
    <sheet name="Barcodes Bijzonder" sheetId="16" r:id="rId6"/>
    <sheet name="Instellingen" sheetId="2" r:id="rId7"/>
    <sheet name="DB" sheetId="4" state="hidden" r:id="rId8"/>
  </sheets>
  <functionGroups builtInGroupCount="19"/>
  <definedNames>
    <definedName name="_xlnm.Print_Area" localSheetId="5">'Barcodes Bijzonder'!$A$1:$E$20</definedName>
    <definedName name="_xlnm.Print_Area" localSheetId="4">'Barcodes Gebruikers'!$A$1:$E$500</definedName>
    <definedName name="_xlnm.Print_Area" localSheetId="3">'Barcodes Voorwerpen'!$A$1:$E$500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16" l="1"/>
  <c r="A6" i="17" l="1"/>
  <c r="B6" i="17"/>
  <c r="C6" i="17"/>
  <c r="D6" i="17"/>
  <c r="A8" i="17"/>
  <c r="B8" i="17"/>
  <c r="C8" i="17"/>
  <c r="D8" i="17"/>
  <c r="A10" i="17"/>
  <c r="B10" i="17"/>
  <c r="C10" i="17"/>
  <c r="D10" i="17"/>
  <c r="A12" i="17"/>
  <c r="B12" i="17"/>
  <c r="C12" i="17"/>
  <c r="D12" i="17"/>
  <c r="A14" i="17"/>
  <c r="B14" i="17"/>
  <c r="C14" i="17"/>
  <c r="D14" i="17"/>
  <c r="A16" i="17"/>
  <c r="B16" i="17"/>
  <c r="C16" i="17"/>
  <c r="D16" i="17"/>
  <c r="A18" i="17"/>
  <c r="B18" i="17"/>
  <c r="C18" i="17"/>
  <c r="D18" i="17"/>
  <c r="A20" i="17"/>
  <c r="B20" i="17"/>
  <c r="C20" i="17"/>
  <c r="D20" i="17"/>
  <c r="A22" i="17"/>
  <c r="B22" i="17"/>
  <c r="C22" i="17"/>
  <c r="D22" i="17"/>
  <c r="A24" i="17"/>
  <c r="B24" i="17"/>
  <c r="C24" i="17"/>
  <c r="D24" i="17"/>
  <c r="A26" i="17"/>
  <c r="B26" i="17"/>
  <c r="C26" i="17"/>
  <c r="D26" i="17"/>
  <c r="A28" i="17"/>
  <c r="B28" i="17"/>
  <c r="C28" i="17"/>
  <c r="D28" i="17"/>
  <c r="A30" i="17"/>
  <c r="B30" i="17"/>
  <c r="C30" i="17"/>
  <c r="D30" i="17"/>
  <c r="A32" i="17"/>
  <c r="B32" i="17"/>
  <c r="C32" i="17"/>
  <c r="D32" i="17"/>
  <c r="A34" i="17"/>
  <c r="B34" i="17"/>
  <c r="C34" i="17"/>
  <c r="D34" i="17"/>
  <c r="A36" i="17"/>
  <c r="B36" i="17"/>
  <c r="C36" i="17"/>
  <c r="D36" i="17"/>
  <c r="A38" i="17"/>
  <c r="B38" i="17"/>
  <c r="C38" i="17"/>
  <c r="D38" i="17"/>
  <c r="A40" i="17"/>
  <c r="B40" i="17"/>
  <c r="C40" i="17"/>
  <c r="D40" i="17"/>
  <c r="A42" i="17"/>
  <c r="B42" i="17"/>
  <c r="C42" i="17"/>
  <c r="D42" i="17"/>
  <c r="A44" i="17"/>
  <c r="B44" i="17"/>
  <c r="C44" i="17"/>
  <c r="D44" i="17"/>
  <c r="A46" i="17"/>
  <c r="B46" i="17"/>
  <c r="C46" i="17"/>
  <c r="D46" i="17"/>
  <c r="A48" i="17"/>
  <c r="B48" i="17"/>
  <c r="C48" i="17"/>
  <c r="D48" i="17"/>
  <c r="A50" i="17"/>
  <c r="B50" i="17"/>
  <c r="C50" i="17"/>
  <c r="D50" i="17"/>
  <c r="A52" i="17"/>
  <c r="B52" i="17"/>
  <c r="C52" i="17"/>
  <c r="D52" i="17"/>
  <c r="A54" i="17"/>
  <c r="B54" i="17"/>
  <c r="C54" i="17"/>
  <c r="D54" i="17"/>
  <c r="A56" i="17"/>
  <c r="B56" i="17"/>
  <c r="C56" i="17"/>
  <c r="D56" i="17"/>
  <c r="A58" i="17"/>
  <c r="B58" i="17"/>
  <c r="C58" i="17"/>
  <c r="D58" i="17"/>
  <c r="A60" i="17"/>
  <c r="B60" i="17"/>
  <c r="C60" i="17"/>
  <c r="D60" i="17"/>
  <c r="A62" i="17"/>
  <c r="B62" i="17"/>
  <c r="C62" i="17"/>
  <c r="D62" i="17"/>
  <c r="A64" i="17"/>
  <c r="B64" i="17"/>
  <c r="C64" i="17"/>
  <c r="D64" i="17"/>
  <c r="A66" i="17"/>
  <c r="B66" i="17"/>
  <c r="C66" i="17"/>
  <c r="D66" i="17"/>
  <c r="A68" i="17"/>
  <c r="B68" i="17"/>
  <c r="C68" i="17"/>
  <c r="D68" i="17"/>
  <c r="A70" i="17"/>
  <c r="B70" i="17"/>
  <c r="C70" i="17"/>
  <c r="D70" i="17"/>
  <c r="A72" i="17"/>
  <c r="B72" i="17"/>
  <c r="C72" i="17"/>
  <c r="D72" i="17"/>
  <c r="A74" i="17"/>
  <c r="B74" i="17"/>
  <c r="C74" i="17"/>
  <c r="D74" i="17"/>
  <c r="A76" i="17"/>
  <c r="B76" i="17"/>
  <c r="C76" i="17"/>
  <c r="D76" i="17"/>
  <c r="A78" i="17"/>
  <c r="B78" i="17"/>
  <c r="C78" i="17"/>
  <c r="D78" i="17"/>
  <c r="A80" i="17"/>
  <c r="B80" i="17"/>
  <c r="C80" i="17"/>
  <c r="D80" i="17"/>
  <c r="A82" i="17"/>
  <c r="B82" i="17"/>
  <c r="C82" i="17"/>
  <c r="D82" i="17"/>
  <c r="A84" i="17"/>
  <c r="B84" i="17"/>
  <c r="C84" i="17"/>
  <c r="D84" i="17"/>
  <c r="A86" i="17"/>
  <c r="B86" i="17"/>
  <c r="C86" i="17"/>
  <c r="D86" i="17"/>
  <c r="A88" i="17"/>
  <c r="B88" i="17"/>
  <c r="C88" i="17"/>
  <c r="D88" i="17"/>
  <c r="A90" i="17"/>
  <c r="B90" i="17"/>
  <c r="C90" i="17"/>
  <c r="D90" i="17"/>
  <c r="A92" i="17"/>
  <c r="B92" i="17"/>
  <c r="C92" i="17"/>
  <c r="D92" i="17"/>
  <c r="A94" i="17"/>
  <c r="B94" i="17"/>
  <c r="C94" i="17"/>
  <c r="D94" i="17"/>
  <c r="A96" i="17"/>
  <c r="B96" i="17"/>
  <c r="C96" i="17"/>
  <c r="C95" i="17" s="1"/>
  <c r="D96" i="17"/>
  <c r="A98" i="17"/>
  <c r="B98" i="17"/>
  <c r="C98" i="17"/>
  <c r="D98" i="17"/>
  <c r="A100" i="17"/>
  <c r="B100" i="17"/>
  <c r="C100" i="17"/>
  <c r="D100" i="17"/>
  <c r="A102" i="17"/>
  <c r="B102" i="17"/>
  <c r="C102" i="17"/>
  <c r="D102" i="17"/>
  <c r="A104" i="17"/>
  <c r="B104" i="17"/>
  <c r="C104" i="17"/>
  <c r="D104" i="17"/>
  <c r="A106" i="17"/>
  <c r="B106" i="17"/>
  <c r="C106" i="17"/>
  <c r="D106" i="17"/>
  <c r="A108" i="17"/>
  <c r="B108" i="17"/>
  <c r="C108" i="17"/>
  <c r="D108" i="17"/>
  <c r="A110" i="17"/>
  <c r="B110" i="17"/>
  <c r="C110" i="17"/>
  <c r="D110" i="17"/>
  <c r="A112" i="17"/>
  <c r="B112" i="17"/>
  <c r="C112" i="17"/>
  <c r="D112" i="17"/>
  <c r="A114" i="17"/>
  <c r="B114" i="17"/>
  <c r="C114" i="17"/>
  <c r="D114" i="17"/>
  <c r="A116" i="17"/>
  <c r="B116" i="17"/>
  <c r="C116" i="17"/>
  <c r="D116" i="17"/>
  <c r="A118" i="17"/>
  <c r="B118" i="17"/>
  <c r="C118" i="17"/>
  <c r="D118" i="17"/>
  <c r="A120" i="17"/>
  <c r="B120" i="17"/>
  <c r="C120" i="17"/>
  <c r="D120" i="17"/>
  <c r="A122" i="17"/>
  <c r="B122" i="17"/>
  <c r="C122" i="17"/>
  <c r="D122" i="17"/>
  <c r="A124" i="17"/>
  <c r="B124" i="17"/>
  <c r="C124" i="17"/>
  <c r="D124" i="17"/>
  <c r="A126" i="17"/>
  <c r="B126" i="17"/>
  <c r="C126" i="17"/>
  <c r="D126" i="17"/>
  <c r="A128" i="17"/>
  <c r="B128" i="17"/>
  <c r="C128" i="17"/>
  <c r="D128" i="17"/>
  <c r="A130" i="17"/>
  <c r="B130" i="17"/>
  <c r="C130" i="17"/>
  <c r="D130" i="17"/>
  <c r="A132" i="17"/>
  <c r="B132" i="17"/>
  <c r="C132" i="17"/>
  <c r="D132" i="17"/>
  <c r="A134" i="17"/>
  <c r="B134" i="17"/>
  <c r="C134" i="17"/>
  <c r="D134" i="17"/>
  <c r="A136" i="17"/>
  <c r="B136" i="17"/>
  <c r="C136" i="17"/>
  <c r="D136" i="17"/>
  <c r="A138" i="17"/>
  <c r="B138" i="17"/>
  <c r="C138" i="17"/>
  <c r="D138" i="17"/>
  <c r="A140" i="17"/>
  <c r="B140" i="17"/>
  <c r="C140" i="17"/>
  <c r="D140" i="17"/>
  <c r="A142" i="17"/>
  <c r="B142" i="17"/>
  <c r="C142" i="17"/>
  <c r="D142" i="17"/>
  <c r="A144" i="17"/>
  <c r="B144" i="17"/>
  <c r="C144" i="17"/>
  <c r="D144" i="17"/>
  <c r="A146" i="17"/>
  <c r="B146" i="17"/>
  <c r="C146" i="17"/>
  <c r="D146" i="17"/>
  <c r="A148" i="17"/>
  <c r="B148" i="17"/>
  <c r="C148" i="17"/>
  <c r="D148" i="17"/>
  <c r="A150" i="17"/>
  <c r="B150" i="17"/>
  <c r="C150" i="17"/>
  <c r="D150" i="17"/>
  <c r="A152" i="17"/>
  <c r="B152" i="17"/>
  <c r="C152" i="17"/>
  <c r="C151" i="17" s="1"/>
  <c r="D152" i="17"/>
  <c r="A154" i="17"/>
  <c r="B154" i="17"/>
  <c r="C154" i="17"/>
  <c r="D154" i="17"/>
  <c r="A156" i="17"/>
  <c r="B156" i="17"/>
  <c r="C156" i="17"/>
  <c r="D156" i="17"/>
  <c r="A158" i="17"/>
  <c r="B158" i="17"/>
  <c r="C158" i="17"/>
  <c r="D158" i="17"/>
  <c r="A160" i="17"/>
  <c r="B160" i="17"/>
  <c r="C160" i="17"/>
  <c r="D160" i="17"/>
  <c r="A162" i="17"/>
  <c r="B162" i="17"/>
  <c r="C162" i="17"/>
  <c r="D162" i="17"/>
  <c r="A164" i="17"/>
  <c r="B164" i="17"/>
  <c r="C164" i="17"/>
  <c r="D164" i="17"/>
  <c r="A166" i="17"/>
  <c r="B166" i="17"/>
  <c r="C166" i="17"/>
  <c r="D166" i="17"/>
  <c r="A168" i="17"/>
  <c r="B168" i="17"/>
  <c r="C168" i="17"/>
  <c r="D168" i="17"/>
  <c r="A170" i="17"/>
  <c r="B170" i="17"/>
  <c r="C170" i="17"/>
  <c r="D170" i="17"/>
  <c r="A172" i="17"/>
  <c r="B172" i="17"/>
  <c r="C172" i="17"/>
  <c r="D172" i="17"/>
  <c r="A174" i="17"/>
  <c r="B174" i="17"/>
  <c r="C174" i="17"/>
  <c r="D174" i="17"/>
  <c r="A176" i="17"/>
  <c r="B176" i="17"/>
  <c r="C176" i="17"/>
  <c r="D176" i="17"/>
  <c r="A178" i="17"/>
  <c r="B178" i="17"/>
  <c r="C178" i="17"/>
  <c r="D178" i="17"/>
  <c r="A180" i="17"/>
  <c r="B180" i="17"/>
  <c r="C180" i="17"/>
  <c r="D180" i="17"/>
  <c r="A182" i="17"/>
  <c r="B182" i="17"/>
  <c r="C182" i="17"/>
  <c r="D182" i="17"/>
  <c r="A184" i="17"/>
  <c r="B184" i="17"/>
  <c r="C184" i="17"/>
  <c r="D184" i="17"/>
  <c r="A186" i="17"/>
  <c r="B186" i="17"/>
  <c r="C186" i="17"/>
  <c r="D186" i="17"/>
  <c r="A188" i="17"/>
  <c r="B188" i="17"/>
  <c r="C188" i="17"/>
  <c r="D188" i="17"/>
  <c r="A190" i="17"/>
  <c r="B190" i="17"/>
  <c r="C190" i="17"/>
  <c r="D190" i="17"/>
  <c r="A192" i="17"/>
  <c r="B192" i="17"/>
  <c r="C192" i="17"/>
  <c r="D192" i="17"/>
  <c r="A194" i="17"/>
  <c r="B194" i="17"/>
  <c r="C194" i="17"/>
  <c r="D194" i="17"/>
  <c r="A196" i="17"/>
  <c r="B196" i="17"/>
  <c r="C196" i="17"/>
  <c r="D196" i="17"/>
  <c r="A198" i="17"/>
  <c r="B198" i="17"/>
  <c r="C198" i="17"/>
  <c r="D198" i="17"/>
  <c r="A200" i="17"/>
  <c r="B200" i="17"/>
  <c r="C200" i="17"/>
  <c r="D200" i="17"/>
  <c r="A202" i="17"/>
  <c r="B202" i="17"/>
  <c r="C202" i="17"/>
  <c r="D202" i="17"/>
  <c r="A204" i="17"/>
  <c r="B204" i="17"/>
  <c r="C204" i="17"/>
  <c r="D204" i="17"/>
  <c r="A206" i="17"/>
  <c r="B206" i="17"/>
  <c r="C206" i="17"/>
  <c r="D206" i="17"/>
  <c r="A208" i="17"/>
  <c r="B208" i="17"/>
  <c r="C208" i="17"/>
  <c r="D208" i="17"/>
  <c r="A210" i="17"/>
  <c r="B210" i="17"/>
  <c r="C210" i="17"/>
  <c r="D210" i="17"/>
  <c r="A212" i="17"/>
  <c r="B212" i="17"/>
  <c r="C212" i="17"/>
  <c r="D212" i="17"/>
  <c r="A214" i="17"/>
  <c r="B214" i="17"/>
  <c r="C214" i="17"/>
  <c r="D214" i="17"/>
  <c r="A216" i="17"/>
  <c r="B216" i="17"/>
  <c r="C216" i="17"/>
  <c r="D216" i="17"/>
  <c r="A218" i="17"/>
  <c r="B218" i="17"/>
  <c r="C218" i="17"/>
  <c r="D218" i="17"/>
  <c r="A220" i="17"/>
  <c r="B220" i="17"/>
  <c r="C220" i="17"/>
  <c r="D220" i="17"/>
  <c r="A222" i="17"/>
  <c r="B222" i="17"/>
  <c r="C222" i="17"/>
  <c r="C221" i="17" s="1"/>
  <c r="D222" i="17"/>
  <c r="A224" i="17"/>
  <c r="B224" i="17"/>
  <c r="C224" i="17"/>
  <c r="D224" i="17"/>
  <c r="A226" i="17"/>
  <c r="B226" i="17"/>
  <c r="C226" i="17"/>
  <c r="D226" i="17"/>
  <c r="A228" i="17"/>
  <c r="B228" i="17"/>
  <c r="C228" i="17"/>
  <c r="D228" i="17"/>
  <c r="A230" i="17"/>
  <c r="B230" i="17"/>
  <c r="C230" i="17"/>
  <c r="D230" i="17"/>
  <c r="A232" i="17"/>
  <c r="B232" i="17"/>
  <c r="C232" i="17"/>
  <c r="D232" i="17"/>
  <c r="A234" i="17"/>
  <c r="B234" i="17"/>
  <c r="C234" i="17"/>
  <c r="D234" i="17"/>
  <c r="A236" i="17"/>
  <c r="A235" i="17" s="1"/>
  <c r="B236" i="17"/>
  <c r="C236" i="17"/>
  <c r="C235" i="17" s="1"/>
  <c r="D236" i="17"/>
  <c r="A238" i="17"/>
  <c r="A237" i="17" s="1"/>
  <c r="B238" i="17"/>
  <c r="C238" i="17"/>
  <c r="C237" i="17" s="1"/>
  <c r="D238" i="17"/>
  <c r="A240" i="17"/>
  <c r="B240" i="17"/>
  <c r="C240" i="17"/>
  <c r="D240" i="17"/>
  <c r="A242" i="17"/>
  <c r="B242" i="17"/>
  <c r="C242" i="17"/>
  <c r="D242" i="17"/>
  <c r="A244" i="17"/>
  <c r="A243" i="17" s="1"/>
  <c r="B244" i="17"/>
  <c r="C244" i="17"/>
  <c r="C243" i="17" s="1"/>
  <c r="D244" i="17"/>
  <c r="A246" i="17"/>
  <c r="A245" i="17" s="1"/>
  <c r="B246" i="17"/>
  <c r="C246" i="17"/>
  <c r="C245" i="17" s="1"/>
  <c r="D246" i="17"/>
  <c r="A248" i="17"/>
  <c r="A247" i="17" s="1"/>
  <c r="B248" i="17"/>
  <c r="C248" i="17"/>
  <c r="C247" i="17" s="1"/>
  <c r="D248" i="17"/>
  <c r="A250" i="17"/>
  <c r="A249" i="17" s="1"/>
  <c r="B250" i="17"/>
  <c r="C250" i="17"/>
  <c r="C249" i="17" s="1"/>
  <c r="D250" i="17"/>
  <c r="A252" i="17"/>
  <c r="A251" i="17" s="1"/>
  <c r="B252" i="17"/>
  <c r="C252" i="17"/>
  <c r="C251" i="17" s="1"/>
  <c r="D252" i="17"/>
  <c r="A254" i="17"/>
  <c r="A253" i="17" s="1"/>
  <c r="B254" i="17"/>
  <c r="C254" i="17"/>
  <c r="C253" i="17" s="1"/>
  <c r="D254" i="17"/>
  <c r="A256" i="17"/>
  <c r="B256" i="17"/>
  <c r="C256" i="17"/>
  <c r="D256" i="17"/>
  <c r="A258" i="17"/>
  <c r="B258" i="17"/>
  <c r="C258" i="17"/>
  <c r="D258" i="17"/>
  <c r="A260" i="17"/>
  <c r="B260" i="17"/>
  <c r="C260" i="17"/>
  <c r="D260" i="17"/>
  <c r="A262" i="17"/>
  <c r="B262" i="17"/>
  <c r="C262" i="17"/>
  <c r="D262" i="17"/>
  <c r="A264" i="17"/>
  <c r="B264" i="17"/>
  <c r="C264" i="17"/>
  <c r="D264" i="17"/>
  <c r="A266" i="17"/>
  <c r="B266" i="17"/>
  <c r="C266" i="17"/>
  <c r="D266" i="17"/>
  <c r="A268" i="17"/>
  <c r="B268" i="17"/>
  <c r="C268" i="17"/>
  <c r="D268" i="17"/>
  <c r="A270" i="17"/>
  <c r="A269" i="17" s="1"/>
  <c r="B270" i="17"/>
  <c r="C270" i="17"/>
  <c r="C269" i="17" s="1"/>
  <c r="D270" i="17"/>
  <c r="A272" i="17"/>
  <c r="B272" i="17"/>
  <c r="C272" i="17"/>
  <c r="D272" i="17"/>
  <c r="A274" i="17"/>
  <c r="B274" i="17"/>
  <c r="C274" i="17"/>
  <c r="D274" i="17"/>
  <c r="A276" i="17"/>
  <c r="A275" i="17" s="1"/>
  <c r="B276" i="17"/>
  <c r="C276" i="17"/>
  <c r="C275" i="17" s="1"/>
  <c r="D276" i="17"/>
  <c r="A278" i="17"/>
  <c r="B278" i="17"/>
  <c r="C278" i="17"/>
  <c r="D278" i="17"/>
  <c r="A280" i="17"/>
  <c r="A279" i="17" s="1"/>
  <c r="B280" i="17"/>
  <c r="C280" i="17"/>
  <c r="D280" i="17"/>
  <c r="A282" i="17"/>
  <c r="B282" i="17"/>
  <c r="C282" i="17"/>
  <c r="D282" i="17"/>
  <c r="A284" i="17"/>
  <c r="B284" i="17"/>
  <c r="C284" i="17"/>
  <c r="D284" i="17"/>
  <c r="A286" i="17"/>
  <c r="B286" i="17"/>
  <c r="C286" i="17"/>
  <c r="C285" i="17" s="1"/>
  <c r="D286" i="17"/>
  <c r="A288" i="17"/>
  <c r="A287" i="17" s="1"/>
  <c r="B288" i="17"/>
  <c r="C288" i="17"/>
  <c r="C287" i="17" s="1"/>
  <c r="D288" i="17"/>
  <c r="A290" i="17"/>
  <c r="A289" i="17" s="1"/>
  <c r="B290" i="17"/>
  <c r="C290" i="17"/>
  <c r="C289" i="17" s="1"/>
  <c r="D290" i="17"/>
  <c r="A292" i="17"/>
  <c r="A291" i="17" s="1"/>
  <c r="B292" i="17"/>
  <c r="C292" i="17"/>
  <c r="C291" i="17" s="1"/>
  <c r="D292" i="17"/>
  <c r="A294" i="17"/>
  <c r="A293" i="17" s="1"/>
  <c r="B294" i="17"/>
  <c r="C294" i="17"/>
  <c r="C293" i="17" s="1"/>
  <c r="D294" i="17"/>
  <c r="A296" i="17"/>
  <c r="A295" i="17" s="1"/>
  <c r="B296" i="17"/>
  <c r="C296" i="17"/>
  <c r="C295" i="17" s="1"/>
  <c r="D296" i="17"/>
  <c r="A298" i="17"/>
  <c r="A297" i="17" s="1"/>
  <c r="B298" i="17"/>
  <c r="C298" i="17"/>
  <c r="C297" i="17" s="1"/>
  <c r="D298" i="17"/>
  <c r="A300" i="17"/>
  <c r="A299" i="17" s="1"/>
  <c r="B300" i="17"/>
  <c r="C300" i="17"/>
  <c r="C299" i="17" s="1"/>
  <c r="D300" i="17"/>
  <c r="A302" i="17"/>
  <c r="A301" i="17" s="1"/>
  <c r="B302" i="17"/>
  <c r="C302" i="17"/>
  <c r="C301" i="17" s="1"/>
  <c r="D302" i="17"/>
  <c r="A304" i="17"/>
  <c r="A303" i="17" s="1"/>
  <c r="B304" i="17"/>
  <c r="C304" i="17"/>
  <c r="C303" i="17" s="1"/>
  <c r="D304" i="17"/>
  <c r="A306" i="17"/>
  <c r="A305" i="17" s="1"/>
  <c r="B306" i="17"/>
  <c r="C306" i="17"/>
  <c r="C305" i="17" s="1"/>
  <c r="D306" i="17"/>
  <c r="A308" i="17"/>
  <c r="A307" i="17" s="1"/>
  <c r="B308" i="17"/>
  <c r="C308" i="17"/>
  <c r="C307" i="17" s="1"/>
  <c r="D308" i="17"/>
  <c r="A310" i="17"/>
  <c r="A309" i="17" s="1"/>
  <c r="B310" i="17"/>
  <c r="C310" i="17"/>
  <c r="C309" i="17" s="1"/>
  <c r="D310" i="17"/>
  <c r="A312" i="17"/>
  <c r="A311" i="17" s="1"/>
  <c r="B312" i="17"/>
  <c r="C312" i="17"/>
  <c r="C311" i="17" s="1"/>
  <c r="D312" i="17"/>
  <c r="A314" i="17"/>
  <c r="A313" i="17" s="1"/>
  <c r="B314" i="17"/>
  <c r="C314" i="17"/>
  <c r="C313" i="17" s="1"/>
  <c r="D314" i="17"/>
  <c r="A316" i="17"/>
  <c r="A315" i="17" s="1"/>
  <c r="B316" i="17"/>
  <c r="C316" i="17"/>
  <c r="C315" i="17" s="1"/>
  <c r="D316" i="17"/>
  <c r="A318" i="17"/>
  <c r="A317" i="17" s="1"/>
  <c r="B318" i="17"/>
  <c r="C318" i="17"/>
  <c r="C317" i="17" s="1"/>
  <c r="D318" i="17"/>
  <c r="A320" i="17"/>
  <c r="A319" i="17" s="1"/>
  <c r="B320" i="17"/>
  <c r="C320" i="17"/>
  <c r="C319" i="17" s="1"/>
  <c r="D320" i="17"/>
  <c r="A322" i="17"/>
  <c r="A321" i="17" s="1"/>
  <c r="B322" i="17"/>
  <c r="C322" i="17"/>
  <c r="C321" i="17" s="1"/>
  <c r="D322" i="17"/>
  <c r="A324" i="17"/>
  <c r="A323" i="17" s="1"/>
  <c r="B324" i="17"/>
  <c r="C324" i="17"/>
  <c r="C323" i="17" s="1"/>
  <c r="D324" i="17"/>
  <c r="A326" i="17"/>
  <c r="A325" i="17" s="1"/>
  <c r="B326" i="17"/>
  <c r="C326" i="17"/>
  <c r="C325" i="17" s="1"/>
  <c r="D326" i="17"/>
  <c r="A328" i="17"/>
  <c r="A327" i="17" s="1"/>
  <c r="B328" i="17"/>
  <c r="C328" i="17"/>
  <c r="C327" i="17" s="1"/>
  <c r="D328" i="17"/>
  <c r="A330" i="17"/>
  <c r="A329" i="17" s="1"/>
  <c r="B330" i="17"/>
  <c r="C330" i="17"/>
  <c r="C329" i="17" s="1"/>
  <c r="D330" i="17"/>
  <c r="A332" i="17"/>
  <c r="A331" i="17" s="1"/>
  <c r="B332" i="17"/>
  <c r="C332" i="17"/>
  <c r="C331" i="17" s="1"/>
  <c r="D332" i="17"/>
  <c r="A334" i="17"/>
  <c r="A333" i="17" s="1"/>
  <c r="B334" i="17"/>
  <c r="C334" i="17"/>
  <c r="C333" i="17" s="1"/>
  <c r="D334" i="17"/>
  <c r="A336" i="17"/>
  <c r="A335" i="17" s="1"/>
  <c r="B336" i="17"/>
  <c r="C336" i="17"/>
  <c r="C335" i="17" s="1"/>
  <c r="D336" i="17"/>
  <c r="A338" i="17"/>
  <c r="A337" i="17" s="1"/>
  <c r="B338" i="17"/>
  <c r="C338" i="17"/>
  <c r="C337" i="17" s="1"/>
  <c r="D338" i="17"/>
  <c r="A340" i="17"/>
  <c r="A339" i="17" s="1"/>
  <c r="B340" i="17"/>
  <c r="C340" i="17"/>
  <c r="C339" i="17" s="1"/>
  <c r="D340" i="17"/>
  <c r="A342" i="17"/>
  <c r="A341" i="17" s="1"/>
  <c r="B342" i="17"/>
  <c r="C342" i="17"/>
  <c r="C341" i="17" s="1"/>
  <c r="D342" i="17"/>
  <c r="A344" i="17"/>
  <c r="A343" i="17" s="1"/>
  <c r="B344" i="17"/>
  <c r="C344" i="17"/>
  <c r="C343" i="17" s="1"/>
  <c r="D344" i="17"/>
  <c r="A346" i="17"/>
  <c r="A345" i="17" s="1"/>
  <c r="B346" i="17"/>
  <c r="C346" i="17"/>
  <c r="C345" i="17" s="1"/>
  <c r="D346" i="17"/>
  <c r="A348" i="17"/>
  <c r="A347" i="17" s="1"/>
  <c r="B348" i="17"/>
  <c r="C348" i="17"/>
  <c r="C347" i="17" s="1"/>
  <c r="D348" i="17"/>
  <c r="A350" i="17"/>
  <c r="A349" i="17" s="1"/>
  <c r="B350" i="17"/>
  <c r="C350" i="17"/>
  <c r="C349" i="17" s="1"/>
  <c r="D350" i="17"/>
  <c r="A352" i="17"/>
  <c r="A351" i="17" s="1"/>
  <c r="B352" i="17"/>
  <c r="C352" i="17"/>
  <c r="C351" i="17" s="1"/>
  <c r="D352" i="17"/>
  <c r="A354" i="17"/>
  <c r="A353" i="17" s="1"/>
  <c r="B354" i="17"/>
  <c r="C354" i="17"/>
  <c r="C353" i="17" s="1"/>
  <c r="D354" i="17"/>
  <c r="A356" i="17"/>
  <c r="A355" i="17" s="1"/>
  <c r="B356" i="17"/>
  <c r="C356" i="17"/>
  <c r="C355" i="17" s="1"/>
  <c r="D356" i="17"/>
  <c r="A358" i="17"/>
  <c r="A357" i="17" s="1"/>
  <c r="B358" i="17"/>
  <c r="C358" i="17"/>
  <c r="C357" i="17" s="1"/>
  <c r="D358" i="17"/>
  <c r="A360" i="17"/>
  <c r="A359" i="17" s="1"/>
  <c r="B360" i="17"/>
  <c r="C360" i="17"/>
  <c r="C359" i="17" s="1"/>
  <c r="D360" i="17"/>
  <c r="A362" i="17"/>
  <c r="A361" i="17" s="1"/>
  <c r="B362" i="17"/>
  <c r="C362" i="17"/>
  <c r="C361" i="17" s="1"/>
  <c r="D362" i="17"/>
  <c r="A364" i="17"/>
  <c r="A363" i="17" s="1"/>
  <c r="B364" i="17"/>
  <c r="C364" i="17"/>
  <c r="C363" i="17" s="1"/>
  <c r="D364" i="17"/>
  <c r="A366" i="17"/>
  <c r="A365" i="17" s="1"/>
  <c r="B366" i="17"/>
  <c r="C366" i="17"/>
  <c r="C365" i="17" s="1"/>
  <c r="D366" i="17"/>
  <c r="A368" i="17"/>
  <c r="A367" i="17" s="1"/>
  <c r="B368" i="17"/>
  <c r="C368" i="17"/>
  <c r="C367" i="17" s="1"/>
  <c r="D368" i="17"/>
  <c r="A370" i="17"/>
  <c r="A369" i="17" s="1"/>
  <c r="B370" i="17"/>
  <c r="C370" i="17"/>
  <c r="C369" i="17" s="1"/>
  <c r="D370" i="17"/>
  <c r="A372" i="17"/>
  <c r="A371" i="17" s="1"/>
  <c r="B372" i="17"/>
  <c r="C372" i="17"/>
  <c r="C371" i="17" s="1"/>
  <c r="D372" i="17"/>
  <c r="A374" i="17"/>
  <c r="A373" i="17" s="1"/>
  <c r="B374" i="17"/>
  <c r="C374" i="17"/>
  <c r="C373" i="17" s="1"/>
  <c r="D374" i="17"/>
  <c r="A376" i="17"/>
  <c r="A375" i="17" s="1"/>
  <c r="B376" i="17"/>
  <c r="C376" i="17"/>
  <c r="C375" i="17" s="1"/>
  <c r="D376" i="17"/>
  <c r="A378" i="17"/>
  <c r="A377" i="17" s="1"/>
  <c r="B378" i="17"/>
  <c r="C378" i="17"/>
  <c r="C377" i="17" s="1"/>
  <c r="D378" i="17"/>
  <c r="A380" i="17"/>
  <c r="A379" i="17" s="1"/>
  <c r="B380" i="17"/>
  <c r="C380" i="17"/>
  <c r="C379" i="17" s="1"/>
  <c r="D380" i="17"/>
  <c r="A382" i="17"/>
  <c r="A381" i="17" s="1"/>
  <c r="B382" i="17"/>
  <c r="C382" i="17"/>
  <c r="C381" i="17" s="1"/>
  <c r="D382" i="17"/>
  <c r="A384" i="17"/>
  <c r="A383" i="17" s="1"/>
  <c r="B384" i="17"/>
  <c r="C384" i="17"/>
  <c r="C383" i="17" s="1"/>
  <c r="D384" i="17"/>
  <c r="A386" i="17"/>
  <c r="A385" i="17" s="1"/>
  <c r="B386" i="17"/>
  <c r="C386" i="17"/>
  <c r="C385" i="17" s="1"/>
  <c r="D386" i="17"/>
  <c r="A388" i="17"/>
  <c r="A387" i="17" s="1"/>
  <c r="B388" i="17"/>
  <c r="C388" i="17"/>
  <c r="C387" i="17" s="1"/>
  <c r="D388" i="17"/>
  <c r="A390" i="17"/>
  <c r="A389" i="17" s="1"/>
  <c r="B390" i="17"/>
  <c r="C390" i="17"/>
  <c r="C389" i="17" s="1"/>
  <c r="D390" i="17"/>
  <c r="A392" i="17"/>
  <c r="A391" i="17" s="1"/>
  <c r="B392" i="17"/>
  <c r="C392" i="17"/>
  <c r="C391" i="17" s="1"/>
  <c r="D392" i="17"/>
  <c r="A394" i="17"/>
  <c r="A393" i="17" s="1"/>
  <c r="B394" i="17"/>
  <c r="C394" i="17"/>
  <c r="C393" i="17" s="1"/>
  <c r="D394" i="17"/>
  <c r="A396" i="17"/>
  <c r="A395" i="17" s="1"/>
  <c r="B396" i="17"/>
  <c r="C396" i="17"/>
  <c r="C395" i="17" s="1"/>
  <c r="D396" i="17"/>
  <c r="A398" i="17"/>
  <c r="A397" i="17" s="1"/>
  <c r="B398" i="17"/>
  <c r="C398" i="17"/>
  <c r="C397" i="17" s="1"/>
  <c r="D398" i="17"/>
  <c r="A400" i="17"/>
  <c r="A399" i="17" s="1"/>
  <c r="B400" i="17"/>
  <c r="C400" i="17"/>
  <c r="C399" i="17" s="1"/>
  <c r="D400" i="17"/>
  <c r="A402" i="17"/>
  <c r="A401" i="17" s="1"/>
  <c r="B402" i="17"/>
  <c r="C402" i="17"/>
  <c r="C401" i="17" s="1"/>
  <c r="D402" i="17"/>
  <c r="A404" i="17"/>
  <c r="A403" i="17" s="1"/>
  <c r="B404" i="17"/>
  <c r="C404" i="17"/>
  <c r="C403" i="17" s="1"/>
  <c r="D404" i="17"/>
  <c r="A406" i="17"/>
  <c r="A405" i="17" s="1"/>
  <c r="B406" i="17"/>
  <c r="C406" i="17"/>
  <c r="C405" i="17" s="1"/>
  <c r="D406" i="17"/>
  <c r="A408" i="17"/>
  <c r="A407" i="17" s="1"/>
  <c r="B408" i="17"/>
  <c r="C408" i="17"/>
  <c r="C407" i="17" s="1"/>
  <c r="D408" i="17"/>
  <c r="A410" i="17"/>
  <c r="A409" i="17" s="1"/>
  <c r="B410" i="17"/>
  <c r="C410" i="17"/>
  <c r="C409" i="17" s="1"/>
  <c r="D410" i="17"/>
  <c r="A412" i="17"/>
  <c r="A411" i="17" s="1"/>
  <c r="B412" i="17"/>
  <c r="C412" i="17"/>
  <c r="C411" i="17" s="1"/>
  <c r="D412" i="17"/>
  <c r="A414" i="17"/>
  <c r="A413" i="17" s="1"/>
  <c r="B414" i="17"/>
  <c r="C414" i="17"/>
  <c r="C413" i="17" s="1"/>
  <c r="D414" i="17"/>
  <c r="A416" i="17"/>
  <c r="A415" i="17" s="1"/>
  <c r="B416" i="17"/>
  <c r="C416" i="17"/>
  <c r="C415" i="17" s="1"/>
  <c r="D416" i="17"/>
  <c r="A418" i="17"/>
  <c r="A417" i="17" s="1"/>
  <c r="B418" i="17"/>
  <c r="C418" i="17"/>
  <c r="C417" i="17" s="1"/>
  <c r="D418" i="17"/>
  <c r="A420" i="17"/>
  <c r="A419" i="17" s="1"/>
  <c r="B420" i="17"/>
  <c r="C420" i="17"/>
  <c r="C419" i="17" s="1"/>
  <c r="D420" i="17"/>
  <c r="A422" i="17"/>
  <c r="A421" i="17" s="1"/>
  <c r="B422" i="17"/>
  <c r="C422" i="17"/>
  <c r="C421" i="17" s="1"/>
  <c r="D422" i="17"/>
  <c r="A424" i="17"/>
  <c r="A423" i="17" s="1"/>
  <c r="B424" i="17"/>
  <c r="C424" i="17"/>
  <c r="C423" i="17" s="1"/>
  <c r="D424" i="17"/>
  <c r="A426" i="17"/>
  <c r="A425" i="17" s="1"/>
  <c r="B426" i="17"/>
  <c r="C426" i="17"/>
  <c r="C425" i="17" s="1"/>
  <c r="D426" i="17"/>
  <c r="A428" i="17"/>
  <c r="A427" i="17" s="1"/>
  <c r="B428" i="17"/>
  <c r="C428" i="17"/>
  <c r="C427" i="17" s="1"/>
  <c r="D428" i="17"/>
  <c r="A430" i="17"/>
  <c r="A429" i="17" s="1"/>
  <c r="B430" i="17"/>
  <c r="C430" i="17"/>
  <c r="C429" i="17" s="1"/>
  <c r="D430" i="17"/>
  <c r="A432" i="17"/>
  <c r="A431" i="17" s="1"/>
  <c r="B432" i="17"/>
  <c r="C432" i="17"/>
  <c r="C431" i="17" s="1"/>
  <c r="D432" i="17"/>
  <c r="A434" i="17"/>
  <c r="A433" i="17" s="1"/>
  <c r="B434" i="17"/>
  <c r="C434" i="17"/>
  <c r="C433" i="17" s="1"/>
  <c r="D434" i="17"/>
  <c r="A436" i="17"/>
  <c r="A435" i="17" s="1"/>
  <c r="B436" i="17"/>
  <c r="C436" i="17"/>
  <c r="C435" i="17" s="1"/>
  <c r="D436" i="17"/>
  <c r="A438" i="17"/>
  <c r="A437" i="17" s="1"/>
  <c r="B438" i="17"/>
  <c r="C438" i="17"/>
  <c r="C437" i="17" s="1"/>
  <c r="D438" i="17"/>
  <c r="A440" i="17"/>
  <c r="A439" i="17" s="1"/>
  <c r="B440" i="17"/>
  <c r="C440" i="17"/>
  <c r="C439" i="17" s="1"/>
  <c r="D440" i="17"/>
  <c r="A442" i="17"/>
  <c r="A441" i="17" s="1"/>
  <c r="B442" i="17"/>
  <c r="C442" i="17"/>
  <c r="C441" i="17" s="1"/>
  <c r="D442" i="17"/>
  <c r="A444" i="17"/>
  <c r="A443" i="17" s="1"/>
  <c r="B444" i="17"/>
  <c r="C444" i="17"/>
  <c r="C443" i="17" s="1"/>
  <c r="D444" i="17"/>
  <c r="A446" i="17"/>
  <c r="A445" i="17" s="1"/>
  <c r="B446" i="17"/>
  <c r="C446" i="17"/>
  <c r="C445" i="17" s="1"/>
  <c r="D446" i="17"/>
  <c r="A448" i="17"/>
  <c r="A447" i="17" s="1"/>
  <c r="B448" i="17"/>
  <c r="C448" i="17"/>
  <c r="C447" i="17" s="1"/>
  <c r="D448" i="17"/>
  <c r="A450" i="17"/>
  <c r="A449" i="17" s="1"/>
  <c r="B450" i="17"/>
  <c r="C450" i="17"/>
  <c r="C449" i="17" s="1"/>
  <c r="D450" i="17"/>
  <c r="A452" i="17"/>
  <c r="A451" i="17" s="1"/>
  <c r="B452" i="17"/>
  <c r="C452" i="17"/>
  <c r="C451" i="17" s="1"/>
  <c r="D452" i="17"/>
  <c r="A454" i="17"/>
  <c r="A453" i="17" s="1"/>
  <c r="B454" i="17"/>
  <c r="C454" i="17"/>
  <c r="C453" i="17" s="1"/>
  <c r="D454" i="17"/>
  <c r="A456" i="17"/>
  <c r="A455" i="17" s="1"/>
  <c r="B456" i="17"/>
  <c r="C456" i="17"/>
  <c r="C455" i="17" s="1"/>
  <c r="D456" i="17"/>
  <c r="A458" i="17"/>
  <c r="A457" i="17" s="1"/>
  <c r="B458" i="17"/>
  <c r="C458" i="17"/>
  <c r="C457" i="17" s="1"/>
  <c r="D458" i="17"/>
  <c r="A460" i="17"/>
  <c r="A459" i="17" s="1"/>
  <c r="B460" i="17"/>
  <c r="C460" i="17"/>
  <c r="C459" i="17" s="1"/>
  <c r="D460" i="17"/>
  <c r="A462" i="17"/>
  <c r="A461" i="17" s="1"/>
  <c r="B462" i="17"/>
  <c r="C462" i="17"/>
  <c r="C461" i="17" s="1"/>
  <c r="D462" i="17"/>
  <c r="A464" i="17"/>
  <c r="A463" i="17" s="1"/>
  <c r="B464" i="17"/>
  <c r="C464" i="17"/>
  <c r="C463" i="17" s="1"/>
  <c r="D464" i="17"/>
  <c r="A466" i="17"/>
  <c r="A465" i="17" s="1"/>
  <c r="B466" i="17"/>
  <c r="C466" i="17"/>
  <c r="C465" i="17" s="1"/>
  <c r="D466" i="17"/>
  <c r="A468" i="17"/>
  <c r="A467" i="17" s="1"/>
  <c r="B468" i="17"/>
  <c r="C468" i="17"/>
  <c r="C467" i="17" s="1"/>
  <c r="D468" i="17"/>
  <c r="A470" i="17"/>
  <c r="A469" i="17" s="1"/>
  <c r="B470" i="17"/>
  <c r="C470" i="17"/>
  <c r="C469" i="17" s="1"/>
  <c r="D470" i="17"/>
  <c r="A472" i="17"/>
  <c r="A471" i="17" s="1"/>
  <c r="B472" i="17"/>
  <c r="C472" i="17"/>
  <c r="C471" i="17" s="1"/>
  <c r="D472" i="17"/>
  <c r="A474" i="17"/>
  <c r="A473" i="17" s="1"/>
  <c r="B474" i="17"/>
  <c r="C474" i="17"/>
  <c r="C473" i="17" s="1"/>
  <c r="D474" i="17"/>
  <c r="A476" i="17"/>
  <c r="A475" i="17" s="1"/>
  <c r="B476" i="17"/>
  <c r="C476" i="17"/>
  <c r="C475" i="17" s="1"/>
  <c r="D476" i="17"/>
  <c r="A478" i="17"/>
  <c r="A477" i="17" s="1"/>
  <c r="B478" i="17"/>
  <c r="C478" i="17"/>
  <c r="C477" i="17" s="1"/>
  <c r="D478" i="17"/>
  <c r="A480" i="17"/>
  <c r="A479" i="17" s="1"/>
  <c r="B480" i="17"/>
  <c r="C480" i="17"/>
  <c r="C479" i="17" s="1"/>
  <c r="D480" i="17"/>
  <c r="A482" i="17"/>
  <c r="A481" i="17" s="1"/>
  <c r="B482" i="17"/>
  <c r="C482" i="17"/>
  <c r="C481" i="17" s="1"/>
  <c r="D482" i="17"/>
  <c r="A484" i="17"/>
  <c r="A483" i="17" s="1"/>
  <c r="B484" i="17"/>
  <c r="C484" i="17"/>
  <c r="C483" i="17" s="1"/>
  <c r="D484" i="17"/>
  <c r="A486" i="17"/>
  <c r="A485" i="17" s="1"/>
  <c r="B486" i="17"/>
  <c r="C486" i="17"/>
  <c r="C485" i="17" s="1"/>
  <c r="D486" i="17"/>
  <c r="A488" i="17"/>
  <c r="A487" i="17" s="1"/>
  <c r="B488" i="17"/>
  <c r="C488" i="17"/>
  <c r="C487" i="17" s="1"/>
  <c r="D488" i="17"/>
  <c r="A490" i="17"/>
  <c r="A489" i="17" s="1"/>
  <c r="B490" i="17"/>
  <c r="C490" i="17"/>
  <c r="C489" i="17" s="1"/>
  <c r="D490" i="17"/>
  <c r="A492" i="17"/>
  <c r="A491" i="17" s="1"/>
  <c r="B492" i="17"/>
  <c r="C492" i="17"/>
  <c r="C491" i="17" s="1"/>
  <c r="D492" i="17"/>
  <c r="A494" i="17"/>
  <c r="A493" i="17" s="1"/>
  <c r="B494" i="17"/>
  <c r="C494" i="17"/>
  <c r="C493" i="17" s="1"/>
  <c r="D494" i="17"/>
  <c r="A496" i="17"/>
  <c r="A495" i="17" s="1"/>
  <c r="B496" i="17"/>
  <c r="C496" i="17"/>
  <c r="C495" i="17" s="1"/>
  <c r="D496" i="17"/>
  <c r="A498" i="17"/>
  <c r="A497" i="17" s="1"/>
  <c r="B498" i="17"/>
  <c r="C498" i="17"/>
  <c r="C497" i="17" s="1"/>
  <c r="D498" i="17"/>
  <c r="A4" i="17"/>
  <c r="B4" i="17"/>
  <c r="C4" i="17"/>
  <c r="D4" i="17"/>
  <c r="D2" i="17"/>
  <c r="C2" i="17"/>
  <c r="B2" i="17"/>
  <c r="A2" i="17"/>
  <c r="D500" i="17"/>
  <c r="C500" i="17"/>
  <c r="B500" i="17"/>
  <c r="A500" i="17"/>
  <c r="A4" i="13"/>
  <c r="B4" i="13"/>
  <c r="C4" i="13"/>
  <c r="D4" i="13"/>
  <c r="C5" i="16"/>
  <c r="A5" i="16"/>
  <c r="C3" i="16"/>
  <c r="A3" i="16"/>
  <c r="C1" i="16"/>
  <c r="A6" i="13"/>
  <c r="B6" i="13"/>
  <c r="C6" i="13"/>
  <c r="C5" i="13" s="1"/>
  <c r="D6" i="13"/>
  <c r="A8" i="13"/>
  <c r="B8" i="13"/>
  <c r="C8" i="13"/>
  <c r="C7" i="13" s="1"/>
  <c r="D8" i="13"/>
  <c r="A10" i="13"/>
  <c r="B10" i="13"/>
  <c r="C10" i="13"/>
  <c r="C9" i="13" s="1"/>
  <c r="D10" i="13"/>
  <c r="A12" i="13"/>
  <c r="B12" i="13"/>
  <c r="C12" i="13"/>
  <c r="C11" i="13" s="1"/>
  <c r="D12" i="13"/>
  <c r="A14" i="13"/>
  <c r="B14" i="13"/>
  <c r="C14" i="13"/>
  <c r="C13" i="13" s="1"/>
  <c r="D14" i="13"/>
  <c r="A16" i="13"/>
  <c r="B16" i="13"/>
  <c r="C16" i="13"/>
  <c r="C15" i="13" s="1"/>
  <c r="D16" i="13"/>
  <c r="A18" i="13"/>
  <c r="B18" i="13"/>
  <c r="C18" i="13"/>
  <c r="C17" i="13" s="1"/>
  <c r="D18" i="13"/>
  <c r="A20" i="13"/>
  <c r="B20" i="13"/>
  <c r="C20" i="13"/>
  <c r="D20" i="13"/>
  <c r="A22" i="13"/>
  <c r="B22" i="13"/>
  <c r="C22" i="13"/>
  <c r="C21" i="13" s="1"/>
  <c r="D22" i="13"/>
  <c r="A24" i="13"/>
  <c r="B24" i="13"/>
  <c r="C24" i="13"/>
  <c r="C23" i="13" s="1"/>
  <c r="D24" i="13"/>
  <c r="A26" i="13"/>
  <c r="B26" i="13"/>
  <c r="C26" i="13"/>
  <c r="C25" i="13" s="1"/>
  <c r="D26" i="13"/>
  <c r="A28" i="13"/>
  <c r="B28" i="13"/>
  <c r="C28" i="13"/>
  <c r="C27" i="13" s="1"/>
  <c r="D28" i="13"/>
  <c r="A30" i="13"/>
  <c r="B30" i="13"/>
  <c r="C30" i="13"/>
  <c r="C29" i="13" s="1"/>
  <c r="D30" i="13"/>
  <c r="A32" i="13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A100" i="13"/>
  <c r="A99" i="13" s="1"/>
  <c r="B100" i="13"/>
  <c r="C100" i="13"/>
  <c r="C99" i="13" s="1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A116" i="13"/>
  <c r="A115" i="13" s="1"/>
  <c r="B116" i="13"/>
  <c r="C116" i="13"/>
  <c r="C115" i="13" s="1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8" i="13"/>
  <c r="A137" i="13" s="1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162" i="13"/>
  <c r="A161" i="13" s="1"/>
  <c r="B162" i="13"/>
  <c r="C162" i="13"/>
  <c r="C161" i="13" s="1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A180" i="13"/>
  <c r="A179" i="13" s="1"/>
  <c r="B180" i="13"/>
  <c r="C180" i="13"/>
  <c r="C179" i="13" s="1"/>
  <c r="D180" i="13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6" i="13"/>
  <c r="A185" i="13" s="1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A212" i="13"/>
  <c r="A211" i="13" s="1"/>
  <c r="B212" i="13"/>
  <c r="C212" i="13"/>
  <c r="C211" i="13" s="1"/>
  <c r="D212" i="13"/>
  <c r="A214" i="13"/>
  <c r="A213" i="13" s="1"/>
  <c r="B214" i="13"/>
  <c r="C214" i="13"/>
  <c r="C213" i="13" s="1"/>
  <c r="D214" i="13"/>
  <c r="A216" i="13"/>
  <c r="A215" i="13" s="1"/>
  <c r="B216" i="13"/>
  <c r="C216" i="13"/>
  <c r="C215" i="13" s="1"/>
  <c r="D216" i="13"/>
  <c r="A218" i="13"/>
  <c r="A217" i="13" s="1"/>
  <c r="B218" i="13"/>
  <c r="C218" i="13"/>
  <c r="C217" i="13" s="1"/>
  <c r="D218" i="13"/>
  <c r="A220" i="13"/>
  <c r="A219" i="13" s="1"/>
  <c r="B220" i="13"/>
  <c r="C220" i="13"/>
  <c r="C219" i="13" s="1"/>
  <c r="D220" i="13"/>
  <c r="A222" i="13"/>
  <c r="A221" i="13" s="1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A228" i="13"/>
  <c r="A227" i="13" s="1"/>
  <c r="B228" i="13"/>
  <c r="C228" i="13"/>
  <c r="C227" i="13" s="1"/>
  <c r="D228" i="13"/>
  <c r="A230" i="13"/>
  <c r="A229" i="13" s="1"/>
  <c r="B230" i="13"/>
  <c r="C230" i="13"/>
  <c r="C229" i="13" s="1"/>
  <c r="D230" i="13"/>
  <c r="A232" i="13"/>
  <c r="A231" i="13" s="1"/>
  <c r="B232" i="13"/>
  <c r="C232" i="13"/>
  <c r="C231" i="13" s="1"/>
  <c r="D232" i="13"/>
  <c r="A234" i="13"/>
  <c r="A233" i="13" s="1"/>
  <c r="B234" i="13"/>
  <c r="C234" i="13"/>
  <c r="C233" i="13" s="1"/>
  <c r="D234" i="13"/>
  <c r="A236" i="13"/>
  <c r="A235" i="13" s="1"/>
  <c r="B236" i="13"/>
  <c r="C236" i="13"/>
  <c r="C235" i="13" s="1"/>
  <c r="D236" i="13"/>
  <c r="A238" i="13"/>
  <c r="A237" i="13" s="1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A244" i="13"/>
  <c r="A243" i="13" s="1"/>
  <c r="B244" i="13"/>
  <c r="C244" i="13"/>
  <c r="C243" i="13" s="1"/>
  <c r="D244" i="13"/>
  <c r="A246" i="13"/>
  <c r="A245" i="13" s="1"/>
  <c r="B246" i="13"/>
  <c r="C246" i="13"/>
  <c r="C245" i="13" s="1"/>
  <c r="D246" i="13"/>
  <c r="A248" i="13"/>
  <c r="A247" i="13" s="1"/>
  <c r="B248" i="13"/>
  <c r="C248" i="13"/>
  <c r="C247" i="13" s="1"/>
  <c r="D248" i="13"/>
  <c r="A250" i="13"/>
  <c r="A249" i="13" s="1"/>
  <c r="B250" i="13"/>
  <c r="C250" i="13"/>
  <c r="C249" i="13" s="1"/>
  <c r="D250" i="13"/>
  <c r="A252" i="13"/>
  <c r="A251" i="13" s="1"/>
  <c r="B252" i="13"/>
  <c r="C252" i="13"/>
  <c r="C251" i="13" s="1"/>
  <c r="D252" i="13"/>
  <c r="A254" i="13"/>
  <c r="A253" i="13" s="1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A260" i="13"/>
  <c r="A259" i="13" s="1"/>
  <c r="B260" i="13"/>
  <c r="C260" i="13"/>
  <c r="C259" i="13" s="1"/>
  <c r="D260" i="13"/>
  <c r="A262" i="13"/>
  <c r="A261" i="13" s="1"/>
  <c r="B262" i="13"/>
  <c r="C262" i="13"/>
  <c r="C261" i="13" s="1"/>
  <c r="D262" i="13"/>
  <c r="A264" i="13"/>
  <c r="A263" i="13" s="1"/>
  <c r="B264" i="13"/>
  <c r="C264" i="13"/>
  <c r="C263" i="13" s="1"/>
  <c r="D264" i="13"/>
  <c r="A266" i="13"/>
  <c r="A265" i="13" s="1"/>
  <c r="B266" i="13"/>
  <c r="C266" i="13"/>
  <c r="C265" i="13" s="1"/>
  <c r="D266" i="13"/>
  <c r="A268" i="13"/>
  <c r="A267" i="13" s="1"/>
  <c r="B268" i="13"/>
  <c r="C268" i="13"/>
  <c r="C267" i="13" s="1"/>
  <c r="D268" i="13"/>
  <c r="A270" i="13"/>
  <c r="A269" i="13" s="1"/>
  <c r="B270" i="13"/>
  <c r="C270" i="13"/>
  <c r="C269" i="13" s="1"/>
  <c r="D270" i="13"/>
  <c r="A272" i="13"/>
  <c r="A271" i="13" s="1"/>
  <c r="B272" i="13"/>
  <c r="C272" i="13"/>
  <c r="C271" i="13" s="1"/>
  <c r="D272" i="13"/>
  <c r="A274" i="13"/>
  <c r="A273" i="13" s="1"/>
  <c r="B274" i="13"/>
  <c r="C274" i="13"/>
  <c r="C273" i="13" s="1"/>
  <c r="D274" i="13"/>
  <c r="A276" i="13"/>
  <c r="A275" i="13" s="1"/>
  <c r="B276" i="13"/>
  <c r="C276" i="13"/>
  <c r="C275" i="13" s="1"/>
  <c r="D276" i="13"/>
  <c r="A278" i="13"/>
  <c r="A277" i="13" s="1"/>
  <c r="B278" i="13"/>
  <c r="C278" i="13"/>
  <c r="C277" i="13" s="1"/>
  <c r="D278" i="13"/>
  <c r="A280" i="13"/>
  <c r="A279" i="13" s="1"/>
  <c r="B280" i="13"/>
  <c r="C280" i="13"/>
  <c r="C279" i="13" s="1"/>
  <c r="D280" i="13"/>
  <c r="A282" i="13"/>
  <c r="A281" i="13" s="1"/>
  <c r="B282" i="13"/>
  <c r="C282" i="13"/>
  <c r="C281" i="13" s="1"/>
  <c r="D282" i="13"/>
  <c r="A284" i="13"/>
  <c r="A283" i="13" s="1"/>
  <c r="B284" i="13"/>
  <c r="C284" i="13"/>
  <c r="C283" i="13" s="1"/>
  <c r="D284" i="13"/>
  <c r="A286" i="13"/>
  <c r="A285" i="13" s="1"/>
  <c r="B286" i="13"/>
  <c r="C286" i="13"/>
  <c r="C285" i="13" s="1"/>
  <c r="D286" i="13"/>
  <c r="A288" i="13"/>
  <c r="A287" i="13" s="1"/>
  <c r="B288" i="13"/>
  <c r="C288" i="13"/>
  <c r="C287" i="13" s="1"/>
  <c r="D288" i="13"/>
  <c r="A290" i="13"/>
  <c r="A289" i="13" s="1"/>
  <c r="B290" i="13"/>
  <c r="C290" i="13"/>
  <c r="C289" i="13" s="1"/>
  <c r="D290" i="13"/>
  <c r="A292" i="13"/>
  <c r="A291" i="13" s="1"/>
  <c r="B292" i="13"/>
  <c r="C292" i="13"/>
  <c r="C291" i="13" s="1"/>
  <c r="D292" i="13"/>
  <c r="A294" i="13"/>
  <c r="A293" i="13" s="1"/>
  <c r="B294" i="13"/>
  <c r="C294" i="13"/>
  <c r="C293" i="13" s="1"/>
  <c r="D294" i="13"/>
  <c r="A296" i="13"/>
  <c r="A295" i="13" s="1"/>
  <c r="B296" i="13"/>
  <c r="C296" i="13"/>
  <c r="C295" i="13" s="1"/>
  <c r="D296" i="13"/>
  <c r="A298" i="13"/>
  <c r="A297" i="13" s="1"/>
  <c r="B298" i="13"/>
  <c r="C298" i="13"/>
  <c r="C297" i="13" s="1"/>
  <c r="D298" i="13"/>
  <c r="A300" i="13"/>
  <c r="A299" i="13" s="1"/>
  <c r="B300" i="13"/>
  <c r="C300" i="13"/>
  <c r="C299" i="13" s="1"/>
  <c r="D300" i="13"/>
  <c r="A302" i="13"/>
  <c r="A301" i="13" s="1"/>
  <c r="B302" i="13"/>
  <c r="C302" i="13"/>
  <c r="C301" i="13" s="1"/>
  <c r="D302" i="13"/>
  <c r="A304" i="13"/>
  <c r="A303" i="13" s="1"/>
  <c r="B304" i="13"/>
  <c r="C304" i="13"/>
  <c r="C303" i="13" s="1"/>
  <c r="D304" i="13"/>
  <c r="A306" i="13"/>
  <c r="A305" i="13" s="1"/>
  <c r="B306" i="13"/>
  <c r="C306" i="13"/>
  <c r="C305" i="13" s="1"/>
  <c r="D306" i="13"/>
  <c r="A308" i="13"/>
  <c r="A307" i="13" s="1"/>
  <c r="B308" i="13"/>
  <c r="C308" i="13"/>
  <c r="C307" i="13" s="1"/>
  <c r="D308" i="13"/>
  <c r="A310" i="13"/>
  <c r="A309" i="13" s="1"/>
  <c r="B310" i="13"/>
  <c r="C310" i="13"/>
  <c r="C309" i="13" s="1"/>
  <c r="D310" i="13"/>
  <c r="A312" i="13"/>
  <c r="A311" i="13" s="1"/>
  <c r="B312" i="13"/>
  <c r="C312" i="13"/>
  <c r="C311" i="13" s="1"/>
  <c r="D312" i="13"/>
  <c r="A314" i="13"/>
  <c r="A313" i="13" s="1"/>
  <c r="B314" i="13"/>
  <c r="C314" i="13"/>
  <c r="C313" i="13" s="1"/>
  <c r="D314" i="13"/>
  <c r="A316" i="13"/>
  <c r="A315" i="13" s="1"/>
  <c r="B316" i="13"/>
  <c r="C316" i="13"/>
  <c r="C315" i="13" s="1"/>
  <c r="D316" i="13"/>
  <c r="A318" i="13"/>
  <c r="A317" i="13" s="1"/>
  <c r="B318" i="13"/>
  <c r="C318" i="13"/>
  <c r="C317" i="13" s="1"/>
  <c r="D318" i="13"/>
  <c r="A320" i="13"/>
  <c r="A319" i="13" s="1"/>
  <c r="B320" i="13"/>
  <c r="C320" i="13"/>
  <c r="C319" i="13" s="1"/>
  <c r="D320" i="13"/>
  <c r="A322" i="13"/>
  <c r="A321" i="13" s="1"/>
  <c r="B322" i="13"/>
  <c r="C322" i="13"/>
  <c r="C321" i="13" s="1"/>
  <c r="D322" i="13"/>
  <c r="A324" i="13"/>
  <c r="A323" i="13" s="1"/>
  <c r="B324" i="13"/>
  <c r="C324" i="13"/>
  <c r="C323" i="13" s="1"/>
  <c r="D324" i="13"/>
  <c r="A326" i="13"/>
  <c r="A325" i="13" s="1"/>
  <c r="B326" i="13"/>
  <c r="C326" i="13"/>
  <c r="C325" i="13" s="1"/>
  <c r="D326" i="13"/>
  <c r="A328" i="13"/>
  <c r="A327" i="13" s="1"/>
  <c r="B328" i="13"/>
  <c r="C328" i="13"/>
  <c r="C327" i="13" s="1"/>
  <c r="D328" i="13"/>
  <c r="A330" i="13"/>
  <c r="A329" i="13" s="1"/>
  <c r="B330" i="13"/>
  <c r="C330" i="13"/>
  <c r="C329" i="13" s="1"/>
  <c r="D330" i="13"/>
  <c r="A332" i="13"/>
  <c r="A331" i="13" s="1"/>
  <c r="B332" i="13"/>
  <c r="C332" i="13"/>
  <c r="C331" i="13" s="1"/>
  <c r="D332" i="13"/>
  <c r="A334" i="13"/>
  <c r="A333" i="13" s="1"/>
  <c r="B334" i="13"/>
  <c r="C334" i="13"/>
  <c r="C333" i="13" s="1"/>
  <c r="D334" i="13"/>
  <c r="A336" i="13"/>
  <c r="A335" i="13" s="1"/>
  <c r="B336" i="13"/>
  <c r="C336" i="13"/>
  <c r="C335" i="13" s="1"/>
  <c r="D336" i="13"/>
  <c r="A338" i="13"/>
  <c r="A337" i="13" s="1"/>
  <c r="B338" i="13"/>
  <c r="C338" i="13"/>
  <c r="C337" i="13" s="1"/>
  <c r="D338" i="13"/>
  <c r="A340" i="13"/>
  <c r="A339" i="13" s="1"/>
  <c r="B340" i="13"/>
  <c r="C340" i="13"/>
  <c r="C339" i="13" s="1"/>
  <c r="D340" i="13"/>
  <c r="A342" i="13"/>
  <c r="A341" i="13" s="1"/>
  <c r="B342" i="13"/>
  <c r="C342" i="13"/>
  <c r="C341" i="13" s="1"/>
  <c r="D342" i="13"/>
  <c r="A344" i="13"/>
  <c r="A343" i="13" s="1"/>
  <c r="B344" i="13"/>
  <c r="C344" i="13"/>
  <c r="C343" i="13" s="1"/>
  <c r="D344" i="13"/>
  <c r="A346" i="13"/>
  <c r="A345" i="13" s="1"/>
  <c r="B346" i="13"/>
  <c r="C346" i="13"/>
  <c r="C345" i="13" s="1"/>
  <c r="D346" i="13"/>
  <c r="A348" i="13"/>
  <c r="A347" i="13" s="1"/>
  <c r="B348" i="13"/>
  <c r="C348" i="13"/>
  <c r="C347" i="13" s="1"/>
  <c r="D348" i="13"/>
  <c r="A350" i="13"/>
  <c r="A349" i="13" s="1"/>
  <c r="B350" i="13"/>
  <c r="C350" i="13"/>
  <c r="C349" i="13" s="1"/>
  <c r="D350" i="13"/>
  <c r="A352" i="13"/>
  <c r="A351" i="13" s="1"/>
  <c r="B352" i="13"/>
  <c r="C352" i="13"/>
  <c r="C351" i="13" s="1"/>
  <c r="D352" i="13"/>
  <c r="A354" i="13"/>
  <c r="A353" i="13" s="1"/>
  <c r="B354" i="13"/>
  <c r="C354" i="13"/>
  <c r="C353" i="13" s="1"/>
  <c r="D354" i="13"/>
  <c r="A356" i="13"/>
  <c r="A355" i="13" s="1"/>
  <c r="B356" i="13"/>
  <c r="C356" i="13"/>
  <c r="C355" i="13" s="1"/>
  <c r="D356" i="13"/>
  <c r="A358" i="13"/>
  <c r="A357" i="13" s="1"/>
  <c r="B358" i="13"/>
  <c r="C358" i="13"/>
  <c r="C357" i="13" s="1"/>
  <c r="D358" i="13"/>
  <c r="A360" i="13"/>
  <c r="A359" i="13" s="1"/>
  <c r="B360" i="13"/>
  <c r="C360" i="13"/>
  <c r="C359" i="13" s="1"/>
  <c r="D360" i="13"/>
  <c r="A362" i="13"/>
  <c r="A361" i="13" s="1"/>
  <c r="B362" i="13"/>
  <c r="C362" i="13"/>
  <c r="C361" i="13" s="1"/>
  <c r="D362" i="13"/>
  <c r="A364" i="13"/>
  <c r="A363" i="13" s="1"/>
  <c r="B364" i="13"/>
  <c r="C364" i="13"/>
  <c r="C363" i="13" s="1"/>
  <c r="D364" i="13"/>
  <c r="A366" i="13"/>
  <c r="A365" i="13" s="1"/>
  <c r="B366" i="13"/>
  <c r="C366" i="13"/>
  <c r="C365" i="13" s="1"/>
  <c r="D366" i="13"/>
  <c r="A368" i="13"/>
  <c r="A367" i="13" s="1"/>
  <c r="B368" i="13"/>
  <c r="C368" i="13"/>
  <c r="C367" i="13" s="1"/>
  <c r="D368" i="13"/>
  <c r="A370" i="13"/>
  <c r="A369" i="13" s="1"/>
  <c r="B370" i="13"/>
  <c r="C370" i="13"/>
  <c r="C369" i="13" s="1"/>
  <c r="D370" i="13"/>
  <c r="A372" i="13"/>
  <c r="A371" i="13" s="1"/>
  <c r="B372" i="13"/>
  <c r="C372" i="13"/>
  <c r="C371" i="13" s="1"/>
  <c r="D372" i="13"/>
  <c r="A374" i="13"/>
  <c r="A373" i="13" s="1"/>
  <c r="B374" i="13"/>
  <c r="C374" i="13"/>
  <c r="C373" i="13" s="1"/>
  <c r="D374" i="13"/>
  <c r="A376" i="13"/>
  <c r="A375" i="13" s="1"/>
  <c r="B376" i="13"/>
  <c r="C376" i="13"/>
  <c r="C375" i="13" s="1"/>
  <c r="D376" i="13"/>
  <c r="A378" i="13"/>
  <c r="A377" i="13" s="1"/>
  <c r="B378" i="13"/>
  <c r="C378" i="13"/>
  <c r="C377" i="13" s="1"/>
  <c r="D378" i="13"/>
  <c r="A380" i="13"/>
  <c r="A379" i="13" s="1"/>
  <c r="B380" i="13"/>
  <c r="C380" i="13"/>
  <c r="C379" i="13" s="1"/>
  <c r="D380" i="13"/>
  <c r="A382" i="13"/>
  <c r="A381" i="13" s="1"/>
  <c r="B382" i="13"/>
  <c r="C382" i="13"/>
  <c r="C381" i="13" s="1"/>
  <c r="D382" i="13"/>
  <c r="A384" i="13"/>
  <c r="A383" i="13" s="1"/>
  <c r="B384" i="13"/>
  <c r="C384" i="13"/>
  <c r="C383" i="13" s="1"/>
  <c r="D384" i="13"/>
  <c r="A386" i="13"/>
  <c r="A385" i="13" s="1"/>
  <c r="B386" i="13"/>
  <c r="C386" i="13"/>
  <c r="C385" i="13" s="1"/>
  <c r="D386" i="13"/>
  <c r="A388" i="13"/>
  <c r="A387" i="13" s="1"/>
  <c r="B388" i="13"/>
  <c r="C388" i="13"/>
  <c r="C387" i="13" s="1"/>
  <c r="D388" i="13"/>
  <c r="A390" i="13"/>
  <c r="A389" i="13" s="1"/>
  <c r="B390" i="13"/>
  <c r="C390" i="13"/>
  <c r="C389" i="13" s="1"/>
  <c r="D390" i="13"/>
  <c r="A392" i="13"/>
  <c r="A391" i="13" s="1"/>
  <c r="B392" i="13"/>
  <c r="C392" i="13"/>
  <c r="C391" i="13" s="1"/>
  <c r="D392" i="13"/>
  <c r="A394" i="13"/>
  <c r="A393" i="13" s="1"/>
  <c r="B394" i="13"/>
  <c r="C394" i="13"/>
  <c r="C393" i="13" s="1"/>
  <c r="D394" i="13"/>
  <c r="A396" i="13"/>
  <c r="A395" i="13" s="1"/>
  <c r="B396" i="13"/>
  <c r="C396" i="13"/>
  <c r="C395" i="13" s="1"/>
  <c r="D396" i="13"/>
  <c r="A398" i="13"/>
  <c r="A397" i="13" s="1"/>
  <c r="B398" i="13"/>
  <c r="C398" i="13"/>
  <c r="C397" i="13" s="1"/>
  <c r="D398" i="13"/>
  <c r="A400" i="13"/>
  <c r="A399" i="13" s="1"/>
  <c r="B400" i="13"/>
  <c r="C400" i="13"/>
  <c r="C399" i="13" s="1"/>
  <c r="D400" i="13"/>
  <c r="A402" i="13"/>
  <c r="A401" i="13" s="1"/>
  <c r="B402" i="13"/>
  <c r="C402" i="13"/>
  <c r="C401" i="13" s="1"/>
  <c r="D402" i="13"/>
  <c r="A404" i="13"/>
  <c r="A403" i="13" s="1"/>
  <c r="B404" i="13"/>
  <c r="C404" i="13"/>
  <c r="C403" i="13" s="1"/>
  <c r="D404" i="13"/>
  <c r="A406" i="13"/>
  <c r="A405" i="13" s="1"/>
  <c r="B406" i="13"/>
  <c r="C406" i="13"/>
  <c r="C405" i="13" s="1"/>
  <c r="D406" i="13"/>
  <c r="A408" i="13"/>
  <c r="A407" i="13" s="1"/>
  <c r="B408" i="13"/>
  <c r="C408" i="13"/>
  <c r="C407" i="13" s="1"/>
  <c r="D408" i="13"/>
  <c r="A410" i="13"/>
  <c r="A409" i="13" s="1"/>
  <c r="B410" i="13"/>
  <c r="C410" i="13"/>
  <c r="C409" i="13" s="1"/>
  <c r="D410" i="13"/>
  <c r="A412" i="13"/>
  <c r="A411" i="13" s="1"/>
  <c r="B412" i="13"/>
  <c r="C412" i="13"/>
  <c r="C411" i="13" s="1"/>
  <c r="D412" i="13"/>
  <c r="A414" i="13"/>
  <c r="A413" i="13" s="1"/>
  <c r="B414" i="13"/>
  <c r="C414" i="13"/>
  <c r="C413" i="13" s="1"/>
  <c r="D414" i="13"/>
  <c r="A416" i="13"/>
  <c r="A415" i="13" s="1"/>
  <c r="B416" i="13"/>
  <c r="C416" i="13"/>
  <c r="C415" i="13" s="1"/>
  <c r="D416" i="13"/>
  <c r="A418" i="13"/>
  <c r="A417" i="13" s="1"/>
  <c r="B418" i="13"/>
  <c r="C418" i="13"/>
  <c r="C417" i="13" s="1"/>
  <c r="D418" i="13"/>
  <c r="A420" i="13"/>
  <c r="A419" i="13" s="1"/>
  <c r="B420" i="13"/>
  <c r="C420" i="13"/>
  <c r="C419" i="13" s="1"/>
  <c r="D420" i="13"/>
  <c r="A422" i="13"/>
  <c r="A421" i="13" s="1"/>
  <c r="B422" i="13"/>
  <c r="C422" i="13"/>
  <c r="C421" i="13" s="1"/>
  <c r="D422" i="13"/>
  <c r="A424" i="13"/>
  <c r="A423" i="13" s="1"/>
  <c r="B424" i="13"/>
  <c r="C424" i="13"/>
  <c r="C423" i="13" s="1"/>
  <c r="D424" i="13"/>
  <c r="A426" i="13"/>
  <c r="A425" i="13" s="1"/>
  <c r="B426" i="13"/>
  <c r="C426" i="13"/>
  <c r="C425" i="13" s="1"/>
  <c r="D426" i="13"/>
  <c r="A428" i="13"/>
  <c r="A427" i="13" s="1"/>
  <c r="B428" i="13"/>
  <c r="C428" i="13"/>
  <c r="C427" i="13" s="1"/>
  <c r="D428" i="13"/>
  <c r="A430" i="13"/>
  <c r="A429" i="13" s="1"/>
  <c r="B430" i="13"/>
  <c r="C430" i="13"/>
  <c r="C429" i="13" s="1"/>
  <c r="D430" i="13"/>
  <c r="A432" i="13"/>
  <c r="A431" i="13" s="1"/>
  <c r="B432" i="13"/>
  <c r="C432" i="13"/>
  <c r="C431" i="13" s="1"/>
  <c r="D432" i="13"/>
  <c r="A434" i="13"/>
  <c r="A433" i="13" s="1"/>
  <c r="B434" i="13"/>
  <c r="C434" i="13"/>
  <c r="C433" i="13" s="1"/>
  <c r="D434" i="13"/>
  <c r="A436" i="13"/>
  <c r="A435" i="13" s="1"/>
  <c r="B436" i="13"/>
  <c r="C436" i="13"/>
  <c r="C435" i="13" s="1"/>
  <c r="D436" i="13"/>
  <c r="A438" i="13"/>
  <c r="A437" i="13" s="1"/>
  <c r="B438" i="13"/>
  <c r="C438" i="13"/>
  <c r="C437" i="13" s="1"/>
  <c r="D438" i="13"/>
  <c r="A440" i="13"/>
  <c r="A439" i="13" s="1"/>
  <c r="B440" i="13"/>
  <c r="C440" i="13"/>
  <c r="C439" i="13" s="1"/>
  <c r="D440" i="13"/>
  <c r="A442" i="13"/>
  <c r="A441" i="13" s="1"/>
  <c r="B442" i="13"/>
  <c r="C442" i="13"/>
  <c r="C441" i="13" s="1"/>
  <c r="D442" i="13"/>
  <c r="A444" i="13"/>
  <c r="A443" i="13" s="1"/>
  <c r="B444" i="13"/>
  <c r="C444" i="13"/>
  <c r="C443" i="13" s="1"/>
  <c r="D444" i="13"/>
  <c r="A446" i="13"/>
  <c r="A445" i="13" s="1"/>
  <c r="B446" i="13"/>
  <c r="C446" i="13"/>
  <c r="C445" i="13" s="1"/>
  <c r="D446" i="13"/>
  <c r="A448" i="13"/>
  <c r="A447" i="13" s="1"/>
  <c r="B448" i="13"/>
  <c r="C448" i="13"/>
  <c r="C447" i="13" s="1"/>
  <c r="D448" i="13"/>
  <c r="A450" i="13"/>
  <c r="A449" i="13" s="1"/>
  <c r="B450" i="13"/>
  <c r="C450" i="13"/>
  <c r="C449" i="13" s="1"/>
  <c r="D450" i="13"/>
  <c r="A452" i="13"/>
  <c r="A451" i="13" s="1"/>
  <c r="B452" i="13"/>
  <c r="C452" i="13"/>
  <c r="C451" i="13" s="1"/>
  <c r="D452" i="13"/>
  <c r="A454" i="13"/>
  <c r="A453" i="13" s="1"/>
  <c r="B454" i="13"/>
  <c r="C454" i="13"/>
  <c r="C453" i="13" s="1"/>
  <c r="D454" i="13"/>
  <c r="A456" i="13"/>
  <c r="A455" i="13" s="1"/>
  <c r="B456" i="13"/>
  <c r="C456" i="13"/>
  <c r="C455" i="13" s="1"/>
  <c r="D456" i="13"/>
  <c r="A458" i="13"/>
  <c r="A457" i="13" s="1"/>
  <c r="B458" i="13"/>
  <c r="C458" i="13"/>
  <c r="C457" i="13" s="1"/>
  <c r="D458" i="13"/>
  <c r="A460" i="13"/>
  <c r="A459" i="13" s="1"/>
  <c r="B460" i="13"/>
  <c r="C460" i="13"/>
  <c r="C459" i="13" s="1"/>
  <c r="D460" i="13"/>
  <c r="A462" i="13"/>
  <c r="A461" i="13" s="1"/>
  <c r="B462" i="13"/>
  <c r="C462" i="13"/>
  <c r="C461" i="13" s="1"/>
  <c r="D462" i="13"/>
  <c r="A464" i="13"/>
  <c r="A463" i="13" s="1"/>
  <c r="B464" i="13"/>
  <c r="C464" i="13"/>
  <c r="C463" i="13" s="1"/>
  <c r="D464" i="13"/>
  <c r="A466" i="13"/>
  <c r="A465" i="13" s="1"/>
  <c r="B466" i="13"/>
  <c r="C466" i="13"/>
  <c r="C465" i="13" s="1"/>
  <c r="D466" i="13"/>
  <c r="A468" i="13"/>
  <c r="A467" i="13" s="1"/>
  <c r="B468" i="13"/>
  <c r="C468" i="13"/>
  <c r="C467" i="13" s="1"/>
  <c r="D468" i="13"/>
  <c r="A470" i="13"/>
  <c r="A469" i="13" s="1"/>
  <c r="B470" i="13"/>
  <c r="C470" i="13"/>
  <c r="C469" i="13" s="1"/>
  <c r="D470" i="13"/>
  <c r="A472" i="13"/>
  <c r="A471" i="13" s="1"/>
  <c r="B472" i="13"/>
  <c r="C472" i="13"/>
  <c r="C471" i="13" s="1"/>
  <c r="D472" i="13"/>
  <c r="A474" i="13"/>
  <c r="A473" i="13" s="1"/>
  <c r="B474" i="13"/>
  <c r="C474" i="13"/>
  <c r="C473" i="13" s="1"/>
  <c r="D474" i="13"/>
  <c r="A476" i="13"/>
  <c r="A475" i="13" s="1"/>
  <c r="B476" i="13"/>
  <c r="C476" i="13"/>
  <c r="C475" i="13" s="1"/>
  <c r="D476" i="13"/>
  <c r="A478" i="13"/>
  <c r="A477" i="13" s="1"/>
  <c r="B478" i="13"/>
  <c r="C478" i="13"/>
  <c r="C477" i="13" s="1"/>
  <c r="D478" i="13"/>
  <c r="A480" i="13"/>
  <c r="A479" i="13" s="1"/>
  <c r="B480" i="13"/>
  <c r="C480" i="13"/>
  <c r="C479" i="13" s="1"/>
  <c r="D480" i="13"/>
  <c r="A482" i="13"/>
  <c r="A481" i="13" s="1"/>
  <c r="B482" i="13"/>
  <c r="C482" i="13"/>
  <c r="C481" i="13" s="1"/>
  <c r="D482" i="13"/>
  <c r="A484" i="13"/>
  <c r="A483" i="13" s="1"/>
  <c r="B484" i="13"/>
  <c r="C484" i="13"/>
  <c r="C483" i="13" s="1"/>
  <c r="D484" i="13"/>
  <c r="A486" i="13"/>
  <c r="A485" i="13" s="1"/>
  <c r="B486" i="13"/>
  <c r="C486" i="13"/>
  <c r="C485" i="13" s="1"/>
  <c r="D486" i="13"/>
  <c r="A488" i="13"/>
  <c r="A487" i="13" s="1"/>
  <c r="B488" i="13"/>
  <c r="C488" i="13"/>
  <c r="C487" i="13" s="1"/>
  <c r="D488" i="13"/>
  <c r="A490" i="13"/>
  <c r="A489" i="13" s="1"/>
  <c r="B490" i="13"/>
  <c r="C490" i="13"/>
  <c r="C489" i="13" s="1"/>
  <c r="D490" i="13"/>
  <c r="A492" i="13"/>
  <c r="A491" i="13" s="1"/>
  <c r="B492" i="13"/>
  <c r="C492" i="13"/>
  <c r="C491" i="13" s="1"/>
  <c r="D492" i="13"/>
  <c r="A494" i="13"/>
  <c r="A493" i="13" s="1"/>
  <c r="B494" i="13"/>
  <c r="C494" i="13"/>
  <c r="C493" i="13" s="1"/>
  <c r="D494" i="13"/>
  <c r="A496" i="13"/>
  <c r="A495" i="13" s="1"/>
  <c r="B496" i="13"/>
  <c r="C496" i="13"/>
  <c r="C495" i="13" s="1"/>
  <c r="D496" i="13"/>
  <c r="A498" i="13"/>
  <c r="A497" i="13" s="1"/>
  <c r="B498" i="13"/>
  <c r="C498" i="13"/>
  <c r="C497" i="13" s="1"/>
  <c r="D498" i="13"/>
  <c r="A2" i="13"/>
  <c r="B2" i="13"/>
  <c r="C2" i="13"/>
  <c r="C1" i="13" s="1"/>
  <c r="D2" i="13"/>
  <c r="A500" i="13"/>
  <c r="A499" i="13" s="1"/>
  <c r="B500" i="13"/>
  <c r="C500" i="13"/>
  <c r="C499" i="13" s="1"/>
  <c r="D500" i="13"/>
  <c r="A231" i="17"/>
  <c r="A233" i="17"/>
  <c r="A239" i="17"/>
  <c r="A241" i="17"/>
  <c r="A255" i="17"/>
  <c r="A257" i="17"/>
  <c r="A259" i="17"/>
  <c r="A261" i="17"/>
  <c r="A263" i="17"/>
  <c r="A265" i="17"/>
  <c r="A267" i="17"/>
  <c r="A271" i="17"/>
  <c r="A273" i="17"/>
  <c r="A277" i="17"/>
  <c r="A281" i="17"/>
  <c r="A283" i="17"/>
  <c r="A285" i="17"/>
  <c r="C231" i="17"/>
  <c r="C239" i="17"/>
  <c r="C255" i="17"/>
  <c r="C259" i="17"/>
  <c r="C263" i="17"/>
  <c r="C267" i="17"/>
  <c r="C271" i="17"/>
  <c r="C273" i="17"/>
  <c r="C277" i="17"/>
  <c r="C279" i="17"/>
  <c r="C281" i="17"/>
  <c r="C283" i="17"/>
  <c r="C205" i="17"/>
  <c r="C229" i="17"/>
  <c r="C233" i="17"/>
  <c r="C241" i="17"/>
  <c r="C257" i="17"/>
  <c r="C261" i="17"/>
  <c r="C265" i="17"/>
  <c r="A177" i="17"/>
  <c r="A55" i="17"/>
  <c r="A151" i="17"/>
  <c r="C179" i="17"/>
  <c r="C19" i="17"/>
  <c r="C147" i="17"/>
  <c r="C3" i="13"/>
  <c r="A37" i="17"/>
  <c r="A181" i="17"/>
  <c r="C39" i="17"/>
  <c r="C59" i="17"/>
  <c r="A179" i="17"/>
  <c r="A95" i="17"/>
  <c r="A5" i="13"/>
  <c r="A9" i="13"/>
  <c r="A13" i="13"/>
  <c r="A17" i="13"/>
  <c r="A21" i="13"/>
  <c r="A25" i="13"/>
  <c r="A29" i="13"/>
  <c r="A39" i="17"/>
  <c r="C181" i="17"/>
  <c r="C37" i="17"/>
  <c r="A3" i="13"/>
  <c r="A19" i="13"/>
  <c r="C177" i="17"/>
  <c r="A7" i="13"/>
  <c r="A23" i="13"/>
  <c r="C55" i="17"/>
  <c r="C19" i="13"/>
  <c r="A27" i="13"/>
  <c r="A15" i="13"/>
  <c r="A31" i="13"/>
  <c r="A11" i="13"/>
  <c r="A1" i="13"/>
  <c r="A1" i="16"/>
  <c r="A97" i="17"/>
  <c r="A57" i="17"/>
  <c r="A141" i="17"/>
  <c r="A153" i="17"/>
  <c r="C227" i="17"/>
  <c r="A207" i="17"/>
  <c r="A183" i="17"/>
  <c r="A149" i="17"/>
  <c r="A61" i="17"/>
  <c r="A223" i="17"/>
  <c r="A41" i="17"/>
  <c r="A209" i="17"/>
  <c r="A219" i="17"/>
  <c r="A227" i="17"/>
  <c r="A17" i="17"/>
  <c r="A81" i="17"/>
  <c r="A145" i="17"/>
  <c r="A67" i="17"/>
  <c r="A87" i="17"/>
  <c r="A21" i="17"/>
  <c r="A85" i="17"/>
  <c r="A27" i="17"/>
  <c r="A155" i="17"/>
  <c r="A63" i="17"/>
  <c r="A121" i="17"/>
  <c r="A185" i="17"/>
  <c r="A19" i="17"/>
  <c r="A147" i="17"/>
  <c r="A167" i="17"/>
  <c r="A45" i="17"/>
  <c r="C5" i="17"/>
  <c r="A139" i="17"/>
  <c r="A125" i="17"/>
  <c r="C23" i="17"/>
  <c r="A107" i="17"/>
  <c r="A13" i="17"/>
  <c r="A11" i="17"/>
  <c r="A29" i="17"/>
  <c r="A3" i="17"/>
  <c r="C207" i="17"/>
  <c r="A215" i="17"/>
  <c r="A113" i="17"/>
  <c r="C41" i="17"/>
  <c r="C105" i="17"/>
  <c r="A131" i="17"/>
  <c r="C189" i="17"/>
  <c r="A53" i="17"/>
  <c r="C109" i="17"/>
  <c r="C135" i="17"/>
  <c r="C27" i="17"/>
  <c r="A91" i="17"/>
  <c r="A127" i="17"/>
  <c r="A89" i="17"/>
  <c r="C17" i="17"/>
  <c r="C145" i="17"/>
  <c r="A191" i="17"/>
  <c r="C31" i="17"/>
  <c r="C67" i="17"/>
  <c r="C199" i="17"/>
  <c r="C119" i="17"/>
  <c r="C43" i="17"/>
  <c r="C69" i="17"/>
  <c r="C87" i="17"/>
  <c r="A205" i="17"/>
  <c r="A225" i="17"/>
  <c r="C203" i="17"/>
  <c r="C217" i="17"/>
  <c r="A129" i="17"/>
  <c r="C121" i="17"/>
  <c r="A163" i="17"/>
  <c r="A5" i="17"/>
  <c r="A133" i="17"/>
  <c r="C61" i="17"/>
  <c r="C187" i="17"/>
  <c r="A123" i="17"/>
  <c r="A31" i="17"/>
  <c r="A159" i="17"/>
  <c r="A105" i="17"/>
  <c r="A169" i="17"/>
  <c r="C33" i="17"/>
  <c r="C97" i="17"/>
  <c r="C161" i="17"/>
  <c r="A115" i="17"/>
  <c r="A7" i="17"/>
  <c r="A135" i="17"/>
  <c r="C63" i="17"/>
  <c r="C99" i="17"/>
  <c r="A1" i="17"/>
  <c r="C11" i="17"/>
  <c r="A111" i="17"/>
  <c r="A77" i="17"/>
  <c r="C75" i="17"/>
  <c r="C117" i="17"/>
  <c r="C171" i="17"/>
  <c r="C21" i="17"/>
  <c r="C193" i="17"/>
  <c r="A79" i="17"/>
  <c r="A33" i="17"/>
  <c r="A161" i="17"/>
  <c r="A99" i="17"/>
  <c r="A119" i="17"/>
  <c r="A101" i="17"/>
  <c r="A165" i="17"/>
  <c r="A59" i="17"/>
  <c r="C1" i="17"/>
  <c r="A9" i="17"/>
  <c r="A73" i="17"/>
  <c r="A137" i="17"/>
  <c r="A201" i="17"/>
  <c r="A51" i="17"/>
  <c r="A175" i="17"/>
  <c r="A71" i="17"/>
  <c r="A109" i="17"/>
  <c r="A75" i="17"/>
  <c r="A189" i="17"/>
  <c r="A15" i="17"/>
  <c r="A47" i="17"/>
  <c r="A93" i="17"/>
  <c r="A43" i="17"/>
  <c r="A203" i="17"/>
  <c r="C215" i="17"/>
  <c r="A49" i="17"/>
  <c r="C169" i="17"/>
  <c r="A23" i="17"/>
  <c r="C79" i="17"/>
  <c r="C115" i="17"/>
  <c r="A117" i="17"/>
  <c r="C45" i="17"/>
  <c r="C7" i="17"/>
  <c r="C155" i="17"/>
  <c r="A195" i="17"/>
  <c r="A25" i="17"/>
  <c r="C81" i="17"/>
  <c r="A83" i="17"/>
  <c r="A103" i="17"/>
  <c r="C159" i="17"/>
  <c r="A173" i="17"/>
  <c r="A187" i="17"/>
  <c r="C53" i="17"/>
  <c r="A143" i="17"/>
  <c r="A157" i="17"/>
  <c r="A171" i="17"/>
  <c r="C211" i="17"/>
  <c r="A217" i="17"/>
  <c r="C219" i="17"/>
  <c r="A65" i="17"/>
  <c r="A193" i="17"/>
  <c r="C57" i="17"/>
  <c r="A35" i="17"/>
  <c r="C111" i="17"/>
  <c r="A69" i="17"/>
  <c r="A197" i="17"/>
  <c r="C125" i="17"/>
  <c r="C167" i="17"/>
  <c r="A199" i="17"/>
  <c r="A211" i="17"/>
  <c r="A213" i="17"/>
  <c r="A221" i="17"/>
  <c r="A229" i="17"/>
  <c r="C9" i="17"/>
  <c r="C13" i="17"/>
  <c r="C15" i="17"/>
  <c r="C25" i="17"/>
  <c r="C29" i="17"/>
  <c r="C35" i="17"/>
  <c r="C47" i="17"/>
  <c r="C49" i="17"/>
  <c r="C51" i="17"/>
  <c r="C65" i="17"/>
  <c r="C71" i="17"/>
  <c r="C73" i="17"/>
  <c r="C77" i="17"/>
  <c r="C83" i="17"/>
  <c r="C85" i="17"/>
  <c r="C89" i="17"/>
  <c r="C91" i="17"/>
  <c r="C93" i="17"/>
  <c r="C101" i="17"/>
  <c r="C103" i="17"/>
  <c r="C107" i="17"/>
  <c r="C113" i="17"/>
  <c r="C123" i="17"/>
  <c r="C127" i="17"/>
  <c r="C129" i="17"/>
  <c r="C131" i="17"/>
  <c r="C133" i="17"/>
  <c r="C137" i="17"/>
  <c r="C139" i="17"/>
  <c r="C141" i="17"/>
  <c r="C143" i="17"/>
  <c r="C149" i="17"/>
  <c r="C153" i="17"/>
  <c r="C157" i="17"/>
  <c r="C163" i="17"/>
  <c r="C165" i="17"/>
  <c r="C173" i="17"/>
  <c r="C175" i="17"/>
  <c r="C183" i="17"/>
  <c r="C185" i="17"/>
  <c r="C191" i="17"/>
  <c r="C195" i="17"/>
  <c r="C197" i="17"/>
  <c r="C201" i="17"/>
  <c r="C209" i="17"/>
  <c r="C213" i="17"/>
  <c r="C223" i="17"/>
  <c r="C225" i="17"/>
  <c r="C3" i="17"/>
  <c r="C16" i="16" l="1"/>
  <c r="A16" i="16"/>
  <c r="C14" i="16"/>
  <c r="A14" i="16"/>
  <c r="C12" i="16"/>
  <c r="A12" i="16"/>
  <c r="C10" i="16"/>
  <c r="A10" i="16"/>
  <c r="C8" i="16"/>
  <c r="A8" i="16"/>
  <c r="C6" i="16"/>
  <c r="C4" i="16"/>
  <c r="C2" i="16"/>
  <c r="A6" i="16"/>
  <c r="A4" i="16"/>
  <c r="B4" i="16" l="1"/>
  <c r="D4" i="16"/>
  <c r="B6" i="16"/>
  <c r="D6" i="16"/>
  <c r="D2" i="16" l="1"/>
  <c r="B2" i="16"/>
  <c r="C19" i="16"/>
  <c r="A19" i="16"/>
  <c r="C17" i="16"/>
  <c r="A17" i="16"/>
  <c r="C15" i="16"/>
  <c r="A15" i="16"/>
  <c r="A13" i="16"/>
  <c r="C13" i="16"/>
  <c r="C11" i="16"/>
  <c r="A11" i="16"/>
  <c r="C9" i="16"/>
  <c r="A9" i="16"/>
  <c r="C7" i="16"/>
  <c r="A7" i="16"/>
</calcChain>
</file>

<file path=xl/sharedStrings.xml><?xml version="1.0" encoding="utf-8"?>
<sst xmlns="http://schemas.openxmlformats.org/spreadsheetml/2006/main" count="712" uniqueCount="435">
  <si>
    <t>Voorwerp uitlenen</t>
  </si>
  <si>
    <t>Standaard</t>
  </si>
  <si>
    <t>Gebruiker ID</t>
  </si>
  <si>
    <t>Gebruiker naam</t>
  </si>
  <si>
    <t>Verwijder</t>
  </si>
  <si>
    <t>Voeg toe</t>
  </si>
  <si>
    <t>Items</t>
  </si>
  <si>
    <t>ID</t>
  </si>
  <si>
    <t>Naam</t>
  </si>
  <si>
    <t>Gebruikers</t>
  </si>
  <si>
    <t/>
  </si>
  <si>
    <t>Uitlenen en innemen</t>
  </si>
  <si>
    <t>Instellingen</t>
  </si>
  <si>
    <t>DB</t>
  </si>
  <si>
    <t>DB uitgeleend</t>
  </si>
  <si>
    <t>Voorwerp innemen</t>
  </si>
  <si>
    <t>Datum</t>
  </si>
  <si>
    <t xml:space="preserve"> </t>
  </si>
  <si>
    <t>Info</t>
  </si>
  <si>
    <t>Voorwerp ID</t>
  </si>
  <si>
    <t>Voorwerp naam</t>
  </si>
  <si>
    <t>Tab blad namen</t>
  </si>
  <si>
    <t>Laatste verwerkte invoer</t>
  </si>
  <si>
    <t>Een roze dildo</t>
  </si>
  <si>
    <t>Momenteel uitgeleend</t>
  </si>
  <si>
    <t>Momenteel nog uitgeleend (klik om te herberekenen)</t>
  </si>
  <si>
    <t>0M0001</t>
  </si>
  <si>
    <t>0M0008</t>
  </si>
  <si>
    <t>0MBO91</t>
  </si>
  <si>
    <t>Wring ijzer</t>
  </si>
  <si>
    <t>0MBO80</t>
  </si>
  <si>
    <t>Center klein</t>
  </si>
  <si>
    <t>0MBO81</t>
  </si>
  <si>
    <t>Center middel</t>
  </si>
  <si>
    <t>0MBO82</t>
  </si>
  <si>
    <t>Center groot</t>
  </si>
  <si>
    <t>0MBO90</t>
  </si>
  <si>
    <t>Trappenboor</t>
  </si>
  <si>
    <t>0MBO85</t>
  </si>
  <si>
    <t>Verzink klein</t>
  </si>
  <si>
    <t>0MBO86</t>
  </si>
  <si>
    <t>Verzink middel</t>
  </si>
  <si>
    <t>0MBO87</t>
  </si>
  <si>
    <t>Verzink groot</t>
  </si>
  <si>
    <t>0MIB00</t>
  </si>
  <si>
    <t>Imbus 1,5</t>
  </si>
  <si>
    <t>0MIB01</t>
  </si>
  <si>
    <t>Imbus 2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</si>
  <si>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</si>
  <si>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</si>
  <si>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</si>
  <si>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</si>
  <si>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</si>
  <si>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</si>
  <si>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</si>
  <si>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</si>
  <si>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</si>
  <si>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</si>
  <si>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</si>
  <si>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</si>
  <si>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</si>
  <si>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</si>
  <si>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0MOV01</t>
  </si>
  <si>
    <t>Hamer kunstof</t>
  </si>
  <si>
    <t>0MOV02</t>
  </si>
  <si>
    <t>Hamer metaal</t>
  </si>
  <si>
    <t>0MOV03</t>
  </si>
  <si>
    <t>Steeksleutel verstelbaar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</si>
  <si>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</si>
  <si>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</si>
  <si>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</si>
  <si>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</si>
  <si>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</si>
  <si>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</si>
  <si>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</si>
  <si>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</si>
  <si>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</si>
  <si>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</si>
  <si>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</si>
  <si>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</si>
  <si>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</si>
  <si>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</si>
  <si>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</si>
  <si>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</si>
  <si>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</si>
  <si>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</si>
  <si>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</si>
  <si>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</si>
  <si>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</si>
  <si>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</si>
  <si>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</si>
  <si>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</si>
  <si>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0MTG00</t>
  </si>
  <si>
    <t>Popnageltang</t>
  </si>
  <si>
    <t>0MTG01</t>
  </si>
  <si>
    <t>Waterpomptang</t>
  </si>
  <si>
    <t>0MTG02</t>
  </si>
  <si>
    <t>AMPtang</t>
  </si>
  <si>
    <t>0MTG03</t>
  </si>
  <si>
    <t>0MOV04</t>
  </si>
  <si>
    <t>Uitdrijfspie</t>
  </si>
  <si>
    <t>0MOV05</t>
  </si>
  <si>
    <t>0MOV06</t>
  </si>
  <si>
    <t>Griptang klein</t>
  </si>
  <si>
    <t>0MOV07</t>
  </si>
  <si>
    <t>Griptang Groot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</si>
  <si>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</si>
  <si>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</si>
  <si>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</si>
  <si>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</si>
  <si>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</si>
  <si>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</si>
  <si>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</si>
  <si>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</si>
  <si>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</si>
  <si>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</si>
  <si>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</si>
  <si>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</si>
  <si>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</si>
  <si>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</si>
  <si>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</si>
  <si>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</si>
  <si>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</si>
  <si>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</si>
  <si>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</si>
  <si>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</si>
  <si>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</si>
  <si>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</si>
  <si>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</si>
  <si>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</si>
  <si>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</si>
  <si>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</si>
  <si>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0MLS00</t>
  </si>
  <si>
    <t>Lasmagneet</t>
  </si>
  <si>
    <t>0MOV08</t>
  </si>
  <si>
    <t>Freesmachine</t>
  </si>
  <si>
    <t>0MLS07</t>
  </si>
  <si>
    <t>Elektrodeslijper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</si>
  <si>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</si>
  <si>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</si>
  <si>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</si>
  <si>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</si>
  <si>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</si>
  <si>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</si>
  <si>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</si>
  <si>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</si>
  <si>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0MTG04</t>
  </si>
  <si>
    <t>0MOV10</t>
  </si>
  <si>
    <t>Passer</t>
  </si>
  <si>
    <t>0MOV11</t>
  </si>
  <si>
    <t>Schuifmaat</t>
  </si>
  <si>
    <t>0MOV12</t>
  </si>
  <si>
    <t>Tinzuiger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</si>
  <si>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</si>
  <si>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</si>
  <si>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</si>
  <si>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</si>
  <si>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</si>
  <si>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</si>
  <si>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</si>
  <si>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</si>
  <si>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</si>
  <si>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</si>
  <si>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</si>
  <si>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</si>
  <si>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</si>
  <si>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</si>
  <si>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</si>
  <si>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</si>
  <si>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</si>
  <si>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</si>
  <si>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0MOV13</t>
  </si>
  <si>
    <t>Hete lucht pistool</t>
  </si>
  <si>
    <t>0MOV14</t>
  </si>
  <si>
    <t>Ski-bril</t>
  </si>
  <si>
    <t>0MOV15</t>
  </si>
  <si>
    <t>Lijmklem</t>
  </si>
  <si>
    <t>0MOV16</t>
  </si>
  <si>
    <t>Plaatklem</t>
  </si>
  <si>
    <t>0MOV17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</si>
  <si>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</si>
  <si>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</si>
  <si>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</si>
  <si>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</si>
  <si>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</si>
  <si>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</si>
  <si>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</si>
  <si>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</si>
  <si>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0MOV18</t>
  </si>
  <si>
    <t>Blokhaak</t>
  </si>
  <si>
    <t>0MOV19</t>
  </si>
  <si>
    <t>0MOV20</t>
  </si>
  <si>
    <t>0MOV21</t>
  </si>
  <si>
    <t>Hamerboormachine kast 2</t>
  </si>
  <si>
    <t>0MOV22</t>
  </si>
  <si>
    <t>Verstelbare ruimers</t>
  </si>
  <si>
    <t>0MOV23</t>
  </si>
  <si>
    <t>Freesplaatjes set</t>
  </si>
  <si>
    <t>0MOV24</t>
  </si>
  <si>
    <t>Zinkschaar</t>
  </si>
  <si>
    <t>0MOV25</t>
  </si>
  <si>
    <t>Griptang vorkbek</t>
  </si>
  <si>
    <t>0MOV26</t>
  </si>
  <si>
    <t>Gehoorklep</t>
  </si>
  <si>
    <t>0MOV27</t>
  </si>
  <si>
    <t>Pijpsnijder</t>
  </si>
  <si>
    <t>0MOV28</t>
  </si>
  <si>
    <t>Gradenboog</t>
  </si>
  <si>
    <t>0MOV29</t>
  </si>
  <si>
    <t>Accuboor</t>
  </si>
  <si>
    <t>0MOV30</t>
  </si>
  <si>
    <t>Haspel</t>
  </si>
  <si>
    <t>0MLS01</t>
  </si>
  <si>
    <t>0MLS02</t>
  </si>
  <si>
    <t>0MLS03</t>
  </si>
  <si>
    <t>Lashelm</t>
  </si>
  <si>
    <t>0MLS04</t>
  </si>
  <si>
    <t>Lasschort</t>
  </si>
  <si>
    <t>0MLS05</t>
  </si>
  <si>
    <t>Lashandschoenen</t>
  </si>
  <si>
    <t>0MLS06</t>
  </si>
  <si>
    <t>Lasbrillen</t>
  </si>
  <si>
    <t>0MSS00</t>
  </si>
  <si>
    <t>Soldeerstation desoldeer</t>
  </si>
  <si>
    <t>0MSS01</t>
  </si>
  <si>
    <t>Soldeerstation 1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</si>
  <si>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</si>
  <si>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</si>
  <si>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</si>
  <si>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</si>
  <si>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</si>
  <si>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</si>
  <si>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</si>
  <si>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</si>
  <si>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</si>
  <si>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</si>
  <si>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</si>
  <si>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</si>
  <si>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</si>
  <si>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</si>
  <si>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</si>
  <si>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</si>
  <si>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</si>
  <si>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</si>
  <si>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</si>
  <si>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</si>
  <si>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</si>
  <si>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</si>
  <si>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</si>
  <si>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</si>
  <si>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</si>
  <si>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</si>
  <si>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0MSS15</t>
  </si>
  <si>
    <t>Soldeerpook</t>
  </si>
  <si>
    <t>0MOV31</t>
  </si>
  <si>
    <t>Voeding</t>
  </si>
  <si>
    <t>0MOV32</t>
  </si>
  <si>
    <t>Voedingkabel</t>
  </si>
  <si>
    <t>0MOV33</t>
  </si>
  <si>
    <t>Machineklem</t>
  </si>
  <si>
    <t>0MOV34</t>
  </si>
  <si>
    <t>Soldeerklem</t>
  </si>
  <si>
    <t>0MOV35</t>
  </si>
  <si>
    <t>Multimeter</t>
  </si>
  <si>
    <t>0MDD00</t>
  </si>
  <si>
    <t>Draad 0,5 geel</t>
  </si>
  <si>
    <t>0MDD01</t>
  </si>
  <si>
    <t>Draad 0,5 rood</t>
  </si>
  <si>
    <t>0MDD02</t>
  </si>
  <si>
    <t>Draad 0,5 blauw</t>
  </si>
  <si>
    <t>0MDD03</t>
  </si>
  <si>
    <t>Draad 0,5 grijs</t>
  </si>
  <si>
    <t>0MDD04</t>
  </si>
  <si>
    <t>Draad 1,5 zwart</t>
  </si>
  <si>
    <t>0MDD05</t>
  </si>
  <si>
    <t>Draad 2,5 blauw</t>
  </si>
  <si>
    <t>0MDD06</t>
  </si>
  <si>
    <t>Draad 2,5 bruin</t>
  </si>
  <si>
    <t>0MDD07</t>
  </si>
  <si>
    <t>Draad 2,5 zwart</t>
  </si>
  <si>
    <t>0MDD08</t>
  </si>
  <si>
    <t>Draad 2,5 rood</t>
  </si>
  <si>
    <t>0MDD09</t>
  </si>
  <si>
    <t>Draad 2,5 geel-groen</t>
  </si>
  <si>
    <t>0MOV36</t>
  </si>
  <si>
    <t>Snijolie</t>
  </si>
  <si>
    <t>0MOV37</t>
  </si>
  <si>
    <t>Loctite</t>
  </si>
  <si>
    <t>0MOV38</t>
  </si>
  <si>
    <t>Printplaat boormachine</t>
  </si>
  <si>
    <t>0MOV39</t>
  </si>
  <si>
    <t>Tape</t>
  </si>
  <si>
    <t>0MOV40</t>
  </si>
  <si>
    <t>Winkelhaak 90 graden groot</t>
  </si>
  <si>
    <t>0MOV41</t>
  </si>
  <si>
    <t>Pijpentang</t>
  </si>
  <si>
    <t>0MOV42</t>
  </si>
  <si>
    <t>Winkelhaak 90 graden</t>
  </si>
  <si>
    <t>0MOV43</t>
  </si>
  <si>
    <t>Steeksleutel verstelbaar groot</t>
  </si>
  <si>
    <t>0MOV44</t>
  </si>
  <si>
    <t>Winkelhaak 180 graden</t>
  </si>
  <si>
    <t>0MOV45</t>
  </si>
  <si>
    <t>Pons PG16</t>
  </si>
  <si>
    <t>0MOV46</t>
  </si>
  <si>
    <t>Pons PG13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</si>
  <si>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</si>
  <si>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</si>
  <si>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</si>
  <si>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</si>
  <si>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</si>
  <si>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</si>
  <si>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</si>
  <si>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</si>
  <si>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</si>
  <si>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</si>
  <si>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</si>
  <si>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</si>
  <si>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</si>
  <si>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</si>
  <si>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</si>
  <si>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Boor 5,5 mm</t>
  </si>
  <si>
    <t>0MBO08</t>
  </si>
  <si>
    <t>Boor 5 mm</t>
  </si>
  <si>
    <t>0MBO09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</si>
  <si>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</si>
  <si>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</si>
  <si>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</si>
  <si>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</si>
  <si>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</si>
  <si>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</si>
  <si>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</si>
  <si>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</si>
  <si>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</si>
  <si>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</si>
  <si>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</si>
  <si>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</si>
  <si>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</si>
  <si>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</si>
  <si>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</si>
  <si>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</si>
  <si>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</si>
  <si>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</si>
  <si>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</si>
  <si>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</si>
  <si>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</si>
  <si>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</si>
  <si>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</si>
  <si>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</si>
  <si>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0MBO22</t>
  </si>
  <si>
    <t>Boor 12 mm</t>
  </si>
  <si>
    <t>0MBO23</t>
  </si>
  <si>
    <t>Boor 12,5 mm</t>
  </si>
  <si>
    <t>0MBO24</t>
  </si>
  <si>
    <t>Boor 13 mm</t>
  </si>
  <si>
    <t>Een vogel</t>
  </si>
  <si>
    <t>Lashamer</t>
  </si>
  <si>
    <t>Laskabel</t>
  </si>
  <si>
    <t>Ijzerzaag</t>
  </si>
  <si>
    <t>Sleutel Emco draaibank</t>
  </si>
  <si>
    <t>0MTA00</t>
  </si>
  <si>
    <t>Machinetapset M3</t>
  </si>
  <si>
    <t>0MTA01</t>
  </si>
  <si>
    <t>Machinetapset M4</t>
  </si>
  <si>
    <t>0MTA02</t>
  </si>
  <si>
    <t>Machinetapset M5</t>
  </si>
  <si>
    <t>0MTA03</t>
  </si>
  <si>
    <t>Machinetapset M6</t>
  </si>
  <si>
    <t>0MTA04</t>
  </si>
  <si>
    <t>Machinetapset M8</t>
  </si>
  <si>
    <t>0MTA05</t>
  </si>
  <si>
    <t>Machinetapset M10</t>
  </si>
  <si>
    <t>0MTA06</t>
  </si>
  <si>
    <t>Machinetapset M12</t>
  </si>
  <si>
    <t>0MTA07</t>
  </si>
  <si>
    <t>Machinetapset M14</t>
  </si>
  <si>
    <t>0MTA08</t>
  </si>
  <si>
    <t>Machinetapset M16</t>
  </si>
  <si>
    <t>0MTA20</t>
  </si>
  <si>
    <t>Snij raam en -plaat M3</t>
  </si>
  <si>
    <t>0MTA21</t>
  </si>
  <si>
    <t>Snij raam en -plaat M4</t>
  </si>
  <si>
    <t>0MTA22</t>
  </si>
  <si>
    <t>Snij raam en -plaat M5</t>
  </si>
  <si>
    <t>0MTA23</t>
  </si>
  <si>
    <t>Snij raam en -plaat M6</t>
  </si>
  <si>
    <t>0MTA24</t>
  </si>
  <si>
    <t>Snij raam en -plaat M8</t>
  </si>
  <si>
    <t>0MTA25</t>
  </si>
  <si>
    <t>Snij raam en -plaat M10</t>
  </si>
  <si>
    <t>0MTA26</t>
  </si>
  <si>
    <t>Snij raam en -plaat M12</t>
  </si>
  <si>
    <t>0MTA27</t>
  </si>
  <si>
    <t>Snij raam en -plaat M14</t>
  </si>
  <si>
    <t>0MTA28</t>
  </si>
  <si>
    <t>Snij raam en -plaat M16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</si>
  <si>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</si>
  <si>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</si>
  <si>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</si>
  <si>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</si>
  <si>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</si>
  <si>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</si>
  <si>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</si>
  <si>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</si>
  <si>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</si>
  <si>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</si>
  <si>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</si>
  <si>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</si>
  <si>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</si>
  <si>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</si>
  <si>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</si>
  <si>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</si>
  <si>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0MOV47</t>
  </si>
  <si>
    <t>Haakseslijpersleutel</t>
  </si>
  <si>
    <t>0MOV48</t>
  </si>
  <si>
    <t>Gatenzaag set 1</t>
  </si>
  <si>
    <t>0MOV49</t>
  </si>
  <si>
    <t>Gatenzaag set 2</t>
  </si>
  <si>
    <t>Hint ww</t>
  </si>
  <si>
    <t>Ik hou van pizza</t>
  </si>
  <si>
    <t>Max colums of rows  om in te zoeken voor namen</t>
  </si>
  <si>
    <t>Autosave</t>
  </si>
  <si>
    <t>YES</t>
  </si>
  <si>
    <t>Nijn####</t>
  </si>
  <si>
    <t>Gebruiker bezit</t>
  </si>
  <si>
    <t>Adereindhulstang</t>
  </si>
  <si>
    <t>Een Manfred</t>
  </si>
  <si>
    <t>0M0016</t>
  </si>
  <si>
    <t>0M0002</t>
  </si>
  <si>
    <t>Een Jelle</t>
  </si>
  <si>
    <t>Een Tom</t>
  </si>
  <si>
    <t>0M0004</t>
  </si>
  <si>
    <t>Haakse slijptol</t>
  </si>
  <si>
    <t>Roestborstel</t>
  </si>
  <si>
    <t>Tang ronde punt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</si>
</sst>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48"/>
      <name val="Free 3 of 9 Extended"/>
    </font>
    <font>
      <sz val="2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48"/>
      <name val="Code 128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40">
    <xf numFmtId="0" fontId="0" fillId="0" borderId="0" xfId="0"/>
    <xf numFmtId="0" fontId="0" fillId="3" borderId="0" xfId="0" applyFill="1"/>
    <xf numFmtId="0" fontId="0" fillId="3" borderId="1" xfId="0" applyFill="1" applyBorder="1"/>
    <xf numFmtId="49" fontId="0" fillId="2" borderId="1" xfId="0" applyNumberForma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1" fillId="3" borderId="0" xfId="0" applyFont="1" applyFill="1"/>
    <xf numFmtId="0" fontId="1" fillId="0" borderId="0" xfId="0" applyFont="1"/>
    <xf numFmtId="0" fontId="1" fillId="3" borderId="0" xfId="0" applyFont="1" applyFill="1" applyBorder="1"/>
    <xf numFmtId="0" fontId="0" fillId="3" borderId="1" xfId="0" applyFont="1" applyFill="1" applyBorder="1"/>
    <xf numFmtId="0" fontId="0" fillId="0" borderId="13" xfId="0" applyBorder="1"/>
    <xf numFmtId="49" fontId="0" fillId="3" borderId="0" xfId="0" applyNumberFormat="1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7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8" borderId="4" xfId="0" applyFont="1" applyFill="1" applyBorder="1" applyAlignment="1">
      <alignment horizontal="left"/>
    </xf>
    <xf numFmtId="0" fontId="3" fillId="9" borderId="1" xfId="0" applyFont="1" applyFill="1" applyBorder="1"/>
    <xf numFmtId="0" fontId="0" fillId="8" borderId="4" xfId="0" applyFont="1" applyFill="1" applyBorder="1" applyAlignment="1"/>
    <xf numFmtId="0" fontId="0" fillId="8" borderId="2" xfId="0" applyFont="1" applyFill="1" applyBorder="1" applyAlignment="1"/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0" fontId="0" fillId="0" borderId="0" xfId="0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7" xfId="0" applyFill="1" applyBorder="1"/>
    <xf numFmtId="0" fontId="0" fillId="0" borderId="8" xfId="0" applyFill="1" applyBorder="1"/>
    <xf numFmtId="49" fontId="0" fillId="0" borderId="8" xfId="0" applyNumberFormat="1" applyFill="1" applyBorder="1" applyAlignment="1">
      <alignment horizontal="left"/>
    </xf>
    <xf numFmtId="0" fontId="1" fillId="3" borderId="0" xfId="0" applyFont="1" applyFill="1"/>
    <xf numFmtId="49" fontId="0" fillId="0" borderId="7" xfId="0" applyNumberFormat="1" applyFill="1" applyBorder="1" applyAlignment="1">
      <alignment horizontal="right"/>
    </xf>
    <xf numFmtId="0" fontId="0" fillId="8" borderId="17" xfId="0" applyFont="1" applyFill="1" applyBorder="1" applyAlignment="1">
      <alignment horizontal="right"/>
    </xf>
    <xf numFmtId="0" fontId="0" fillId="3" borderId="2" xfId="0" applyFill="1" applyBorder="1"/>
    <xf numFmtId="0" fontId="0" fillId="8" borderId="0" xfId="0" applyFont="1" applyFill="1" applyBorder="1" applyAlignment="1">
      <alignment horizontal="right"/>
    </xf>
    <xf numFmtId="0" fontId="0" fillId="8" borderId="14" xfId="0" applyFont="1" applyFill="1" applyBorder="1" applyAlignment="1">
      <alignment horizontal="right"/>
    </xf>
    <xf numFmtId="0" fontId="0" fillId="8" borderId="24" xfId="0" applyFont="1" applyFill="1" applyBorder="1" applyAlignment="1">
      <alignment horizontal="right"/>
    </xf>
    <xf numFmtId="0" fontId="0" fillId="8" borderId="15" xfId="0" applyFont="1" applyFill="1" applyBorder="1" applyAlignment="1">
      <alignment horizontal="right"/>
    </xf>
    <xf numFmtId="0" fontId="0" fillId="8" borderId="16" xfId="0" applyFont="1" applyFill="1" applyBorder="1" applyAlignment="1">
      <alignment horizontal="right"/>
    </xf>
    <xf numFmtId="0" fontId="0" fillId="8" borderId="18" xfId="0" applyFont="1" applyFill="1" applyBorder="1" applyAlignment="1">
      <alignment horizontal="right"/>
    </xf>
    <xf numFmtId="0" fontId="0" fillId="8" borderId="23" xfId="0" applyFont="1" applyFill="1" applyBorder="1" applyAlignment="1">
      <alignment horizontal="right"/>
    </xf>
    <xf numFmtId="0" fontId="0" fillId="8" borderId="19" xfId="0" applyFont="1" applyFill="1" applyBorder="1" applyAlignment="1">
      <alignment horizontal="right"/>
    </xf>
    <xf numFmtId="0" fontId="0" fillId="3" borderId="14" xfId="0" applyFill="1" applyBorder="1"/>
    <xf numFmtId="0" fontId="0" fillId="2" borderId="0" xfId="0" applyFill="1"/>
    <xf numFmtId="0" fontId="0" fillId="4" borderId="0" xfId="0" applyFill="1"/>
    <xf numFmtId="0" fontId="7" fillId="3" borderId="18" xfId="0" applyNumberFormat="1" applyFont="1" applyFill="1" applyBorder="1" applyAlignment="1">
      <alignment horizontal="right" vertical="top"/>
    </xf>
    <xf numFmtId="0" fontId="7" fillId="3" borderId="19" xfId="0" applyNumberFormat="1" applyFont="1" applyFill="1" applyBorder="1" applyAlignment="1">
      <alignment horizontal="left" vertical="top"/>
    </xf>
    <xf numFmtId="0" fontId="7" fillId="3" borderId="23" xfId="0" applyNumberFormat="1" applyFont="1" applyFill="1" applyBorder="1" applyAlignment="1">
      <alignment horizontal="left" vertical="top"/>
    </xf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0" xfId="0" applyFill="1" applyBorder="1"/>
    <xf numFmtId="0" fontId="0" fillId="3" borderId="0" xfId="0" applyFill="1" applyBorder="1" applyAlignment="1">
      <alignment vertical="top"/>
    </xf>
    <xf numFmtId="0" fontId="0" fillId="3" borderId="0" xfId="0" applyFill="1" applyBorder="1" applyAlignment="1"/>
    <xf numFmtId="0" fontId="0" fillId="6" borderId="1" xfId="0" applyFill="1" applyBorder="1" applyAlignment="1">
      <alignment vertical="top"/>
    </xf>
    <xf numFmtId="0" fontId="0" fillId="5" borderId="1" xfId="0" applyFill="1" applyBorder="1" applyAlignment="1"/>
    <xf numFmtId="0" fontId="0" fillId="3" borderId="1" xfId="0" applyFill="1" applyBorder="1" applyAlignment="1"/>
    <xf numFmtId="0" fontId="6" fillId="3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0" xfId="0" applyFont="1" applyFill="1"/>
    <xf numFmtId="0" fontId="0" fillId="8" borderId="18" xfId="0" applyFont="1" applyFill="1" applyBorder="1" applyAlignment="1">
      <alignment horizontal="left"/>
    </xf>
    <xf numFmtId="0" fontId="0" fillId="8" borderId="19" xfId="0" applyFont="1" applyFill="1" applyBorder="1" applyAlignment="1">
      <alignment horizontal="left"/>
    </xf>
    <xf numFmtId="0" fontId="0" fillId="0" borderId="11" xfId="0" applyBorder="1"/>
    <xf numFmtId="49" fontId="0" fillId="10" borderId="1" xfId="0" applyNumberFormat="1" applyFill="1" applyBorder="1" applyAlignment="1">
      <alignment horizontal="right"/>
    </xf>
    <xf numFmtId="49" fontId="0" fillId="11" borderId="7" xfId="0" applyNumberFormat="1" applyFill="1" applyBorder="1" applyAlignment="1">
      <alignment horizontal="right"/>
    </xf>
    <xf numFmtId="49" fontId="0" fillId="11" borderId="8" xfId="0" applyNumberFormat="1" applyFill="1" applyBorder="1" applyAlignment="1">
      <alignment horizontal="left"/>
    </xf>
    <xf numFmtId="49" fontId="0" fillId="12" borderId="7" xfId="0" applyNumberFormat="1" applyFill="1" applyBorder="1" applyAlignment="1">
      <alignment horizontal="right"/>
    </xf>
    <xf numFmtId="49" fontId="0" fillId="12" borderId="8" xfId="0" applyNumberFormat="1" applyFill="1" applyBorder="1" applyAlignment="1">
      <alignment horizontal="left"/>
    </xf>
    <xf numFmtId="49" fontId="0" fillId="12" borderId="8" xfId="0" applyNumberFormat="1" applyFont="1" applyFill="1" applyBorder="1" applyAlignment="1">
      <alignment horizontal="left"/>
    </xf>
    <xf numFmtId="49" fontId="0" fillId="13" borderId="7" xfId="0" applyNumberFormat="1" applyFill="1" applyBorder="1" applyAlignment="1">
      <alignment horizontal="right"/>
    </xf>
    <xf numFmtId="49" fontId="0" fillId="13" borderId="8" xfId="0" applyNumberFormat="1" applyFill="1" applyBorder="1" applyAlignment="1">
      <alignment horizontal="left"/>
    </xf>
    <xf numFmtId="49" fontId="0" fillId="14" borderId="7" xfId="0" applyNumberFormat="1" applyFill="1" applyBorder="1" applyAlignment="1">
      <alignment horizontal="right"/>
    </xf>
    <xf numFmtId="49" fontId="0" fillId="14" borderId="8" xfId="0" applyNumberFormat="1" applyFill="1" applyBorder="1" applyAlignment="1">
      <alignment horizontal="left"/>
    </xf>
    <xf numFmtId="49" fontId="0" fillId="15" borderId="7" xfId="0" applyNumberFormat="1" applyFill="1" applyBorder="1" applyAlignment="1">
      <alignment horizontal="right"/>
    </xf>
    <xf numFmtId="49" fontId="0" fillId="15" borderId="8" xfId="0" applyNumberFormat="1" applyFill="1" applyBorder="1" applyAlignment="1">
      <alignment horizontal="left"/>
    </xf>
    <xf numFmtId="49" fontId="3" fillId="16" borderId="7" xfId="0" applyNumberFormat="1" applyFont="1" applyFill="1" applyBorder="1" applyAlignment="1">
      <alignment horizontal="right"/>
    </xf>
    <xf numFmtId="49" fontId="3" fillId="16" borderId="8" xfId="0" applyNumberFormat="1" applyFont="1" applyFill="1" applyBorder="1" applyAlignment="1">
      <alignment horizontal="left"/>
    </xf>
    <xf numFmtId="49" fontId="0" fillId="17" borderId="7" xfId="0" applyNumberFormat="1" applyFill="1" applyBorder="1" applyAlignment="1">
      <alignment horizontal="right"/>
    </xf>
    <xf numFmtId="49" fontId="0" fillId="17" borderId="8" xfId="0" applyNumberFormat="1" applyFill="1" applyBorder="1" applyAlignment="1">
      <alignment horizontal="left"/>
    </xf>
    <xf numFmtId="49" fontId="0" fillId="18" borderId="7" xfId="0" applyNumberFormat="1" applyFill="1" applyBorder="1" applyAlignment="1">
      <alignment horizontal="right"/>
    </xf>
    <xf numFmtId="49" fontId="0" fillId="18" borderId="8" xfId="0" applyNumberFormat="1" applyFill="1" applyBorder="1" applyAlignment="1">
      <alignment horizontal="left"/>
    </xf>
    <xf numFmtId="49" fontId="0" fillId="19" borderId="7" xfId="0" applyNumberFormat="1" applyFill="1" applyBorder="1" applyAlignment="1">
      <alignment horizontal="right"/>
    </xf>
    <xf numFmtId="49" fontId="0" fillId="19" borderId="8" xfId="0" applyNumberFormat="1" applyFill="1" applyBorder="1" applyAlignment="1">
      <alignment horizontal="left"/>
    </xf>
    <xf numFmtId="49" fontId="0" fillId="20" borderId="7" xfId="0" applyNumberFormat="1" applyFill="1" applyBorder="1" applyAlignment="1">
      <alignment horizontal="right"/>
    </xf>
    <xf numFmtId="49" fontId="0" fillId="20" borderId="8" xfId="0" applyNumberFormat="1" applyFill="1" applyBorder="1" applyAlignment="1">
      <alignment horizontal="left"/>
    </xf>
    <xf numFmtId="49" fontId="0" fillId="21" borderId="7" xfId="0" applyNumberFormat="1" applyFill="1" applyBorder="1" applyAlignment="1">
      <alignment horizontal="right"/>
    </xf>
    <xf numFmtId="49" fontId="0" fillId="21" borderId="8" xfId="0" applyNumberFormat="1" applyFill="1" applyBorder="1" applyAlignment="1">
      <alignment horizontal="left"/>
    </xf>
    <xf numFmtId="49" fontId="0" fillId="22" borderId="7" xfId="0" applyNumberFormat="1" applyFill="1" applyBorder="1" applyAlignment="1">
      <alignment horizontal="right"/>
    </xf>
    <xf numFmtId="49" fontId="0" fillId="22" borderId="8" xfId="0" applyNumberFormat="1" applyFill="1" applyBorder="1" applyAlignment="1">
      <alignment horizontal="left"/>
    </xf>
    <xf numFmtId="49" fontId="0" fillId="23" borderId="7" xfId="0" applyNumberFormat="1" applyFill="1" applyBorder="1" applyAlignment="1">
      <alignment horizontal="right"/>
    </xf>
    <xf numFmtId="49" fontId="0" fillId="23" borderId="8" xfId="0" applyNumberFormat="1" applyFill="1" applyBorder="1" applyAlignment="1">
      <alignment horizontal="left"/>
    </xf>
    <xf numFmtId="49" fontId="0" fillId="24" borderId="7" xfId="0" applyNumberFormat="1" applyFill="1" applyBorder="1" applyAlignment="1">
      <alignment horizontal="right"/>
    </xf>
    <xf numFmtId="49" fontId="0" fillId="24" borderId="8" xfId="0" applyNumberFormat="1" applyFill="1" applyBorder="1" applyAlignment="1">
      <alignment horizontal="left"/>
    </xf>
    <xf numFmtId="49" fontId="0" fillId="7" borderId="7" xfId="0" applyNumberFormat="1" applyFill="1" applyBorder="1" applyAlignment="1">
      <alignment horizontal="right"/>
    </xf>
    <xf numFmtId="49" fontId="0" fillId="7" borderId="8" xfId="0" applyNumberFormat="1" applyFill="1" applyBorder="1" applyAlignment="1">
      <alignment horizontal="left"/>
    </xf>
    <xf numFmtId="0" fontId="0" fillId="0" borderId="5" xfId="0" applyBorder="1"/>
    <xf numFmtId="0" fontId="0" fillId="0" borderId="6" xfId="0" applyBorder="1"/>
    <xf numFmtId="0" fontId="0" fillId="8" borderId="3" xfId="0" applyFont="1" applyFill="1" applyBorder="1" applyAlignment="1">
      <alignment horizontal="left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49" fontId="0" fillId="25" borderId="1" xfId="0" applyNumberFormat="1" applyFont="1" applyFill="1" applyBorder="1"/>
    <xf numFmtId="49" fontId="0" fillId="25" borderId="1" xfId="0" applyNumberFormat="1" applyFill="1" applyBorder="1"/>
    <xf numFmtId="49" fontId="0" fillId="0" borderId="0" xfId="0" applyNumberFormat="1" applyFill="1" applyAlignment="1">
      <alignment horizontal="left"/>
    </xf>
    <xf numFmtId="0" fontId="0" fillId="8" borderId="15" xfId="0" applyFont="1" applyFill="1" applyBorder="1"/>
    <xf numFmtId="0" fontId="7" fillId="0" borderId="0" xfId="0" applyNumberFormat="1" applyFont="1" applyFill="1" applyBorder="1" applyAlignment="1">
      <alignment horizontal="right" vertical="top"/>
    </xf>
    <xf numFmtId="0" fontId="7" fillId="0" borderId="0" xfId="0" applyNumberFormat="1" applyFont="1" applyFill="1" applyBorder="1" applyAlignment="1">
      <alignment horizontal="left" vertical="top"/>
    </xf>
    <xf numFmtId="0" fontId="8" fillId="0" borderId="0" xfId="0" applyNumberFormat="1" applyFont="1" applyFill="1" applyBorder="1" applyAlignment="1"/>
    <xf numFmtId="0" fontId="0" fillId="8" borderId="3" xfId="0" applyFont="1" applyFill="1" applyBorder="1" applyAlignment="1">
      <alignment horizontal="left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0" borderId="7" xfId="0" applyFill="1" applyBorder="1" applyAlignment="1">
      <alignment horizontal="right"/>
    </xf>
    <xf numFmtId="0" fontId="0" fillId="8" borderId="3" xfId="0" applyFont="1" applyFill="1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3" fillId="9" borderId="14" xfId="0" applyFont="1" applyFill="1" applyBorder="1" applyAlignment="1">
      <alignment horizontal="center"/>
    </xf>
    <xf numFmtId="0" fontId="3" fillId="9" borderId="15" xfId="0" applyFont="1" applyFill="1" applyBorder="1" applyAlignment="1">
      <alignment horizontal="center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5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3" borderId="16" xfId="0" applyFill="1" applyBorder="1" applyAlignment="1">
      <alignment horizontal="center"/>
    </xf>
    <xf numFmtId="0" fontId="5" fillId="9" borderId="20" xfId="0" applyFont="1" applyFill="1" applyBorder="1" applyAlignment="1">
      <alignment horizontal="center"/>
    </xf>
    <xf numFmtId="0" fontId="5" fillId="9" borderId="21" xfId="0" applyFont="1" applyFill="1" applyBorder="1" applyAlignment="1">
      <alignment horizontal="center"/>
    </xf>
    <xf numFmtId="0" fontId="5" fillId="9" borderId="22" xfId="0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0" fillId="8" borderId="3" xfId="0" applyFont="1" applyFill="1" applyBorder="1" applyAlignment="1"/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  <xf numFmtId="49" fontId="0" fillId="0" borderId="7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0" xfId="0" applyNumberFormat="1" applyFill="1" applyBorder="1"/>
    <xf numFmtId="49" fontId="0" fillId="0" borderId="0" xfId="0" applyNumberFormat="1" applyFill="1" applyBorder="1" applyAlignment="1">
      <alignment horizontal="left"/>
    </xf>
    <xf numFmtId="49" fontId="0" fillId="0" borderId="8" xfId="0" applyNumberFormat="1" applyFont="1" applyFill="1" applyBorder="1" applyAlignment="1">
      <alignment horizontal="left"/>
    </xf>
    <xf numFmtId="49" fontId="3" fillId="0" borderId="7" xfId="0" applyNumberFormat="1" applyFont="1" applyFill="1" applyBorder="1" applyAlignment="1">
      <alignment horizontal="right"/>
    </xf>
    <xf numFmtId="49" fontId="3" fillId="0" borderId="8" xfId="0" applyNumberFormat="1" applyFont="1" applyFill="1" applyBorder="1" applyAlignment="1">
      <alignment horizontal="left"/>
    </xf>
  </cellXfs>
  <cellStyles count="2">
    <cellStyle name="Standaard" xfId="0" builtinId="0"/>
    <cellStyle name="Standaard 4" xfId="1" xr:uid="{A6CD4CE5-508C-4B8F-8464-9514269EA306}"/>
  </cellStyles>
  <dxfs count="0"/>
  <tableStyles count="0" defaultTableStyle="TableStyleMedium2" defaultPivotStyle="PivotStyleLight16"/>
  <colors>
    <mruColors>
      <color rgb="FFFFFF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3BD3-8255-486A-BBE9-7849DFC852F3}">
  <sheetPr codeName="Blad1"/>
  <dimension ref="A1:K40"/>
  <sheetViews>
    <sheetView showGridLines="0" showRowColHeaders="0" tabSelected="1" zoomScale="170" zoomScaleNormal="170" workbookViewId="0">
      <pane xSplit="11" ySplit="20" topLeftCell="XFD21" activePane="bottomRight" state="frozen"/>
      <selection pane="topRight" activeCell="L1" sqref="L1"/>
      <selection pane="bottomLeft" activeCell="A21" sqref="A21"/>
      <selection pane="bottomRight" activeCell="C2" sqref="C2"/>
    </sheetView>
  </sheetViews>
  <sheetFormatPr defaultColWidth="0" defaultRowHeight="14.4" zeroHeight="1" x14ac:dyDescent="0.3"/>
  <cols>
    <col min="1" max="1" width="2.6640625" customWidth="1"/>
    <col min="2" max="2" width="18.109375" customWidth="1"/>
    <col min="3" max="3" width="17.88671875" customWidth="1"/>
    <col min="4" max="4" width="2.6640625" customWidth="1"/>
    <col min="5" max="5" width="9.88671875" bestFit="1" customWidth="1"/>
    <col min="6" max="6" width="2.6640625" customWidth="1"/>
    <col min="7" max="7" width="26.44140625" customWidth="1"/>
    <col min="8" max="8" width="2.6640625" customWidth="1"/>
    <col min="9" max="9" width="11.33203125" bestFit="1" customWidth="1"/>
    <col min="10" max="10" width="26.44140625" customWidth="1"/>
    <col min="11" max="11" width="2.6640625" customWidth="1"/>
    <col min="12" max="16384" width="9.109375" hidden="1"/>
  </cols>
  <sheetData>
    <row r="1" spans="1:11" x14ac:dyDescent="0.3">
      <c r="A1" s="24"/>
      <c r="B1" s="24"/>
      <c r="C1" s="24"/>
      <c r="D1" s="24" t="s">
        <v>17</v>
      </c>
      <c r="E1" s="24" t="s">
        <v>17</v>
      </c>
      <c r="F1" s="24"/>
      <c r="G1" s="18" t="s">
        <v>22</v>
      </c>
      <c r="H1" s="59"/>
      <c r="I1" s="118" t="s">
        <v>424</v>
      </c>
      <c r="J1" s="119"/>
      <c r="K1" s="24"/>
    </row>
    <row r="2" spans="1:11" x14ac:dyDescent="0.3">
      <c r="A2" s="24"/>
      <c r="B2" s="2" t="s">
        <v>2</v>
      </c>
      <c r="C2" s="63" t="s">
        <v>10</v>
      </c>
      <c r="D2" s="24"/>
      <c r="E2" s="15" t="s">
        <v>18</v>
      </c>
      <c r="F2" s="24"/>
      <c r="G2" s="108"/>
      <c r="H2" s="59"/>
      <c r="I2" s="109" t="s">
        <v>19</v>
      </c>
      <c r="J2" s="104" t="s">
        <v>20</v>
      </c>
      <c r="K2" s="24"/>
    </row>
    <row r="3" spans="1:11" ht="7.5" customHeight="1" x14ac:dyDescent="0.3">
      <c r="A3" s="24"/>
      <c r="B3" s="24"/>
      <c r="C3" s="13" t="s">
        <v>10</v>
      </c>
      <c r="D3" s="24"/>
      <c r="E3" s="24"/>
      <c r="F3" s="24"/>
      <c r="G3" s="113"/>
      <c r="H3" s="59"/>
      <c r="I3" s="120"/>
      <c r="J3" s="122"/>
      <c r="K3" s="124"/>
    </row>
    <row r="4" spans="1:11" ht="7.5" customHeight="1" x14ac:dyDescent="0.3">
      <c r="A4" s="24"/>
      <c r="B4" s="24"/>
      <c r="C4" s="13" t="s">
        <v>10</v>
      </c>
      <c r="D4" s="24"/>
      <c r="E4" s="16"/>
      <c r="F4" s="24"/>
      <c r="G4" s="113"/>
      <c r="H4" s="59"/>
      <c r="I4" s="121"/>
      <c r="J4" s="123"/>
      <c r="K4" s="124"/>
    </row>
    <row r="5" spans="1:11" x14ac:dyDescent="0.3">
      <c r="A5" s="24"/>
      <c r="B5" s="2" t="s">
        <v>0</v>
      </c>
      <c r="C5" s="102" t="s">
        <v>10</v>
      </c>
      <c r="D5" s="24" t="s">
        <v>17</v>
      </c>
      <c r="E5" s="116" t="s">
        <v>1</v>
      </c>
      <c r="F5" s="24"/>
      <c r="G5" s="108"/>
      <c r="H5" s="59"/>
      <c r="I5" s="110"/>
      <c r="J5" s="111"/>
      <c r="K5" s="24"/>
    </row>
    <row r="6" spans="1:11" ht="7.5" customHeight="1" x14ac:dyDescent="0.3">
      <c r="A6" s="24"/>
      <c r="B6" s="24"/>
      <c r="C6" s="13" t="s">
        <v>10</v>
      </c>
      <c r="D6" s="24"/>
      <c r="E6" s="117"/>
      <c r="F6" s="24"/>
      <c r="G6" s="113"/>
      <c r="H6" s="59"/>
      <c r="I6" s="121"/>
      <c r="J6" s="123"/>
      <c r="K6" s="124"/>
    </row>
    <row r="7" spans="1:11" ht="7.5" customHeight="1" x14ac:dyDescent="0.3">
      <c r="A7" s="24"/>
      <c r="B7" s="24"/>
      <c r="C7" s="13" t="s">
        <v>10</v>
      </c>
      <c r="D7" s="24"/>
      <c r="E7" s="114"/>
      <c r="F7" s="24"/>
      <c r="G7" s="113"/>
      <c r="H7" s="59"/>
      <c r="I7" s="121"/>
      <c r="J7" s="123"/>
      <c r="K7" s="124"/>
    </row>
    <row r="8" spans="1:11" s="8" customFormat="1" x14ac:dyDescent="0.3">
      <c r="A8" s="30"/>
      <c r="B8" s="10" t="s">
        <v>15</v>
      </c>
      <c r="C8" s="101" t="s">
        <v>10</v>
      </c>
      <c r="D8" s="30" t="s">
        <v>17</v>
      </c>
      <c r="E8" s="115"/>
      <c r="F8" s="30"/>
      <c r="G8" s="17"/>
      <c r="H8" s="59"/>
      <c r="I8" s="110"/>
      <c r="J8" s="111"/>
      <c r="K8" s="24"/>
    </row>
    <row r="9" spans="1:11" s="8" customFormat="1" ht="14.4" customHeight="1" x14ac:dyDescent="0.3">
      <c r="A9" s="30"/>
      <c r="B9" s="9"/>
      <c r="C9" s="9"/>
      <c r="D9" s="30"/>
      <c r="E9" s="9"/>
      <c r="F9" s="9"/>
      <c r="G9" s="30"/>
      <c r="H9" s="24"/>
      <c r="I9" s="110"/>
      <c r="J9" s="111"/>
      <c r="K9" s="24"/>
    </row>
    <row r="10" spans="1:11" ht="14.4" customHeight="1" x14ac:dyDescent="0.3">
      <c r="A10" s="24"/>
      <c r="B10" s="24"/>
      <c r="C10" s="24"/>
      <c r="D10" s="24"/>
      <c r="E10" s="24"/>
      <c r="F10" s="24"/>
      <c r="G10" s="24"/>
      <c r="H10" s="24"/>
      <c r="I10" s="110"/>
      <c r="J10" s="111"/>
      <c r="K10" s="24"/>
    </row>
    <row r="11" spans="1:11" s="23" customFormat="1" x14ac:dyDescent="0.3">
      <c r="A11" s="24"/>
      <c r="B11" s="24"/>
      <c r="C11" s="24"/>
      <c r="D11" s="24"/>
      <c r="E11" s="24"/>
      <c r="F11" s="24"/>
      <c r="G11" s="24"/>
      <c r="H11" s="24"/>
      <c r="I11" s="110"/>
      <c r="J11" s="111"/>
      <c r="K11" s="24"/>
    </row>
    <row r="12" spans="1:11" s="23" customFormat="1" x14ac:dyDescent="0.3">
      <c r="A12" s="24"/>
      <c r="B12" s="24"/>
      <c r="C12" s="24"/>
      <c r="D12" s="24"/>
      <c r="E12" s="24"/>
      <c r="F12" s="24"/>
      <c r="G12" s="24"/>
      <c r="H12" s="24"/>
      <c r="I12" s="110"/>
      <c r="J12" s="111"/>
      <c r="K12" s="24"/>
    </row>
    <row r="13" spans="1:11" s="23" customFormat="1" x14ac:dyDescent="0.3">
      <c r="A13" s="24"/>
      <c r="B13" s="24"/>
      <c r="C13" s="24"/>
      <c r="D13" s="24"/>
      <c r="E13" s="24"/>
      <c r="F13" s="24"/>
      <c r="G13" s="24"/>
      <c r="H13" s="24"/>
      <c r="I13" s="110"/>
      <c r="J13" s="111"/>
      <c r="K13" s="24"/>
    </row>
    <row r="14" spans="1:11" s="23" customFormat="1" x14ac:dyDescent="0.3">
      <c r="A14" s="24"/>
      <c r="B14" s="24"/>
      <c r="C14" s="24"/>
      <c r="D14" s="24"/>
      <c r="E14" s="24"/>
      <c r="F14" s="24"/>
      <c r="G14" s="24"/>
      <c r="H14" s="24"/>
      <c r="I14" s="110"/>
      <c r="J14" s="111"/>
      <c r="K14" s="24"/>
    </row>
    <row r="15" spans="1:11" s="23" customFormat="1" x14ac:dyDescent="0.3">
      <c r="A15" s="24"/>
      <c r="B15" s="24"/>
      <c r="C15" s="24"/>
      <c r="D15" s="24"/>
      <c r="E15" s="24"/>
      <c r="F15" s="24"/>
      <c r="G15" s="24"/>
      <c r="H15" s="24"/>
      <c r="I15" s="110"/>
      <c r="J15" s="111"/>
      <c r="K15" s="24"/>
    </row>
    <row r="16" spans="1:11" s="23" customFormat="1" x14ac:dyDescent="0.3">
      <c r="A16" s="24"/>
      <c r="B16" s="24"/>
      <c r="C16" s="24"/>
      <c r="D16" s="24"/>
      <c r="E16" s="24"/>
      <c r="F16" s="24"/>
      <c r="G16" s="24"/>
      <c r="H16" s="24"/>
      <c r="I16" s="110"/>
      <c r="J16" s="111"/>
      <c r="K16" s="24"/>
    </row>
    <row r="17" spans="1:11" s="23" customFormat="1" x14ac:dyDescent="0.3">
      <c r="A17" s="24"/>
      <c r="B17" s="24"/>
      <c r="C17" s="24"/>
      <c r="D17" s="24"/>
      <c r="E17" s="24"/>
      <c r="F17" s="24"/>
      <c r="G17" s="24"/>
      <c r="H17" s="24"/>
      <c r="I17" s="110"/>
      <c r="J17" s="111"/>
      <c r="K17" s="24"/>
    </row>
    <row r="18" spans="1:11" s="23" customFormat="1" x14ac:dyDescent="0.3">
      <c r="A18" s="24"/>
      <c r="B18" s="24"/>
      <c r="C18" s="24"/>
      <c r="D18" s="24"/>
      <c r="E18" s="24"/>
      <c r="F18" s="24"/>
      <c r="G18" s="24"/>
      <c r="H18" s="24"/>
      <c r="I18" s="110"/>
      <c r="J18" s="111"/>
      <c r="K18" s="24"/>
    </row>
    <row r="19" spans="1:11" s="23" customFormat="1" x14ac:dyDescent="0.3">
      <c r="A19" s="24"/>
      <c r="B19" s="24"/>
      <c r="C19" s="24"/>
      <c r="D19" s="24"/>
      <c r="E19" s="24"/>
      <c r="F19" s="24"/>
      <c r="G19" s="24"/>
      <c r="H19" s="24"/>
      <c r="I19" s="60"/>
      <c r="J19" s="61"/>
      <c r="K19" s="24"/>
    </row>
    <row r="20" spans="1:11" s="23" customFormat="1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</row>
    <row r="21" spans="1:11" hidden="1" x14ac:dyDescent="0.3">
      <c r="A21" s="24"/>
      <c r="B21" s="24"/>
      <c r="C21" s="24"/>
      <c r="D21" s="24" t="s">
        <v>17</v>
      </c>
      <c r="E21" s="24" t="s">
        <v>17</v>
      </c>
      <c r="F21" s="24"/>
      <c r="G21" s="18" t="s">
        <v>22</v>
      </c>
      <c r="H21" s="59"/>
      <c r="I21" s="118" t="s">
        <v>424</v>
      </c>
      <c r="J21" s="119"/>
      <c r="K21" s="24"/>
    </row>
    <row r="22" spans="1:11" hidden="1" x14ac:dyDescent="0.3">
      <c r="A22" s="24"/>
      <c r="B22" s="2" t="s">
        <v>2</v>
      </c>
      <c r="C22" s="63" t="s">
        <v>10</v>
      </c>
      <c r="D22" s="24"/>
      <c r="E22" s="15" t="s">
        <v>18</v>
      </c>
      <c r="F22" s="24"/>
      <c r="G22" s="97"/>
      <c r="H22" s="59"/>
      <c r="I22" s="98" t="s">
        <v>19</v>
      </c>
      <c r="J22" s="104" t="s">
        <v>20</v>
      </c>
      <c r="K22" s="24"/>
    </row>
    <row r="23" spans="1:11" ht="6" hidden="1" customHeight="1" x14ac:dyDescent="0.3">
      <c r="A23" s="24"/>
      <c r="B23" s="24"/>
      <c r="C23" s="13" t="s">
        <v>10</v>
      </c>
      <c r="D23" s="24"/>
      <c r="E23" s="24"/>
      <c r="F23" s="24"/>
      <c r="G23" s="113"/>
      <c r="H23" s="59"/>
      <c r="I23" s="120"/>
      <c r="J23" s="122"/>
      <c r="K23" s="124"/>
    </row>
    <row r="24" spans="1:11" ht="6" hidden="1" customHeight="1" x14ac:dyDescent="0.3">
      <c r="A24" s="24"/>
      <c r="B24" s="24"/>
      <c r="C24" s="13" t="s">
        <v>10</v>
      </c>
      <c r="D24" s="24"/>
      <c r="E24" s="16"/>
      <c r="F24" s="24"/>
      <c r="G24" s="113"/>
      <c r="H24" s="59"/>
      <c r="I24" s="121"/>
      <c r="J24" s="123"/>
      <c r="K24" s="124"/>
    </row>
    <row r="25" spans="1:11" hidden="1" x14ac:dyDescent="0.3">
      <c r="A25" s="24"/>
      <c r="B25" s="2" t="s">
        <v>0</v>
      </c>
      <c r="C25" s="102" t="s">
        <v>10</v>
      </c>
      <c r="D25" s="24" t="s">
        <v>17</v>
      </c>
      <c r="E25" s="116" t="s">
        <v>1</v>
      </c>
      <c r="F25" s="24"/>
      <c r="G25" s="97"/>
      <c r="H25" s="59"/>
      <c r="I25" s="99"/>
      <c r="J25" s="100"/>
      <c r="K25" s="24"/>
    </row>
    <row r="26" spans="1:11" ht="6" hidden="1" customHeight="1" x14ac:dyDescent="0.3">
      <c r="A26" s="24"/>
      <c r="B26" s="24"/>
      <c r="C26" s="13" t="s">
        <v>10</v>
      </c>
      <c r="D26" s="24"/>
      <c r="E26" s="117"/>
      <c r="F26" s="24"/>
      <c r="G26" s="113"/>
      <c r="H26" s="59"/>
      <c r="I26" s="121"/>
      <c r="J26" s="123"/>
      <c r="K26" s="124"/>
    </row>
    <row r="27" spans="1:11" ht="6" hidden="1" customHeight="1" x14ac:dyDescent="0.3">
      <c r="A27" s="24"/>
      <c r="B27" s="24"/>
      <c r="C27" s="13" t="s">
        <v>10</v>
      </c>
      <c r="D27" s="24"/>
      <c r="E27" s="114"/>
      <c r="F27" s="24"/>
      <c r="G27" s="113"/>
      <c r="H27" s="59"/>
      <c r="I27" s="121"/>
      <c r="J27" s="123"/>
      <c r="K27" s="124"/>
    </row>
    <row r="28" spans="1:11" hidden="1" x14ac:dyDescent="0.3">
      <c r="A28" s="30"/>
      <c r="B28" s="10" t="s">
        <v>15</v>
      </c>
      <c r="C28" s="101" t="s">
        <v>10</v>
      </c>
      <c r="D28" s="30" t="s">
        <v>17</v>
      </c>
      <c r="E28" s="115"/>
      <c r="F28" s="30"/>
      <c r="G28" s="17"/>
      <c r="H28" s="59"/>
      <c r="I28" s="99"/>
      <c r="J28" s="100"/>
      <c r="K28" s="24"/>
    </row>
    <row r="29" spans="1:11" hidden="1" x14ac:dyDescent="0.3">
      <c r="A29" s="30"/>
      <c r="B29" s="9"/>
      <c r="C29" s="9"/>
      <c r="D29" s="30"/>
      <c r="E29" s="9"/>
      <c r="F29" s="9"/>
      <c r="G29" s="30"/>
      <c r="H29" s="24"/>
      <c r="I29" s="99"/>
      <c r="J29" s="100"/>
      <c r="K29" s="24"/>
    </row>
    <row r="30" spans="1:11" hidden="1" x14ac:dyDescent="0.3">
      <c r="A30" s="24"/>
      <c r="B30" s="24"/>
      <c r="C30" s="24"/>
      <c r="D30" s="24"/>
      <c r="E30" s="24"/>
      <c r="F30" s="24"/>
      <c r="G30" s="24"/>
      <c r="H30" s="24"/>
      <c r="I30" s="99"/>
      <c r="J30" s="100"/>
      <c r="K30" s="24"/>
    </row>
    <row r="31" spans="1:11" hidden="1" x14ac:dyDescent="0.3">
      <c r="A31" s="24"/>
      <c r="B31" s="24"/>
      <c r="C31" s="24"/>
      <c r="D31" s="24"/>
      <c r="E31" s="24"/>
      <c r="F31" s="24"/>
      <c r="G31" s="24"/>
      <c r="H31" s="24"/>
      <c r="I31" s="99"/>
      <c r="J31" s="100"/>
      <c r="K31" s="24"/>
    </row>
    <row r="32" spans="1:11" hidden="1" x14ac:dyDescent="0.3">
      <c r="A32" s="24"/>
      <c r="B32" s="24"/>
      <c r="C32" s="24"/>
      <c r="D32" s="24"/>
      <c r="E32" s="24"/>
      <c r="F32" s="24"/>
      <c r="G32" s="24"/>
      <c r="H32" s="24"/>
      <c r="I32" s="99"/>
      <c r="J32" s="100"/>
      <c r="K32" s="24"/>
    </row>
    <row r="33" spans="1:11" hidden="1" x14ac:dyDescent="0.3">
      <c r="A33" s="24"/>
      <c r="B33" s="24"/>
      <c r="C33" s="24"/>
      <c r="D33" s="24"/>
      <c r="E33" s="24"/>
      <c r="F33" s="24"/>
      <c r="G33" s="24"/>
      <c r="H33" s="24"/>
      <c r="I33" s="99"/>
      <c r="J33" s="100"/>
      <c r="K33" s="24"/>
    </row>
    <row r="34" spans="1:11" hidden="1" x14ac:dyDescent="0.3">
      <c r="A34" s="24"/>
      <c r="B34" s="24"/>
      <c r="C34" s="24"/>
      <c r="D34" s="24"/>
      <c r="E34" s="24"/>
      <c r="F34" s="24"/>
      <c r="G34" s="24"/>
      <c r="H34" s="24"/>
      <c r="I34" s="99"/>
      <c r="J34" s="100"/>
      <c r="K34" s="24"/>
    </row>
    <row r="35" spans="1:11" hidden="1" x14ac:dyDescent="0.3">
      <c r="A35" s="24"/>
      <c r="B35" s="24"/>
      <c r="C35" s="24"/>
      <c r="D35" s="24"/>
      <c r="E35" s="24"/>
      <c r="F35" s="24"/>
      <c r="G35" s="24"/>
      <c r="H35" s="24"/>
      <c r="I35" s="99"/>
      <c r="J35" s="100"/>
      <c r="K35" s="24"/>
    </row>
    <row r="36" spans="1:11" hidden="1" x14ac:dyDescent="0.3">
      <c r="A36" s="24"/>
      <c r="B36" s="24"/>
      <c r="C36" s="24"/>
      <c r="D36" s="24"/>
      <c r="E36" s="24"/>
      <c r="F36" s="24"/>
      <c r="G36" s="24"/>
      <c r="H36" s="24"/>
      <c r="I36" s="99"/>
      <c r="J36" s="100"/>
      <c r="K36" s="24"/>
    </row>
    <row r="37" spans="1:11" hidden="1" x14ac:dyDescent="0.3">
      <c r="A37" s="24"/>
      <c r="B37" s="24"/>
      <c r="C37" s="24"/>
      <c r="D37" s="24"/>
      <c r="E37" s="24"/>
      <c r="F37" s="24"/>
      <c r="G37" s="24"/>
      <c r="H37" s="24"/>
      <c r="I37" s="99"/>
      <c r="J37" s="100"/>
      <c r="K37" s="24"/>
    </row>
    <row r="38" spans="1:11" hidden="1" x14ac:dyDescent="0.3">
      <c r="A38" s="24"/>
      <c r="B38" s="24"/>
      <c r="C38" s="24"/>
      <c r="D38" s="24"/>
      <c r="E38" s="24"/>
      <c r="F38" s="24"/>
      <c r="G38" s="24"/>
      <c r="H38" s="24"/>
      <c r="I38" s="99"/>
      <c r="J38" s="100"/>
      <c r="K38" s="24"/>
    </row>
    <row r="39" spans="1:11" hidden="1" x14ac:dyDescent="0.3">
      <c r="A39" s="24"/>
      <c r="B39" s="24"/>
      <c r="C39" s="24"/>
      <c r="D39" s="24"/>
      <c r="E39" s="24"/>
      <c r="F39" s="24"/>
      <c r="G39" s="24"/>
      <c r="H39" s="24"/>
      <c r="I39" s="60"/>
      <c r="J39" s="61"/>
      <c r="K39" s="24"/>
    </row>
    <row r="40" spans="1:11" hidden="1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</row>
  </sheetData>
  <sheetProtection selectLockedCells="1"/>
  <mergeCells count="22">
    <mergeCell ref="K26:K27"/>
    <mergeCell ref="K23:K24"/>
    <mergeCell ref="K3:K4"/>
    <mergeCell ref="K6:K7"/>
    <mergeCell ref="I21:J21"/>
    <mergeCell ref="G23:G24"/>
    <mergeCell ref="I23:I24"/>
    <mergeCell ref="J23:J24"/>
    <mergeCell ref="E25:E26"/>
    <mergeCell ref="G26:G27"/>
    <mergeCell ref="I26:I27"/>
    <mergeCell ref="J26:J27"/>
    <mergeCell ref="E27:E28"/>
    <mergeCell ref="G3:G4"/>
    <mergeCell ref="G6:G7"/>
    <mergeCell ref="E7:E8"/>
    <mergeCell ref="E5:E6"/>
    <mergeCell ref="I1:J1"/>
    <mergeCell ref="I3:I4"/>
    <mergeCell ref="J3:J4"/>
    <mergeCell ref="J6:J7"/>
    <mergeCell ref="I6:I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B5863-9225-4186-AB63-D2943E7FA89C}">
  <sheetPr codeName="Blad9"/>
  <dimension ref="A1:K152"/>
  <sheetViews>
    <sheetView showGridLines="0" showRowColHeaders="0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24"/>
      <c r="B1" s="24"/>
      <c r="C1" s="24"/>
      <c r="D1" s="24"/>
      <c r="E1" s="24"/>
      <c r="F1" s="24"/>
      <c r="G1" s="1"/>
    </row>
    <row r="2" spans="1:7" ht="28.8" customHeight="1" x14ac:dyDescent="0.5">
      <c r="A2" s="24"/>
      <c r="B2" s="125" t="s">
        <v>25</v>
      </c>
      <c r="C2" s="126"/>
      <c r="D2" s="126"/>
      <c r="E2" s="127"/>
      <c r="F2" s="24"/>
      <c r="G2" s="1"/>
    </row>
    <row r="3" spans="1:7" x14ac:dyDescent="0.3">
      <c r="A3" s="24"/>
      <c r="B3" s="33" t="s">
        <v>2</v>
      </c>
      <c r="C3" s="42" t="s">
        <v>3</v>
      </c>
      <c r="D3" s="33" t="s">
        <v>19</v>
      </c>
      <c r="E3" s="33" t="s">
        <v>20</v>
      </c>
      <c r="F3" s="24"/>
      <c r="G3" s="1"/>
    </row>
    <row r="4" spans="1:7" x14ac:dyDescent="0.3">
      <c r="A4" s="24"/>
      <c r="B4" s="35"/>
      <c r="C4" s="36"/>
      <c r="D4" s="35"/>
      <c r="E4" s="37"/>
      <c r="F4" s="24"/>
      <c r="G4" s="1"/>
    </row>
    <row r="5" spans="1:7" s="8" customFormat="1" x14ac:dyDescent="0.3">
      <c r="A5" s="24"/>
      <c r="B5" s="38"/>
      <c r="C5" s="34"/>
      <c r="D5" s="38"/>
      <c r="E5" s="32"/>
      <c r="F5" s="30"/>
      <c r="G5" s="7"/>
    </row>
    <row r="6" spans="1:7" s="8" customFormat="1" x14ac:dyDescent="0.3">
      <c r="A6" s="24"/>
      <c r="B6" s="38"/>
      <c r="C6" s="34"/>
      <c r="D6" s="38"/>
      <c r="E6" s="32"/>
      <c r="F6" s="30"/>
      <c r="G6" s="30"/>
    </row>
    <row r="7" spans="1:7" s="8" customFormat="1" x14ac:dyDescent="0.3">
      <c r="A7" s="24"/>
      <c r="B7" s="38"/>
      <c r="C7" s="34"/>
      <c r="D7" s="38"/>
      <c r="E7" s="32"/>
      <c r="F7" s="30"/>
      <c r="G7" s="30"/>
    </row>
    <row r="8" spans="1:7" s="8" customFormat="1" x14ac:dyDescent="0.3">
      <c r="A8" s="24"/>
      <c r="B8" s="38"/>
      <c r="C8" s="34"/>
      <c r="D8" s="38"/>
      <c r="E8" s="32"/>
      <c r="F8" s="30"/>
      <c r="G8" s="30"/>
    </row>
    <row r="9" spans="1:7" s="8" customFormat="1" x14ac:dyDescent="0.3">
      <c r="A9" s="24"/>
      <c r="B9" s="38"/>
      <c r="C9" s="34"/>
      <c r="D9" s="38"/>
      <c r="E9" s="32"/>
      <c r="F9" s="30"/>
      <c r="G9" s="30"/>
    </row>
    <row r="10" spans="1:7" s="8" customFormat="1" x14ac:dyDescent="0.3">
      <c r="A10" s="24"/>
      <c r="B10" s="38"/>
      <c r="C10" s="34"/>
      <c r="D10" s="38"/>
      <c r="E10" s="32"/>
      <c r="F10" s="30"/>
      <c r="G10" s="30"/>
    </row>
    <row r="11" spans="1:7" s="8" customFormat="1" x14ac:dyDescent="0.3">
      <c r="A11" s="24"/>
      <c r="B11" s="38"/>
      <c r="C11" s="34"/>
      <c r="D11" s="38"/>
      <c r="E11" s="32"/>
      <c r="F11" s="30"/>
      <c r="G11" s="30"/>
    </row>
    <row r="12" spans="1:7" s="8" customFormat="1" x14ac:dyDescent="0.3">
      <c r="A12" s="24"/>
      <c r="B12" s="38"/>
      <c r="C12" s="34"/>
      <c r="D12" s="38"/>
      <c r="E12" s="32"/>
      <c r="F12" s="30"/>
      <c r="G12" s="30"/>
    </row>
    <row r="13" spans="1:7" s="8" customFormat="1" x14ac:dyDescent="0.3">
      <c r="A13" s="24"/>
      <c r="B13" s="38"/>
      <c r="C13" s="34"/>
      <c r="D13" s="38"/>
      <c r="E13" s="32"/>
      <c r="F13" s="30"/>
      <c r="G13" s="30"/>
    </row>
    <row r="14" spans="1:7" s="8" customFormat="1" x14ac:dyDescent="0.3">
      <c r="A14" s="24"/>
      <c r="B14" s="38"/>
      <c r="C14" s="34"/>
      <c r="D14" s="38"/>
      <c r="E14" s="32"/>
      <c r="F14" s="30"/>
      <c r="G14" s="30"/>
    </row>
    <row r="15" spans="1:7" s="8" customFormat="1" x14ac:dyDescent="0.3">
      <c r="A15" s="24"/>
      <c r="B15" s="38"/>
      <c r="C15" s="34"/>
      <c r="D15" s="38"/>
      <c r="E15" s="32"/>
      <c r="F15" s="30"/>
      <c r="G15" s="30"/>
    </row>
    <row r="16" spans="1:7" s="8" customFormat="1" x14ac:dyDescent="0.3">
      <c r="A16" s="24"/>
      <c r="B16" s="38"/>
      <c r="C16" s="34"/>
      <c r="D16" s="38"/>
      <c r="E16" s="32"/>
      <c r="F16" s="30"/>
      <c r="G16" s="30"/>
    </row>
    <row r="17" spans="1:7" s="8" customFormat="1" x14ac:dyDescent="0.3">
      <c r="A17" s="24"/>
      <c r="B17" s="38"/>
      <c r="C17" s="34"/>
      <c r="D17" s="38"/>
      <c r="E17" s="32"/>
      <c r="F17" s="30"/>
      <c r="G17" s="30"/>
    </row>
    <row r="18" spans="1:7" s="8" customFormat="1" x14ac:dyDescent="0.3">
      <c r="A18" s="24"/>
      <c r="B18" s="38"/>
      <c r="C18" s="34"/>
      <c r="D18" s="38"/>
      <c r="E18" s="32"/>
      <c r="F18" s="30"/>
      <c r="G18" s="30"/>
    </row>
    <row r="19" spans="1:7" s="8" customFormat="1" x14ac:dyDescent="0.3">
      <c r="A19" s="24"/>
      <c r="B19" s="38"/>
      <c r="C19" s="34"/>
      <c r="D19" s="38"/>
      <c r="E19" s="32"/>
      <c r="F19" s="30"/>
      <c r="G19" s="30"/>
    </row>
    <row r="20" spans="1:7" s="8" customFormat="1" x14ac:dyDescent="0.3">
      <c r="A20" s="24"/>
      <c r="B20" s="38"/>
      <c r="C20" s="34"/>
      <c r="D20" s="38"/>
      <c r="E20" s="32"/>
      <c r="F20" s="30"/>
      <c r="G20" s="30"/>
    </row>
    <row r="21" spans="1:7" s="8" customFormat="1" x14ac:dyDescent="0.3">
      <c r="A21" s="24"/>
      <c r="B21" s="38"/>
      <c r="C21" s="34"/>
      <c r="D21" s="38"/>
      <c r="E21" s="32"/>
      <c r="F21" s="30"/>
      <c r="G21" s="30"/>
    </row>
    <row r="22" spans="1:7" s="8" customFormat="1" x14ac:dyDescent="0.3">
      <c r="A22" s="24"/>
      <c r="B22" s="38"/>
      <c r="C22" s="34"/>
      <c r="D22" s="38"/>
      <c r="E22" s="32"/>
      <c r="F22" s="30"/>
      <c r="G22" s="30"/>
    </row>
    <row r="23" spans="1:7" s="8" customFormat="1" x14ac:dyDescent="0.3">
      <c r="A23" s="24"/>
      <c r="B23" s="38"/>
      <c r="C23" s="34"/>
      <c r="D23" s="38"/>
      <c r="E23" s="32"/>
      <c r="F23" s="30"/>
      <c r="G23" s="30"/>
    </row>
    <row r="24" spans="1:7" s="8" customFormat="1" x14ac:dyDescent="0.3">
      <c r="A24" s="24"/>
      <c r="B24" s="38"/>
      <c r="C24" s="34"/>
      <c r="D24" s="38"/>
      <c r="E24" s="32"/>
      <c r="F24" s="30"/>
      <c r="G24" s="30"/>
    </row>
    <row r="25" spans="1:7" s="8" customFormat="1" x14ac:dyDescent="0.3">
      <c r="A25" s="24"/>
      <c r="B25" s="38"/>
      <c r="C25" s="34"/>
      <c r="D25" s="38"/>
      <c r="E25" s="32"/>
      <c r="F25" s="30"/>
      <c r="G25" s="30"/>
    </row>
    <row r="26" spans="1:7" s="8" customFormat="1" x14ac:dyDescent="0.3">
      <c r="A26" s="24"/>
      <c r="B26" s="38"/>
      <c r="C26" s="34"/>
      <c r="D26" s="38"/>
      <c r="E26" s="32"/>
      <c r="F26" s="30"/>
      <c r="G26" s="30"/>
    </row>
    <row r="27" spans="1:7" s="8" customFormat="1" x14ac:dyDescent="0.3">
      <c r="A27" s="24"/>
      <c r="B27" s="38"/>
      <c r="C27" s="34"/>
      <c r="D27" s="38"/>
      <c r="E27" s="32"/>
      <c r="F27" s="30"/>
      <c r="G27" s="30"/>
    </row>
    <row r="28" spans="1:7" s="8" customFormat="1" x14ac:dyDescent="0.3">
      <c r="A28" s="24"/>
      <c r="B28" s="38"/>
      <c r="C28" s="34"/>
      <c r="D28" s="38"/>
      <c r="E28" s="32"/>
      <c r="F28" s="30"/>
      <c r="G28" s="30"/>
    </row>
    <row r="29" spans="1:7" s="8" customFormat="1" x14ac:dyDescent="0.3">
      <c r="A29" s="24"/>
      <c r="B29" s="38"/>
      <c r="C29" s="34"/>
      <c r="D29" s="38"/>
      <c r="E29" s="32"/>
      <c r="F29" s="30"/>
      <c r="G29" s="30"/>
    </row>
    <row r="30" spans="1:7" s="8" customFormat="1" x14ac:dyDescent="0.3">
      <c r="A30" s="24"/>
      <c r="B30" s="38"/>
      <c r="C30" s="34"/>
      <c r="D30" s="38"/>
      <c r="E30" s="32"/>
      <c r="F30" s="30"/>
      <c r="G30" s="30"/>
    </row>
    <row r="31" spans="1:7" s="8" customFormat="1" x14ac:dyDescent="0.3">
      <c r="A31" s="24"/>
      <c r="B31" s="38"/>
      <c r="C31" s="34"/>
      <c r="D31" s="38"/>
      <c r="E31" s="32"/>
      <c r="F31" s="30"/>
      <c r="G31" s="30"/>
    </row>
    <row r="32" spans="1:7" s="8" customFormat="1" x14ac:dyDescent="0.3">
      <c r="A32" s="24"/>
      <c r="B32" s="38"/>
      <c r="C32" s="34"/>
      <c r="D32" s="38"/>
      <c r="E32" s="32"/>
      <c r="F32" s="30"/>
      <c r="G32" s="30"/>
    </row>
    <row r="33" spans="1:7" s="8" customFormat="1" x14ac:dyDescent="0.3">
      <c r="A33" s="24"/>
      <c r="B33" s="38"/>
      <c r="C33" s="34"/>
      <c r="D33" s="38"/>
      <c r="E33" s="32"/>
      <c r="F33" s="30"/>
      <c r="G33" s="30"/>
    </row>
    <row r="34" spans="1:7" s="8" customFormat="1" x14ac:dyDescent="0.3">
      <c r="A34" s="24"/>
      <c r="B34" s="38"/>
      <c r="C34" s="34"/>
      <c r="D34" s="38"/>
      <c r="E34" s="32"/>
      <c r="F34" s="30"/>
      <c r="G34" s="30"/>
    </row>
    <row r="35" spans="1:7" s="8" customFormat="1" x14ac:dyDescent="0.3">
      <c r="A35" s="24"/>
      <c r="B35" s="38"/>
      <c r="C35" s="34"/>
      <c r="D35" s="38"/>
      <c r="E35" s="32"/>
      <c r="F35" s="30"/>
      <c r="G35" s="30"/>
    </row>
    <row r="36" spans="1:7" s="8" customFormat="1" x14ac:dyDescent="0.3">
      <c r="A36" s="24"/>
      <c r="B36" s="38"/>
      <c r="C36" s="34"/>
      <c r="D36" s="38"/>
      <c r="E36" s="32"/>
      <c r="F36" s="30"/>
      <c r="G36" s="30"/>
    </row>
    <row r="37" spans="1:7" s="8" customFormat="1" x14ac:dyDescent="0.3">
      <c r="A37" s="24"/>
      <c r="B37" s="38"/>
      <c r="C37" s="34"/>
      <c r="D37" s="38"/>
      <c r="E37" s="32"/>
      <c r="F37" s="30"/>
      <c r="G37" s="30"/>
    </row>
    <row r="38" spans="1:7" s="8" customFormat="1" x14ac:dyDescent="0.3">
      <c r="A38" s="24"/>
      <c r="B38" s="38"/>
      <c r="C38" s="34"/>
      <c r="D38" s="38"/>
      <c r="E38" s="32"/>
      <c r="F38" s="30"/>
      <c r="G38" s="30"/>
    </row>
    <row r="39" spans="1:7" s="8" customFormat="1" x14ac:dyDescent="0.3">
      <c r="A39" s="24"/>
      <c r="B39" s="38"/>
      <c r="C39" s="34"/>
      <c r="D39" s="38"/>
      <c r="E39" s="32"/>
      <c r="F39" s="30"/>
      <c r="G39" s="30"/>
    </row>
    <row r="40" spans="1:7" s="8" customFormat="1" x14ac:dyDescent="0.3">
      <c r="A40" s="24"/>
      <c r="B40" s="38"/>
      <c r="C40" s="34"/>
      <c r="D40" s="38"/>
      <c r="E40" s="32"/>
      <c r="F40" s="30"/>
      <c r="G40" s="30"/>
    </row>
    <row r="41" spans="1:7" s="8" customFormat="1" x14ac:dyDescent="0.3">
      <c r="A41" s="24"/>
      <c r="B41" s="38"/>
      <c r="C41" s="34"/>
      <c r="D41" s="38"/>
      <c r="E41" s="32"/>
      <c r="F41" s="30"/>
      <c r="G41" s="30"/>
    </row>
    <row r="42" spans="1:7" s="8" customFormat="1" x14ac:dyDescent="0.3">
      <c r="A42" s="24"/>
      <c r="B42" s="38"/>
      <c r="C42" s="34"/>
      <c r="D42" s="38"/>
      <c r="E42" s="32"/>
      <c r="F42" s="30"/>
      <c r="G42" s="30"/>
    </row>
    <row r="43" spans="1:7" s="8" customFormat="1" x14ac:dyDescent="0.3">
      <c r="A43" s="24"/>
      <c r="B43" s="38"/>
      <c r="C43" s="34"/>
      <c r="D43" s="38"/>
      <c r="E43" s="32"/>
      <c r="F43" s="30"/>
      <c r="G43" s="30"/>
    </row>
    <row r="44" spans="1:7" s="8" customFormat="1" x14ac:dyDescent="0.3">
      <c r="A44" s="24"/>
      <c r="B44" s="38"/>
      <c r="C44" s="34"/>
      <c r="D44" s="38"/>
      <c r="E44" s="32"/>
      <c r="F44" s="30"/>
      <c r="G44" s="30"/>
    </row>
    <row r="45" spans="1:7" s="8" customFormat="1" x14ac:dyDescent="0.3">
      <c r="A45" s="24"/>
      <c r="B45" s="38"/>
      <c r="C45" s="34"/>
      <c r="D45" s="38"/>
      <c r="E45" s="32"/>
      <c r="F45" s="30"/>
      <c r="G45" s="30"/>
    </row>
    <row r="46" spans="1:7" s="8" customFormat="1" x14ac:dyDescent="0.3">
      <c r="A46" s="24"/>
      <c r="B46" s="38"/>
      <c r="C46" s="34"/>
      <c r="D46" s="38"/>
      <c r="E46" s="32"/>
      <c r="F46" s="30"/>
      <c r="G46" s="30"/>
    </row>
    <row r="47" spans="1:7" s="8" customFormat="1" x14ac:dyDescent="0.3">
      <c r="A47" s="24"/>
      <c r="B47" s="38"/>
      <c r="C47" s="34"/>
      <c r="D47" s="38"/>
      <c r="E47" s="32"/>
      <c r="F47" s="30"/>
      <c r="G47" s="30"/>
    </row>
    <row r="48" spans="1:7" s="8" customFormat="1" x14ac:dyDescent="0.3">
      <c r="A48" s="24"/>
      <c r="B48" s="38"/>
      <c r="C48" s="34"/>
      <c r="D48" s="38"/>
      <c r="E48" s="32"/>
      <c r="F48" s="30"/>
      <c r="G48" s="30"/>
    </row>
    <row r="49" spans="1:7" s="8" customFormat="1" x14ac:dyDescent="0.3">
      <c r="A49" s="24"/>
      <c r="B49" s="38"/>
      <c r="C49" s="34"/>
      <c r="D49" s="38"/>
      <c r="E49" s="32"/>
      <c r="F49" s="30"/>
      <c r="G49" s="30"/>
    </row>
    <row r="50" spans="1:7" s="8" customFormat="1" x14ac:dyDescent="0.3">
      <c r="A50" s="24"/>
      <c r="B50" s="38"/>
      <c r="C50" s="34"/>
      <c r="D50" s="38"/>
      <c r="E50" s="32"/>
      <c r="F50" s="30"/>
      <c r="G50" s="30"/>
    </row>
    <row r="51" spans="1:7" s="8" customFormat="1" x14ac:dyDescent="0.3">
      <c r="A51" s="24"/>
      <c r="B51" s="38"/>
      <c r="C51" s="34"/>
      <c r="D51" s="38"/>
      <c r="E51" s="32"/>
      <c r="F51" s="30"/>
      <c r="G51" s="30"/>
    </row>
    <row r="52" spans="1:7" s="8" customFormat="1" x14ac:dyDescent="0.3">
      <c r="A52" s="24"/>
      <c r="B52" s="38"/>
      <c r="C52" s="34"/>
      <c r="D52" s="38"/>
      <c r="E52" s="32"/>
      <c r="F52" s="30"/>
      <c r="G52" s="30"/>
    </row>
    <row r="53" spans="1:7" s="8" customFormat="1" x14ac:dyDescent="0.3">
      <c r="A53" s="24"/>
      <c r="B53" s="38"/>
      <c r="C53" s="34"/>
      <c r="D53" s="38"/>
      <c r="E53" s="32"/>
      <c r="F53" s="30"/>
      <c r="G53" s="30"/>
    </row>
    <row r="54" spans="1:7" s="8" customFormat="1" x14ac:dyDescent="0.3">
      <c r="A54" s="24"/>
      <c r="B54" s="38"/>
      <c r="C54" s="34"/>
      <c r="D54" s="38"/>
      <c r="E54" s="32"/>
      <c r="F54" s="30"/>
      <c r="G54" s="30"/>
    </row>
    <row r="55" spans="1:7" x14ac:dyDescent="0.3">
      <c r="A55" s="24"/>
      <c r="B55" s="38"/>
      <c r="C55" s="34"/>
      <c r="D55" s="38"/>
      <c r="E55" s="32"/>
      <c r="F55" s="24"/>
      <c r="G55" s="1"/>
    </row>
    <row r="56" spans="1:7" ht="14.4" customHeight="1" x14ac:dyDescent="0.3">
      <c r="A56" s="24"/>
      <c r="B56" s="38"/>
      <c r="C56" s="34"/>
      <c r="D56" s="38"/>
      <c r="E56" s="32"/>
      <c r="F56" s="24"/>
      <c r="G56" s="1"/>
    </row>
    <row r="57" spans="1:7" ht="14.4" customHeight="1" x14ac:dyDescent="0.3">
      <c r="A57" s="24"/>
      <c r="B57" s="38"/>
      <c r="C57" s="34"/>
      <c r="D57" s="38"/>
      <c r="E57" s="32"/>
      <c r="F57" s="24"/>
      <c r="G57" s="1"/>
    </row>
    <row r="58" spans="1:7" ht="14.4" customHeight="1" x14ac:dyDescent="0.3">
      <c r="A58" s="24"/>
      <c r="B58" s="38"/>
      <c r="C58" s="34"/>
      <c r="D58" s="38"/>
      <c r="E58" s="32"/>
      <c r="F58" s="24"/>
      <c r="G58" s="1"/>
    </row>
    <row r="59" spans="1:7" ht="14.4" customHeight="1" x14ac:dyDescent="0.3">
      <c r="A59" s="24"/>
      <c r="B59" s="38"/>
      <c r="C59" s="34"/>
      <c r="D59" s="38"/>
      <c r="E59" s="32"/>
      <c r="F59" s="24"/>
      <c r="G59" s="1"/>
    </row>
    <row r="60" spans="1:7" ht="14.4" customHeight="1" x14ac:dyDescent="0.3">
      <c r="A60" s="24"/>
      <c r="B60" s="38"/>
      <c r="C60" s="34"/>
      <c r="D60" s="38"/>
      <c r="E60" s="32"/>
      <c r="F60" s="24"/>
      <c r="G60" s="1"/>
    </row>
    <row r="61" spans="1:7" ht="14.4" customHeight="1" x14ac:dyDescent="0.3">
      <c r="A61" s="24"/>
      <c r="B61" s="38"/>
      <c r="C61" s="34"/>
      <c r="D61" s="38"/>
      <c r="E61" s="32"/>
      <c r="F61" s="24"/>
      <c r="G61" s="1"/>
    </row>
    <row r="62" spans="1:7" ht="14.4" customHeight="1" x14ac:dyDescent="0.3">
      <c r="A62" s="24"/>
      <c r="B62" s="38"/>
      <c r="C62" s="34"/>
      <c r="D62" s="38"/>
      <c r="E62" s="32"/>
      <c r="F62" s="24"/>
      <c r="G62" s="1"/>
    </row>
    <row r="63" spans="1:7" ht="14.4" customHeight="1" x14ac:dyDescent="0.3">
      <c r="A63" s="24"/>
      <c r="B63" s="38"/>
      <c r="C63" s="34"/>
      <c r="D63" s="38"/>
      <c r="E63" s="32"/>
      <c r="F63" s="24"/>
      <c r="G63" s="1"/>
    </row>
    <row r="64" spans="1:7" ht="14.4" customHeight="1" x14ac:dyDescent="0.3">
      <c r="A64" s="24"/>
      <c r="B64" s="38"/>
      <c r="C64" s="34"/>
      <c r="D64" s="38"/>
      <c r="E64" s="32"/>
      <c r="F64" s="24"/>
      <c r="G64" s="1"/>
    </row>
    <row r="65" spans="1:7" ht="14.4" customHeight="1" x14ac:dyDescent="0.3">
      <c r="A65" s="24"/>
      <c r="B65" s="38"/>
      <c r="C65" s="34"/>
      <c r="D65" s="38"/>
      <c r="E65" s="32"/>
      <c r="F65" s="24"/>
      <c r="G65" s="1"/>
    </row>
    <row r="66" spans="1:7" ht="14.4" customHeight="1" x14ac:dyDescent="0.3">
      <c r="A66" s="24"/>
      <c r="B66" s="38"/>
      <c r="C66" s="34"/>
      <c r="D66" s="38"/>
      <c r="E66" s="32"/>
      <c r="F66" s="24"/>
      <c r="G66" s="1"/>
    </row>
    <row r="67" spans="1:7" ht="14.4" customHeight="1" x14ac:dyDescent="0.3">
      <c r="A67" s="24"/>
      <c r="B67" s="38"/>
      <c r="C67" s="34"/>
      <c r="D67" s="38"/>
      <c r="E67" s="32"/>
      <c r="F67" s="24"/>
      <c r="G67" s="1"/>
    </row>
    <row r="68" spans="1:7" ht="14.4" customHeight="1" x14ac:dyDescent="0.3">
      <c r="A68" s="24"/>
      <c r="B68" s="38"/>
      <c r="C68" s="34"/>
      <c r="D68" s="38"/>
      <c r="E68" s="32"/>
      <c r="F68" s="24"/>
      <c r="G68" s="1"/>
    </row>
    <row r="69" spans="1:7" ht="14.4" customHeight="1" x14ac:dyDescent="0.3">
      <c r="A69" s="24"/>
      <c r="B69" s="38"/>
      <c r="C69" s="34"/>
      <c r="D69" s="38"/>
      <c r="E69" s="32"/>
      <c r="F69" s="24"/>
      <c r="G69" s="1"/>
    </row>
    <row r="70" spans="1:7" ht="14.4" customHeight="1" x14ac:dyDescent="0.3">
      <c r="A70" s="24"/>
      <c r="B70" s="38"/>
      <c r="C70" s="34"/>
      <c r="D70" s="38"/>
      <c r="E70" s="32"/>
      <c r="F70" s="24"/>
      <c r="G70" s="1"/>
    </row>
    <row r="71" spans="1:7" ht="14.4" customHeight="1" x14ac:dyDescent="0.3">
      <c r="A71" s="24"/>
      <c r="B71" s="38"/>
      <c r="C71" s="34"/>
      <c r="D71" s="38"/>
      <c r="E71" s="32"/>
      <c r="F71" s="24"/>
      <c r="G71" s="1"/>
    </row>
    <row r="72" spans="1:7" ht="14.4" customHeight="1" x14ac:dyDescent="0.3">
      <c r="A72" s="24"/>
      <c r="B72" s="38"/>
      <c r="C72" s="34"/>
      <c r="D72" s="38"/>
      <c r="E72" s="32"/>
      <c r="F72" s="24"/>
      <c r="G72" s="1"/>
    </row>
    <row r="73" spans="1:7" ht="14.4" customHeight="1" x14ac:dyDescent="0.3">
      <c r="A73" s="24"/>
      <c r="B73" s="38"/>
      <c r="C73" s="34"/>
      <c r="D73" s="38"/>
      <c r="E73" s="32"/>
      <c r="F73" s="24"/>
      <c r="G73" s="1"/>
    </row>
    <row r="74" spans="1:7" ht="14.4" customHeight="1" x14ac:dyDescent="0.3">
      <c r="A74" s="24"/>
      <c r="B74" s="38"/>
      <c r="C74" s="34"/>
      <c r="D74" s="38"/>
      <c r="E74" s="32"/>
      <c r="F74" s="24"/>
      <c r="G74" s="1"/>
    </row>
    <row r="75" spans="1:7" ht="14.4" customHeight="1" x14ac:dyDescent="0.3">
      <c r="A75" s="24"/>
      <c r="B75" s="39"/>
      <c r="C75" s="40"/>
      <c r="D75" s="39"/>
      <c r="E75" s="41"/>
      <c r="F75" s="24"/>
      <c r="G75" s="1"/>
    </row>
    <row r="76" spans="1:7" ht="14.4" customHeight="1" x14ac:dyDescent="0.3">
      <c r="A76" s="24"/>
      <c r="B76" s="23"/>
      <c r="C76" s="24"/>
      <c r="D76" s="24"/>
      <c r="E76" s="24"/>
      <c r="F76" s="24"/>
      <c r="G76" s="1"/>
    </row>
    <row r="77" spans="1:7" ht="14.4" hidden="1" customHeight="1" x14ac:dyDescent="0.3">
      <c r="A77" s="24"/>
      <c r="B77" s="24"/>
      <c r="C77" s="24"/>
      <c r="D77" s="24"/>
      <c r="E77" s="24"/>
      <c r="F77" s="24"/>
    </row>
    <row r="78" spans="1:7" ht="25.8" hidden="1" x14ac:dyDescent="0.5">
      <c r="A78" s="24"/>
      <c r="B78" s="125" t="s">
        <v>25</v>
      </c>
      <c r="C78" s="126"/>
      <c r="D78" s="126"/>
      <c r="E78" s="127"/>
      <c r="F78" s="24"/>
    </row>
    <row r="79" spans="1:7" ht="14.4" hidden="1" customHeight="1" x14ac:dyDescent="0.3">
      <c r="A79" s="24"/>
      <c r="B79" s="33" t="s">
        <v>2</v>
      </c>
      <c r="C79" s="42" t="s">
        <v>3</v>
      </c>
      <c r="D79" s="33" t="s">
        <v>19</v>
      </c>
      <c r="E79" s="33" t="s">
        <v>20</v>
      </c>
      <c r="F79" s="24"/>
    </row>
    <row r="80" spans="1:7" ht="14.4" hidden="1" customHeight="1" x14ac:dyDescent="0.3">
      <c r="A80" s="24"/>
      <c r="B80" s="35"/>
      <c r="C80" s="36"/>
      <c r="D80" s="35"/>
      <c r="E80" s="37"/>
      <c r="F80" s="24"/>
    </row>
    <row r="81" spans="1:6" ht="14.4" hidden="1" customHeight="1" x14ac:dyDescent="0.3">
      <c r="A81" s="24"/>
      <c r="B81" s="38"/>
      <c r="C81" s="34"/>
      <c r="D81" s="38"/>
      <c r="E81" s="32"/>
      <c r="F81" s="30"/>
    </row>
    <row r="82" spans="1:6" ht="14.4" hidden="1" customHeight="1" x14ac:dyDescent="0.3">
      <c r="A82" s="24"/>
      <c r="B82" s="38"/>
      <c r="C82" s="34"/>
      <c r="D82" s="38"/>
      <c r="E82" s="32"/>
      <c r="F82" s="30"/>
    </row>
    <row r="83" spans="1:6" ht="14.4" hidden="1" customHeight="1" x14ac:dyDescent="0.3">
      <c r="A83" s="24"/>
      <c r="B83" s="38"/>
      <c r="C83" s="34"/>
      <c r="D83" s="38"/>
      <c r="E83" s="32"/>
      <c r="F83" s="30"/>
    </row>
    <row r="84" spans="1:6" ht="14.4" hidden="1" customHeight="1" x14ac:dyDescent="0.3">
      <c r="A84" s="24"/>
      <c r="B84" s="38"/>
      <c r="C84" s="34"/>
      <c r="D84" s="38"/>
      <c r="E84" s="32"/>
      <c r="F84" s="30"/>
    </row>
    <row r="85" spans="1:6" ht="14.4" hidden="1" customHeight="1" x14ac:dyDescent="0.3">
      <c r="A85" s="24"/>
      <c r="B85" s="38"/>
      <c r="C85" s="34"/>
      <c r="D85" s="38"/>
      <c r="E85" s="32"/>
      <c r="F85" s="30"/>
    </row>
    <row r="86" spans="1:6" ht="14.4" hidden="1" customHeight="1" x14ac:dyDescent="0.3">
      <c r="A86" s="24"/>
      <c r="B86" s="38"/>
      <c r="C86" s="34"/>
      <c r="D86" s="38"/>
      <c r="E86" s="32"/>
      <c r="F86" s="30"/>
    </row>
    <row r="87" spans="1:6" ht="14.4" hidden="1" customHeight="1" x14ac:dyDescent="0.3">
      <c r="A87" s="24"/>
      <c r="B87" s="38"/>
      <c r="C87" s="34"/>
      <c r="D87" s="38"/>
      <c r="E87" s="32"/>
      <c r="F87" s="30"/>
    </row>
    <row r="88" spans="1:6" ht="14.4" hidden="1" customHeight="1" x14ac:dyDescent="0.3">
      <c r="A88" s="24"/>
      <c r="B88" s="38"/>
      <c r="C88" s="34"/>
      <c r="D88" s="38"/>
      <c r="E88" s="32"/>
      <c r="F88" s="30"/>
    </row>
    <row r="89" spans="1:6" ht="14.4" hidden="1" customHeight="1" x14ac:dyDescent="0.3">
      <c r="A89" s="24"/>
      <c r="B89" s="38"/>
      <c r="C89" s="34"/>
      <c r="D89" s="38"/>
      <c r="E89" s="32"/>
      <c r="F89" s="30"/>
    </row>
    <row r="90" spans="1:6" ht="14.4" hidden="1" customHeight="1" x14ac:dyDescent="0.3">
      <c r="A90" s="24"/>
      <c r="B90" s="38"/>
      <c r="C90" s="34"/>
      <c r="D90" s="38"/>
      <c r="E90" s="32"/>
      <c r="F90" s="30"/>
    </row>
    <row r="91" spans="1:6" ht="14.4" hidden="1" customHeight="1" x14ac:dyDescent="0.3">
      <c r="A91" s="24"/>
      <c r="B91" s="38"/>
      <c r="C91" s="34"/>
      <c r="D91" s="38"/>
      <c r="E91" s="32"/>
      <c r="F91" s="30"/>
    </row>
    <row r="92" spans="1:6" ht="14.4" hidden="1" customHeight="1" x14ac:dyDescent="0.3">
      <c r="A92" s="24"/>
      <c r="B92" s="38"/>
      <c r="C92" s="34"/>
      <c r="D92" s="38"/>
      <c r="E92" s="32"/>
      <c r="F92" s="30"/>
    </row>
    <row r="93" spans="1:6" ht="14.4" hidden="1" customHeight="1" x14ac:dyDescent="0.3">
      <c r="A93" s="24"/>
      <c r="B93" s="38"/>
      <c r="C93" s="34"/>
      <c r="D93" s="38"/>
      <c r="E93" s="32"/>
      <c r="F93" s="30"/>
    </row>
    <row r="94" spans="1:6" ht="14.4" hidden="1" customHeight="1" x14ac:dyDescent="0.3">
      <c r="A94" s="24"/>
      <c r="B94" s="38"/>
      <c r="C94" s="34"/>
      <c r="D94" s="38"/>
      <c r="E94" s="32"/>
      <c r="F94" s="30"/>
    </row>
    <row r="95" spans="1:6" ht="14.4" hidden="1" customHeight="1" x14ac:dyDescent="0.3">
      <c r="A95" s="24"/>
      <c r="B95" s="38"/>
      <c r="C95" s="34"/>
      <c r="D95" s="38"/>
      <c r="E95" s="32"/>
      <c r="F95" s="30"/>
    </row>
    <row r="96" spans="1:6" ht="14.4" hidden="1" customHeight="1" x14ac:dyDescent="0.3">
      <c r="A96" s="24"/>
      <c r="B96" s="38"/>
      <c r="C96" s="34"/>
      <c r="D96" s="38"/>
      <c r="E96" s="32"/>
      <c r="F96" s="30"/>
    </row>
    <row r="97" spans="1:6" ht="14.4" hidden="1" customHeight="1" x14ac:dyDescent="0.3">
      <c r="A97" s="24"/>
      <c r="B97" s="38"/>
      <c r="C97" s="34"/>
      <c r="D97" s="38"/>
      <c r="E97" s="32"/>
      <c r="F97" s="30"/>
    </row>
    <row r="98" spans="1:6" ht="14.4" hidden="1" customHeight="1" x14ac:dyDescent="0.3">
      <c r="A98" s="24"/>
      <c r="B98" s="38"/>
      <c r="C98" s="34"/>
      <c r="D98" s="38"/>
      <c r="E98" s="32"/>
      <c r="F98" s="30"/>
    </row>
    <row r="99" spans="1:6" ht="14.4" hidden="1" customHeight="1" x14ac:dyDescent="0.3">
      <c r="A99" s="24"/>
      <c r="B99" s="38"/>
      <c r="C99" s="34"/>
      <c r="D99" s="38"/>
      <c r="E99" s="32"/>
      <c r="F99" s="30"/>
    </row>
    <row r="100" spans="1:6" ht="14.4" hidden="1" customHeight="1" x14ac:dyDescent="0.3">
      <c r="A100" s="24"/>
      <c r="B100" s="38"/>
      <c r="C100" s="34"/>
      <c r="D100" s="38"/>
      <c r="E100" s="32"/>
      <c r="F100" s="30"/>
    </row>
    <row r="101" spans="1:6" ht="14.4" hidden="1" customHeight="1" x14ac:dyDescent="0.3">
      <c r="A101" s="24"/>
      <c r="B101" s="38"/>
      <c r="C101" s="34"/>
      <c r="D101" s="38"/>
      <c r="E101" s="32"/>
      <c r="F101" s="30"/>
    </row>
    <row r="102" spans="1:6" ht="14.4" hidden="1" customHeight="1" x14ac:dyDescent="0.3">
      <c r="A102" s="24"/>
      <c r="B102" s="38"/>
      <c r="C102" s="34"/>
      <c r="D102" s="38"/>
      <c r="E102" s="32"/>
      <c r="F102" s="30"/>
    </row>
    <row r="103" spans="1:6" ht="14.4" hidden="1" customHeight="1" x14ac:dyDescent="0.3">
      <c r="A103" s="24"/>
      <c r="B103" s="38"/>
      <c r="C103" s="34"/>
      <c r="D103" s="38"/>
      <c r="E103" s="32"/>
      <c r="F103" s="30"/>
    </row>
    <row r="104" spans="1:6" ht="14.4" hidden="1" customHeight="1" x14ac:dyDescent="0.3">
      <c r="A104" s="24"/>
      <c r="B104" s="38"/>
      <c r="C104" s="34"/>
      <c r="D104" s="38"/>
      <c r="E104" s="32"/>
      <c r="F104" s="30"/>
    </row>
    <row r="105" spans="1:6" ht="14.4" hidden="1" customHeight="1" x14ac:dyDescent="0.3">
      <c r="A105" s="24"/>
      <c r="B105" s="38"/>
      <c r="C105" s="34"/>
      <c r="D105" s="38"/>
      <c r="E105" s="32"/>
      <c r="F105" s="30"/>
    </row>
    <row r="106" spans="1:6" ht="14.4" hidden="1" customHeight="1" x14ac:dyDescent="0.3">
      <c r="A106" s="24"/>
      <c r="B106" s="38"/>
      <c r="C106" s="34"/>
      <c r="D106" s="38"/>
      <c r="E106" s="32"/>
      <c r="F106" s="30"/>
    </row>
    <row r="107" spans="1:6" ht="14.4" hidden="1" customHeight="1" x14ac:dyDescent="0.3">
      <c r="A107" s="24"/>
      <c r="B107" s="38"/>
      <c r="C107" s="34"/>
      <c r="D107" s="38"/>
      <c r="E107" s="32"/>
      <c r="F107" s="30"/>
    </row>
    <row r="108" spans="1:6" ht="14.4" hidden="1" customHeight="1" x14ac:dyDescent="0.3">
      <c r="A108" s="24"/>
      <c r="B108" s="38"/>
      <c r="C108" s="34"/>
      <c r="D108" s="38"/>
      <c r="E108" s="32"/>
      <c r="F108" s="30"/>
    </row>
    <row r="109" spans="1:6" ht="14.4" hidden="1" customHeight="1" x14ac:dyDescent="0.3">
      <c r="A109" s="24"/>
      <c r="B109" s="38"/>
      <c r="C109" s="34"/>
      <c r="D109" s="38"/>
      <c r="E109" s="32"/>
      <c r="F109" s="30"/>
    </row>
    <row r="110" spans="1:6" ht="14.4" hidden="1" customHeight="1" x14ac:dyDescent="0.3">
      <c r="A110" s="24"/>
      <c r="B110" s="38"/>
      <c r="C110" s="34"/>
      <c r="D110" s="38"/>
      <c r="E110" s="32"/>
      <c r="F110" s="30"/>
    </row>
    <row r="111" spans="1:6" ht="14.4" hidden="1" customHeight="1" x14ac:dyDescent="0.3">
      <c r="A111" s="24"/>
      <c r="B111" s="38"/>
      <c r="C111" s="34"/>
      <c r="D111" s="38"/>
      <c r="E111" s="32"/>
      <c r="F111" s="30"/>
    </row>
    <row r="112" spans="1:6" ht="14.4" hidden="1" customHeight="1" x14ac:dyDescent="0.3">
      <c r="A112" s="24"/>
      <c r="B112" s="38"/>
      <c r="C112" s="34"/>
      <c r="D112" s="38"/>
      <c r="E112" s="32"/>
      <c r="F112" s="30"/>
    </row>
    <row r="113" spans="1:6" ht="14.4" hidden="1" customHeight="1" x14ac:dyDescent="0.3">
      <c r="A113" s="24"/>
      <c r="B113" s="38"/>
      <c r="C113" s="34"/>
      <c r="D113" s="38"/>
      <c r="E113" s="32"/>
      <c r="F113" s="30"/>
    </row>
    <row r="114" spans="1:6" ht="14.4" hidden="1" customHeight="1" x14ac:dyDescent="0.3">
      <c r="A114" s="24"/>
      <c r="B114" s="38"/>
      <c r="C114" s="34"/>
      <c r="D114" s="38"/>
      <c r="E114" s="32"/>
      <c r="F114" s="30"/>
    </row>
    <row r="115" spans="1:6" ht="14.4" hidden="1" customHeight="1" x14ac:dyDescent="0.3">
      <c r="A115" s="24"/>
      <c r="B115" s="38"/>
      <c r="C115" s="34"/>
      <c r="D115" s="38"/>
      <c r="E115" s="32"/>
      <c r="F115" s="30"/>
    </row>
    <row r="116" spans="1:6" ht="14.4" hidden="1" customHeight="1" x14ac:dyDescent="0.3">
      <c r="A116" s="24"/>
      <c r="B116" s="38"/>
      <c r="C116" s="34"/>
      <c r="D116" s="38"/>
      <c r="E116" s="32"/>
      <c r="F116" s="30"/>
    </row>
    <row r="117" spans="1:6" ht="14.4" hidden="1" customHeight="1" x14ac:dyDescent="0.3">
      <c r="A117" s="24"/>
      <c r="B117" s="38"/>
      <c r="C117" s="34"/>
      <c r="D117" s="38"/>
      <c r="E117" s="32"/>
      <c r="F117" s="30"/>
    </row>
    <row r="118" spans="1:6" ht="14.4" hidden="1" customHeight="1" x14ac:dyDescent="0.3">
      <c r="A118" s="24"/>
      <c r="B118" s="38"/>
      <c r="C118" s="34"/>
      <c r="D118" s="38"/>
      <c r="E118" s="32"/>
      <c r="F118" s="30"/>
    </row>
    <row r="119" spans="1:6" ht="14.4" hidden="1" customHeight="1" x14ac:dyDescent="0.3">
      <c r="A119" s="24"/>
      <c r="B119" s="38"/>
      <c r="C119" s="34"/>
      <c r="D119" s="38"/>
      <c r="E119" s="32"/>
      <c r="F119" s="30"/>
    </row>
    <row r="120" spans="1:6" ht="14.4" hidden="1" customHeight="1" x14ac:dyDescent="0.3">
      <c r="A120" s="24"/>
      <c r="B120" s="38"/>
      <c r="C120" s="34"/>
      <c r="D120" s="38"/>
      <c r="E120" s="32"/>
      <c r="F120" s="30"/>
    </row>
    <row r="121" spans="1:6" ht="14.4" hidden="1" customHeight="1" x14ac:dyDescent="0.3">
      <c r="A121" s="24"/>
      <c r="B121" s="38"/>
      <c r="C121" s="34"/>
      <c r="D121" s="38"/>
      <c r="E121" s="32"/>
      <c r="F121" s="30"/>
    </row>
    <row r="122" spans="1:6" ht="14.4" hidden="1" customHeight="1" x14ac:dyDescent="0.3">
      <c r="A122" s="24"/>
      <c r="B122" s="38"/>
      <c r="C122" s="34"/>
      <c r="D122" s="38"/>
      <c r="E122" s="32"/>
      <c r="F122" s="30"/>
    </row>
    <row r="123" spans="1:6" ht="14.4" hidden="1" customHeight="1" x14ac:dyDescent="0.3">
      <c r="A123" s="24"/>
      <c r="B123" s="38"/>
      <c r="C123" s="34"/>
      <c r="D123" s="38"/>
      <c r="E123" s="32"/>
      <c r="F123" s="30"/>
    </row>
    <row r="124" spans="1:6" ht="14.4" hidden="1" customHeight="1" x14ac:dyDescent="0.3">
      <c r="A124" s="24"/>
      <c r="B124" s="38"/>
      <c r="C124" s="34"/>
      <c r="D124" s="38"/>
      <c r="E124" s="32"/>
      <c r="F124" s="30"/>
    </row>
    <row r="125" spans="1:6" ht="14.4" hidden="1" customHeight="1" x14ac:dyDescent="0.3">
      <c r="A125" s="24"/>
      <c r="B125" s="38"/>
      <c r="C125" s="34"/>
      <c r="D125" s="38"/>
      <c r="E125" s="32"/>
      <c r="F125" s="30"/>
    </row>
    <row r="126" spans="1:6" ht="14.4" hidden="1" customHeight="1" x14ac:dyDescent="0.3">
      <c r="A126" s="24"/>
      <c r="B126" s="38"/>
      <c r="C126" s="34"/>
      <c r="D126" s="38"/>
      <c r="E126" s="32"/>
      <c r="F126" s="30"/>
    </row>
    <row r="127" spans="1:6" ht="14.4" hidden="1" customHeight="1" x14ac:dyDescent="0.3">
      <c r="A127" s="24"/>
      <c r="B127" s="38"/>
      <c r="C127" s="34"/>
      <c r="D127" s="38"/>
      <c r="E127" s="32"/>
      <c r="F127" s="30"/>
    </row>
    <row r="128" spans="1:6" ht="14.4" hidden="1" customHeight="1" x14ac:dyDescent="0.3">
      <c r="A128" s="24"/>
      <c r="B128" s="38"/>
      <c r="C128" s="34"/>
      <c r="D128" s="38"/>
      <c r="E128" s="32"/>
      <c r="F128" s="30"/>
    </row>
    <row r="129" spans="1:6" ht="14.4" hidden="1" customHeight="1" x14ac:dyDescent="0.3">
      <c r="A129" s="24"/>
      <c r="B129" s="38"/>
      <c r="C129" s="34"/>
      <c r="D129" s="38"/>
      <c r="E129" s="32"/>
      <c r="F129" s="30"/>
    </row>
    <row r="130" spans="1:6" ht="14.4" hidden="1" customHeight="1" x14ac:dyDescent="0.3">
      <c r="A130" s="24"/>
      <c r="B130" s="38"/>
      <c r="C130" s="34"/>
      <c r="D130" s="38"/>
      <c r="E130" s="32"/>
      <c r="F130" s="30"/>
    </row>
    <row r="131" spans="1:6" ht="14.4" hidden="1" customHeight="1" x14ac:dyDescent="0.3">
      <c r="A131" s="24"/>
      <c r="B131" s="38"/>
      <c r="C131" s="34"/>
      <c r="D131" s="38"/>
      <c r="E131" s="32"/>
      <c r="F131" s="24"/>
    </row>
    <row r="132" spans="1:6" ht="14.4" hidden="1" customHeight="1" x14ac:dyDescent="0.3">
      <c r="A132" s="24"/>
      <c r="B132" s="38"/>
      <c r="C132" s="34"/>
      <c r="D132" s="38"/>
      <c r="E132" s="32"/>
      <c r="F132" s="24"/>
    </row>
    <row r="133" spans="1:6" ht="14.4" hidden="1" customHeight="1" x14ac:dyDescent="0.3">
      <c r="A133" s="24"/>
      <c r="B133" s="38"/>
      <c r="C133" s="34"/>
      <c r="D133" s="38"/>
      <c r="E133" s="32"/>
      <c r="F133" s="24"/>
    </row>
    <row r="134" spans="1:6" ht="14.4" hidden="1" customHeight="1" x14ac:dyDescent="0.3">
      <c r="A134" s="24"/>
      <c r="B134" s="38"/>
      <c r="C134" s="34"/>
      <c r="D134" s="38"/>
      <c r="E134" s="32"/>
      <c r="F134" s="24"/>
    </row>
    <row r="135" spans="1:6" ht="14.4" hidden="1" customHeight="1" x14ac:dyDescent="0.3">
      <c r="A135" s="24"/>
      <c r="B135" s="38"/>
      <c r="C135" s="34"/>
      <c r="D135" s="38"/>
      <c r="E135" s="32"/>
      <c r="F135" s="24"/>
    </row>
    <row r="136" spans="1:6" ht="14.4" hidden="1" customHeight="1" x14ac:dyDescent="0.3">
      <c r="A136" s="24"/>
      <c r="B136" s="38"/>
      <c r="C136" s="34"/>
      <c r="D136" s="38"/>
      <c r="E136" s="32"/>
      <c r="F136" s="24"/>
    </row>
    <row r="137" spans="1:6" ht="14.4" hidden="1" customHeight="1" x14ac:dyDescent="0.3">
      <c r="A137" s="24"/>
      <c r="B137" s="38"/>
      <c r="C137" s="34"/>
      <c r="D137" s="38"/>
      <c r="E137" s="32"/>
      <c r="F137" s="24"/>
    </row>
    <row r="138" spans="1:6" ht="14.4" hidden="1" customHeight="1" x14ac:dyDescent="0.3">
      <c r="A138" s="24"/>
      <c r="B138" s="38"/>
      <c r="C138" s="34"/>
      <c r="D138" s="38"/>
      <c r="E138" s="32"/>
      <c r="F138" s="24"/>
    </row>
    <row r="139" spans="1:6" ht="14.4" hidden="1" customHeight="1" x14ac:dyDescent="0.3">
      <c r="A139" s="24"/>
      <c r="B139" s="38"/>
      <c r="C139" s="34"/>
      <c r="D139" s="38"/>
      <c r="E139" s="32"/>
      <c r="F139" s="24"/>
    </row>
    <row r="140" spans="1:6" ht="14.4" hidden="1" customHeight="1" x14ac:dyDescent="0.3">
      <c r="A140" s="24"/>
      <c r="B140" s="38"/>
      <c r="C140" s="34"/>
      <c r="D140" s="38"/>
      <c r="E140" s="32"/>
      <c r="F140" s="24"/>
    </row>
    <row r="141" spans="1:6" ht="14.4" hidden="1" customHeight="1" x14ac:dyDescent="0.3">
      <c r="A141" s="24"/>
      <c r="B141" s="38"/>
      <c r="C141" s="34"/>
      <c r="D141" s="38"/>
      <c r="E141" s="32"/>
      <c r="F141" s="24"/>
    </row>
    <row r="142" spans="1:6" ht="14.4" hidden="1" customHeight="1" x14ac:dyDescent="0.3">
      <c r="A142" s="24"/>
      <c r="B142" s="38"/>
      <c r="C142" s="34"/>
      <c r="D142" s="38"/>
      <c r="E142" s="32"/>
      <c r="F142" s="24"/>
    </row>
    <row r="143" spans="1:6" ht="14.4" hidden="1" customHeight="1" x14ac:dyDescent="0.3">
      <c r="A143" s="24"/>
      <c r="B143" s="38"/>
      <c r="C143" s="34"/>
      <c r="D143" s="38"/>
      <c r="E143" s="32"/>
      <c r="F143" s="24"/>
    </row>
    <row r="144" spans="1:6" ht="14.4" hidden="1" customHeight="1" x14ac:dyDescent="0.3">
      <c r="A144" s="24"/>
      <c r="B144" s="38"/>
      <c r="C144" s="34"/>
      <c r="D144" s="38"/>
      <c r="E144" s="32"/>
      <c r="F144" s="24"/>
    </row>
    <row r="145" spans="1:6" ht="14.4" hidden="1" customHeight="1" x14ac:dyDescent="0.3">
      <c r="A145" s="24"/>
      <c r="B145" s="38"/>
      <c r="C145" s="34"/>
      <c r="D145" s="38"/>
      <c r="E145" s="32"/>
      <c r="F145" s="24"/>
    </row>
    <row r="146" spans="1:6" ht="14.4" hidden="1" customHeight="1" x14ac:dyDescent="0.3">
      <c r="A146" s="24"/>
      <c r="B146" s="38"/>
      <c r="C146" s="34"/>
      <c r="D146" s="38"/>
      <c r="E146" s="32"/>
      <c r="F146" s="24"/>
    </row>
    <row r="147" spans="1:6" ht="14.4" hidden="1" customHeight="1" x14ac:dyDescent="0.3">
      <c r="A147" s="24"/>
      <c r="B147" s="38"/>
      <c r="C147" s="34"/>
      <c r="D147" s="38"/>
      <c r="E147" s="32"/>
      <c r="F147" s="24"/>
    </row>
    <row r="148" spans="1:6" ht="14.4" hidden="1" customHeight="1" x14ac:dyDescent="0.3">
      <c r="A148" s="24"/>
      <c r="B148" s="38"/>
      <c r="C148" s="34"/>
      <c r="D148" s="38"/>
      <c r="E148" s="32"/>
      <c r="F148" s="24"/>
    </row>
    <row r="149" spans="1:6" ht="14.4" hidden="1" customHeight="1" x14ac:dyDescent="0.3">
      <c r="A149" s="24"/>
      <c r="B149" s="38"/>
      <c r="C149" s="34"/>
      <c r="D149" s="38"/>
      <c r="E149" s="32"/>
      <c r="F149" s="24"/>
    </row>
    <row r="150" spans="1:6" ht="14.4" hidden="1" customHeight="1" x14ac:dyDescent="0.3">
      <c r="A150" s="24"/>
      <c r="B150" s="38"/>
      <c r="C150" s="34"/>
      <c r="D150" s="38"/>
      <c r="E150" s="32"/>
      <c r="F150" s="24"/>
    </row>
    <row r="151" spans="1:6" ht="14.4" hidden="1" customHeight="1" x14ac:dyDescent="0.3">
      <c r="A151" s="24"/>
      <c r="B151" s="39"/>
      <c r="C151" s="40"/>
      <c r="D151" s="39"/>
      <c r="E151" s="41"/>
      <c r="F151" s="24"/>
    </row>
    <row r="152" spans="1:6" ht="14.4" hidden="1" customHeight="1" x14ac:dyDescent="0.3">
      <c r="A152" s="24"/>
      <c r="B152" s="23"/>
      <c r="C152" s="24"/>
      <c r="D152" s="24"/>
      <c r="E152" s="24"/>
      <c r="F152" s="24"/>
    </row>
  </sheetData>
  <mergeCells count="2">
    <mergeCell ref="B2:E2"/>
    <mergeCell ref="B78:E7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B3646-75E9-4FED-AF0D-3ABF1D139740}">
  <sheetPr codeName="Blad2"/>
  <dimension ref="A1:GC20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1.109375" style="4" bestFit="1" customWidth="1"/>
    <col min="2" max="2" width="14" style="5" bestFit="1" customWidth="1"/>
    <col min="3" max="3" width="8.88671875" style="4"/>
    <col min="4" max="4" width="8.88671875" style="6"/>
    <col min="5" max="5" width="8.88671875" style="5"/>
    <col min="8" max="8" width="8.88671875" style="5"/>
    <col min="11" max="11" width="8.88671875" style="5"/>
    <col min="14" max="14" width="8.88671875" style="5"/>
    <col min="17" max="17" width="8.88671875" style="5"/>
    <col min="20" max="20" width="8.88671875" style="5"/>
    <col min="23" max="23" width="8.88671875" style="5"/>
    <col min="26" max="26" width="8.88671875" style="5"/>
    <col min="29" max="29" width="8.88671875" style="5"/>
    <col min="32" max="32" width="8.88671875" style="5"/>
    <col min="35" max="35" width="8.88671875" style="5"/>
    <col min="38" max="38" width="8.88671875" style="5"/>
    <col min="41" max="41" width="8.88671875" style="5"/>
    <col min="44" max="44" width="8.88671875" style="5"/>
    <col min="47" max="47" width="8.88671875" style="5"/>
    <col min="50" max="50" width="8.88671875" style="5"/>
    <col min="53" max="53" width="8.88671875" style="5"/>
    <col min="56" max="56" width="8.88671875" style="5"/>
    <col min="59" max="59" width="8.88671875" style="5"/>
    <col min="62" max="62" width="8.88671875" style="5"/>
    <col min="65" max="65" width="8.88671875" style="5"/>
    <col min="68" max="68" width="8.88671875" style="5"/>
    <col min="71" max="71" width="8.88671875" style="5"/>
    <col min="74" max="74" width="8.88671875" style="5"/>
    <col min="77" max="77" width="8.88671875" style="5"/>
    <col min="80" max="80" width="8.88671875" style="5"/>
    <col min="83" max="83" width="8.88671875" style="5"/>
    <col min="86" max="86" width="8.88671875" style="5"/>
    <col min="89" max="89" width="8.88671875" style="5"/>
    <col min="92" max="92" width="8.88671875" style="5"/>
    <col min="95" max="95" width="8.88671875" style="5"/>
    <col min="98" max="98" width="8.88671875" style="5"/>
    <col min="101" max="101" width="8.88671875" style="5"/>
    <col min="104" max="104" width="8.88671875" style="5"/>
    <col min="107" max="107" width="8.88671875" style="5"/>
    <col min="110" max="110" width="8.88671875" style="5"/>
    <col min="113" max="113" width="8.88671875" style="5"/>
    <col min="116" max="116" width="8.88671875" style="5"/>
    <col min="119" max="119" width="8.88671875" style="5"/>
    <col min="122" max="122" width="8.88671875" style="5"/>
    <col min="125" max="125" width="8.88671875" style="5"/>
    <col min="128" max="128" width="8.88671875" style="5"/>
    <col min="131" max="131" width="8.88671875" style="5"/>
    <col min="134" max="134" width="8.88671875" style="5"/>
    <col min="137" max="137" width="8.88671875" style="5"/>
    <col min="140" max="140" width="8.88671875" style="5"/>
    <col min="143" max="143" width="8.88671875" style="5"/>
    <col min="146" max="146" width="8.88671875" style="5"/>
    <col min="149" max="149" width="8.88671875" style="5"/>
    <col min="152" max="152" width="8.88671875" style="5"/>
    <col min="155" max="155" width="8.88671875" style="5"/>
    <col min="158" max="158" width="8.88671875" style="5"/>
    <col min="161" max="161" width="8.88671875" style="5"/>
    <col min="164" max="164" width="8.88671875" style="5"/>
    <col min="167" max="167" width="8.88671875" style="5"/>
    <col min="170" max="170" width="8.88671875" style="5"/>
    <col min="173" max="173" width="8.88671875" style="5"/>
    <col min="176" max="176" width="8.88671875" style="5"/>
    <col min="179" max="179" width="8.88671875" style="5"/>
    <col min="182" max="182" width="8.88671875" style="5"/>
    <col min="185" max="185" width="8.88671875" style="5"/>
  </cols>
  <sheetData>
    <row r="1" spans="1:185" s="11" customFormat="1" ht="15" thickBot="1" x14ac:dyDescent="0.35">
      <c r="A1" s="48" t="s">
        <v>2</v>
      </c>
      <c r="B1" s="49" t="s">
        <v>3</v>
      </c>
      <c r="C1" s="50" t="s">
        <v>7</v>
      </c>
      <c r="D1" s="50" t="s">
        <v>8</v>
      </c>
      <c r="E1" s="49" t="s">
        <v>16</v>
      </c>
      <c r="F1" s="11" t="s">
        <v>7</v>
      </c>
      <c r="G1" s="11" t="s">
        <v>8</v>
      </c>
      <c r="H1" s="62" t="s">
        <v>16</v>
      </c>
      <c r="I1" s="11" t="s">
        <v>7</v>
      </c>
      <c r="J1" s="11" t="s">
        <v>8</v>
      </c>
      <c r="K1" s="62" t="s">
        <v>16</v>
      </c>
      <c r="L1" s="11" t="s">
        <v>7</v>
      </c>
      <c r="M1" s="11" t="s">
        <v>8</v>
      </c>
      <c r="N1" s="62" t="s">
        <v>16</v>
      </c>
      <c r="O1" s="11" t="s">
        <v>7</v>
      </c>
      <c r="P1" s="11" t="s">
        <v>8</v>
      </c>
      <c r="Q1" s="62" t="s">
        <v>16</v>
      </c>
      <c r="R1" s="11" t="s">
        <v>7</v>
      </c>
      <c r="S1" s="11" t="s">
        <v>8</v>
      </c>
      <c r="T1" s="62" t="s">
        <v>16</v>
      </c>
      <c r="U1" s="11" t="s">
        <v>7</v>
      </c>
      <c r="V1" s="11" t="s">
        <v>8</v>
      </c>
      <c r="W1" s="62" t="s">
        <v>16</v>
      </c>
      <c r="X1" s="11" t="s">
        <v>7</v>
      </c>
      <c r="Y1" s="11" t="s">
        <v>8</v>
      </c>
      <c r="Z1" s="62" t="s">
        <v>16</v>
      </c>
      <c r="AA1" s="11" t="s">
        <v>7</v>
      </c>
      <c r="AB1" s="11" t="s">
        <v>8</v>
      </c>
      <c r="AC1" s="62" t="s">
        <v>16</v>
      </c>
      <c r="AD1" s="11" t="s">
        <v>7</v>
      </c>
      <c r="AE1" s="11" t="s">
        <v>8</v>
      </c>
      <c r="AF1" s="62" t="s">
        <v>16</v>
      </c>
      <c r="AG1" s="11" t="s">
        <v>7</v>
      </c>
      <c r="AH1" s="11" t="s">
        <v>8</v>
      </c>
      <c r="AI1" s="62" t="s">
        <v>16</v>
      </c>
      <c r="AJ1" s="11" t="s">
        <v>7</v>
      </c>
      <c r="AK1" s="11" t="s">
        <v>8</v>
      </c>
      <c r="AL1" s="62" t="s">
        <v>16</v>
      </c>
      <c r="AM1" s="11" t="s">
        <v>7</v>
      </c>
      <c r="AN1" s="11" t="s">
        <v>8</v>
      </c>
      <c r="AO1" s="62" t="s">
        <v>16</v>
      </c>
      <c r="AP1" s="11" t="s">
        <v>7</v>
      </c>
      <c r="AQ1" s="11" t="s">
        <v>8</v>
      </c>
      <c r="AR1" s="62" t="s">
        <v>16</v>
      </c>
      <c r="AS1" s="11" t="s">
        <v>7</v>
      </c>
      <c r="AT1" s="11" t="s">
        <v>8</v>
      </c>
      <c r="AU1" s="62" t="s">
        <v>16</v>
      </c>
      <c r="AV1" s="11" t="s">
        <v>7</v>
      </c>
      <c r="AW1" s="11" t="s">
        <v>8</v>
      </c>
      <c r="AX1" s="62" t="s">
        <v>16</v>
      </c>
      <c r="AY1" s="11" t="s">
        <v>7</v>
      </c>
      <c r="AZ1" s="11" t="s">
        <v>8</v>
      </c>
      <c r="BA1" s="62" t="s">
        <v>16</v>
      </c>
      <c r="BB1" s="11" t="s">
        <v>7</v>
      </c>
      <c r="BC1" s="11" t="s">
        <v>8</v>
      </c>
      <c r="BD1" s="62" t="s">
        <v>16</v>
      </c>
      <c r="BE1" s="11" t="s">
        <v>7</v>
      </c>
      <c r="BF1" s="11" t="s">
        <v>8</v>
      </c>
      <c r="BG1" s="62" t="s">
        <v>16</v>
      </c>
      <c r="BH1" s="11" t="s">
        <v>7</v>
      </c>
      <c r="BI1" s="11" t="s">
        <v>8</v>
      </c>
      <c r="BJ1" s="62" t="s">
        <v>16</v>
      </c>
      <c r="BK1" s="11" t="s">
        <v>7</v>
      </c>
      <c r="BL1" s="11" t="s">
        <v>8</v>
      </c>
      <c r="BM1" s="62" t="s">
        <v>16</v>
      </c>
      <c r="BN1" s="11" t="s">
        <v>7</v>
      </c>
      <c r="BO1" s="11" t="s">
        <v>8</v>
      </c>
      <c r="BP1" s="62" t="s">
        <v>16</v>
      </c>
      <c r="BQ1" s="11" t="s">
        <v>7</v>
      </c>
      <c r="BR1" s="11" t="s">
        <v>8</v>
      </c>
      <c r="BS1" s="62" t="s">
        <v>16</v>
      </c>
      <c r="BT1" s="11" t="s">
        <v>7</v>
      </c>
      <c r="BU1" s="11" t="s">
        <v>8</v>
      </c>
      <c r="BV1" s="62" t="s">
        <v>16</v>
      </c>
      <c r="BW1" s="11" t="s">
        <v>7</v>
      </c>
      <c r="BX1" s="11" t="s">
        <v>8</v>
      </c>
      <c r="BY1" s="62" t="s">
        <v>16</v>
      </c>
      <c r="BZ1" s="11" t="s">
        <v>7</v>
      </c>
      <c r="CA1" s="11" t="s">
        <v>8</v>
      </c>
      <c r="CB1" s="62" t="s">
        <v>16</v>
      </c>
      <c r="CC1" s="11" t="s">
        <v>7</v>
      </c>
      <c r="CD1" s="11" t="s">
        <v>8</v>
      </c>
      <c r="CE1" s="62" t="s">
        <v>16</v>
      </c>
      <c r="CF1" s="11" t="s">
        <v>7</v>
      </c>
      <c r="CG1" s="11" t="s">
        <v>8</v>
      </c>
      <c r="CH1" s="62" t="s">
        <v>16</v>
      </c>
      <c r="CI1" s="11" t="s">
        <v>7</v>
      </c>
      <c r="CJ1" s="11" t="s">
        <v>8</v>
      </c>
      <c r="CK1" s="62" t="s">
        <v>16</v>
      </c>
      <c r="CL1" s="11" t="s">
        <v>7</v>
      </c>
      <c r="CM1" s="11" t="s">
        <v>8</v>
      </c>
      <c r="CN1" s="62" t="s">
        <v>16</v>
      </c>
      <c r="CO1" s="11" t="s">
        <v>7</v>
      </c>
      <c r="CP1" s="11" t="s">
        <v>8</v>
      </c>
      <c r="CQ1" s="62" t="s">
        <v>16</v>
      </c>
      <c r="CR1" s="11" t="s">
        <v>7</v>
      </c>
      <c r="CS1" s="11" t="s">
        <v>8</v>
      </c>
      <c r="CT1" s="62" t="s">
        <v>16</v>
      </c>
      <c r="CU1" s="11" t="s">
        <v>7</v>
      </c>
      <c r="CV1" s="11" t="s">
        <v>8</v>
      </c>
      <c r="CW1" s="62" t="s">
        <v>16</v>
      </c>
      <c r="CX1" s="11" t="s">
        <v>7</v>
      </c>
      <c r="CY1" s="11" t="s">
        <v>8</v>
      </c>
      <c r="CZ1" s="62" t="s">
        <v>16</v>
      </c>
      <c r="DA1" s="11" t="s">
        <v>7</v>
      </c>
      <c r="DB1" s="11" t="s">
        <v>8</v>
      </c>
      <c r="DC1" s="62" t="s">
        <v>16</v>
      </c>
      <c r="DD1" s="11" t="s">
        <v>7</v>
      </c>
      <c r="DE1" s="11" t="s">
        <v>8</v>
      </c>
      <c r="DF1" s="62" t="s">
        <v>16</v>
      </c>
      <c r="DG1" s="11" t="s">
        <v>7</v>
      </c>
      <c r="DH1" s="11" t="s">
        <v>8</v>
      </c>
      <c r="DI1" s="62" t="s">
        <v>16</v>
      </c>
      <c r="DJ1" s="11" t="s">
        <v>7</v>
      </c>
      <c r="DK1" s="11" t="s">
        <v>8</v>
      </c>
      <c r="DL1" s="62" t="s">
        <v>16</v>
      </c>
      <c r="DM1" s="11" t="s">
        <v>7</v>
      </c>
      <c r="DN1" s="11" t="s">
        <v>8</v>
      </c>
      <c r="DO1" s="62" t="s">
        <v>16</v>
      </c>
      <c r="DP1" s="11" t="s">
        <v>7</v>
      </c>
      <c r="DQ1" s="11" t="s">
        <v>8</v>
      </c>
      <c r="DR1" s="62" t="s">
        <v>16</v>
      </c>
      <c r="DS1" s="11" t="s">
        <v>7</v>
      </c>
      <c r="DT1" s="11" t="s">
        <v>8</v>
      </c>
      <c r="DU1" s="62" t="s">
        <v>16</v>
      </c>
      <c r="DV1" s="11" t="s">
        <v>7</v>
      </c>
      <c r="DW1" s="11" t="s">
        <v>8</v>
      </c>
      <c r="DX1" s="62" t="s">
        <v>16</v>
      </c>
      <c r="DY1" s="11" t="s">
        <v>7</v>
      </c>
      <c r="DZ1" s="11" t="s">
        <v>8</v>
      </c>
      <c r="EA1" s="62" t="s">
        <v>16</v>
      </c>
      <c r="EB1" s="11" t="s">
        <v>7</v>
      </c>
      <c r="EC1" s="11" t="s">
        <v>8</v>
      </c>
      <c r="ED1" s="62" t="s">
        <v>16</v>
      </c>
      <c r="EE1" s="11" t="s">
        <v>7</v>
      </c>
      <c r="EF1" s="11" t="s">
        <v>8</v>
      </c>
      <c r="EG1" s="62" t="s">
        <v>16</v>
      </c>
      <c r="EH1" s="11" t="s">
        <v>7</v>
      </c>
      <c r="EI1" s="11" t="s">
        <v>8</v>
      </c>
      <c r="EJ1" s="62" t="s">
        <v>16</v>
      </c>
      <c r="EK1" s="11" t="s">
        <v>7</v>
      </c>
      <c r="EL1" s="11" t="s">
        <v>8</v>
      </c>
      <c r="EM1" s="62" t="s">
        <v>16</v>
      </c>
      <c r="EN1" s="11" t="s">
        <v>7</v>
      </c>
      <c r="EO1" s="11" t="s">
        <v>8</v>
      </c>
      <c r="EP1" s="62" t="s">
        <v>16</v>
      </c>
      <c r="EQ1" s="11" t="s">
        <v>7</v>
      </c>
      <c r="ER1" s="11" t="s">
        <v>8</v>
      </c>
      <c r="ES1" s="62" t="s">
        <v>16</v>
      </c>
      <c r="ET1" s="11" t="s">
        <v>7</v>
      </c>
      <c r="EU1" s="11" t="s">
        <v>8</v>
      </c>
      <c r="EV1" s="62" t="s">
        <v>16</v>
      </c>
      <c r="EW1" s="11" t="s">
        <v>7</v>
      </c>
      <c r="EX1" s="11" t="s">
        <v>8</v>
      </c>
      <c r="EY1" s="62" t="s">
        <v>16</v>
      </c>
      <c r="EZ1" s="11" t="s">
        <v>7</v>
      </c>
      <c r="FA1" s="11" t="s">
        <v>8</v>
      </c>
      <c r="FB1" s="62" t="s">
        <v>16</v>
      </c>
      <c r="FC1" s="11" t="s">
        <v>7</v>
      </c>
      <c r="FD1" s="11" t="s">
        <v>8</v>
      </c>
      <c r="FE1" s="62" t="s">
        <v>16</v>
      </c>
      <c r="FF1" s="11" t="s">
        <v>7</v>
      </c>
      <c r="FG1" s="11" t="s">
        <v>8</v>
      </c>
      <c r="FH1" s="62" t="s">
        <v>16</v>
      </c>
      <c r="FI1" s="11" t="s">
        <v>7</v>
      </c>
      <c r="FJ1" s="11" t="s">
        <v>8</v>
      </c>
      <c r="FK1" s="62" t="s">
        <v>16</v>
      </c>
      <c r="FL1" s="11" t="s">
        <v>7</v>
      </c>
      <c r="FM1" s="11" t="s">
        <v>8</v>
      </c>
      <c r="FN1" s="62" t="s">
        <v>16</v>
      </c>
      <c r="FO1" s="11" t="s">
        <v>7</v>
      </c>
      <c r="FP1" s="11" t="s">
        <v>8</v>
      </c>
      <c r="FQ1" s="62" t="s">
        <v>16</v>
      </c>
      <c r="FR1" s="11" t="s">
        <v>7</v>
      </c>
      <c r="FS1" s="11" t="s">
        <v>8</v>
      </c>
      <c r="FT1" s="62" t="s">
        <v>16</v>
      </c>
      <c r="FU1" s="11" t="s">
        <v>7</v>
      </c>
      <c r="FV1" s="11" t="s">
        <v>8</v>
      </c>
      <c r="FW1" s="62" t="s">
        <v>16</v>
      </c>
      <c r="FX1" s="11" t="s">
        <v>7</v>
      </c>
      <c r="FY1" s="11" t="s">
        <v>8</v>
      </c>
      <c r="FZ1" s="62" t="s">
        <v>16</v>
      </c>
      <c r="GA1" s="11" t="s">
        <v>7</v>
      </c>
      <c r="GB1" s="11" t="s">
        <v>8</v>
      </c>
      <c r="GC1" s="62" t="s">
        <v>16</v>
      </c>
    </row>
    <row r="2" spans="1:185" s="25" customFormat="1" x14ac:dyDescent="0.3">
      <c r="A2" s="27"/>
      <c r="B2" s="28"/>
      <c r="C2" s="27"/>
      <c r="D2" s="26"/>
      <c r="E2" s="28"/>
      <c r="H2" s="28"/>
      <c r="K2" s="28"/>
      <c r="N2" s="28"/>
      <c r="Q2" s="28"/>
      <c r="T2" s="28"/>
      <c r="W2" s="28"/>
      <c r="Z2" s="28"/>
      <c r="AC2" s="28"/>
      <c r="AF2" s="28"/>
      <c r="AI2" s="28"/>
      <c r="AL2" s="28"/>
      <c r="AO2" s="28"/>
      <c r="AR2" s="28"/>
      <c r="AU2" s="28"/>
      <c r="AX2" s="28"/>
      <c r="BA2" s="28"/>
      <c r="BD2" s="28"/>
      <c r="BG2" s="28"/>
      <c r="BJ2" s="28"/>
      <c r="BM2" s="28"/>
      <c r="BP2" s="28"/>
      <c r="BS2" s="28"/>
      <c r="BV2" s="28"/>
      <c r="BY2" s="28"/>
      <c r="CB2" s="28"/>
      <c r="CE2" s="28"/>
      <c r="CH2" s="28"/>
      <c r="CK2" s="28"/>
      <c r="CN2" s="28"/>
      <c r="CQ2" s="28"/>
      <c r="CT2" s="28"/>
      <c r="CW2" s="28"/>
      <c r="CZ2" s="28"/>
      <c r="DC2" s="28"/>
      <c r="DF2" s="28"/>
      <c r="DI2" s="28"/>
      <c r="DL2" s="28"/>
      <c r="DO2" s="28"/>
      <c r="DR2" s="28"/>
      <c r="DU2" s="28"/>
      <c r="DX2" s="28"/>
      <c r="EA2" s="28"/>
      <c r="ED2" s="28"/>
      <c r="EG2" s="28"/>
      <c r="EJ2" s="28"/>
      <c r="EM2" s="28"/>
      <c r="EP2" s="28"/>
      <c r="ES2" s="28"/>
      <c r="EV2" s="28"/>
      <c r="EY2" s="28"/>
      <c r="FB2" s="28"/>
      <c r="FE2" s="28"/>
      <c r="FH2" s="28"/>
      <c r="FK2" s="28"/>
      <c r="FN2" s="28"/>
      <c r="FQ2" s="28"/>
      <c r="FT2" s="28"/>
      <c r="FW2" s="28"/>
      <c r="FZ2" s="28"/>
      <c r="GC2" s="28"/>
    </row>
    <row r="3" spans="1:185" s="25" customFormat="1" x14ac:dyDescent="0.3">
      <c r="A3" s="27"/>
      <c r="B3" s="28"/>
      <c r="C3" s="27"/>
      <c r="D3" s="26"/>
      <c r="E3" s="28"/>
      <c r="H3" s="28"/>
      <c r="K3" s="28"/>
      <c r="N3" s="28"/>
      <c r="Q3" s="28"/>
      <c r="T3" s="28"/>
      <c r="W3" s="28"/>
      <c r="Z3" s="28"/>
      <c r="AC3" s="28"/>
      <c r="AF3" s="28"/>
      <c r="AI3" s="28"/>
      <c r="AL3" s="28"/>
      <c r="AO3" s="28"/>
      <c r="AR3" s="28"/>
      <c r="AU3" s="28"/>
      <c r="AX3" s="28"/>
      <c r="BA3" s="28"/>
      <c r="BD3" s="28"/>
      <c r="BG3" s="28"/>
      <c r="BJ3" s="28"/>
      <c r="BM3" s="28"/>
      <c r="BP3" s="28"/>
      <c r="BS3" s="28"/>
      <c r="BV3" s="28"/>
      <c r="BY3" s="28"/>
      <c r="CB3" s="28"/>
      <c r="CE3" s="28"/>
      <c r="CH3" s="28"/>
      <c r="CK3" s="28"/>
      <c r="CN3" s="28"/>
      <c r="CQ3" s="28"/>
      <c r="CT3" s="28"/>
      <c r="CW3" s="28"/>
      <c r="CZ3" s="28"/>
      <c r="DC3" s="28"/>
      <c r="DF3" s="28"/>
      <c r="DI3" s="28"/>
      <c r="DL3" s="28"/>
      <c r="DO3" s="28"/>
      <c r="DR3" s="28"/>
      <c r="DU3" s="28"/>
      <c r="DX3" s="28"/>
      <c r="EA3" s="28"/>
      <c r="ED3" s="28"/>
      <c r="EG3" s="28"/>
      <c r="EJ3" s="28"/>
      <c r="EM3" s="28"/>
      <c r="EP3" s="28"/>
      <c r="ES3" s="28"/>
      <c r="EV3" s="28"/>
      <c r="EY3" s="28"/>
      <c r="FB3" s="28"/>
      <c r="FE3" s="28"/>
      <c r="FH3" s="28"/>
      <c r="FK3" s="28"/>
      <c r="FN3" s="28"/>
      <c r="FQ3" s="28"/>
      <c r="FT3" s="28"/>
      <c r="FW3" s="28"/>
      <c r="FZ3" s="28"/>
      <c r="GC3" s="28"/>
    </row>
    <row r="4" spans="1:185" s="25" customFormat="1" x14ac:dyDescent="0.3">
      <c r="A4" s="27"/>
      <c r="B4" s="28"/>
      <c r="C4" s="27"/>
      <c r="D4" s="26"/>
      <c r="E4" s="28"/>
      <c r="H4" s="28"/>
      <c r="K4" s="28"/>
      <c r="N4" s="28"/>
      <c r="Q4" s="28"/>
      <c r="T4" s="28"/>
      <c r="W4" s="28"/>
      <c r="Z4" s="28"/>
      <c r="AC4" s="28"/>
      <c r="AF4" s="28"/>
      <c r="AI4" s="28"/>
      <c r="AL4" s="28"/>
      <c r="AO4" s="28"/>
      <c r="AR4" s="28"/>
      <c r="AU4" s="28"/>
      <c r="AX4" s="28"/>
      <c r="BA4" s="28"/>
      <c r="BD4" s="28"/>
      <c r="BG4" s="28"/>
      <c r="BJ4" s="28"/>
      <c r="BM4" s="28"/>
      <c r="BP4" s="28"/>
      <c r="BS4" s="28"/>
      <c r="BV4" s="28"/>
      <c r="BY4" s="28"/>
      <c r="CB4" s="28"/>
      <c r="CE4" s="28"/>
      <c r="CH4" s="28"/>
      <c r="CK4" s="28"/>
      <c r="CN4" s="28"/>
      <c r="CQ4" s="28"/>
      <c r="CT4" s="28"/>
      <c r="CW4" s="28"/>
      <c r="CZ4" s="28"/>
      <c r="DC4" s="28"/>
      <c r="DF4" s="28"/>
      <c r="DI4" s="28"/>
      <c r="DL4" s="28"/>
      <c r="DO4" s="28"/>
      <c r="DR4" s="28"/>
      <c r="DU4" s="28"/>
      <c r="DX4" s="28"/>
      <c r="EA4" s="28"/>
      <c r="ED4" s="28"/>
      <c r="EG4" s="28"/>
      <c r="EJ4" s="28"/>
      <c r="EM4" s="28"/>
      <c r="EP4" s="28"/>
      <c r="ES4" s="28"/>
      <c r="EV4" s="28"/>
      <c r="EY4" s="28"/>
      <c r="FB4" s="28"/>
      <c r="FE4" s="28"/>
      <c r="FH4" s="28"/>
      <c r="FK4" s="28"/>
      <c r="FN4" s="28"/>
      <c r="FQ4" s="28"/>
      <c r="FT4" s="28"/>
      <c r="FW4" s="28"/>
      <c r="FZ4" s="28"/>
      <c r="GC4" s="28"/>
    </row>
    <row r="5" spans="1:185" s="25" customFormat="1" x14ac:dyDescent="0.3">
      <c r="A5" s="27"/>
      <c r="B5" s="28"/>
      <c r="C5" s="27"/>
      <c r="D5" s="26"/>
      <c r="E5" s="28"/>
      <c r="H5" s="28"/>
      <c r="K5" s="28"/>
      <c r="N5" s="28"/>
      <c r="Q5" s="28"/>
      <c r="T5" s="28"/>
      <c r="W5" s="28"/>
      <c r="Z5" s="28"/>
      <c r="AC5" s="28"/>
      <c r="AF5" s="28"/>
      <c r="AI5" s="28"/>
      <c r="AL5" s="28"/>
      <c r="AO5" s="28"/>
      <c r="AR5" s="28"/>
      <c r="AU5" s="28"/>
      <c r="AX5" s="28"/>
      <c r="BA5" s="28"/>
      <c r="BD5" s="28"/>
      <c r="BG5" s="28"/>
      <c r="BJ5" s="28"/>
      <c r="BM5" s="28"/>
      <c r="BP5" s="28"/>
      <c r="BS5" s="28"/>
      <c r="BV5" s="28"/>
      <c r="BY5" s="28"/>
      <c r="CB5" s="28"/>
      <c r="CE5" s="28"/>
      <c r="CH5" s="28"/>
      <c r="CK5" s="28"/>
      <c r="CN5" s="28"/>
      <c r="CQ5" s="28"/>
      <c r="CT5" s="28"/>
      <c r="CW5" s="28"/>
      <c r="CZ5" s="28"/>
      <c r="DC5" s="28"/>
      <c r="DF5" s="28"/>
      <c r="DI5" s="28"/>
      <c r="DL5" s="28"/>
      <c r="DO5" s="28"/>
      <c r="DR5" s="28"/>
      <c r="DU5" s="28"/>
      <c r="DX5" s="28"/>
      <c r="EA5" s="28"/>
      <c r="ED5" s="28"/>
      <c r="EG5" s="28"/>
      <c r="EJ5" s="28"/>
      <c r="EM5" s="28"/>
      <c r="EP5" s="28"/>
      <c r="ES5" s="28"/>
      <c r="EV5" s="28"/>
      <c r="EY5" s="28"/>
      <c r="FB5" s="28"/>
      <c r="FE5" s="28"/>
      <c r="FH5" s="28"/>
      <c r="FK5" s="28"/>
      <c r="FN5" s="28"/>
      <c r="FQ5" s="28"/>
      <c r="FT5" s="28"/>
      <c r="FW5" s="28"/>
      <c r="FZ5" s="28"/>
      <c r="GC5" s="28"/>
    </row>
    <row r="6" spans="1:185" s="25" customFormat="1" x14ac:dyDescent="0.3">
      <c r="A6" s="27"/>
      <c r="B6" s="28"/>
      <c r="C6" s="27"/>
      <c r="D6" s="26"/>
      <c r="E6" s="28"/>
      <c r="H6" s="28"/>
      <c r="K6" s="28"/>
      <c r="N6" s="28"/>
      <c r="Q6" s="28"/>
      <c r="T6" s="28"/>
      <c r="W6" s="28"/>
      <c r="Z6" s="28"/>
      <c r="AC6" s="28"/>
      <c r="AF6" s="28"/>
      <c r="AI6" s="28"/>
      <c r="AL6" s="28"/>
      <c r="AO6" s="28"/>
      <c r="AR6" s="28"/>
      <c r="AU6" s="28"/>
      <c r="AX6" s="28"/>
      <c r="BA6" s="28"/>
      <c r="BD6" s="28"/>
      <c r="BG6" s="28"/>
      <c r="BJ6" s="28"/>
      <c r="BM6" s="28"/>
      <c r="BP6" s="28"/>
      <c r="BS6" s="28"/>
      <c r="BV6" s="28"/>
      <c r="BY6" s="28"/>
      <c r="CB6" s="28"/>
      <c r="CE6" s="28"/>
      <c r="CH6" s="28"/>
      <c r="CK6" s="28"/>
      <c r="CN6" s="28"/>
      <c r="CQ6" s="28"/>
      <c r="CT6" s="28"/>
      <c r="CW6" s="28"/>
      <c r="CZ6" s="28"/>
      <c r="DC6" s="28"/>
      <c r="DF6" s="28"/>
      <c r="DI6" s="28"/>
      <c r="DL6" s="28"/>
      <c r="DO6" s="28"/>
      <c r="DR6" s="28"/>
      <c r="DU6" s="28"/>
      <c r="DX6" s="28"/>
      <c r="EA6" s="28"/>
      <c r="ED6" s="28"/>
      <c r="EG6" s="28"/>
      <c r="EJ6" s="28"/>
      <c r="EM6" s="28"/>
      <c r="EP6" s="28"/>
      <c r="ES6" s="28"/>
      <c r="EV6" s="28"/>
      <c r="EY6" s="28"/>
      <c r="FB6" s="28"/>
      <c r="FE6" s="28"/>
      <c r="FH6" s="28"/>
      <c r="FK6" s="28"/>
      <c r="FN6" s="28"/>
      <c r="FQ6" s="28"/>
      <c r="FT6" s="28"/>
      <c r="FW6" s="28"/>
      <c r="FZ6" s="28"/>
      <c r="GC6" s="28"/>
    </row>
    <row r="7" spans="1:185" s="25" customFormat="1" x14ac:dyDescent="0.3">
      <c r="A7" s="27"/>
      <c r="B7" s="28"/>
      <c r="C7" s="27"/>
      <c r="D7" s="26"/>
      <c r="E7" s="28"/>
      <c r="H7" s="28"/>
      <c r="K7" s="28"/>
      <c r="N7" s="28"/>
      <c r="Q7" s="28"/>
      <c r="T7" s="28"/>
      <c r="W7" s="28"/>
      <c r="Z7" s="28"/>
      <c r="AC7" s="28"/>
      <c r="AF7" s="28"/>
      <c r="AI7" s="28"/>
      <c r="AL7" s="28"/>
      <c r="AO7" s="28"/>
      <c r="AR7" s="28"/>
      <c r="AU7" s="28"/>
      <c r="AX7" s="28"/>
      <c r="BA7" s="28"/>
      <c r="BD7" s="28"/>
      <c r="BG7" s="28"/>
      <c r="BJ7" s="28"/>
      <c r="BM7" s="28"/>
      <c r="BP7" s="28"/>
      <c r="BS7" s="28"/>
      <c r="BV7" s="28"/>
      <c r="BY7" s="28"/>
      <c r="CB7" s="28"/>
      <c r="CE7" s="28"/>
      <c r="CH7" s="28"/>
      <c r="CK7" s="28"/>
      <c r="CN7" s="28"/>
      <c r="CQ7" s="28"/>
      <c r="CT7" s="28"/>
      <c r="CW7" s="28"/>
      <c r="CZ7" s="28"/>
      <c r="DC7" s="28"/>
      <c r="DF7" s="28"/>
      <c r="DI7" s="28"/>
      <c r="DL7" s="28"/>
      <c r="DO7" s="28"/>
      <c r="DR7" s="28"/>
      <c r="DU7" s="28"/>
      <c r="DX7" s="28"/>
      <c r="EA7" s="28"/>
      <c r="ED7" s="28"/>
      <c r="EG7" s="28"/>
      <c r="EJ7" s="28"/>
      <c r="EM7" s="28"/>
      <c r="EP7" s="28"/>
      <c r="ES7" s="28"/>
      <c r="EV7" s="28"/>
      <c r="EY7" s="28"/>
      <c r="FB7" s="28"/>
      <c r="FE7" s="28"/>
      <c r="FH7" s="28"/>
      <c r="FK7" s="28"/>
      <c r="FN7" s="28"/>
      <c r="FQ7" s="28"/>
      <c r="FT7" s="28"/>
      <c r="FW7" s="28"/>
      <c r="FZ7" s="28"/>
      <c r="GC7" s="28"/>
    </row>
    <row r="8" spans="1:185" s="25" customFormat="1" x14ac:dyDescent="0.3">
      <c r="A8" s="27"/>
      <c r="B8" s="28"/>
      <c r="C8" s="27"/>
      <c r="D8" s="26"/>
      <c r="E8" s="28"/>
      <c r="H8" s="28"/>
      <c r="K8" s="28"/>
      <c r="N8" s="28"/>
      <c r="Q8" s="28"/>
      <c r="T8" s="28"/>
      <c r="W8" s="28"/>
      <c r="Z8" s="28"/>
      <c r="AC8" s="28"/>
      <c r="AF8" s="28"/>
      <c r="AI8" s="28"/>
      <c r="AL8" s="28"/>
      <c r="AO8" s="28"/>
      <c r="AR8" s="28"/>
      <c r="AU8" s="28"/>
      <c r="AX8" s="28"/>
      <c r="BA8" s="28"/>
      <c r="BD8" s="28"/>
      <c r="BG8" s="28"/>
      <c r="BJ8" s="28"/>
      <c r="BM8" s="28"/>
      <c r="BP8" s="28"/>
      <c r="BS8" s="28"/>
      <c r="BV8" s="28"/>
      <c r="BY8" s="28"/>
      <c r="CB8" s="28"/>
      <c r="CE8" s="28"/>
      <c r="CH8" s="28"/>
      <c r="CK8" s="28"/>
      <c r="CN8" s="28"/>
      <c r="CQ8" s="28"/>
      <c r="CT8" s="28"/>
      <c r="CW8" s="28"/>
      <c r="CZ8" s="28"/>
      <c r="DC8" s="28"/>
      <c r="DF8" s="28"/>
      <c r="DI8" s="28"/>
      <c r="DL8" s="28"/>
      <c r="DO8" s="28"/>
      <c r="DR8" s="28"/>
      <c r="DU8" s="28"/>
      <c r="DX8" s="28"/>
      <c r="EA8" s="28"/>
      <c r="ED8" s="28"/>
      <c r="EG8" s="28"/>
      <c r="EJ8" s="28"/>
      <c r="EM8" s="28"/>
      <c r="EP8" s="28"/>
      <c r="ES8" s="28"/>
      <c r="EV8" s="28"/>
      <c r="EY8" s="28"/>
      <c r="FB8" s="28"/>
      <c r="FE8" s="28"/>
      <c r="FH8" s="28"/>
      <c r="FK8" s="28"/>
      <c r="FN8" s="28"/>
      <c r="FQ8" s="28"/>
      <c r="FT8" s="28"/>
      <c r="FW8" s="28"/>
      <c r="FZ8" s="28"/>
      <c r="GC8" s="28"/>
    </row>
    <row r="9" spans="1:185" s="25" customFormat="1" x14ac:dyDescent="0.3">
      <c r="A9" s="27"/>
      <c r="B9" s="28"/>
      <c r="C9" s="27"/>
      <c r="D9" s="26"/>
      <c r="E9" s="28"/>
      <c r="H9" s="28"/>
      <c r="K9" s="28"/>
      <c r="N9" s="28"/>
      <c r="Q9" s="28"/>
      <c r="T9" s="28"/>
      <c r="W9" s="28"/>
      <c r="Z9" s="28"/>
      <c r="AC9" s="28"/>
      <c r="AF9" s="28"/>
      <c r="AI9" s="28"/>
      <c r="AL9" s="28"/>
      <c r="AO9" s="28"/>
      <c r="AR9" s="28"/>
      <c r="AU9" s="28"/>
      <c r="AX9" s="28"/>
      <c r="BA9" s="28"/>
      <c r="BD9" s="28"/>
      <c r="BG9" s="28"/>
      <c r="BJ9" s="28"/>
      <c r="BM9" s="28"/>
      <c r="BP9" s="28"/>
      <c r="BS9" s="28"/>
      <c r="BV9" s="28"/>
      <c r="BY9" s="28"/>
      <c r="CB9" s="28"/>
      <c r="CE9" s="28"/>
      <c r="CH9" s="28"/>
      <c r="CK9" s="28"/>
      <c r="CN9" s="28"/>
      <c r="CQ9" s="28"/>
      <c r="CT9" s="28"/>
      <c r="CW9" s="28"/>
      <c r="CZ9" s="28"/>
      <c r="DC9" s="28"/>
      <c r="DF9" s="28"/>
      <c r="DI9" s="28"/>
      <c r="DL9" s="28"/>
      <c r="DO9" s="28"/>
      <c r="DR9" s="28"/>
      <c r="DU9" s="28"/>
      <c r="DX9" s="28"/>
      <c r="EA9" s="28"/>
      <c r="ED9" s="28"/>
      <c r="EG9" s="28"/>
      <c r="EJ9" s="28"/>
      <c r="EM9" s="28"/>
      <c r="EP9" s="28"/>
      <c r="ES9" s="28"/>
      <c r="EV9" s="28"/>
      <c r="EY9" s="28"/>
      <c r="FB9" s="28"/>
      <c r="FE9" s="28"/>
      <c r="FH9" s="28"/>
      <c r="FK9" s="28"/>
      <c r="FN9" s="28"/>
      <c r="FQ9" s="28"/>
      <c r="FT9" s="28"/>
      <c r="FW9" s="28"/>
      <c r="FZ9" s="28"/>
      <c r="GC9" s="28"/>
    </row>
    <row r="10" spans="1:185" s="25" customFormat="1" x14ac:dyDescent="0.3">
      <c r="A10" s="27"/>
      <c r="B10" s="28"/>
      <c r="C10" s="27"/>
      <c r="D10" s="26"/>
      <c r="E10" s="28"/>
      <c r="H10" s="28"/>
      <c r="K10" s="28"/>
      <c r="N10" s="28"/>
      <c r="Q10" s="28"/>
      <c r="T10" s="28"/>
      <c r="W10" s="28"/>
      <c r="Z10" s="28"/>
      <c r="AC10" s="28"/>
      <c r="AF10" s="28"/>
      <c r="AI10" s="28"/>
      <c r="AL10" s="28"/>
      <c r="AO10" s="28"/>
      <c r="AR10" s="28"/>
      <c r="AU10" s="28"/>
      <c r="AX10" s="28"/>
      <c r="BA10" s="28"/>
      <c r="BD10" s="28"/>
      <c r="BG10" s="28"/>
      <c r="BJ10" s="28"/>
      <c r="BM10" s="28"/>
      <c r="BP10" s="28"/>
      <c r="BS10" s="28"/>
      <c r="BV10" s="28"/>
      <c r="BY10" s="28"/>
      <c r="CB10" s="28"/>
      <c r="CE10" s="28"/>
      <c r="CH10" s="28"/>
      <c r="CK10" s="28"/>
      <c r="CN10" s="28"/>
      <c r="CQ10" s="28"/>
      <c r="CT10" s="28"/>
      <c r="CW10" s="28"/>
      <c r="CZ10" s="28"/>
      <c r="DC10" s="28"/>
      <c r="DF10" s="28"/>
      <c r="DI10" s="28"/>
      <c r="DL10" s="28"/>
      <c r="DO10" s="28"/>
      <c r="DR10" s="28"/>
      <c r="DU10" s="28"/>
      <c r="DX10" s="28"/>
      <c r="EA10" s="28"/>
      <c r="ED10" s="28"/>
      <c r="EG10" s="28"/>
      <c r="EJ10" s="28"/>
      <c r="EM10" s="28"/>
      <c r="EP10" s="28"/>
      <c r="ES10" s="28"/>
      <c r="EV10" s="28"/>
      <c r="EY10" s="28"/>
      <c r="FB10" s="28"/>
      <c r="FE10" s="28"/>
      <c r="FH10" s="28"/>
      <c r="FK10" s="28"/>
      <c r="FN10" s="28"/>
      <c r="FQ10" s="28"/>
      <c r="FT10" s="28"/>
      <c r="FW10" s="28"/>
      <c r="FZ10" s="28"/>
      <c r="GC10" s="28"/>
    </row>
    <row r="11" spans="1:185" s="25" customFormat="1" x14ac:dyDescent="0.3">
      <c r="A11" s="27"/>
      <c r="B11" s="28"/>
      <c r="C11" s="27"/>
      <c r="D11" s="26"/>
      <c r="E11" s="28"/>
      <c r="H11" s="28"/>
      <c r="K11" s="28"/>
      <c r="N11" s="28"/>
      <c r="Q11" s="28"/>
      <c r="T11" s="28"/>
      <c r="W11" s="28"/>
      <c r="Z11" s="28"/>
      <c r="AC11" s="28"/>
      <c r="AF11" s="28"/>
      <c r="AI11" s="28"/>
      <c r="AL11" s="28"/>
      <c r="AO11" s="28"/>
      <c r="AR11" s="28"/>
      <c r="AU11" s="28"/>
      <c r="AX11" s="28"/>
      <c r="BA11" s="28"/>
      <c r="BD11" s="28"/>
      <c r="BG11" s="28"/>
      <c r="BJ11" s="28"/>
      <c r="BM11" s="28"/>
      <c r="BP11" s="28"/>
      <c r="BS11" s="28"/>
      <c r="BV11" s="28"/>
      <c r="BY11" s="28"/>
      <c r="CB11" s="28"/>
      <c r="CE11" s="28"/>
      <c r="CH11" s="28"/>
      <c r="CK11" s="28"/>
      <c r="CN11" s="28"/>
      <c r="CQ11" s="28"/>
      <c r="CT11" s="28"/>
      <c r="CW11" s="28"/>
      <c r="CZ11" s="28"/>
      <c r="DC11" s="28"/>
      <c r="DF11" s="28"/>
      <c r="DI11" s="28"/>
      <c r="DL11" s="28"/>
      <c r="DO11" s="28"/>
      <c r="DR11" s="28"/>
      <c r="DU11" s="28"/>
      <c r="DX11" s="28"/>
      <c r="EA11" s="28"/>
      <c r="ED11" s="28"/>
      <c r="EG11" s="28"/>
      <c r="EJ11" s="28"/>
      <c r="EM11" s="28"/>
      <c r="EP11" s="28"/>
      <c r="ES11" s="28"/>
      <c r="EV11" s="28"/>
      <c r="EY11" s="28"/>
      <c r="FB11" s="28"/>
      <c r="FE11" s="28"/>
      <c r="FH11" s="28"/>
      <c r="FK11" s="28"/>
      <c r="FN11" s="28"/>
      <c r="FQ11" s="28"/>
      <c r="FT11" s="28"/>
      <c r="FW11" s="28"/>
      <c r="FZ11" s="28"/>
      <c r="GC11" s="28"/>
    </row>
    <row r="12" spans="1:185" s="25" customFormat="1" x14ac:dyDescent="0.3">
      <c r="A12" s="27"/>
      <c r="B12" s="28"/>
      <c r="C12" s="27"/>
      <c r="D12" s="26"/>
      <c r="E12" s="28"/>
      <c r="H12" s="28"/>
      <c r="K12" s="28"/>
      <c r="N12" s="28"/>
      <c r="Q12" s="28"/>
      <c r="T12" s="28"/>
      <c r="W12" s="28"/>
      <c r="Z12" s="28"/>
      <c r="AC12" s="28"/>
      <c r="AF12" s="28"/>
      <c r="AI12" s="28"/>
      <c r="AL12" s="28"/>
      <c r="AO12" s="28"/>
      <c r="AR12" s="28"/>
      <c r="AU12" s="28"/>
      <c r="AX12" s="28"/>
      <c r="BA12" s="28"/>
      <c r="BD12" s="28"/>
      <c r="BG12" s="28"/>
      <c r="BJ12" s="28"/>
      <c r="BM12" s="28"/>
      <c r="BP12" s="28"/>
      <c r="BS12" s="28"/>
      <c r="BV12" s="28"/>
      <c r="BY12" s="28"/>
      <c r="CB12" s="28"/>
      <c r="CE12" s="28"/>
      <c r="CH12" s="28"/>
      <c r="CK12" s="28"/>
      <c r="CN12" s="28"/>
      <c r="CQ12" s="28"/>
      <c r="CT12" s="28"/>
      <c r="CW12" s="28"/>
      <c r="CZ12" s="28"/>
      <c r="DC12" s="28"/>
      <c r="DF12" s="28"/>
      <c r="DI12" s="28"/>
      <c r="DL12" s="28"/>
      <c r="DO12" s="28"/>
      <c r="DR12" s="28"/>
      <c r="DU12" s="28"/>
      <c r="DX12" s="28"/>
      <c r="EA12" s="28"/>
      <c r="ED12" s="28"/>
      <c r="EG12" s="28"/>
      <c r="EJ12" s="28"/>
      <c r="EM12" s="28"/>
      <c r="EP12" s="28"/>
      <c r="ES12" s="28"/>
      <c r="EV12" s="28"/>
      <c r="EY12" s="28"/>
      <c r="FB12" s="28"/>
      <c r="FE12" s="28"/>
      <c r="FH12" s="28"/>
      <c r="FK12" s="28"/>
      <c r="FN12" s="28"/>
      <c r="FQ12" s="28"/>
      <c r="FT12" s="28"/>
      <c r="FW12" s="28"/>
      <c r="FZ12" s="28"/>
      <c r="GC12" s="28"/>
    </row>
    <row r="13" spans="1:185" s="25" customFormat="1" x14ac:dyDescent="0.3">
      <c r="A13" s="27"/>
      <c r="B13" s="28"/>
      <c r="C13" s="27"/>
      <c r="D13" s="26"/>
      <c r="E13" s="28"/>
      <c r="H13" s="28"/>
      <c r="K13" s="28"/>
      <c r="N13" s="28"/>
      <c r="Q13" s="28"/>
      <c r="T13" s="28"/>
      <c r="W13" s="28"/>
      <c r="Z13" s="28"/>
      <c r="AC13" s="28"/>
      <c r="AF13" s="28"/>
      <c r="AI13" s="28"/>
      <c r="AL13" s="28"/>
      <c r="AO13" s="28"/>
      <c r="AR13" s="28"/>
      <c r="AU13" s="28"/>
      <c r="AX13" s="28"/>
      <c r="BA13" s="28"/>
      <c r="BD13" s="28"/>
      <c r="BG13" s="28"/>
      <c r="BJ13" s="28"/>
      <c r="BM13" s="28"/>
      <c r="BP13" s="28"/>
      <c r="BS13" s="28"/>
      <c r="BV13" s="28"/>
      <c r="BY13" s="28"/>
      <c r="CB13" s="28"/>
      <c r="CE13" s="28"/>
      <c r="CH13" s="28"/>
      <c r="CK13" s="28"/>
      <c r="CN13" s="28"/>
      <c r="CQ13" s="28"/>
      <c r="CT13" s="28"/>
      <c r="CW13" s="28"/>
      <c r="CZ13" s="28"/>
      <c r="DC13" s="28"/>
      <c r="DF13" s="28"/>
      <c r="DI13" s="28"/>
      <c r="DL13" s="28"/>
      <c r="DO13" s="28"/>
      <c r="DR13" s="28"/>
      <c r="DU13" s="28"/>
      <c r="DX13" s="28"/>
      <c r="EA13" s="28"/>
      <c r="ED13" s="28"/>
      <c r="EG13" s="28"/>
      <c r="EJ13" s="28"/>
      <c r="EM13" s="28"/>
      <c r="EP13" s="28"/>
      <c r="ES13" s="28"/>
      <c r="EV13" s="28"/>
      <c r="EY13" s="28"/>
      <c r="FB13" s="28"/>
      <c r="FE13" s="28"/>
      <c r="FH13" s="28"/>
      <c r="FK13" s="28"/>
      <c r="FN13" s="28"/>
      <c r="FQ13" s="28"/>
      <c r="FT13" s="28"/>
      <c r="FW13" s="28"/>
      <c r="FZ13" s="28"/>
      <c r="GC13" s="28"/>
    </row>
    <row r="14" spans="1:185" s="25" customFormat="1" x14ac:dyDescent="0.3">
      <c r="A14" s="27"/>
      <c r="B14" s="28"/>
      <c r="C14" s="27"/>
      <c r="D14" s="26"/>
      <c r="E14" s="28"/>
      <c r="H14" s="28"/>
      <c r="K14" s="28"/>
      <c r="N14" s="28"/>
      <c r="Q14" s="28"/>
      <c r="T14" s="28"/>
      <c r="W14" s="28"/>
      <c r="Z14" s="28"/>
      <c r="AC14" s="28"/>
      <c r="AF14" s="28"/>
      <c r="AI14" s="28"/>
      <c r="AL14" s="28"/>
      <c r="AO14" s="28"/>
      <c r="AR14" s="28"/>
      <c r="AU14" s="28"/>
      <c r="AX14" s="28"/>
      <c r="BA14" s="28"/>
      <c r="BD14" s="28"/>
      <c r="BG14" s="28"/>
      <c r="BJ14" s="28"/>
      <c r="BM14" s="28"/>
      <c r="BP14" s="28"/>
      <c r="BS14" s="28"/>
      <c r="BV14" s="28"/>
      <c r="BY14" s="28"/>
      <c r="CB14" s="28"/>
      <c r="CE14" s="28"/>
      <c r="CH14" s="28"/>
      <c r="CK14" s="28"/>
      <c r="CN14" s="28"/>
      <c r="CQ14" s="28"/>
      <c r="CT14" s="28"/>
      <c r="CW14" s="28"/>
      <c r="CZ14" s="28"/>
      <c r="DC14" s="28"/>
      <c r="DF14" s="28"/>
      <c r="DI14" s="28"/>
      <c r="DL14" s="28"/>
      <c r="DO14" s="28"/>
      <c r="DR14" s="28"/>
      <c r="DU14" s="28"/>
      <c r="DX14" s="28"/>
      <c r="EA14" s="28"/>
      <c r="ED14" s="28"/>
      <c r="EG14" s="28"/>
      <c r="EJ14" s="28"/>
      <c r="EM14" s="28"/>
      <c r="EP14" s="28"/>
      <c r="ES14" s="28"/>
      <c r="EV14" s="28"/>
      <c r="EY14" s="28"/>
      <c r="FB14" s="28"/>
      <c r="FE14" s="28"/>
      <c r="FH14" s="28"/>
      <c r="FK14" s="28"/>
      <c r="FN14" s="28"/>
      <c r="FQ14" s="28"/>
      <c r="FT14" s="28"/>
      <c r="FW14" s="28"/>
      <c r="FZ14" s="28"/>
      <c r="GC14" s="28"/>
    </row>
    <row r="15" spans="1:185" s="25" customFormat="1" x14ac:dyDescent="0.3">
      <c r="A15" s="27"/>
      <c r="B15" s="28"/>
      <c r="C15" s="27"/>
      <c r="D15" s="26"/>
      <c r="E15" s="28"/>
      <c r="H15" s="28"/>
      <c r="K15" s="28"/>
      <c r="N15" s="28"/>
      <c r="Q15" s="28"/>
      <c r="T15" s="28"/>
      <c r="W15" s="28"/>
      <c r="Z15" s="28"/>
      <c r="AC15" s="28"/>
      <c r="AF15" s="28"/>
      <c r="AI15" s="28"/>
      <c r="AL15" s="28"/>
      <c r="AO15" s="28"/>
      <c r="AR15" s="28"/>
      <c r="AU15" s="28"/>
      <c r="AX15" s="28"/>
      <c r="BA15" s="28"/>
      <c r="BD15" s="28"/>
      <c r="BG15" s="28"/>
      <c r="BJ15" s="28"/>
      <c r="BM15" s="28"/>
      <c r="BP15" s="28"/>
      <c r="BS15" s="28"/>
      <c r="BV15" s="28"/>
      <c r="BY15" s="28"/>
      <c r="CB15" s="28"/>
      <c r="CE15" s="28"/>
      <c r="CH15" s="28"/>
      <c r="CK15" s="28"/>
      <c r="CN15" s="28"/>
      <c r="CQ15" s="28"/>
      <c r="CT15" s="28"/>
      <c r="CW15" s="28"/>
      <c r="CZ15" s="28"/>
      <c r="DC15" s="28"/>
      <c r="DF15" s="28"/>
      <c r="DI15" s="28"/>
      <c r="DL15" s="28"/>
      <c r="DO15" s="28"/>
      <c r="DR15" s="28"/>
      <c r="DU15" s="28"/>
      <c r="DX15" s="28"/>
      <c r="EA15" s="28"/>
      <c r="ED15" s="28"/>
      <c r="EG15" s="28"/>
      <c r="EJ15" s="28"/>
      <c r="EM15" s="28"/>
      <c r="EP15" s="28"/>
      <c r="ES15" s="28"/>
      <c r="EV15" s="28"/>
      <c r="EY15" s="28"/>
      <c r="FB15" s="28"/>
      <c r="FE15" s="28"/>
      <c r="FH15" s="28"/>
      <c r="FK15" s="28"/>
      <c r="FN15" s="28"/>
      <c r="FQ15" s="28"/>
      <c r="FT15" s="28"/>
      <c r="FW15" s="28"/>
      <c r="FZ15" s="28"/>
      <c r="GC15" s="28"/>
    </row>
    <row r="16" spans="1:185" s="25" customFormat="1" x14ac:dyDescent="0.3">
      <c r="A16" s="27"/>
      <c r="B16" s="28"/>
      <c r="C16" s="27"/>
      <c r="D16" s="26"/>
      <c r="E16" s="28"/>
      <c r="H16" s="28"/>
      <c r="K16" s="28"/>
      <c r="N16" s="28"/>
      <c r="Q16" s="28"/>
      <c r="T16" s="28"/>
      <c r="W16" s="28"/>
      <c r="Z16" s="28"/>
      <c r="AC16" s="28"/>
      <c r="AF16" s="28"/>
      <c r="AI16" s="28"/>
      <c r="AL16" s="28"/>
      <c r="AO16" s="28"/>
      <c r="AR16" s="28"/>
      <c r="AU16" s="28"/>
      <c r="AX16" s="28"/>
      <c r="BA16" s="28"/>
      <c r="BD16" s="28"/>
      <c r="BG16" s="28"/>
      <c r="BJ16" s="28"/>
      <c r="BM16" s="28"/>
      <c r="BP16" s="28"/>
      <c r="BS16" s="28"/>
      <c r="BV16" s="28"/>
      <c r="BY16" s="28"/>
      <c r="CB16" s="28"/>
      <c r="CE16" s="28"/>
      <c r="CH16" s="28"/>
      <c r="CK16" s="28"/>
      <c r="CN16" s="28"/>
      <c r="CQ16" s="28"/>
      <c r="CT16" s="28"/>
      <c r="CW16" s="28"/>
      <c r="CZ16" s="28"/>
      <c r="DC16" s="28"/>
      <c r="DF16" s="28"/>
      <c r="DI16" s="28"/>
      <c r="DL16" s="28"/>
      <c r="DO16" s="28"/>
      <c r="DR16" s="28"/>
      <c r="DU16" s="28"/>
      <c r="DX16" s="28"/>
      <c r="EA16" s="28"/>
      <c r="ED16" s="28"/>
      <c r="EG16" s="28"/>
      <c r="EJ16" s="28"/>
      <c r="EM16" s="28"/>
      <c r="EP16" s="28"/>
      <c r="ES16" s="28"/>
      <c r="EV16" s="28"/>
      <c r="EY16" s="28"/>
      <c r="FB16" s="28"/>
      <c r="FE16" s="28"/>
      <c r="FH16" s="28"/>
      <c r="FK16" s="28"/>
      <c r="FN16" s="28"/>
      <c r="FQ16" s="28"/>
      <c r="FT16" s="28"/>
      <c r="FW16" s="28"/>
      <c r="FZ16" s="28"/>
      <c r="GC16" s="28"/>
    </row>
    <row r="17" spans="1:185" s="25" customFormat="1" x14ac:dyDescent="0.3">
      <c r="A17" s="27"/>
      <c r="B17" s="28"/>
      <c r="C17" s="27"/>
      <c r="D17" s="26"/>
      <c r="E17" s="28"/>
      <c r="H17" s="28"/>
      <c r="K17" s="28"/>
      <c r="N17" s="28"/>
      <c r="Q17" s="28"/>
      <c r="T17" s="28"/>
      <c r="W17" s="28"/>
      <c r="Z17" s="28"/>
      <c r="AC17" s="28"/>
      <c r="AF17" s="28"/>
      <c r="AI17" s="28"/>
      <c r="AL17" s="28"/>
      <c r="AO17" s="28"/>
      <c r="AR17" s="28"/>
      <c r="AU17" s="28"/>
      <c r="AX17" s="28"/>
      <c r="BA17" s="28"/>
      <c r="BD17" s="28"/>
      <c r="BG17" s="28"/>
      <c r="BJ17" s="28"/>
      <c r="BM17" s="28"/>
      <c r="BP17" s="28"/>
      <c r="BS17" s="28"/>
      <c r="BV17" s="28"/>
      <c r="BY17" s="28"/>
      <c r="CB17" s="28"/>
      <c r="CE17" s="28"/>
      <c r="CH17" s="28"/>
      <c r="CK17" s="28"/>
      <c r="CN17" s="28"/>
      <c r="CQ17" s="28"/>
      <c r="CT17" s="28"/>
      <c r="CW17" s="28"/>
      <c r="CZ17" s="28"/>
      <c r="DC17" s="28"/>
      <c r="DF17" s="28"/>
      <c r="DI17" s="28"/>
      <c r="DL17" s="28"/>
      <c r="DO17" s="28"/>
      <c r="DR17" s="28"/>
      <c r="DU17" s="28"/>
      <c r="DX17" s="28"/>
      <c r="EA17" s="28"/>
      <c r="ED17" s="28"/>
      <c r="EG17" s="28"/>
      <c r="EJ17" s="28"/>
      <c r="EM17" s="28"/>
      <c r="EP17" s="28"/>
      <c r="ES17" s="28"/>
      <c r="EV17" s="28"/>
      <c r="EY17" s="28"/>
      <c r="FB17" s="28"/>
      <c r="FE17" s="28"/>
      <c r="FH17" s="28"/>
      <c r="FK17" s="28"/>
      <c r="FN17" s="28"/>
      <c r="FQ17" s="28"/>
      <c r="FT17" s="28"/>
      <c r="FW17" s="28"/>
      <c r="FZ17" s="28"/>
      <c r="GC17" s="28"/>
    </row>
    <row r="18" spans="1:185" s="25" customFormat="1" x14ac:dyDescent="0.3">
      <c r="A18" s="27"/>
      <c r="B18" s="28"/>
      <c r="C18" s="27"/>
      <c r="D18" s="26"/>
      <c r="E18" s="28"/>
      <c r="H18" s="28"/>
      <c r="K18" s="28"/>
      <c r="N18" s="28"/>
      <c r="Q18" s="28"/>
      <c r="T18" s="28"/>
      <c r="W18" s="28"/>
      <c r="Z18" s="28"/>
      <c r="AC18" s="28"/>
      <c r="AF18" s="28"/>
      <c r="AI18" s="28"/>
      <c r="AL18" s="28"/>
      <c r="AO18" s="28"/>
      <c r="AR18" s="28"/>
      <c r="AU18" s="28"/>
      <c r="AX18" s="28"/>
      <c r="BA18" s="28"/>
      <c r="BD18" s="28"/>
      <c r="BG18" s="28"/>
      <c r="BJ18" s="28"/>
      <c r="BM18" s="28"/>
      <c r="BP18" s="28"/>
      <c r="BS18" s="28"/>
      <c r="BV18" s="28"/>
      <c r="BY18" s="28"/>
      <c r="CB18" s="28"/>
      <c r="CE18" s="28"/>
      <c r="CH18" s="28"/>
      <c r="CK18" s="28"/>
      <c r="CN18" s="28"/>
      <c r="CQ18" s="28"/>
      <c r="CT18" s="28"/>
      <c r="CW18" s="28"/>
      <c r="CZ18" s="28"/>
      <c r="DC18" s="28"/>
      <c r="DF18" s="28"/>
      <c r="DI18" s="28"/>
      <c r="DL18" s="28"/>
      <c r="DO18" s="28"/>
      <c r="DR18" s="28"/>
      <c r="DU18" s="28"/>
      <c r="DX18" s="28"/>
      <c r="EA18" s="28"/>
      <c r="ED18" s="28"/>
      <c r="EG18" s="28"/>
      <c r="EJ18" s="28"/>
      <c r="EM18" s="28"/>
      <c r="EP18" s="28"/>
      <c r="ES18" s="28"/>
      <c r="EV18" s="28"/>
      <c r="EY18" s="28"/>
      <c r="FB18" s="28"/>
      <c r="FE18" s="28"/>
      <c r="FH18" s="28"/>
      <c r="FK18" s="28"/>
      <c r="FN18" s="28"/>
      <c r="FQ18" s="28"/>
      <c r="FT18" s="28"/>
      <c r="FW18" s="28"/>
      <c r="FZ18" s="28"/>
      <c r="GC18" s="28"/>
    </row>
    <row r="19" spans="1:185" s="25" customFormat="1" x14ac:dyDescent="0.3">
      <c r="A19" s="27"/>
      <c r="B19" s="28"/>
      <c r="C19" s="27"/>
      <c r="D19" s="26"/>
      <c r="E19" s="28"/>
      <c r="H19" s="28"/>
      <c r="K19" s="28"/>
      <c r="N19" s="28"/>
      <c r="Q19" s="28"/>
      <c r="T19" s="28"/>
      <c r="W19" s="28"/>
      <c r="Z19" s="28"/>
      <c r="AC19" s="28"/>
      <c r="AF19" s="28"/>
      <c r="AI19" s="28"/>
      <c r="AL19" s="28"/>
      <c r="AO19" s="28"/>
      <c r="AR19" s="28"/>
      <c r="AU19" s="28"/>
      <c r="AX19" s="28"/>
      <c r="BA19" s="28"/>
      <c r="BD19" s="28"/>
      <c r="BG19" s="28"/>
      <c r="BJ19" s="28"/>
      <c r="BM19" s="28"/>
      <c r="BP19" s="28"/>
      <c r="BS19" s="28"/>
      <c r="BV19" s="28"/>
      <c r="BY19" s="28"/>
      <c r="CB19" s="28"/>
      <c r="CE19" s="28"/>
      <c r="CH19" s="28"/>
      <c r="CK19" s="28"/>
      <c r="CN19" s="28"/>
      <c r="CQ19" s="28"/>
      <c r="CT19" s="28"/>
      <c r="CW19" s="28"/>
      <c r="CZ19" s="28"/>
      <c r="DC19" s="28"/>
      <c r="DF19" s="28"/>
      <c r="DI19" s="28"/>
      <c r="DL19" s="28"/>
      <c r="DO19" s="28"/>
      <c r="DR19" s="28"/>
      <c r="DU19" s="28"/>
      <c r="DX19" s="28"/>
      <c r="EA19" s="28"/>
      <c r="ED19" s="28"/>
      <c r="EG19" s="28"/>
      <c r="EJ19" s="28"/>
      <c r="EM19" s="28"/>
      <c r="EP19" s="28"/>
      <c r="ES19" s="28"/>
      <c r="EV19" s="28"/>
      <c r="EY19" s="28"/>
      <c r="FB19" s="28"/>
      <c r="FE19" s="28"/>
      <c r="FH19" s="28"/>
      <c r="FK19" s="28"/>
      <c r="FN19" s="28"/>
      <c r="FQ19" s="28"/>
      <c r="FT19" s="28"/>
      <c r="FW19" s="28"/>
      <c r="FZ19" s="28"/>
      <c r="GC19" s="28"/>
    </row>
    <row r="20" spans="1:185" s="25" customFormat="1" x14ac:dyDescent="0.3">
      <c r="A20" s="27"/>
      <c r="B20" s="28"/>
      <c r="C20" s="27"/>
      <c r="D20" s="26"/>
      <c r="E20" s="28"/>
      <c r="H20" s="28"/>
      <c r="K20" s="28"/>
      <c r="N20" s="28"/>
      <c r="Q20" s="28"/>
      <c r="T20" s="28"/>
      <c r="W20" s="28"/>
      <c r="Z20" s="28"/>
      <c r="AC20" s="28"/>
      <c r="AF20" s="28"/>
      <c r="AI20" s="28"/>
      <c r="AL20" s="28"/>
      <c r="AO20" s="28"/>
      <c r="AR20" s="28"/>
      <c r="AU20" s="28"/>
      <c r="AX20" s="28"/>
      <c r="BA20" s="28"/>
      <c r="BD20" s="28"/>
      <c r="BG20" s="28"/>
      <c r="BJ20" s="28"/>
      <c r="BM20" s="28"/>
      <c r="BP20" s="28"/>
      <c r="BS20" s="28"/>
      <c r="BV20" s="28"/>
      <c r="BY20" s="28"/>
      <c r="CB20" s="28"/>
      <c r="CE20" s="28"/>
      <c r="CH20" s="28"/>
      <c r="CK20" s="28"/>
      <c r="CN20" s="28"/>
      <c r="CQ20" s="28"/>
      <c r="CT20" s="28"/>
      <c r="CW20" s="28"/>
      <c r="CZ20" s="28"/>
      <c r="DC20" s="28"/>
      <c r="DF20" s="28"/>
      <c r="DI20" s="28"/>
      <c r="DL20" s="28"/>
      <c r="DO20" s="28"/>
      <c r="DR20" s="28"/>
      <c r="DU20" s="28"/>
      <c r="DX20" s="28"/>
      <c r="EA20" s="28"/>
      <c r="ED20" s="28"/>
      <c r="EG20" s="28"/>
      <c r="EJ20" s="28"/>
      <c r="EM20" s="28"/>
      <c r="EP20" s="28"/>
      <c r="ES20" s="28"/>
      <c r="EV20" s="28"/>
      <c r="EY20" s="28"/>
      <c r="FB20" s="28"/>
      <c r="FE20" s="28"/>
      <c r="FH20" s="28"/>
      <c r="FK20" s="28"/>
      <c r="FN20" s="28"/>
      <c r="FQ20" s="28"/>
      <c r="FT20" s="28"/>
      <c r="FW20" s="28"/>
      <c r="FZ20" s="28"/>
      <c r="GC20" s="28"/>
    </row>
    <row r="21" spans="1:185" s="25" customFormat="1" x14ac:dyDescent="0.3">
      <c r="A21" s="27"/>
      <c r="B21" s="28"/>
      <c r="C21" s="27"/>
      <c r="D21" s="26"/>
      <c r="E21" s="28"/>
      <c r="H21" s="28"/>
      <c r="K21" s="28"/>
      <c r="N21" s="28"/>
      <c r="Q21" s="28"/>
      <c r="T21" s="28"/>
      <c r="W21" s="28"/>
      <c r="Z21" s="28"/>
      <c r="AC21" s="28"/>
      <c r="AF21" s="28"/>
      <c r="AI21" s="28"/>
      <c r="AL21" s="28"/>
      <c r="AO21" s="28"/>
      <c r="AR21" s="28"/>
      <c r="AU21" s="28"/>
      <c r="AX21" s="28"/>
      <c r="BA21" s="28"/>
      <c r="BD21" s="28"/>
      <c r="BG21" s="28"/>
      <c r="BJ21" s="28"/>
      <c r="BM21" s="28"/>
      <c r="BP21" s="28"/>
      <c r="BS21" s="28"/>
      <c r="BV21" s="28"/>
      <c r="BY21" s="28"/>
      <c r="CB21" s="28"/>
      <c r="CE21" s="28"/>
      <c r="CH21" s="28"/>
      <c r="CK21" s="28"/>
      <c r="CN21" s="28"/>
      <c r="CQ21" s="28"/>
      <c r="CT21" s="28"/>
      <c r="CW21" s="28"/>
      <c r="CZ21" s="28"/>
      <c r="DC21" s="28"/>
      <c r="DF21" s="28"/>
      <c r="DI21" s="28"/>
      <c r="DL21" s="28"/>
      <c r="DO21" s="28"/>
      <c r="DR21" s="28"/>
      <c r="DU21" s="28"/>
      <c r="DX21" s="28"/>
      <c r="EA21" s="28"/>
      <c r="ED21" s="28"/>
      <c r="EG21" s="28"/>
      <c r="EJ21" s="28"/>
      <c r="EM21" s="28"/>
      <c r="EP21" s="28"/>
      <c r="ES21" s="28"/>
      <c r="EV21" s="28"/>
      <c r="EY21" s="28"/>
      <c r="FB21" s="28"/>
      <c r="FE21" s="28"/>
      <c r="FH21" s="28"/>
      <c r="FK21" s="28"/>
      <c r="FN21" s="28"/>
      <c r="FQ21" s="28"/>
      <c r="FT21" s="28"/>
      <c r="FW21" s="28"/>
      <c r="FZ21" s="28"/>
      <c r="GC21" s="28"/>
    </row>
    <row r="22" spans="1:185" s="25" customFormat="1" x14ac:dyDescent="0.3">
      <c r="A22" s="27"/>
      <c r="B22" s="28"/>
      <c r="C22" s="27"/>
      <c r="D22" s="26"/>
      <c r="E22" s="28"/>
      <c r="H22" s="28"/>
      <c r="K22" s="28"/>
      <c r="N22" s="28"/>
      <c r="Q22" s="28"/>
      <c r="T22" s="28"/>
      <c r="W22" s="28"/>
      <c r="Z22" s="28"/>
      <c r="AC22" s="28"/>
      <c r="AF22" s="28"/>
      <c r="AI22" s="28"/>
      <c r="AL22" s="28"/>
      <c r="AO22" s="28"/>
      <c r="AR22" s="28"/>
      <c r="AU22" s="28"/>
      <c r="AX22" s="28"/>
      <c r="BA22" s="28"/>
      <c r="BD22" s="28"/>
      <c r="BG22" s="28"/>
      <c r="BJ22" s="28"/>
      <c r="BM22" s="28"/>
      <c r="BP22" s="28"/>
      <c r="BS22" s="28"/>
      <c r="BV22" s="28"/>
      <c r="BY22" s="28"/>
      <c r="CB22" s="28"/>
      <c r="CE22" s="28"/>
      <c r="CH22" s="28"/>
      <c r="CK22" s="28"/>
      <c r="CN22" s="28"/>
      <c r="CQ22" s="28"/>
      <c r="CT22" s="28"/>
      <c r="CW22" s="28"/>
      <c r="CZ22" s="28"/>
      <c r="DC22" s="28"/>
      <c r="DF22" s="28"/>
      <c r="DI22" s="28"/>
      <c r="DL22" s="28"/>
      <c r="DO22" s="28"/>
      <c r="DR22" s="28"/>
      <c r="DU22" s="28"/>
      <c r="DX22" s="28"/>
      <c r="EA22" s="28"/>
      <c r="ED22" s="28"/>
      <c r="EG22" s="28"/>
      <c r="EJ22" s="28"/>
      <c r="EM22" s="28"/>
      <c r="EP22" s="28"/>
      <c r="ES22" s="28"/>
      <c r="EV22" s="28"/>
      <c r="EY22" s="28"/>
      <c r="FB22" s="28"/>
      <c r="FE22" s="28"/>
      <c r="FH22" s="28"/>
      <c r="FK22" s="28"/>
      <c r="FN22" s="28"/>
      <c r="FQ22" s="28"/>
      <c r="FT22" s="28"/>
      <c r="FW22" s="28"/>
      <c r="FZ22" s="28"/>
      <c r="GC22" s="28"/>
    </row>
    <row r="23" spans="1:185" s="25" customFormat="1" x14ac:dyDescent="0.3">
      <c r="A23" s="27"/>
      <c r="B23" s="28"/>
      <c r="C23" s="27"/>
      <c r="D23" s="26"/>
      <c r="E23" s="28"/>
      <c r="H23" s="28"/>
      <c r="K23" s="28"/>
      <c r="N23" s="28"/>
      <c r="Q23" s="28"/>
      <c r="T23" s="28"/>
      <c r="W23" s="28"/>
      <c r="Z23" s="28"/>
      <c r="AC23" s="28"/>
      <c r="AF23" s="28"/>
      <c r="AI23" s="28"/>
      <c r="AL23" s="28"/>
      <c r="AO23" s="28"/>
      <c r="AR23" s="28"/>
      <c r="AU23" s="28"/>
      <c r="AX23" s="28"/>
      <c r="BA23" s="28"/>
      <c r="BD23" s="28"/>
      <c r="BG23" s="28"/>
      <c r="BJ23" s="28"/>
      <c r="BM23" s="28"/>
      <c r="BP23" s="28"/>
      <c r="BS23" s="28"/>
      <c r="BV23" s="28"/>
      <c r="BY23" s="28"/>
      <c r="CB23" s="28"/>
      <c r="CE23" s="28"/>
      <c r="CH23" s="28"/>
      <c r="CK23" s="28"/>
      <c r="CN23" s="28"/>
      <c r="CQ23" s="28"/>
      <c r="CT23" s="28"/>
      <c r="CW23" s="28"/>
      <c r="CZ23" s="28"/>
      <c r="DC23" s="28"/>
      <c r="DF23" s="28"/>
      <c r="DI23" s="28"/>
      <c r="DL23" s="28"/>
      <c r="DO23" s="28"/>
      <c r="DR23" s="28"/>
      <c r="DU23" s="28"/>
      <c r="DX23" s="28"/>
      <c r="EA23" s="28"/>
      <c r="ED23" s="28"/>
      <c r="EG23" s="28"/>
      <c r="EJ23" s="28"/>
      <c r="EM23" s="28"/>
      <c r="EP23" s="28"/>
      <c r="ES23" s="28"/>
      <c r="EV23" s="28"/>
      <c r="EY23" s="28"/>
      <c r="FB23" s="28"/>
      <c r="FE23" s="28"/>
      <c r="FH23" s="28"/>
      <c r="FK23" s="28"/>
      <c r="FN23" s="28"/>
      <c r="FQ23" s="28"/>
      <c r="FT23" s="28"/>
      <c r="FW23" s="28"/>
      <c r="FZ23" s="28"/>
      <c r="GC23" s="28"/>
    </row>
    <row r="24" spans="1:185" s="25" customFormat="1" x14ac:dyDescent="0.3">
      <c r="A24" s="27"/>
      <c r="B24" s="28"/>
      <c r="C24" s="27"/>
      <c r="D24" s="26"/>
      <c r="E24" s="28"/>
      <c r="H24" s="28"/>
      <c r="K24" s="28"/>
      <c r="N24" s="28"/>
      <c r="Q24" s="28"/>
      <c r="T24" s="28"/>
      <c r="W24" s="28"/>
      <c r="Z24" s="28"/>
      <c r="AC24" s="28"/>
      <c r="AF24" s="28"/>
      <c r="AI24" s="28"/>
      <c r="AL24" s="28"/>
      <c r="AO24" s="28"/>
      <c r="AR24" s="28"/>
      <c r="AU24" s="28"/>
      <c r="AX24" s="28"/>
      <c r="BA24" s="28"/>
      <c r="BD24" s="28"/>
      <c r="BG24" s="28"/>
      <c r="BJ24" s="28"/>
      <c r="BM24" s="28"/>
      <c r="BP24" s="28"/>
      <c r="BS24" s="28"/>
      <c r="BV24" s="28"/>
      <c r="BY24" s="28"/>
      <c r="CB24" s="28"/>
      <c r="CE24" s="28"/>
      <c r="CH24" s="28"/>
      <c r="CK24" s="28"/>
      <c r="CN24" s="28"/>
      <c r="CQ24" s="28"/>
      <c r="CT24" s="28"/>
      <c r="CW24" s="28"/>
      <c r="CZ24" s="28"/>
      <c r="DC24" s="28"/>
      <c r="DF24" s="28"/>
      <c r="DI24" s="28"/>
      <c r="DL24" s="28"/>
      <c r="DO24" s="28"/>
      <c r="DR24" s="28"/>
      <c r="DU24" s="28"/>
      <c r="DX24" s="28"/>
      <c r="EA24" s="28"/>
      <c r="ED24" s="28"/>
      <c r="EG24" s="28"/>
      <c r="EJ24" s="28"/>
      <c r="EM24" s="28"/>
      <c r="EP24" s="28"/>
      <c r="ES24" s="28"/>
      <c r="EV24" s="28"/>
      <c r="EY24" s="28"/>
      <c r="FB24" s="28"/>
      <c r="FE24" s="28"/>
      <c r="FH24" s="28"/>
      <c r="FK24" s="28"/>
      <c r="FN24" s="28"/>
      <c r="FQ24" s="28"/>
      <c r="FT24" s="28"/>
      <c r="FW24" s="28"/>
      <c r="FZ24" s="28"/>
      <c r="GC24" s="28"/>
    </row>
    <row r="25" spans="1:185" s="25" customFormat="1" x14ac:dyDescent="0.3">
      <c r="A25" s="27"/>
      <c r="B25" s="28"/>
      <c r="C25" s="27"/>
      <c r="D25" s="26"/>
      <c r="E25" s="28"/>
      <c r="H25" s="28"/>
      <c r="K25" s="28"/>
      <c r="N25" s="28"/>
      <c r="Q25" s="28"/>
      <c r="T25" s="28"/>
      <c r="W25" s="28"/>
      <c r="Z25" s="28"/>
      <c r="AC25" s="28"/>
      <c r="AF25" s="28"/>
      <c r="AI25" s="28"/>
      <c r="AL25" s="28"/>
      <c r="AO25" s="28"/>
      <c r="AR25" s="28"/>
      <c r="AU25" s="28"/>
      <c r="AX25" s="28"/>
      <c r="BA25" s="28"/>
      <c r="BD25" s="28"/>
      <c r="BG25" s="28"/>
      <c r="BJ25" s="28"/>
      <c r="BM25" s="28"/>
      <c r="BP25" s="28"/>
      <c r="BS25" s="28"/>
      <c r="BV25" s="28"/>
      <c r="BY25" s="28"/>
      <c r="CB25" s="28"/>
      <c r="CE25" s="28"/>
      <c r="CH25" s="28"/>
      <c r="CK25" s="28"/>
      <c r="CN25" s="28"/>
      <c r="CQ25" s="28"/>
      <c r="CT25" s="28"/>
      <c r="CW25" s="28"/>
      <c r="CZ25" s="28"/>
      <c r="DC25" s="28"/>
      <c r="DF25" s="28"/>
      <c r="DI25" s="28"/>
      <c r="DL25" s="28"/>
      <c r="DO25" s="28"/>
      <c r="DR25" s="28"/>
      <c r="DU25" s="28"/>
      <c r="DX25" s="28"/>
      <c r="EA25" s="28"/>
      <c r="ED25" s="28"/>
      <c r="EG25" s="28"/>
      <c r="EJ25" s="28"/>
      <c r="EM25" s="28"/>
      <c r="EP25" s="28"/>
      <c r="ES25" s="28"/>
      <c r="EV25" s="28"/>
      <c r="EY25" s="28"/>
      <c r="FB25" s="28"/>
      <c r="FE25" s="28"/>
      <c r="FH25" s="28"/>
      <c r="FK25" s="28"/>
      <c r="FN25" s="28"/>
      <c r="FQ25" s="28"/>
      <c r="FT25" s="28"/>
      <c r="FW25" s="28"/>
      <c r="FZ25" s="28"/>
      <c r="GC25" s="28"/>
    </row>
    <row r="26" spans="1:185" s="25" customFormat="1" x14ac:dyDescent="0.3">
      <c r="A26" s="27"/>
      <c r="B26" s="28"/>
      <c r="C26" s="27"/>
      <c r="D26" s="26"/>
      <c r="E26" s="28"/>
      <c r="H26" s="28"/>
      <c r="K26" s="28"/>
      <c r="N26" s="28"/>
      <c r="Q26" s="28"/>
      <c r="T26" s="28"/>
      <c r="W26" s="28"/>
      <c r="Z26" s="28"/>
      <c r="AC26" s="28"/>
      <c r="AF26" s="28"/>
      <c r="AI26" s="28"/>
      <c r="AL26" s="28"/>
      <c r="AO26" s="28"/>
      <c r="AR26" s="28"/>
      <c r="AU26" s="28"/>
      <c r="AX26" s="28"/>
      <c r="BA26" s="28"/>
      <c r="BD26" s="28"/>
      <c r="BG26" s="28"/>
      <c r="BJ26" s="28"/>
      <c r="BM26" s="28"/>
      <c r="BP26" s="28"/>
      <c r="BS26" s="28"/>
      <c r="BV26" s="28"/>
      <c r="BY26" s="28"/>
      <c r="CB26" s="28"/>
      <c r="CE26" s="28"/>
      <c r="CH26" s="28"/>
      <c r="CK26" s="28"/>
      <c r="CN26" s="28"/>
      <c r="CQ26" s="28"/>
      <c r="CT26" s="28"/>
      <c r="CW26" s="28"/>
      <c r="CZ26" s="28"/>
      <c r="DC26" s="28"/>
      <c r="DF26" s="28"/>
      <c r="DI26" s="28"/>
      <c r="DL26" s="28"/>
      <c r="DO26" s="28"/>
      <c r="DR26" s="28"/>
      <c r="DU26" s="28"/>
      <c r="DX26" s="28"/>
      <c r="EA26" s="28"/>
      <c r="ED26" s="28"/>
      <c r="EG26" s="28"/>
      <c r="EJ26" s="28"/>
      <c r="EM26" s="28"/>
      <c r="EP26" s="28"/>
      <c r="ES26" s="28"/>
      <c r="EV26" s="28"/>
      <c r="EY26" s="28"/>
      <c r="FB26" s="28"/>
      <c r="FE26" s="28"/>
      <c r="FH26" s="28"/>
      <c r="FK26" s="28"/>
      <c r="FN26" s="28"/>
      <c r="FQ26" s="28"/>
      <c r="FT26" s="28"/>
      <c r="FW26" s="28"/>
      <c r="FZ26" s="28"/>
      <c r="GC26" s="28"/>
    </row>
    <row r="27" spans="1:185" s="25" customFormat="1" x14ac:dyDescent="0.3">
      <c r="A27" s="27"/>
      <c r="B27" s="28"/>
      <c r="C27" s="27"/>
      <c r="D27" s="26"/>
      <c r="E27" s="28"/>
      <c r="H27" s="28"/>
      <c r="K27" s="28"/>
      <c r="N27" s="28"/>
      <c r="Q27" s="28"/>
      <c r="T27" s="28"/>
      <c r="W27" s="28"/>
      <c r="Z27" s="28"/>
      <c r="AC27" s="28"/>
      <c r="AF27" s="28"/>
      <c r="AI27" s="28"/>
      <c r="AL27" s="28"/>
      <c r="AO27" s="28"/>
      <c r="AR27" s="28"/>
      <c r="AU27" s="28"/>
      <c r="AX27" s="28"/>
      <c r="BA27" s="28"/>
      <c r="BD27" s="28"/>
      <c r="BG27" s="28"/>
      <c r="BJ27" s="28"/>
      <c r="BM27" s="28"/>
      <c r="BP27" s="28"/>
      <c r="BS27" s="28"/>
      <c r="BV27" s="28"/>
      <c r="BY27" s="28"/>
      <c r="CB27" s="28"/>
      <c r="CE27" s="28"/>
      <c r="CH27" s="28"/>
      <c r="CK27" s="28"/>
      <c r="CN27" s="28"/>
      <c r="CQ27" s="28"/>
      <c r="CT27" s="28"/>
      <c r="CW27" s="28"/>
      <c r="CZ27" s="28"/>
      <c r="DC27" s="28"/>
      <c r="DF27" s="28"/>
      <c r="DI27" s="28"/>
      <c r="DL27" s="28"/>
      <c r="DO27" s="28"/>
      <c r="DR27" s="28"/>
      <c r="DU27" s="28"/>
      <c r="DX27" s="28"/>
      <c r="EA27" s="28"/>
      <c r="ED27" s="28"/>
      <c r="EG27" s="28"/>
      <c r="EJ27" s="28"/>
      <c r="EM27" s="28"/>
      <c r="EP27" s="28"/>
      <c r="ES27" s="28"/>
      <c r="EV27" s="28"/>
      <c r="EY27" s="28"/>
      <c r="FB27" s="28"/>
      <c r="FE27" s="28"/>
      <c r="FH27" s="28"/>
      <c r="FK27" s="28"/>
      <c r="FN27" s="28"/>
      <c r="FQ27" s="28"/>
      <c r="FT27" s="28"/>
      <c r="FW27" s="28"/>
      <c r="FZ27" s="28"/>
      <c r="GC27" s="28"/>
    </row>
    <row r="28" spans="1:185" s="25" customFormat="1" x14ac:dyDescent="0.3">
      <c r="A28" s="27"/>
      <c r="B28" s="28"/>
      <c r="C28" s="27"/>
      <c r="D28" s="26"/>
      <c r="E28" s="28"/>
      <c r="H28" s="28"/>
      <c r="K28" s="28"/>
      <c r="N28" s="28"/>
      <c r="Q28" s="28"/>
      <c r="T28" s="28"/>
      <c r="W28" s="28"/>
      <c r="Z28" s="28"/>
      <c r="AC28" s="28"/>
      <c r="AF28" s="28"/>
      <c r="AI28" s="28"/>
      <c r="AL28" s="28"/>
      <c r="AO28" s="28"/>
      <c r="AR28" s="28"/>
      <c r="AU28" s="28"/>
      <c r="AX28" s="28"/>
      <c r="BA28" s="28"/>
      <c r="BD28" s="28"/>
      <c r="BG28" s="28"/>
      <c r="BJ28" s="28"/>
      <c r="BM28" s="28"/>
      <c r="BP28" s="28"/>
      <c r="BS28" s="28"/>
      <c r="BV28" s="28"/>
      <c r="BY28" s="28"/>
      <c r="CB28" s="28"/>
      <c r="CE28" s="28"/>
      <c r="CH28" s="28"/>
      <c r="CK28" s="28"/>
      <c r="CN28" s="28"/>
      <c r="CQ28" s="28"/>
      <c r="CT28" s="28"/>
      <c r="CW28" s="28"/>
      <c r="CZ28" s="28"/>
      <c r="DC28" s="28"/>
      <c r="DF28" s="28"/>
      <c r="DI28" s="28"/>
      <c r="DL28" s="28"/>
      <c r="DO28" s="28"/>
      <c r="DR28" s="28"/>
      <c r="DU28" s="28"/>
      <c r="DX28" s="28"/>
      <c r="EA28" s="28"/>
      <c r="ED28" s="28"/>
      <c r="EG28" s="28"/>
      <c r="EJ28" s="28"/>
      <c r="EM28" s="28"/>
      <c r="EP28" s="28"/>
      <c r="ES28" s="28"/>
      <c r="EV28" s="28"/>
      <c r="EY28" s="28"/>
      <c r="FB28" s="28"/>
      <c r="FE28" s="28"/>
      <c r="FH28" s="28"/>
      <c r="FK28" s="28"/>
      <c r="FN28" s="28"/>
      <c r="FQ28" s="28"/>
      <c r="FT28" s="28"/>
      <c r="FW28" s="28"/>
      <c r="FZ28" s="28"/>
      <c r="GC28" s="28"/>
    </row>
    <row r="29" spans="1:185" s="25" customFormat="1" x14ac:dyDescent="0.3">
      <c r="A29" s="27"/>
      <c r="B29" s="28"/>
      <c r="C29" s="27"/>
      <c r="D29" s="26"/>
      <c r="E29" s="28"/>
      <c r="H29" s="28"/>
      <c r="K29" s="28"/>
      <c r="N29" s="28"/>
      <c r="Q29" s="28"/>
      <c r="T29" s="28"/>
      <c r="W29" s="28"/>
      <c r="Z29" s="28"/>
      <c r="AC29" s="28"/>
      <c r="AF29" s="28"/>
      <c r="AI29" s="28"/>
      <c r="AL29" s="28"/>
      <c r="AO29" s="28"/>
      <c r="AR29" s="28"/>
      <c r="AU29" s="28"/>
      <c r="AX29" s="28"/>
      <c r="BA29" s="28"/>
      <c r="BD29" s="28"/>
      <c r="BG29" s="28"/>
      <c r="BJ29" s="28"/>
      <c r="BM29" s="28"/>
      <c r="BP29" s="28"/>
      <c r="BS29" s="28"/>
      <c r="BV29" s="28"/>
      <c r="BY29" s="28"/>
      <c r="CB29" s="28"/>
      <c r="CE29" s="28"/>
      <c r="CH29" s="28"/>
      <c r="CK29" s="28"/>
      <c r="CN29" s="28"/>
      <c r="CQ29" s="28"/>
      <c r="CT29" s="28"/>
      <c r="CW29" s="28"/>
      <c r="CZ29" s="28"/>
      <c r="DC29" s="28"/>
      <c r="DF29" s="28"/>
      <c r="DI29" s="28"/>
      <c r="DL29" s="28"/>
      <c r="DO29" s="28"/>
      <c r="DR29" s="28"/>
      <c r="DU29" s="28"/>
      <c r="DX29" s="28"/>
      <c r="EA29" s="28"/>
      <c r="ED29" s="28"/>
      <c r="EG29" s="28"/>
      <c r="EJ29" s="28"/>
      <c r="EM29" s="28"/>
      <c r="EP29" s="28"/>
      <c r="ES29" s="28"/>
      <c r="EV29" s="28"/>
      <c r="EY29" s="28"/>
      <c r="FB29" s="28"/>
      <c r="FE29" s="28"/>
      <c r="FH29" s="28"/>
      <c r="FK29" s="28"/>
      <c r="FN29" s="28"/>
      <c r="FQ29" s="28"/>
      <c r="FT29" s="28"/>
      <c r="FW29" s="28"/>
      <c r="FZ29" s="28"/>
      <c r="GC29" s="28"/>
    </row>
    <row r="30" spans="1:185" s="25" customFormat="1" x14ac:dyDescent="0.3">
      <c r="A30" s="27"/>
      <c r="B30" s="28"/>
      <c r="C30" s="27"/>
      <c r="D30" s="26"/>
      <c r="E30" s="28"/>
      <c r="H30" s="28"/>
      <c r="K30" s="28"/>
      <c r="N30" s="28"/>
      <c r="Q30" s="28"/>
      <c r="T30" s="28"/>
      <c r="W30" s="28"/>
      <c r="Z30" s="28"/>
      <c r="AC30" s="28"/>
      <c r="AF30" s="28"/>
      <c r="AI30" s="28"/>
      <c r="AL30" s="28"/>
      <c r="AO30" s="28"/>
      <c r="AR30" s="28"/>
      <c r="AU30" s="28"/>
      <c r="AX30" s="28"/>
      <c r="BA30" s="28"/>
      <c r="BD30" s="28"/>
      <c r="BG30" s="28"/>
      <c r="BJ30" s="28"/>
      <c r="BM30" s="28"/>
      <c r="BP30" s="28"/>
      <c r="BS30" s="28"/>
      <c r="BV30" s="28"/>
      <c r="BY30" s="28"/>
      <c r="CB30" s="28"/>
      <c r="CE30" s="28"/>
      <c r="CH30" s="28"/>
      <c r="CK30" s="28"/>
      <c r="CN30" s="28"/>
      <c r="CQ30" s="28"/>
      <c r="CT30" s="28"/>
      <c r="CW30" s="28"/>
      <c r="CZ30" s="28"/>
      <c r="DC30" s="28"/>
      <c r="DF30" s="28"/>
      <c r="DI30" s="28"/>
      <c r="DL30" s="28"/>
      <c r="DO30" s="28"/>
      <c r="DR30" s="28"/>
      <c r="DU30" s="28"/>
      <c r="DX30" s="28"/>
      <c r="EA30" s="28"/>
      <c r="ED30" s="28"/>
      <c r="EG30" s="28"/>
      <c r="EJ30" s="28"/>
      <c r="EM30" s="28"/>
      <c r="EP30" s="28"/>
      <c r="ES30" s="28"/>
      <c r="EV30" s="28"/>
      <c r="EY30" s="28"/>
      <c r="FB30" s="28"/>
      <c r="FE30" s="28"/>
      <c r="FH30" s="28"/>
      <c r="FK30" s="28"/>
      <c r="FN30" s="28"/>
      <c r="FQ30" s="28"/>
      <c r="FT30" s="28"/>
      <c r="FW30" s="28"/>
      <c r="FZ30" s="28"/>
      <c r="GC30" s="28"/>
    </row>
    <row r="31" spans="1:185" s="25" customFormat="1" x14ac:dyDescent="0.3">
      <c r="A31" s="27"/>
      <c r="B31" s="28"/>
      <c r="C31" s="27"/>
      <c r="D31" s="26"/>
      <c r="E31" s="28"/>
      <c r="H31" s="28"/>
      <c r="K31" s="28"/>
      <c r="N31" s="28"/>
      <c r="Q31" s="28"/>
      <c r="T31" s="28"/>
      <c r="W31" s="28"/>
      <c r="Z31" s="28"/>
      <c r="AC31" s="28"/>
      <c r="AF31" s="28"/>
      <c r="AI31" s="28"/>
      <c r="AL31" s="28"/>
      <c r="AO31" s="28"/>
      <c r="AR31" s="28"/>
      <c r="AU31" s="28"/>
      <c r="AX31" s="28"/>
      <c r="BA31" s="28"/>
      <c r="BD31" s="28"/>
      <c r="BG31" s="28"/>
      <c r="BJ31" s="28"/>
      <c r="BM31" s="28"/>
      <c r="BP31" s="28"/>
      <c r="BS31" s="28"/>
      <c r="BV31" s="28"/>
      <c r="BY31" s="28"/>
      <c r="CB31" s="28"/>
      <c r="CE31" s="28"/>
      <c r="CH31" s="28"/>
      <c r="CK31" s="28"/>
      <c r="CN31" s="28"/>
      <c r="CQ31" s="28"/>
      <c r="CT31" s="28"/>
      <c r="CW31" s="28"/>
      <c r="CZ31" s="28"/>
      <c r="DC31" s="28"/>
      <c r="DF31" s="28"/>
      <c r="DI31" s="28"/>
      <c r="DL31" s="28"/>
      <c r="DO31" s="28"/>
      <c r="DR31" s="28"/>
      <c r="DU31" s="28"/>
      <c r="DX31" s="28"/>
      <c r="EA31" s="28"/>
      <c r="ED31" s="28"/>
      <c r="EG31" s="28"/>
      <c r="EJ31" s="28"/>
      <c r="EM31" s="28"/>
      <c r="EP31" s="28"/>
      <c r="ES31" s="28"/>
      <c r="EV31" s="28"/>
      <c r="EY31" s="28"/>
      <c r="FB31" s="28"/>
      <c r="FE31" s="28"/>
      <c r="FH31" s="28"/>
      <c r="FK31" s="28"/>
      <c r="FN31" s="28"/>
      <c r="FQ31" s="28"/>
      <c r="FT31" s="28"/>
      <c r="FW31" s="28"/>
      <c r="FZ31" s="28"/>
      <c r="GC31" s="28"/>
    </row>
    <row r="32" spans="1:185" s="25" customFormat="1" x14ac:dyDescent="0.3">
      <c r="A32" s="27"/>
      <c r="B32" s="28"/>
      <c r="C32" s="27"/>
      <c r="D32" s="26"/>
      <c r="E32" s="28"/>
      <c r="H32" s="28"/>
      <c r="K32" s="28"/>
      <c r="N32" s="28"/>
      <c r="Q32" s="28"/>
      <c r="T32" s="28"/>
      <c r="W32" s="28"/>
      <c r="Z32" s="28"/>
      <c r="AC32" s="28"/>
      <c r="AF32" s="28"/>
      <c r="AI32" s="28"/>
      <c r="AL32" s="28"/>
      <c r="AO32" s="28"/>
      <c r="AR32" s="28"/>
      <c r="AU32" s="28"/>
      <c r="AX32" s="28"/>
      <c r="BA32" s="28"/>
      <c r="BD32" s="28"/>
      <c r="BG32" s="28"/>
      <c r="BJ32" s="28"/>
      <c r="BM32" s="28"/>
      <c r="BP32" s="28"/>
      <c r="BS32" s="28"/>
      <c r="BV32" s="28"/>
      <c r="BY32" s="28"/>
      <c r="CB32" s="28"/>
      <c r="CE32" s="28"/>
      <c r="CH32" s="28"/>
      <c r="CK32" s="28"/>
      <c r="CN32" s="28"/>
      <c r="CQ32" s="28"/>
      <c r="CT32" s="28"/>
      <c r="CW32" s="28"/>
      <c r="CZ32" s="28"/>
      <c r="DC32" s="28"/>
      <c r="DF32" s="28"/>
      <c r="DI32" s="28"/>
      <c r="DL32" s="28"/>
      <c r="DO32" s="28"/>
      <c r="DR32" s="28"/>
      <c r="DU32" s="28"/>
      <c r="DX32" s="28"/>
      <c r="EA32" s="28"/>
      <c r="ED32" s="28"/>
      <c r="EG32" s="28"/>
      <c r="EJ32" s="28"/>
      <c r="EM32" s="28"/>
      <c r="EP32" s="28"/>
      <c r="ES32" s="28"/>
      <c r="EV32" s="28"/>
      <c r="EY32" s="28"/>
      <c r="FB32" s="28"/>
      <c r="FE32" s="28"/>
      <c r="FH32" s="28"/>
      <c r="FK32" s="28"/>
      <c r="FN32" s="28"/>
      <c r="FQ32" s="28"/>
      <c r="FT32" s="28"/>
      <c r="FW32" s="28"/>
      <c r="FZ32" s="28"/>
      <c r="GC32" s="28"/>
    </row>
    <row r="33" spans="1:185" s="25" customFormat="1" x14ac:dyDescent="0.3">
      <c r="A33" s="27"/>
      <c r="B33" s="28"/>
      <c r="C33" s="27"/>
      <c r="D33" s="26"/>
      <c r="E33" s="28"/>
      <c r="H33" s="28"/>
      <c r="K33" s="28"/>
      <c r="N33" s="28"/>
      <c r="Q33" s="28"/>
      <c r="T33" s="28"/>
      <c r="W33" s="28"/>
      <c r="Z33" s="28"/>
      <c r="AC33" s="28"/>
      <c r="AF33" s="28"/>
      <c r="AI33" s="28"/>
      <c r="AL33" s="28"/>
      <c r="AO33" s="28"/>
      <c r="AR33" s="28"/>
      <c r="AU33" s="28"/>
      <c r="AX33" s="28"/>
      <c r="BA33" s="28"/>
      <c r="BD33" s="28"/>
      <c r="BG33" s="28"/>
      <c r="BJ33" s="28"/>
      <c r="BM33" s="28"/>
      <c r="BP33" s="28"/>
      <c r="BS33" s="28"/>
      <c r="BV33" s="28"/>
      <c r="BY33" s="28"/>
      <c r="CB33" s="28"/>
      <c r="CE33" s="28"/>
      <c r="CH33" s="28"/>
      <c r="CK33" s="28"/>
      <c r="CN33" s="28"/>
      <c r="CQ33" s="28"/>
      <c r="CT33" s="28"/>
      <c r="CW33" s="28"/>
      <c r="CZ33" s="28"/>
      <c r="DC33" s="28"/>
      <c r="DF33" s="28"/>
      <c r="DI33" s="28"/>
      <c r="DL33" s="28"/>
      <c r="DO33" s="28"/>
      <c r="DR33" s="28"/>
      <c r="DU33" s="28"/>
      <c r="DX33" s="28"/>
      <c r="EA33" s="28"/>
      <c r="ED33" s="28"/>
      <c r="EG33" s="28"/>
      <c r="EJ33" s="28"/>
      <c r="EM33" s="28"/>
      <c r="EP33" s="28"/>
      <c r="ES33" s="28"/>
      <c r="EV33" s="28"/>
      <c r="EY33" s="28"/>
      <c r="FB33" s="28"/>
      <c r="FE33" s="28"/>
      <c r="FH33" s="28"/>
      <c r="FK33" s="28"/>
      <c r="FN33" s="28"/>
      <c r="FQ33" s="28"/>
      <c r="FT33" s="28"/>
      <c r="FW33" s="28"/>
      <c r="FZ33" s="28"/>
      <c r="GC33" s="28"/>
    </row>
    <row r="34" spans="1:185" s="25" customFormat="1" x14ac:dyDescent="0.3">
      <c r="A34" s="27"/>
      <c r="B34" s="28"/>
      <c r="C34" s="27"/>
      <c r="D34" s="26"/>
      <c r="E34" s="28"/>
      <c r="H34" s="28"/>
      <c r="K34" s="28"/>
      <c r="N34" s="28"/>
      <c r="Q34" s="28"/>
      <c r="T34" s="28"/>
      <c r="W34" s="28"/>
      <c r="Z34" s="28"/>
      <c r="AC34" s="28"/>
      <c r="AF34" s="28"/>
      <c r="AI34" s="28"/>
      <c r="AL34" s="28"/>
      <c r="AO34" s="28"/>
      <c r="AR34" s="28"/>
      <c r="AU34" s="28"/>
      <c r="AX34" s="28"/>
      <c r="BA34" s="28"/>
      <c r="BD34" s="28"/>
      <c r="BG34" s="28"/>
      <c r="BJ34" s="28"/>
      <c r="BM34" s="28"/>
      <c r="BP34" s="28"/>
      <c r="BS34" s="28"/>
      <c r="BV34" s="28"/>
      <c r="BY34" s="28"/>
      <c r="CB34" s="28"/>
      <c r="CE34" s="28"/>
      <c r="CH34" s="28"/>
      <c r="CK34" s="28"/>
      <c r="CN34" s="28"/>
      <c r="CQ34" s="28"/>
      <c r="CT34" s="28"/>
      <c r="CW34" s="28"/>
      <c r="CZ34" s="28"/>
      <c r="DC34" s="28"/>
      <c r="DF34" s="28"/>
      <c r="DI34" s="28"/>
      <c r="DL34" s="28"/>
      <c r="DO34" s="28"/>
      <c r="DR34" s="28"/>
      <c r="DU34" s="28"/>
      <c r="DX34" s="28"/>
      <c r="EA34" s="28"/>
      <c r="ED34" s="28"/>
      <c r="EG34" s="28"/>
      <c r="EJ34" s="28"/>
      <c r="EM34" s="28"/>
      <c r="EP34" s="28"/>
      <c r="ES34" s="28"/>
      <c r="EV34" s="28"/>
      <c r="EY34" s="28"/>
      <c r="FB34" s="28"/>
      <c r="FE34" s="28"/>
      <c r="FH34" s="28"/>
      <c r="FK34" s="28"/>
      <c r="FN34" s="28"/>
      <c r="FQ34" s="28"/>
      <c r="FT34" s="28"/>
      <c r="FW34" s="28"/>
      <c r="FZ34" s="28"/>
      <c r="GC34" s="28"/>
    </row>
    <row r="35" spans="1:185" s="25" customFormat="1" x14ac:dyDescent="0.3">
      <c r="A35" s="27"/>
      <c r="B35" s="28"/>
      <c r="C35" s="27"/>
      <c r="D35" s="26"/>
      <c r="E35" s="28"/>
      <c r="H35" s="28"/>
      <c r="K35" s="28"/>
      <c r="N35" s="28"/>
      <c r="Q35" s="28"/>
      <c r="T35" s="28"/>
      <c r="W35" s="28"/>
      <c r="Z35" s="28"/>
      <c r="AC35" s="28"/>
      <c r="AF35" s="28"/>
      <c r="AI35" s="28"/>
      <c r="AL35" s="28"/>
      <c r="AO35" s="28"/>
      <c r="AR35" s="28"/>
      <c r="AU35" s="28"/>
      <c r="AX35" s="28"/>
      <c r="BA35" s="28"/>
      <c r="BD35" s="28"/>
      <c r="BG35" s="28"/>
      <c r="BJ35" s="28"/>
      <c r="BM35" s="28"/>
      <c r="BP35" s="28"/>
      <c r="BS35" s="28"/>
      <c r="BV35" s="28"/>
      <c r="BY35" s="28"/>
      <c r="CB35" s="28"/>
      <c r="CE35" s="28"/>
      <c r="CH35" s="28"/>
      <c r="CK35" s="28"/>
      <c r="CN35" s="28"/>
      <c r="CQ35" s="28"/>
      <c r="CT35" s="28"/>
      <c r="CW35" s="28"/>
      <c r="CZ35" s="28"/>
      <c r="DC35" s="28"/>
      <c r="DF35" s="28"/>
      <c r="DI35" s="28"/>
      <c r="DL35" s="28"/>
      <c r="DO35" s="28"/>
      <c r="DR35" s="28"/>
      <c r="DU35" s="28"/>
      <c r="DX35" s="28"/>
      <c r="EA35" s="28"/>
      <c r="ED35" s="28"/>
      <c r="EG35" s="28"/>
      <c r="EJ35" s="28"/>
      <c r="EM35" s="28"/>
      <c r="EP35" s="28"/>
      <c r="ES35" s="28"/>
      <c r="EV35" s="28"/>
      <c r="EY35" s="28"/>
      <c r="FB35" s="28"/>
      <c r="FE35" s="28"/>
      <c r="FH35" s="28"/>
      <c r="FK35" s="28"/>
      <c r="FN35" s="28"/>
      <c r="FQ35" s="28"/>
      <c r="FT35" s="28"/>
      <c r="FW35" s="28"/>
      <c r="FZ35" s="28"/>
      <c r="GC35" s="28"/>
    </row>
    <row r="36" spans="1:185" s="25" customFormat="1" x14ac:dyDescent="0.3">
      <c r="A36" s="27"/>
      <c r="B36" s="28"/>
      <c r="C36" s="27"/>
      <c r="D36" s="26"/>
      <c r="E36" s="28"/>
      <c r="H36" s="28"/>
      <c r="K36" s="28"/>
      <c r="N36" s="28"/>
      <c r="Q36" s="28"/>
      <c r="T36" s="28"/>
      <c r="W36" s="28"/>
      <c r="Z36" s="28"/>
      <c r="AC36" s="28"/>
      <c r="AF36" s="28"/>
      <c r="AI36" s="28"/>
      <c r="AL36" s="28"/>
      <c r="AO36" s="28"/>
      <c r="AR36" s="28"/>
      <c r="AU36" s="28"/>
      <c r="AX36" s="28"/>
      <c r="BA36" s="28"/>
      <c r="BD36" s="28"/>
      <c r="BG36" s="28"/>
      <c r="BJ36" s="28"/>
      <c r="BM36" s="28"/>
      <c r="BP36" s="28"/>
      <c r="BS36" s="28"/>
      <c r="BV36" s="28"/>
      <c r="BY36" s="28"/>
      <c r="CB36" s="28"/>
      <c r="CE36" s="28"/>
      <c r="CH36" s="28"/>
      <c r="CK36" s="28"/>
      <c r="CN36" s="28"/>
      <c r="CQ36" s="28"/>
      <c r="CT36" s="28"/>
      <c r="CW36" s="28"/>
      <c r="CZ36" s="28"/>
      <c r="DC36" s="28"/>
      <c r="DF36" s="28"/>
      <c r="DI36" s="28"/>
      <c r="DL36" s="28"/>
      <c r="DO36" s="28"/>
      <c r="DR36" s="28"/>
      <c r="DU36" s="28"/>
      <c r="DX36" s="28"/>
      <c r="EA36" s="28"/>
      <c r="ED36" s="28"/>
      <c r="EG36" s="28"/>
      <c r="EJ36" s="28"/>
      <c r="EM36" s="28"/>
      <c r="EP36" s="28"/>
      <c r="ES36" s="28"/>
      <c r="EV36" s="28"/>
      <c r="EY36" s="28"/>
      <c r="FB36" s="28"/>
      <c r="FE36" s="28"/>
      <c r="FH36" s="28"/>
      <c r="FK36" s="28"/>
      <c r="FN36" s="28"/>
      <c r="FQ36" s="28"/>
      <c r="FT36" s="28"/>
      <c r="FW36" s="28"/>
      <c r="FZ36" s="28"/>
      <c r="GC36" s="28"/>
    </row>
    <row r="37" spans="1:185" s="25" customFormat="1" x14ac:dyDescent="0.3">
      <c r="A37" s="27"/>
      <c r="B37" s="28"/>
      <c r="C37" s="27"/>
      <c r="D37" s="26"/>
      <c r="E37" s="28"/>
      <c r="H37" s="28"/>
      <c r="K37" s="28"/>
      <c r="N37" s="28"/>
      <c r="Q37" s="28"/>
      <c r="T37" s="28"/>
      <c r="W37" s="28"/>
      <c r="Z37" s="28"/>
      <c r="AC37" s="28"/>
      <c r="AF37" s="28"/>
      <c r="AI37" s="28"/>
      <c r="AL37" s="28"/>
      <c r="AO37" s="28"/>
      <c r="AR37" s="28"/>
      <c r="AU37" s="28"/>
      <c r="AX37" s="28"/>
      <c r="BA37" s="28"/>
      <c r="BD37" s="28"/>
      <c r="BG37" s="28"/>
      <c r="BJ37" s="28"/>
      <c r="BM37" s="28"/>
      <c r="BP37" s="28"/>
      <c r="BS37" s="28"/>
      <c r="BV37" s="28"/>
      <c r="BY37" s="28"/>
      <c r="CB37" s="28"/>
      <c r="CE37" s="28"/>
      <c r="CH37" s="28"/>
      <c r="CK37" s="28"/>
      <c r="CN37" s="28"/>
      <c r="CQ37" s="28"/>
      <c r="CT37" s="28"/>
      <c r="CW37" s="28"/>
      <c r="CZ37" s="28"/>
      <c r="DC37" s="28"/>
      <c r="DF37" s="28"/>
      <c r="DI37" s="28"/>
      <c r="DL37" s="28"/>
      <c r="DO37" s="28"/>
      <c r="DR37" s="28"/>
      <c r="DU37" s="28"/>
      <c r="DX37" s="28"/>
      <c r="EA37" s="28"/>
      <c r="ED37" s="28"/>
      <c r="EG37" s="28"/>
      <c r="EJ37" s="28"/>
      <c r="EM37" s="28"/>
      <c r="EP37" s="28"/>
      <c r="ES37" s="28"/>
      <c r="EV37" s="28"/>
      <c r="EY37" s="28"/>
      <c r="FB37" s="28"/>
      <c r="FE37" s="28"/>
      <c r="FH37" s="28"/>
      <c r="FK37" s="28"/>
      <c r="FN37" s="28"/>
      <c r="FQ37" s="28"/>
      <c r="FT37" s="28"/>
      <c r="FW37" s="28"/>
      <c r="FZ37" s="28"/>
      <c r="GC37" s="28"/>
    </row>
    <row r="38" spans="1:185" s="25" customFormat="1" x14ac:dyDescent="0.3">
      <c r="A38" s="27"/>
      <c r="B38" s="28"/>
      <c r="C38" s="27"/>
      <c r="D38" s="26"/>
      <c r="E38" s="28"/>
      <c r="H38" s="28"/>
      <c r="K38" s="28"/>
      <c r="N38" s="28"/>
      <c r="Q38" s="28"/>
      <c r="T38" s="28"/>
      <c r="W38" s="28"/>
      <c r="Z38" s="28"/>
      <c r="AC38" s="28"/>
      <c r="AF38" s="28"/>
      <c r="AI38" s="28"/>
      <c r="AL38" s="28"/>
      <c r="AO38" s="28"/>
      <c r="AR38" s="28"/>
      <c r="AU38" s="28"/>
      <c r="AX38" s="28"/>
      <c r="BA38" s="28"/>
      <c r="BD38" s="28"/>
      <c r="BG38" s="28"/>
      <c r="BJ38" s="28"/>
      <c r="BM38" s="28"/>
      <c r="BP38" s="28"/>
      <c r="BS38" s="28"/>
      <c r="BV38" s="28"/>
      <c r="BY38" s="28"/>
      <c r="CB38" s="28"/>
      <c r="CE38" s="28"/>
      <c r="CH38" s="28"/>
      <c r="CK38" s="28"/>
      <c r="CN38" s="28"/>
      <c r="CQ38" s="28"/>
      <c r="CT38" s="28"/>
      <c r="CW38" s="28"/>
      <c r="CZ38" s="28"/>
      <c r="DC38" s="28"/>
      <c r="DF38" s="28"/>
      <c r="DI38" s="28"/>
      <c r="DL38" s="28"/>
      <c r="DO38" s="28"/>
      <c r="DR38" s="28"/>
      <c r="DU38" s="28"/>
      <c r="DX38" s="28"/>
      <c r="EA38" s="28"/>
      <c r="ED38" s="28"/>
      <c r="EG38" s="28"/>
      <c r="EJ38" s="28"/>
      <c r="EM38" s="28"/>
      <c r="EP38" s="28"/>
      <c r="ES38" s="28"/>
      <c r="EV38" s="28"/>
      <c r="EY38" s="28"/>
      <c r="FB38" s="28"/>
      <c r="FE38" s="28"/>
      <c r="FH38" s="28"/>
      <c r="FK38" s="28"/>
      <c r="FN38" s="28"/>
      <c r="FQ38" s="28"/>
      <c r="FT38" s="28"/>
      <c r="FW38" s="28"/>
      <c r="FZ38" s="28"/>
      <c r="GC38" s="28"/>
    </row>
    <row r="39" spans="1:185" s="25" customFormat="1" x14ac:dyDescent="0.3">
      <c r="A39" s="27"/>
      <c r="B39" s="28"/>
      <c r="C39" s="27"/>
      <c r="D39" s="26"/>
      <c r="E39" s="28"/>
      <c r="H39" s="28"/>
      <c r="K39" s="28"/>
      <c r="N39" s="28"/>
      <c r="Q39" s="28"/>
      <c r="T39" s="28"/>
      <c r="W39" s="28"/>
      <c r="Z39" s="28"/>
      <c r="AC39" s="28"/>
      <c r="AF39" s="28"/>
      <c r="AI39" s="28"/>
      <c r="AL39" s="28"/>
      <c r="AO39" s="28"/>
      <c r="AR39" s="28"/>
      <c r="AU39" s="28"/>
      <c r="AX39" s="28"/>
      <c r="BA39" s="28"/>
      <c r="BD39" s="28"/>
      <c r="BG39" s="28"/>
      <c r="BJ39" s="28"/>
      <c r="BM39" s="28"/>
      <c r="BP39" s="28"/>
      <c r="BS39" s="28"/>
      <c r="BV39" s="28"/>
      <c r="BY39" s="28"/>
      <c r="CB39" s="28"/>
      <c r="CE39" s="28"/>
      <c r="CH39" s="28"/>
      <c r="CK39" s="28"/>
      <c r="CN39" s="28"/>
      <c r="CQ39" s="28"/>
      <c r="CT39" s="28"/>
      <c r="CW39" s="28"/>
      <c r="CZ39" s="28"/>
      <c r="DC39" s="28"/>
      <c r="DF39" s="28"/>
      <c r="DI39" s="28"/>
      <c r="DL39" s="28"/>
      <c r="DO39" s="28"/>
      <c r="DR39" s="28"/>
      <c r="DU39" s="28"/>
      <c r="DX39" s="28"/>
      <c r="EA39" s="28"/>
      <c r="ED39" s="28"/>
      <c r="EG39" s="28"/>
      <c r="EJ39" s="28"/>
      <c r="EM39" s="28"/>
      <c r="EP39" s="28"/>
      <c r="ES39" s="28"/>
      <c r="EV39" s="28"/>
      <c r="EY39" s="28"/>
      <c r="FB39" s="28"/>
      <c r="FE39" s="28"/>
      <c r="FH39" s="28"/>
      <c r="FK39" s="28"/>
      <c r="FN39" s="28"/>
      <c r="FQ39" s="28"/>
      <c r="FT39" s="28"/>
      <c r="FW39" s="28"/>
      <c r="FZ39" s="28"/>
      <c r="GC39" s="28"/>
    </row>
    <row r="40" spans="1:185" s="25" customFormat="1" x14ac:dyDescent="0.3">
      <c r="A40" s="27"/>
      <c r="B40" s="28"/>
      <c r="C40" s="27"/>
      <c r="D40" s="26"/>
      <c r="E40" s="28"/>
      <c r="H40" s="28"/>
      <c r="K40" s="28"/>
      <c r="N40" s="28"/>
      <c r="Q40" s="28"/>
      <c r="T40" s="28"/>
      <c r="W40" s="28"/>
      <c r="Z40" s="28"/>
      <c r="AC40" s="28"/>
      <c r="AF40" s="28"/>
      <c r="AI40" s="28"/>
      <c r="AL40" s="28"/>
      <c r="AO40" s="28"/>
      <c r="AR40" s="28"/>
      <c r="AU40" s="28"/>
      <c r="AX40" s="28"/>
      <c r="BA40" s="28"/>
      <c r="BD40" s="28"/>
      <c r="BG40" s="28"/>
      <c r="BJ40" s="28"/>
      <c r="BM40" s="28"/>
      <c r="BP40" s="28"/>
      <c r="BS40" s="28"/>
      <c r="BV40" s="28"/>
      <c r="BY40" s="28"/>
      <c r="CB40" s="28"/>
      <c r="CE40" s="28"/>
      <c r="CH40" s="28"/>
      <c r="CK40" s="28"/>
      <c r="CN40" s="28"/>
      <c r="CQ40" s="28"/>
      <c r="CT40" s="28"/>
      <c r="CW40" s="28"/>
      <c r="CZ40" s="28"/>
      <c r="DC40" s="28"/>
      <c r="DF40" s="28"/>
      <c r="DI40" s="28"/>
      <c r="DL40" s="28"/>
      <c r="DO40" s="28"/>
      <c r="DR40" s="28"/>
      <c r="DU40" s="28"/>
      <c r="DX40" s="28"/>
      <c r="EA40" s="28"/>
      <c r="ED40" s="28"/>
      <c r="EG40" s="28"/>
      <c r="EJ40" s="28"/>
      <c r="EM40" s="28"/>
      <c r="EP40" s="28"/>
      <c r="ES40" s="28"/>
      <c r="EV40" s="28"/>
      <c r="EY40" s="28"/>
      <c r="FB40" s="28"/>
      <c r="FE40" s="28"/>
      <c r="FH40" s="28"/>
      <c r="FK40" s="28"/>
      <c r="FN40" s="28"/>
      <c r="FQ40" s="28"/>
      <c r="FT40" s="28"/>
      <c r="FW40" s="28"/>
      <c r="FZ40" s="28"/>
      <c r="GC40" s="28"/>
    </row>
    <row r="41" spans="1:185" s="25" customFormat="1" x14ac:dyDescent="0.3">
      <c r="A41" s="27"/>
      <c r="B41" s="28"/>
      <c r="C41" s="27"/>
      <c r="D41" s="26"/>
      <c r="E41" s="28"/>
      <c r="H41" s="28"/>
      <c r="K41" s="28"/>
      <c r="N41" s="28"/>
      <c r="Q41" s="28"/>
      <c r="T41" s="28"/>
      <c r="W41" s="28"/>
      <c r="Z41" s="28"/>
      <c r="AC41" s="28"/>
      <c r="AF41" s="28"/>
      <c r="AI41" s="28"/>
      <c r="AL41" s="28"/>
      <c r="AO41" s="28"/>
      <c r="AR41" s="28"/>
      <c r="AU41" s="28"/>
      <c r="AX41" s="28"/>
      <c r="BA41" s="28"/>
      <c r="BD41" s="28"/>
      <c r="BG41" s="28"/>
      <c r="BJ41" s="28"/>
      <c r="BM41" s="28"/>
      <c r="BP41" s="28"/>
      <c r="BS41" s="28"/>
      <c r="BV41" s="28"/>
      <c r="BY41" s="28"/>
      <c r="CB41" s="28"/>
      <c r="CE41" s="28"/>
      <c r="CH41" s="28"/>
      <c r="CK41" s="28"/>
      <c r="CN41" s="28"/>
      <c r="CQ41" s="28"/>
      <c r="CT41" s="28"/>
      <c r="CW41" s="28"/>
      <c r="CZ41" s="28"/>
      <c r="DC41" s="28"/>
      <c r="DF41" s="28"/>
      <c r="DI41" s="28"/>
      <c r="DL41" s="28"/>
      <c r="DO41" s="28"/>
      <c r="DR41" s="28"/>
      <c r="DU41" s="28"/>
      <c r="DX41" s="28"/>
      <c r="EA41" s="28"/>
      <c r="ED41" s="28"/>
      <c r="EG41" s="28"/>
      <c r="EJ41" s="28"/>
      <c r="EM41" s="28"/>
      <c r="EP41" s="28"/>
      <c r="ES41" s="28"/>
      <c r="EV41" s="28"/>
      <c r="EY41" s="28"/>
      <c r="FB41" s="28"/>
      <c r="FE41" s="28"/>
      <c r="FH41" s="28"/>
      <c r="FK41" s="28"/>
      <c r="FN41" s="28"/>
      <c r="FQ41" s="28"/>
      <c r="FT41" s="28"/>
      <c r="FW41" s="28"/>
      <c r="FZ41" s="28"/>
      <c r="GC41" s="28"/>
    </row>
    <row r="42" spans="1:185" s="25" customFormat="1" x14ac:dyDescent="0.3">
      <c r="A42" s="27"/>
      <c r="B42" s="28"/>
      <c r="C42" s="27"/>
      <c r="D42" s="26"/>
      <c r="E42" s="28"/>
      <c r="H42" s="28"/>
      <c r="K42" s="28"/>
      <c r="N42" s="28"/>
      <c r="Q42" s="28"/>
      <c r="T42" s="28"/>
      <c r="W42" s="28"/>
      <c r="Z42" s="28"/>
      <c r="AC42" s="28"/>
      <c r="AF42" s="28"/>
      <c r="AI42" s="28"/>
      <c r="AL42" s="28"/>
      <c r="AO42" s="28"/>
      <c r="AR42" s="28"/>
      <c r="AU42" s="28"/>
      <c r="AX42" s="28"/>
      <c r="BA42" s="28"/>
      <c r="BD42" s="28"/>
      <c r="BG42" s="28"/>
      <c r="BJ42" s="28"/>
      <c r="BM42" s="28"/>
      <c r="BP42" s="28"/>
      <c r="BS42" s="28"/>
      <c r="BV42" s="28"/>
      <c r="BY42" s="28"/>
      <c r="CB42" s="28"/>
      <c r="CE42" s="28"/>
      <c r="CH42" s="28"/>
      <c r="CK42" s="28"/>
      <c r="CN42" s="28"/>
      <c r="CQ42" s="28"/>
      <c r="CT42" s="28"/>
      <c r="CW42" s="28"/>
      <c r="CZ42" s="28"/>
      <c r="DC42" s="28"/>
      <c r="DF42" s="28"/>
      <c r="DI42" s="28"/>
      <c r="DL42" s="28"/>
      <c r="DO42" s="28"/>
      <c r="DR42" s="28"/>
      <c r="DU42" s="28"/>
      <c r="DX42" s="28"/>
      <c r="EA42" s="28"/>
      <c r="ED42" s="28"/>
      <c r="EG42" s="28"/>
      <c r="EJ42" s="28"/>
      <c r="EM42" s="28"/>
      <c r="EP42" s="28"/>
      <c r="ES42" s="28"/>
      <c r="EV42" s="28"/>
      <c r="EY42" s="28"/>
      <c r="FB42" s="28"/>
      <c r="FE42" s="28"/>
      <c r="FH42" s="28"/>
      <c r="FK42" s="28"/>
      <c r="FN42" s="28"/>
      <c r="FQ42" s="28"/>
      <c r="FT42" s="28"/>
      <c r="FW42" s="28"/>
      <c r="FZ42" s="28"/>
      <c r="GC42" s="28"/>
    </row>
    <row r="43" spans="1:185" s="25" customFormat="1" x14ac:dyDescent="0.3">
      <c r="A43" s="27"/>
      <c r="B43" s="28"/>
      <c r="C43" s="27"/>
      <c r="D43" s="26"/>
      <c r="E43" s="28"/>
      <c r="H43" s="28"/>
      <c r="K43" s="28"/>
      <c r="N43" s="28"/>
      <c r="Q43" s="28"/>
      <c r="T43" s="28"/>
      <c r="W43" s="28"/>
      <c r="Z43" s="28"/>
      <c r="AC43" s="28"/>
      <c r="AF43" s="28"/>
      <c r="AI43" s="28"/>
      <c r="AL43" s="28"/>
      <c r="AO43" s="28"/>
      <c r="AR43" s="28"/>
      <c r="AU43" s="28"/>
      <c r="AX43" s="28"/>
      <c r="BA43" s="28"/>
      <c r="BD43" s="28"/>
      <c r="BG43" s="28"/>
      <c r="BJ43" s="28"/>
      <c r="BM43" s="28"/>
      <c r="BP43" s="28"/>
      <c r="BS43" s="28"/>
      <c r="BV43" s="28"/>
      <c r="BY43" s="28"/>
      <c r="CB43" s="28"/>
      <c r="CE43" s="28"/>
      <c r="CH43" s="28"/>
      <c r="CK43" s="28"/>
      <c r="CN43" s="28"/>
      <c r="CQ43" s="28"/>
      <c r="CT43" s="28"/>
      <c r="CW43" s="28"/>
      <c r="CZ43" s="28"/>
      <c r="DC43" s="28"/>
      <c r="DF43" s="28"/>
      <c r="DI43" s="28"/>
      <c r="DL43" s="28"/>
      <c r="DO43" s="28"/>
      <c r="DR43" s="28"/>
      <c r="DU43" s="28"/>
      <c r="DX43" s="28"/>
      <c r="EA43" s="28"/>
      <c r="ED43" s="28"/>
      <c r="EG43" s="28"/>
      <c r="EJ43" s="28"/>
      <c r="EM43" s="28"/>
      <c r="EP43" s="28"/>
      <c r="ES43" s="28"/>
      <c r="EV43" s="28"/>
      <c r="EY43" s="28"/>
      <c r="FB43" s="28"/>
      <c r="FE43" s="28"/>
      <c r="FH43" s="28"/>
      <c r="FK43" s="28"/>
      <c r="FN43" s="28"/>
      <c r="FQ43" s="28"/>
      <c r="FT43" s="28"/>
      <c r="FW43" s="28"/>
      <c r="FZ43" s="28"/>
      <c r="GC43" s="28"/>
    </row>
    <row r="44" spans="1:185" s="25" customFormat="1" x14ac:dyDescent="0.3">
      <c r="A44" s="27"/>
      <c r="B44" s="28"/>
      <c r="C44" s="27"/>
      <c r="D44" s="26"/>
      <c r="E44" s="28"/>
      <c r="H44" s="28"/>
      <c r="K44" s="28"/>
      <c r="N44" s="28"/>
      <c r="Q44" s="28"/>
      <c r="T44" s="28"/>
      <c r="W44" s="28"/>
      <c r="Z44" s="28"/>
      <c r="AC44" s="28"/>
      <c r="AF44" s="28"/>
      <c r="AI44" s="28"/>
      <c r="AL44" s="28"/>
      <c r="AO44" s="28"/>
      <c r="AR44" s="28"/>
      <c r="AU44" s="28"/>
      <c r="AX44" s="28"/>
      <c r="BA44" s="28"/>
      <c r="BD44" s="28"/>
      <c r="BG44" s="28"/>
      <c r="BJ44" s="28"/>
      <c r="BM44" s="28"/>
      <c r="BP44" s="28"/>
      <c r="BS44" s="28"/>
      <c r="BV44" s="28"/>
      <c r="BY44" s="28"/>
      <c r="CB44" s="28"/>
      <c r="CE44" s="28"/>
      <c r="CH44" s="28"/>
      <c r="CK44" s="28"/>
      <c r="CN44" s="28"/>
      <c r="CQ44" s="28"/>
      <c r="CT44" s="28"/>
      <c r="CW44" s="28"/>
      <c r="CZ44" s="28"/>
      <c r="DC44" s="28"/>
      <c r="DF44" s="28"/>
      <c r="DI44" s="28"/>
      <c r="DL44" s="28"/>
      <c r="DO44" s="28"/>
      <c r="DR44" s="28"/>
      <c r="DU44" s="28"/>
      <c r="DX44" s="28"/>
      <c r="EA44" s="28"/>
      <c r="ED44" s="28"/>
      <c r="EG44" s="28"/>
      <c r="EJ44" s="28"/>
      <c r="EM44" s="28"/>
      <c r="EP44" s="28"/>
      <c r="ES44" s="28"/>
      <c r="EV44" s="28"/>
      <c r="EY44" s="28"/>
      <c r="FB44" s="28"/>
      <c r="FE44" s="28"/>
      <c r="FH44" s="28"/>
      <c r="FK44" s="28"/>
      <c r="FN44" s="28"/>
      <c r="FQ44" s="28"/>
      <c r="FT44" s="28"/>
      <c r="FW44" s="28"/>
      <c r="FZ44" s="28"/>
      <c r="GC44" s="28"/>
    </row>
    <row r="45" spans="1:185" s="25" customFormat="1" x14ac:dyDescent="0.3">
      <c r="A45" s="27"/>
      <c r="B45" s="28"/>
      <c r="C45" s="27"/>
      <c r="D45" s="26"/>
      <c r="E45" s="28"/>
      <c r="H45" s="28"/>
      <c r="K45" s="28"/>
      <c r="N45" s="28"/>
      <c r="Q45" s="28"/>
      <c r="T45" s="28"/>
      <c r="W45" s="28"/>
      <c r="Z45" s="28"/>
      <c r="AC45" s="28"/>
      <c r="AF45" s="28"/>
      <c r="AI45" s="28"/>
      <c r="AL45" s="28"/>
      <c r="AO45" s="28"/>
      <c r="AR45" s="28"/>
      <c r="AU45" s="28"/>
      <c r="AX45" s="28"/>
      <c r="BA45" s="28"/>
      <c r="BD45" s="28"/>
      <c r="BG45" s="28"/>
      <c r="BJ45" s="28"/>
      <c r="BM45" s="28"/>
      <c r="BP45" s="28"/>
      <c r="BS45" s="28"/>
      <c r="BV45" s="28"/>
      <c r="BY45" s="28"/>
      <c r="CB45" s="28"/>
      <c r="CE45" s="28"/>
      <c r="CH45" s="28"/>
      <c r="CK45" s="28"/>
      <c r="CN45" s="28"/>
      <c r="CQ45" s="28"/>
      <c r="CT45" s="28"/>
      <c r="CW45" s="28"/>
      <c r="CZ45" s="28"/>
      <c r="DC45" s="28"/>
      <c r="DF45" s="28"/>
      <c r="DI45" s="28"/>
      <c r="DL45" s="28"/>
      <c r="DO45" s="28"/>
      <c r="DR45" s="28"/>
      <c r="DU45" s="28"/>
      <c r="DX45" s="28"/>
      <c r="EA45" s="28"/>
      <c r="ED45" s="28"/>
      <c r="EG45" s="28"/>
      <c r="EJ45" s="28"/>
      <c r="EM45" s="28"/>
      <c r="EP45" s="28"/>
      <c r="ES45" s="28"/>
      <c r="EV45" s="28"/>
      <c r="EY45" s="28"/>
      <c r="FB45" s="28"/>
      <c r="FE45" s="28"/>
      <c r="FH45" s="28"/>
      <c r="FK45" s="28"/>
      <c r="FN45" s="28"/>
      <c r="FQ45" s="28"/>
      <c r="FT45" s="28"/>
      <c r="FW45" s="28"/>
      <c r="FZ45" s="28"/>
      <c r="GC45" s="28"/>
    </row>
    <row r="46" spans="1:185" s="25" customFormat="1" x14ac:dyDescent="0.3">
      <c r="A46" s="27"/>
      <c r="B46" s="28"/>
      <c r="C46" s="27"/>
      <c r="D46" s="26"/>
      <c r="E46" s="28"/>
      <c r="H46" s="28"/>
      <c r="K46" s="28"/>
      <c r="N46" s="28"/>
      <c r="Q46" s="28"/>
      <c r="T46" s="28"/>
      <c r="W46" s="28"/>
      <c r="Z46" s="28"/>
      <c r="AC46" s="28"/>
      <c r="AF46" s="28"/>
      <c r="AI46" s="28"/>
      <c r="AL46" s="28"/>
      <c r="AO46" s="28"/>
      <c r="AR46" s="28"/>
      <c r="AU46" s="28"/>
      <c r="AX46" s="28"/>
      <c r="BA46" s="28"/>
      <c r="BD46" s="28"/>
      <c r="BG46" s="28"/>
      <c r="BJ46" s="28"/>
      <c r="BM46" s="28"/>
      <c r="BP46" s="28"/>
      <c r="BS46" s="28"/>
      <c r="BV46" s="28"/>
      <c r="BY46" s="28"/>
      <c r="CB46" s="28"/>
      <c r="CE46" s="28"/>
      <c r="CH46" s="28"/>
      <c r="CK46" s="28"/>
      <c r="CN46" s="28"/>
      <c r="CQ46" s="28"/>
      <c r="CT46" s="28"/>
      <c r="CW46" s="28"/>
      <c r="CZ46" s="28"/>
      <c r="DC46" s="28"/>
      <c r="DF46" s="28"/>
      <c r="DI46" s="28"/>
      <c r="DL46" s="28"/>
      <c r="DO46" s="28"/>
      <c r="DR46" s="28"/>
      <c r="DU46" s="28"/>
      <c r="DX46" s="28"/>
      <c r="EA46" s="28"/>
      <c r="ED46" s="28"/>
      <c r="EG46" s="28"/>
      <c r="EJ46" s="28"/>
      <c r="EM46" s="28"/>
      <c r="EP46" s="28"/>
      <c r="ES46" s="28"/>
      <c r="EV46" s="28"/>
      <c r="EY46" s="28"/>
      <c r="FB46" s="28"/>
      <c r="FE46" s="28"/>
      <c r="FH46" s="28"/>
      <c r="FK46" s="28"/>
      <c r="FN46" s="28"/>
      <c r="FQ46" s="28"/>
      <c r="FT46" s="28"/>
      <c r="FW46" s="28"/>
      <c r="FZ46" s="28"/>
      <c r="GC46" s="28"/>
    </row>
    <row r="47" spans="1:185" s="25" customFormat="1" x14ac:dyDescent="0.3">
      <c r="A47" s="27"/>
      <c r="B47" s="28"/>
      <c r="C47" s="27"/>
      <c r="D47" s="26"/>
      <c r="E47" s="28"/>
      <c r="H47" s="28"/>
      <c r="K47" s="28"/>
      <c r="N47" s="28"/>
      <c r="Q47" s="28"/>
      <c r="T47" s="28"/>
      <c r="W47" s="28"/>
      <c r="Z47" s="28"/>
      <c r="AC47" s="28"/>
      <c r="AF47" s="28"/>
      <c r="AI47" s="28"/>
      <c r="AL47" s="28"/>
      <c r="AO47" s="28"/>
      <c r="AR47" s="28"/>
      <c r="AU47" s="28"/>
      <c r="AX47" s="28"/>
      <c r="BA47" s="28"/>
      <c r="BD47" s="28"/>
      <c r="BG47" s="28"/>
      <c r="BJ47" s="28"/>
      <c r="BM47" s="28"/>
      <c r="BP47" s="28"/>
      <c r="BS47" s="28"/>
      <c r="BV47" s="28"/>
      <c r="BY47" s="28"/>
      <c r="CB47" s="28"/>
      <c r="CE47" s="28"/>
      <c r="CH47" s="28"/>
      <c r="CK47" s="28"/>
      <c r="CN47" s="28"/>
      <c r="CQ47" s="28"/>
      <c r="CT47" s="28"/>
      <c r="CW47" s="28"/>
      <c r="CZ47" s="28"/>
      <c r="DC47" s="28"/>
      <c r="DF47" s="28"/>
      <c r="DI47" s="28"/>
      <c r="DL47" s="28"/>
      <c r="DO47" s="28"/>
      <c r="DR47" s="28"/>
      <c r="DU47" s="28"/>
      <c r="DX47" s="28"/>
      <c r="EA47" s="28"/>
      <c r="ED47" s="28"/>
      <c r="EG47" s="28"/>
      <c r="EJ47" s="28"/>
      <c r="EM47" s="28"/>
      <c r="EP47" s="28"/>
      <c r="ES47" s="28"/>
      <c r="EV47" s="28"/>
      <c r="EY47" s="28"/>
      <c r="FB47" s="28"/>
      <c r="FE47" s="28"/>
      <c r="FH47" s="28"/>
      <c r="FK47" s="28"/>
      <c r="FN47" s="28"/>
      <c r="FQ47" s="28"/>
      <c r="FT47" s="28"/>
      <c r="FW47" s="28"/>
      <c r="FZ47" s="28"/>
      <c r="GC47" s="28"/>
    </row>
    <row r="48" spans="1:185" s="25" customFormat="1" x14ac:dyDescent="0.3">
      <c r="A48" s="27"/>
      <c r="B48" s="28"/>
      <c r="C48" s="27"/>
      <c r="D48" s="26"/>
      <c r="E48" s="28"/>
      <c r="H48" s="28"/>
      <c r="K48" s="28"/>
      <c r="N48" s="28"/>
      <c r="Q48" s="28"/>
      <c r="T48" s="28"/>
      <c r="W48" s="28"/>
      <c r="Z48" s="28"/>
      <c r="AC48" s="28"/>
      <c r="AF48" s="28"/>
      <c r="AI48" s="28"/>
      <c r="AL48" s="28"/>
      <c r="AO48" s="28"/>
      <c r="AR48" s="28"/>
      <c r="AU48" s="28"/>
      <c r="AX48" s="28"/>
      <c r="BA48" s="28"/>
      <c r="BD48" s="28"/>
      <c r="BG48" s="28"/>
      <c r="BJ48" s="28"/>
      <c r="BM48" s="28"/>
      <c r="BP48" s="28"/>
      <c r="BS48" s="28"/>
      <c r="BV48" s="28"/>
      <c r="BY48" s="28"/>
      <c r="CB48" s="28"/>
      <c r="CE48" s="28"/>
      <c r="CH48" s="28"/>
      <c r="CK48" s="28"/>
      <c r="CN48" s="28"/>
      <c r="CQ48" s="28"/>
      <c r="CT48" s="28"/>
      <c r="CW48" s="28"/>
      <c r="CZ48" s="28"/>
      <c r="DC48" s="28"/>
      <c r="DF48" s="28"/>
      <c r="DI48" s="28"/>
      <c r="DL48" s="28"/>
      <c r="DO48" s="28"/>
      <c r="DR48" s="28"/>
      <c r="DU48" s="28"/>
      <c r="DX48" s="28"/>
      <c r="EA48" s="28"/>
      <c r="ED48" s="28"/>
      <c r="EG48" s="28"/>
      <c r="EJ48" s="28"/>
      <c r="EM48" s="28"/>
      <c r="EP48" s="28"/>
      <c r="ES48" s="28"/>
      <c r="EV48" s="28"/>
      <c r="EY48" s="28"/>
      <c r="FB48" s="28"/>
      <c r="FE48" s="28"/>
      <c r="FH48" s="28"/>
      <c r="FK48" s="28"/>
      <c r="FN48" s="28"/>
      <c r="FQ48" s="28"/>
      <c r="FT48" s="28"/>
      <c r="FW48" s="28"/>
      <c r="FZ48" s="28"/>
      <c r="GC48" s="28"/>
    </row>
    <row r="49" spans="1:185" s="25" customFormat="1" x14ac:dyDescent="0.3">
      <c r="A49" s="27"/>
      <c r="B49" s="28"/>
      <c r="C49" s="27"/>
      <c r="D49" s="26"/>
      <c r="E49" s="28"/>
      <c r="H49" s="28"/>
      <c r="K49" s="28"/>
      <c r="N49" s="28"/>
      <c r="Q49" s="28"/>
      <c r="T49" s="28"/>
      <c r="W49" s="28"/>
      <c r="Z49" s="28"/>
      <c r="AC49" s="28"/>
      <c r="AF49" s="28"/>
      <c r="AI49" s="28"/>
      <c r="AL49" s="28"/>
      <c r="AO49" s="28"/>
      <c r="AR49" s="28"/>
      <c r="AU49" s="28"/>
      <c r="AX49" s="28"/>
      <c r="BA49" s="28"/>
      <c r="BD49" s="28"/>
      <c r="BG49" s="28"/>
      <c r="BJ49" s="28"/>
      <c r="BM49" s="28"/>
      <c r="BP49" s="28"/>
      <c r="BS49" s="28"/>
      <c r="BV49" s="28"/>
      <c r="BY49" s="28"/>
      <c r="CB49" s="28"/>
      <c r="CE49" s="28"/>
      <c r="CH49" s="28"/>
      <c r="CK49" s="28"/>
      <c r="CN49" s="28"/>
      <c r="CQ49" s="28"/>
      <c r="CT49" s="28"/>
      <c r="CW49" s="28"/>
      <c r="CZ49" s="28"/>
      <c r="DC49" s="28"/>
      <c r="DF49" s="28"/>
      <c r="DI49" s="28"/>
      <c r="DL49" s="28"/>
      <c r="DO49" s="28"/>
      <c r="DR49" s="28"/>
      <c r="DU49" s="28"/>
      <c r="DX49" s="28"/>
      <c r="EA49" s="28"/>
      <c r="ED49" s="28"/>
      <c r="EG49" s="28"/>
      <c r="EJ49" s="28"/>
      <c r="EM49" s="28"/>
      <c r="EP49" s="28"/>
      <c r="ES49" s="28"/>
      <c r="EV49" s="28"/>
      <c r="EY49" s="28"/>
      <c r="FB49" s="28"/>
      <c r="FE49" s="28"/>
      <c r="FH49" s="28"/>
      <c r="FK49" s="28"/>
      <c r="FN49" s="28"/>
      <c r="FQ49" s="28"/>
      <c r="FT49" s="28"/>
      <c r="FW49" s="28"/>
      <c r="FZ49" s="28"/>
      <c r="GC49" s="28"/>
    </row>
    <row r="50" spans="1:185" s="25" customFormat="1" x14ac:dyDescent="0.3">
      <c r="A50" s="27"/>
      <c r="B50" s="28"/>
      <c r="C50" s="27"/>
      <c r="D50" s="26"/>
      <c r="E50" s="28"/>
      <c r="H50" s="28"/>
      <c r="K50" s="28"/>
      <c r="N50" s="28"/>
      <c r="Q50" s="28"/>
      <c r="T50" s="28"/>
      <c r="W50" s="28"/>
      <c r="Z50" s="28"/>
      <c r="AC50" s="28"/>
      <c r="AF50" s="28"/>
      <c r="AI50" s="28"/>
      <c r="AL50" s="28"/>
      <c r="AO50" s="28"/>
      <c r="AR50" s="28"/>
      <c r="AU50" s="28"/>
      <c r="AX50" s="28"/>
      <c r="BA50" s="28"/>
      <c r="BD50" s="28"/>
      <c r="BG50" s="28"/>
      <c r="BJ50" s="28"/>
      <c r="BM50" s="28"/>
      <c r="BP50" s="28"/>
      <c r="BS50" s="28"/>
      <c r="BV50" s="28"/>
      <c r="BY50" s="28"/>
      <c r="CB50" s="28"/>
      <c r="CE50" s="28"/>
      <c r="CH50" s="28"/>
      <c r="CK50" s="28"/>
      <c r="CN50" s="28"/>
      <c r="CQ50" s="28"/>
      <c r="CT50" s="28"/>
      <c r="CW50" s="28"/>
      <c r="CZ50" s="28"/>
      <c r="DC50" s="28"/>
      <c r="DF50" s="28"/>
      <c r="DI50" s="28"/>
      <c r="DL50" s="28"/>
      <c r="DO50" s="28"/>
      <c r="DR50" s="28"/>
      <c r="DU50" s="28"/>
      <c r="DX50" s="28"/>
      <c r="EA50" s="28"/>
      <c r="ED50" s="28"/>
      <c r="EG50" s="28"/>
      <c r="EJ50" s="28"/>
      <c r="EM50" s="28"/>
      <c r="EP50" s="28"/>
      <c r="ES50" s="28"/>
      <c r="EV50" s="28"/>
      <c r="EY50" s="28"/>
      <c r="FB50" s="28"/>
      <c r="FE50" s="28"/>
      <c r="FH50" s="28"/>
      <c r="FK50" s="28"/>
      <c r="FN50" s="28"/>
      <c r="FQ50" s="28"/>
      <c r="FT50" s="28"/>
      <c r="FW50" s="28"/>
      <c r="FZ50" s="28"/>
      <c r="GC50" s="28"/>
    </row>
    <row r="51" spans="1:185" s="25" customFormat="1" x14ac:dyDescent="0.3">
      <c r="A51" s="27"/>
      <c r="B51" s="28"/>
      <c r="C51" s="27"/>
      <c r="D51" s="26"/>
      <c r="E51" s="28"/>
      <c r="H51" s="28"/>
      <c r="K51" s="28"/>
      <c r="N51" s="28"/>
      <c r="Q51" s="28"/>
      <c r="T51" s="28"/>
      <c r="W51" s="28"/>
      <c r="Z51" s="28"/>
      <c r="AC51" s="28"/>
      <c r="AF51" s="28"/>
      <c r="AI51" s="28"/>
      <c r="AL51" s="28"/>
      <c r="AO51" s="28"/>
      <c r="AR51" s="28"/>
      <c r="AU51" s="28"/>
      <c r="AX51" s="28"/>
      <c r="BA51" s="28"/>
      <c r="BD51" s="28"/>
      <c r="BG51" s="28"/>
      <c r="BJ51" s="28"/>
      <c r="BM51" s="28"/>
      <c r="BP51" s="28"/>
      <c r="BS51" s="28"/>
      <c r="BV51" s="28"/>
      <c r="BY51" s="28"/>
      <c r="CB51" s="28"/>
      <c r="CE51" s="28"/>
      <c r="CH51" s="28"/>
      <c r="CK51" s="28"/>
      <c r="CN51" s="28"/>
      <c r="CQ51" s="28"/>
      <c r="CT51" s="28"/>
      <c r="CW51" s="28"/>
      <c r="CZ51" s="28"/>
      <c r="DC51" s="28"/>
      <c r="DF51" s="28"/>
      <c r="DI51" s="28"/>
      <c r="DL51" s="28"/>
      <c r="DO51" s="28"/>
      <c r="DR51" s="28"/>
      <c r="DU51" s="28"/>
      <c r="DX51" s="28"/>
      <c r="EA51" s="28"/>
      <c r="ED51" s="28"/>
      <c r="EG51" s="28"/>
      <c r="EJ51" s="28"/>
      <c r="EM51" s="28"/>
      <c r="EP51" s="28"/>
      <c r="ES51" s="28"/>
      <c r="EV51" s="28"/>
      <c r="EY51" s="28"/>
      <c r="FB51" s="28"/>
      <c r="FE51" s="28"/>
      <c r="FH51" s="28"/>
      <c r="FK51" s="28"/>
      <c r="FN51" s="28"/>
      <c r="FQ51" s="28"/>
      <c r="FT51" s="28"/>
      <c r="FW51" s="28"/>
      <c r="FZ51" s="28"/>
      <c r="GC51" s="28"/>
    </row>
    <row r="52" spans="1:185" s="25" customFormat="1" x14ac:dyDescent="0.3">
      <c r="A52" s="27"/>
      <c r="B52" s="28"/>
      <c r="C52" s="27"/>
      <c r="D52" s="26"/>
      <c r="E52" s="28"/>
      <c r="H52" s="28"/>
      <c r="K52" s="28"/>
      <c r="N52" s="28"/>
      <c r="Q52" s="28"/>
      <c r="T52" s="28"/>
      <c r="W52" s="28"/>
      <c r="Z52" s="28"/>
      <c r="AC52" s="28"/>
      <c r="AF52" s="28"/>
      <c r="AI52" s="28"/>
      <c r="AL52" s="28"/>
      <c r="AO52" s="28"/>
      <c r="AR52" s="28"/>
      <c r="AU52" s="28"/>
      <c r="AX52" s="28"/>
      <c r="BA52" s="28"/>
      <c r="BD52" s="28"/>
      <c r="BG52" s="28"/>
      <c r="BJ52" s="28"/>
      <c r="BM52" s="28"/>
      <c r="BP52" s="28"/>
      <c r="BS52" s="28"/>
      <c r="BV52" s="28"/>
      <c r="BY52" s="28"/>
      <c r="CB52" s="28"/>
      <c r="CE52" s="28"/>
      <c r="CH52" s="28"/>
      <c r="CK52" s="28"/>
      <c r="CN52" s="28"/>
      <c r="CQ52" s="28"/>
      <c r="CT52" s="28"/>
      <c r="CW52" s="28"/>
      <c r="CZ52" s="28"/>
      <c r="DC52" s="28"/>
      <c r="DF52" s="28"/>
      <c r="DI52" s="28"/>
      <c r="DL52" s="28"/>
      <c r="DO52" s="28"/>
      <c r="DR52" s="28"/>
      <c r="DU52" s="28"/>
      <c r="DX52" s="28"/>
      <c r="EA52" s="28"/>
      <c r="ED52" s="28"/>
      <c r="EG52" s="28"/>
      <c r="EJ52" s="28"/>
      <c r="EM52" s="28"/>
      <c r="EP52" s="28"/>
      <c r="ES52" s="28"/>
      <c r="EV52" s="28"/>
      <c r="EY52" s="28"/>
      <c r="FB52" s="28"/>
      <c r="FE52" s="28"/>
      <c r="FH52" s="28"/>
      <c r="FK52" s="28"/>
      <c r="FN52" s="28"/>
      <c r="FQ52" s="28"/>
      <c r="FT52" s="28"/>
      <c r="FW52" s="28"/>
      <c r="FZ52" s="28"/>
      <c r="GC52" s="28"/>
    </row>
    <row r="53" spans="1:185" s="25" customFormat="1" x14ac:dyDescent="0.3">
      <c r="A53" s="27"/>
      <c r="B53" s="28"/>
      <c r="C53" s="27"/>
      <c r="D53" s="26"/>
      <c r="E53" s="28"/>
      <c r="H53" s="28"/>
      <c r="K53" s="28"/>
      <c r="N53" s="28"/>
      <c r="Q53" s="28"/>
      <c r="T53" s="28"/>
      <c r="W53" s="28"/>
      <c r="Z53" s="28"/>
      <c r="AC53" s="28"/>
      <c r="AF53" s="28"/>
      <c r="AI53" s="28"/>
      <c r="AL53" s="28"/>
      <c r="AO53" s="28"/>
      <c r="AR53" s="28"/>
      <c r="AU53" s="28"/>
      <c r="AX53" s="28"/>
      <c r="BA53" s="28"/>
      <c r="BD53" s="28"/>
      <c r="BG53" s="28"/>
      <c r="BJ53" s="28"/>
      <c r="BM53" s="28"/>
      <c r="BP53" s="28"/>
      <c r="BS53" s="28"/>
      <c r="BV53" s="28"/>
      <c r="BY53" s="28"/>
      <c r="CB53" s="28"/>
      <c r="CE53" s="28"/>
      <c r="CH53" s="28"/>
      <c r="CK53" s="28"/>
      <c r="CN53" s="28"/>
      <c r="CQ53" s="28"/>
      <c r="CT53" s="28"/>
      <c r="CW53" s="28"/>
      <c r="CZ53" s="28"/>
      <c r="DC53" s="28"/>
      <c r="DF53" s="28"/>
      <c r="DI53" s="28"/>
      <c r="DL53" s="28"/>
      <c r="DO53" s="28"/>
      <c r="DR53" s="28"/>
      <c r="DU53" s="28"/>
      <c r="DX53" s="28"/>
      <c r="EA53" s="28"/>
      <c r="ED53" s="28"/>
      <c r="EG53" s="28"/>
      <c r="EJ53" s="28"/>
      <c r="EM53" s="28"/>
      <c r="EP53" s="28"/>
      <c r="ES53" s="28"/>
      <c r="EV53" s="28"/>
      <c r="EY53" s="28"/>
      <c r="FB53" s="28"/>
      <c r="FE53" s="28"/>
      <c r="FH53" s="28"/>
      <c r="FK53" s="28"/>
      <c r="FN53" s="28"/>
      <c r="FQ53" s="28"/>
      <c r="FT53" s="28"/>
      <c r="FW53" s="28"/>
      <c r="FZ53" s="28"/>
      <c r="GC53" s="28"/>
    </row>
    <row r="54" spans="1:185" s="25" customFormat="1" x14ac:dyDescent="0.3">
      <c r="A54" s="27"/>
      <c r="B54" s="28"/>
      <c r="C54" s="27"/>
      <c r="D54" s="26"/>
      <c r="E54" s="28"/>
      <c r="H54" s="28"/>
      <c r="K54" s="28"/>
      <c r="N54" s="28"/>
      <c r="Q54" s="28"/>
      <c r="T54" s="28"/>
      <c r="W54" s="28"/>
      <c r="Z54" s="28"/>
      <c r="AC54" s="28"/>
      <c r="AF54" s="28"/>
      <c r="AI54" s="28"/>
      <c r="AL54" s="28"/>
      <c r="AO54" s="28"/>
      <c r="AR54" s="28"/>
      <c r="AU54" s="28"/>
      <c r="AX54" s="28"/>
      <c r="BA54" s="28"/>
      <c r="BD54" s="28"/>
      <c r="BG54" s="28"/>
      <c r="BJ54" s="28"/>
      <c r="BM54" s="28"/>
      <c r="BP54" s="28"/>
      <c r="BS54" s="28"/>
      <c r="BV54" s="28"/>
      <c r="BY54" s="28"/>
      <c r="CB54" s="28"/>
      <c r="CE54" s="28"/>
      <c r="CH54" s="28"/>
      <c r="CK54" s="28"/>
      <c r="CN54" s="28"/>
      <c r="CQ54" s="28"/>
      <c r="CT54" s="28"/>
      <c r="CW54" s="28"/>
      <c r="CZ54" s="28"/>
      <c r="DC54" s="28"/>
      <c r="DF54" s="28"/>
      <c r="DI54" s="28"/>
      <c r="DL54" s="28"/>
      <c r="DO54" s="28"/>
      <c r="DR54" s="28"/>
      <c r="DU54" s="28"/>
      <c r="DX54" s="28"/>
      <c r="EA54" s="28"/>
      <c r="ED54" s="28"/>
      <c r="EG54" s="28"/>
      <c r="EJ54" s="28"/>
      <c r="EM54" s="28"/>
      <c r="EP54" s="28"/>
      <c r="ES54" s="28"/>
      <c r="EV54" s="28"/>
      <c r="EY54" s="28"/>
      <c r="FB54" s="28"/>
      <c r="FE54" s="28"/>
      <c r="FH54" s="28"/>
      <c r="FK54" s="28"/>
      <c r="FN54" s="28"/>
      <c r="FQ54" s="28"/>
      <c r="FT54" s="28"/>
      <c r="FW54" s="28"/>
      <c r="FZ54" s="28"/>
      <c r="GC54" s="28"/>
    </row>
    <row r="55" spans="1:185" s="25" customFormat="1" x14ac:dyDescent="0.3">
      <c r="A55" s="27"/>
      <c r="B55" s="28"/>
      <c r="C55" s="27"/>
      <c r="D55" s="26"/>
      <c r="E55" s="28"/>
      <c r="H55" s="28"/>
      <c r="K55" s="28"/>
      <c r="N55" s="28"/>
      <c r="Q55" s="28"/>
      <c r="T55" s="28"/>
      <c r="W55" s="28"/>
      <c r="Z55" s="28"/>
      <c r="AC55" s="28"/>
      <c r="AF55" s="28"/>
      <c r="AI55" s="28"/>
      <c r="AL55" s="28"/>
      <c r="AO55" s="28"/>
      <c r="AR55" s="28"/>
      <c r="AU55" s="28"/>
      <c r="AX55" s="28"/>
      <c r="BA55" s="28"/>
      <c r="BD55" s="28"/>
      <c r="BG55" s="28"/>
      <c r="BJ55" s="28"/>
      <c r="BM55" s="28"/>
      <c r="BP55" s="28"/>
      <c r="BS55" s="28"/>
      <c r="BV55" s="28"/>
      <c r="BY55" s="28"/>
      <c r="CB55" s="28"/>
      <c r="CE55" s="28"/>
      <c r="CH55" s="28"/>
      <c r="CK55" s="28"/>
      <c r="CN55" s="28"/>
      <c r="CQ55" s="28"/>
      <c r="CT55" s="28"/>
      <c r="CW55" s="28"/>
      <c r="CZ55" s="28"/>
      <c r="DC55" s="28"/>
      <c r="DF55" s="28"/>
      <c r="DI55" s="28"/>
      <c r="DL55" s="28"/>
      <c r="DO55" s="28"/>
      <c r="DR55" s="28"/>
      <c r="DU55" s="28"/>
      <c r="DX55" s="28"/>
      <c r="EA55" s="28"/>
      <c r="ED55" s="28"/>
      <c r="EG55" s="28"/>
      <c r="EJ55" s="28"/>
      <c r="EM55" s="28"/>
      <c r="EP55" s="28"/>
      <c r="ES55" s="28"/>
      <c r="EV55" s="28"/>
      <c r="EY55" s="28"/>
      <c r="FB55" s="28"/>
      <c r="FE55" s="28"/>
      <c r="FH55" s="28"/>
      <c r="FK55" s="28"/>
      <c r="FN55" s="28"/>
      <c r="FQ55" s="28"/>
      <c r="FT55" s="28"/>
      <c r="FW55" s="28"/>
      <c r="FZ55" s="28"/>
      <c r="GC55" s="28"/>
    </row>
    <row r="56" spans="1:185" s="25" customFormat="1" x14ac:dyDescent="0.3">
      <c r="A56" s="27"/>
      <c r="B56" s="28"/>
      <c r="C56" s="27"/>
      <c r="D56" s="26"/>
      <c r="E56" s="28"/>
      <c r="H56" s="28"/>
      <c r="K56" s="28"/>
      <c r="N56" s="28"/>
      <c r="Q56" s="28"/>
      <c r="T56" s="28"/>
      <c r="W56" s="28"/>
      <c r="Z56" s="28"/>
      <c r="AC56" s="28"/>
      <c r="AF56" s="28"/>
      <c r="AI56" s="28"/>
      <c r="AL56" s="28"/>
      <c r="AO56" s="28"/>
      <c r="AR56" s="28"/>
      <c r="AU56" s="28"/>
      <c r="AX56" s="28"/>
      <c r="BA56" s="28"/>
      <c r="BD56" s="28"/>
      <c r="BG56" s="28"/>
      <c r="BJ56" s="28"/>
      <c r="BM56" s="28"/>
      <c r="BP56" s="28"/>
      <c r="BS56" s="28"/>
      <c r="BV56" s="28"/>
      <c r="BY56" s="28"/>
      <c r="CB56" s="28"/>
      <c r="CE56" s="28"/>
      <c r="CH56" s="28"/>
      <c r="CK56" s="28"/>
      <c r="CN56" s="28"/>
      <c r="CQ56" s="28"/>
      <c r="CT56" s="28"/>
      <c r="CW56" s="28"/>
      <c r="CZ56" s="28"/>
      <c r="DC56" s="28"/>
      <c r="DF56" s="28"/>
      <c r="DI56" s="28"/>
      <c r="DL56" s="28"/>
      <c r="DO56" s="28"/>
      <c r="DR56" s="28"/>
      <c r="DU56" s="28"/>
      <c r="DX56" s="28"/>
      <c r="EA56" s="28"/>
      <c r="ED56" s="28"/>
      <c r="EG56" s="28"/>
      <c r="EJ56" s="28"/>
      <c r="EM56" s="28"/>
      <c r="EP56" s="28"/>
      <c r="ES56" s="28"/>
      <c r="EV56" s="28"/>
      <c r="EY56" s="28"/>
      <c r="FB56" s="28"/>
      <c r="FE56" s="28"/>
      <c r="FH56" s="28"/>
      <c r="FK56" s="28"/>
      <c r="FN56" s="28"/>
      <c r="FQ56" s="28"/>
      <c r="FT56" s="28"/>
      <c r="FW56" s="28"/>
      <c r="FZ56" s="28"/>
      <c r="GC56" s="28"/>
    </row>
    <row r="57" spans="1:185" s="25" customFormat="1" x14ac:dyDescent="0.3">
      <c r="A57" s="27"/>
      <c r="B57" s="28"/>
      <c r="C57" s="27"/>
      <c r="D57" s="26"/>
      <c r="E57" s="28"/>
      <c r="H57" s="28"/>
      <c r="K57" s="28"/>
      <c r="N57" s="28"/>
      <c r="Q57" s="28"/>
      <c r="T57" s="28"/>
      <c r="W57" s="28"/>
      <c r="Z57" s="28"/>
      <c r="AC57" s="28"/>
      <c r="AF57" s="28"/>
      <c r="AI57" s="28"/>
      <c r="AL57" s="28"/>
      <c r="AO57" s="28"/>
      <c r="AR57" s="28"/>
      <c r="AU57" s="28"/>
      <c r="AX57" s="28"/>
      <c r="BA57" s="28"/>
      <c r="BD57" s="28"/>
      <c r="BG57" s="28"/>
      <c r="BJ57" s="28"/>
      <c r="BM57" s="28"/>
      <c r="BP57" s="28"/>
      <c r="BS57" s="28"/>
      <c r="BV57" s="28"/>
      <c r="BY57" s="28"/>
      <c r="CB57" s="28"/>
      <c r="CE57" s="28"/>
      <c r="CH57" s="28"/>
      <c r="CK57" s="28"/>
      <c r="CN57" s="28"/>
      <c r="CQ57" s="28"/>
      <c r="CT57" s="28"/>
      <c r="CW57" s="28"/>
      <c r="CZ57" s="28"/>
      <c r="DC57" s="28"/>
      <c r="DF57" s="28"/>
      <c r="DI57" s="28"/>
      <c r="DL57" s="28"/>
      <c r="DO57" s="28"/>
      <c r="DR57" s="28"/>
      <c r="DU57" s="28"/>
      <c r="DX57" s="28"/>
      <c r="EA57" s="28"/>
      <c r="ED57" s="28"/>
      <c r="EG57" s="28"/>
      <c r="EJ57" s="28"/>
      <c r="EM57" s="28"/>
      <c r="EP57" s="28"/>
      <c r="ES57" s="28"/>
      <c r="EV57" s="28"/>
      <c r="EY57" s="28"/>
      <c r="FB57" s="28"/>
      <c r="FE57" s="28"/>
      <c r="FH57" s="28"/>
      <c r="FK57" s="28"/>
      <c r="FN57" s="28"/>
      <c r="FQ57" s="28"/>
      <c r="FT57" s="28"/>
      <c r="FW57" s="28"/>
      <c r="FZ57" s="28"/>
      <c r="GC57" s="28"/>
    </row>
    <row r="58" spans="1:185" s="25" customFormat="1" x14ac:dyDescent="0.3">
      <c r="A58" s="27"/>
      <c r="B58" s="28"/>
      <c r="C58" s="27"/>
      <c r="D58" s="26"/>
      <c r="E58" s="28"/>
      <c r="H58" s="28"/>
      <c r="K58" s="28"/>
      <c r="N58" s="28"/>
      <c r="Q58" s="28"/>
      <c r="T58" s="28"/>
      <c r="W58" s="28"/>
      <c r="Z58" s="28"/>
      <c r="AC58" s="28"/>
      <c r="AF58" s="28"/>
      <c r="AI58" s="28"/>
      <c r="AL58" s="28"/>
      <c r="AO58" s="28"/>
      <c r="AR58" s="28"/>
      <c r="AU58" s="28"/>
      <c r="AX58" s="28"/>
      <c r="BA58" s="28"/>
      <c r="BD58" s="28"/>
      <c r="BG58" s="28"/>
      <c r="BJ58" s="28"/>
      <c r="BM58" s="28"/>
      <c r="BP58" s="28"/>
      <c r="BS58" s="28"/>
      <c r="BV58" s="28"/>
      <c r="BY58" s="28"/>
      <c r="CB58" s="28"/>
      <c r="CE58" s="28"/>
      <c r="CH58" s="28"/>
      <c r="CK58" s="28"/>
      <c r="CN58" s="28"/>
      <c r="CQ58" s="28"/>
      <c r="CT58" s="28"/>
      <c r="CW58" s="28"/>
      <c r="CZ58" s="28"/>
      <c r="DC58" s="28"/>
      <c r="DF58" s="28"/>
      <c r="DI58" s="28"/>
      <c r="DL58" s="28"/>
      <c r="DO58" s="28"/>
      <c r="DR58" s="28"/>
      <c r="DU58" s="28"/>
      <c r="DX58" s="28"/>
      <c r="EA58" s="28"/>
      <c r="ED58" s="28"/>
      <c r="EG58" s="28"/>
      <c r="EJ58" s="28"/>
      <c r="EM58" s="28"/>
      <c r="EP58" s="28"/>
      <c r="ES58" s="28"/>
      <c r="EV58" s="28"/>
      <c r="EY58" s="28"/>
      <c r="FB58" s="28"/>
      <c r="FE58" s="28"/>
      <c r="FH58" s="28"/>
      <c r="FK58" s="28"/>
      <c r="FN58" s="28"/>
      <c r="FQ58" s="28"/>
      <c r="FT58" s="28"/>
      <c r="FW58" s="28"/>
      <c r="FZ58" s="28"/>
      <c r="GC58" s="28"/>
    </row>
    <row r="59" spans="1:185" s="25" customFormat="1" x14ac:dyDescent="0.3">
      <c r="A59" s="27"/>
      <c r="B59" s="28"/>
      <c r="C59" s="27"/>
      <c r="D59" s="26"/>
      <c r="E59" s="28"/>
      <c r="H59" s="28"/>
      <c r="K59" s="28"/>
      <c r="N59" s="28"/>
      <c r="Q59" s="28"/>
      <c r="T59" s="28"/>
      <c r="W59" s="28"/>
      <c r="Z59" s="28"/>
      <c r="AC59" s="28"/>
      <c r="AF59" s="28"/>
      <c r="AI59" s="28"/>
      <c r="AL59" s="28"/>
      <c r="AO59" s="28"/>
      <c r="AR59" s="28"/>
      <c r="AU59" s="28"/>
      <c r="AX59" s="28"/>
      <c r="BA59" s="28"/>
      <c r="BD59" s="28"/>
      <c r="BG59" s="28"/>
      <c r="BJ59" s="28"/>
      <c r="BM59" s="28"/>
      <c r="BP59" s="28"/>
      <c r="BS59" s="28"/>
      <c r="BV59" s="28"/>
      <c r="BY59" s="28"/>
      <c r="CB59" s="28"/>
      <c r="CE59" s="28"/>
      <c r="CH59" s="28"/>
      <c r="CK59" s="28"/>
      <c r="CN59" s="28"/>
      <c r="CQ59" s="28"/>
      <c r="CT59" s="28"/>
      <c r="CW59" s="28"/>
      <c r="CZ59" s="28"/>
      <c r="DC59" s="28"/>
      <c r="DF59" s="28"/>
      <c r="DI59" s="28"/>
      <c r="DL59" s="28"/>
      <c r="DO59" s="28"/>
      <c r="DR59" s="28"/>
      <c r="DU59" s="28"/>
      <c r="DX59" s="28"/>
      <c r="EA59" s="28"/>
      <c r="ED59" s="28"/>
      <c r="EG59" s="28"/>
      <c r="EJ59" s="28"/>
      <c r="EM59" s="28"/>
      <c r="EP59" s="28"/>
      <c r="ES59" s="28"/>
      <c r="EV59" s="28"/>
      <c r="EY59" s="28"/>
      <c r="FB59" s="28"/>
      <c r="FE59" s="28"/>
      <c r="FH59" s="28"/>
      <c r="FK59" s="28"/>
      <c r="FN59" s="28"/>
      <c r="FQ59" s="28"/>
      <c r="FT59" s="28"/>
      <c r="FW59" s="28"/>
      <c r="FZ59" s="28"/>
      <c r="GC59" s="28"/>
    </row>
    <row r="60" spans="1:185" s="25" customFormat="1" x14ac:dyDescent="0.3">
      <c r="A60" s="27"/>
      <c r="B60" s="28"/>
      <c r="C60" s="27"/>
      <c r="D60" s="26"/>
      <c r="E60" s="28"/>
      <c r="H60" s="28"/>
      <c r="K60" s="28"/>
      <c r="N60" s="28"/>
      <c r="Q60" s="28"/>
      <c r="T60" s="28"/>
      <c r="W60" s="28"/>
      <c r="Z60" s="28"/>
      <c r="AC60" s="28"/>
      <c r="AF60" s="28"/>
      <c r="AI60" s="28"/>
      <c r="AL60" s="28"/>
      <c r="AO60" s="28"/>
      <c r="AR60" s="28"/>
      <c r="AU60" s="28"/>
      <c r="AX60" s="28"/>
      <c r="BA60" s="28"/>
      <c r="BD60" s="28"/>
      <c r="BG60" s="28"/>
      <c r="BJ60" s="28"/>
      <c r="BM60" s="28"/>
      <c r="BP60" s="28"/>
      <c r="BS60" s="28"/>
      <c r="BV60" s="28"/>
      <c r="BY60" s="28"/>
      <c r="CB60" s="28"/>
      <c r="CE60" s="28"/>
      <c r="CH60" s="28"/>
      <c r="CK60" s="28"/>
      <c r="CN60" s="28"/>
      <c r="CQ60" s="28"/>
      <c r="CT60" s="28"/>
      <c r="CW60" s="28"/>
      <c r="CZ60" s="28"/>
      <c r="DC60" s="28"/>
      <c r="DF60" s="28"/>
      <c r="DI60" s="28"/>
      <c r="DL60" s="28"/>
      <c r="DO60" s="28"/>
      <c r="DR60" s="28"/>
      <c r="DU60" s="28"/>
      <c r="DX60" s="28"/>
      <c r="EA60" s="28"/>
      <c r="ED60" s="28"/>
      <c r="EG60" s="28"/>
      <c r="EJ60" s="28"/>
      <c r="EM60" s="28"/>
      <c r="EP60" s="28"/>
      <c r="ES60" s="28"/>
      <c r="EV60" s="28"/>
      <c r="EY60" s="28"/>
      <c r="FB60" s="28"/>
      <c r="FE60" s="28"/>
      <c r="FH60" s="28"/>
      <c r="FK60" s="28"/>
      <c r="FN60" s="28"/>
      <c r="FQ60" s="28"/>
      <c r="FT60" s="28"/>
      <c r="FW60" s="28"/>
      <c r="FZ60" s="28"/>
      <c r="GC60" s="28"/>
    </row>
    <row r="61" spans="1:185" s="25" customFormat="1" x14ac:dyDescent="0.3">
      <c r="A61" s="27"/>
      <c r="B61" s="28"/>
      <c r="C61" s="27"/>
      <c r="D61" s="26"/>
      <c r="E61" s="28"/>
      <c r="H61" s="28"/>
      <c r="K61" s="28"/>
      <c r="N61" s="28"/>
      <c r="Q61" s="28"/>
      <c r="T61" s="28"/>
      <c r="W61" s="28"/>
      <c r="Z61" s="28"/>
      <c r="AC61" s="28"/>
      <c r="AF61" s="28"/>
      <c r="AI61" s="28"/>
      <c r="AL61" s="28"/>
      <c r="AO61" s="28"/>
      <c r="AR61" s="28"/>
      <c r="AU61" s="28"/>
      <c r="AX61" s="28"/>
      <c r="BA61" s="28"/>
      <c r="BD61" s="28"/>
      <c r="BG61" s="28"/>
      <c r="BJ61" s="28"/>
      <c r="BM61" s="28"/>
      <c r="BP61" s="28"/>
      <c r="BS61" s="28"/>
      <c r="BV61" s="28"/>
      <c r="BY61" s="28"/>
      <c r="CB61" s="28"/>
      <c r="CE61" s="28"/>
      <c r="CH61" s="28"/>
      <c r="CK61" s="28"/>
      <c r="CN61" s="28"/>
      <c r="CQ61" s="28"/>
      <c r="CT61" s="28"/>
      <c r="CW61" s="28"/>
      <c r="CZ61" s="28"/>
      <c r="DC61" s="28"/>
      <c r="DF61" s="28"/>
      <c r="DI61" s="28"/>
      <c r="DL61" s="28"/>
      <c r="DO61" s="28"/>
      <c r="DR61" s="28"/>
      <c r="DU61" s="28"/>
      <c r="DX61" s="28"/>
      <c r="EA61" s="28"/>
      <c r="ED61" s="28"/>
      <c r="EG61" s="28"/>
      <c r="EJ61" s="28"/>
      <c r="EM61" s="28"/>
      <c r="EP61" s="28"/>
      <c r="ES61" s="28"/>
      <c r="EV61" s="28"/>
      <c r="EY61" s="28"/>
      <c r="FB61" s="28"/>
      <c r="FE61" s="28"/>
      <c r="FH61" s="28"/>
      <c r="FK61" s="28"/>
      <c r="FN61" s="28"/>
      <c r="FQ61" s="28"/>
      <c r="FT61" s="28"/>
      <c r="FW61" s="28"/>
      <c r="FZ61" s="28"/>
      <c r="GC61" s="28"/>
    </row>
    <row r="62" spans="1:185" s="25" customFormat="1" x14ac:dyDescent="0.3">
      <c r="A62" s="27"/>
      <c r="B62" s="28"/>
      <c r="C62" s="27"/>
      <c r="D62" s="26"/>
      <c r="E62" s="28"/>
      <c r="H62" s="28"/>
      <c r="K62" s="28"/>
      <c r="N62" s="28"/>
      <c r="Q62" s="28"/>
      <c r="T62" s="28"/>
      <c r="W62" s="28"/>
      <c r="Z62" s="28"/>
      <c r="AC62" s="28"/>
      <c r="AF62" s="28"/>
      <c r="AI62" s="28"/>
      <c r="AL62" s="28"/>
      <c r="AO62" s="28"/>
      <c r="AR62" s="28"/>
      <c r="AU62" s="28"/>
      <c r="AX62" s="28"/>
      <c r="BA62" s="28"/>
      <c r="BD62" s="28"/>
      <c r="BG62" s="28"/>
      <c r="BJ62" s="28"/>
      <c r="BM62" s="28"/>
      <c r="BP62" s="28"/>
      <c r="BS62" s="28"/>
      <c r="BV62" s="28"/>
      <c r="BY62" s="28"/>
      <c r="CB62" s="28"/>
      <c r="CE62" s="28"/>
      <c r="CH62" s="28"/>
      <c r="CK62" s="28"/>
      <c r="CN62" s="28"/>
      <c r="CQ62" s="28"/>
      <c r="CT62" s="28"/>
      <c r="CW62" s="28"/>
      <c r="CZ62" s="28"/>
      <c r="DC62" s="28"/>
      <c r="DF62" s="28"/>
      <c r="DI62" s="28"/>
      <c r="DL62" s="28"/>
      <c r="DO62" s="28"/>
      <c r="DR62" s="28"/>
      <c r="DU62" s="28"/>
      <c r="DX62" s="28"/>
      <c r="EA62" s="28"/>
      <c r="ED62" s="28"/>
      <c r="EG62" s="28"/>
      <c r="EJ62" s="28"/>
      <c r="EM62" s="28"/>
      <c r="EP62" s="28"/>
      <c r="ES62" s="28"/>
      <c r="EV62" s="28"/>
      <c r="EY62" s="28"/>
      <c r="FB62" s="28"/>
      <c r="FE62" s="28"/>
      <c r="FH62" s="28"/>
      <c r="FK62" s="28"/>
      <c r="FN62" s="28"/>
      <c r="FQ62" s="28"/>
      <c r="FT62" s="28"/>
      <c r="FW62" s="28"/>
      <c r="FZ62" s="28"/>
      <c r="GC62" s="28"/>
    </row>
    <row r="63" spans="1:185" s="25" customFormat="1" x14ac:dyDescent="0.3">
      <c r="A63" s="27"/>
      <c r="B63" s="28"/>
      <c r="C63" s="27"/>
      <c r="D63" s="26"/>
      <c r="E63" s="28"/>
      <c r="H63" s="28"/>
      <c r="K63" s="28"/>
      <c r="N63" s="28"/>
      <c r="Q63" s="28"/>
      <c r="T63" s="28"/>
      <c r="W63" s="28"/>
      <c r="Z63" s="28"/>
      <c r="AC63" s="28"/>
      <c r="AF63" s="28"/>
      <c r="AI63" s="28"/>
      <c r="AL63" s="28"/>
      <c r="AO63" s="28"/>
      <c r="AR63" s="28"/>
      <c r="AU63" s="28"/>
      <c r="AX63" s="28"/>
      <c r="BA63" s="28"/>
      <c r="BD63" s="28"/>
      <c r="BG63" s="28"/>
      <c r="BJ63" s="28"/>
      <c r="BM63" s="28"/>
      <c r="BP63" s="28"/>
      <c r="BS63" s="28"/>
      <c r="BV63" s="28"/>
      <c r="BY63" s="28"/>
      <c r="CB63" s="28"/>
      <c r="CE63" s="28"/>
      <c r="CH63" s="28"/>
      <c r="CK63" s="28"/>
      <c r="CN63" s="28"/>
      <c r="CQ63" s="28"/>
      <c r="CT63" s="28"/>
      <c r="CW63" s="28"/>
      <c r="CZ63" s="28"/>
      <c r="DC63" s="28"/>
      <c r="DF63" s="28"/>
      <c r="DI63" s="28"/>
      <c r="DL63" s="28"/>
      <c r="DO63" s="28"/>
      <c r="DR63" s="28"/>
      <c r="DU63" s="28"/>
      <c r="DX63" s="28"/>
      <c r="EA63" s="28"/>
      <c r="ED63" s="28"/>
      <c r="EG63" s="28"/>
      <c r="EJ63" s="28"/>
      <c r="EM63" s="28"/>
      <c r="EP63" s="28"/>
      <c r="ES63" s="28"/>
      <c r="EV63" s="28"/>
      <c r="EY63" s="28"/>
      <c r="FB63" s="28"/>
      <c r="FE63" s="28"/>
      <c r="FH63" s="28"/>
      <c r="FK63" s="28"/>
      <c r="FN63" s="28"/>
      <c r="FQ63" s="28"/>
      <c r="FT63" s="28"/>
      <c r="FW63" s="28"/>
      <c r="FZ63" s="28"/>
      <c r="GC63" s="28"/>
    </row>
    <row r="64" spans="1:185" s="25" customFormat="1" x14ac:dyDescent="0.3">
      <c r="A64" s="27"/>
      <c r="B64" s="28"/>
      <c r="C64" s="27"/>
      <c r="D64" s="26"/>
      <c r="E64" s="28"/>
      <c r="H64" s="28"/>
      <c r="K64" s="28"/>
      <c r="N64" s="28"/>
      <c r="Q64" s="28"/>
      <c r="T64" s="28"/>
      <c r="W64" s="28"/>
      <c r="Z64" s="28"/>
      <c r="AC64" s="28"/>
      <c r="AF64" s="28"/>
      <c r="AI64" s="28"/>
      <c r="AL64" s="28"/>
      <c r="AO64" s="28"/>
      <c r="AR64" s="28"/>
      <c r="AU64" s="28"/>
      <c r="AX64" s="28"/>
      <c r="BA64" s="28"/>
      <c r="BD64" s="28"/>
      <c r="BG64" s="28"/>
      <c r="BJ64" s="28"/>
      <c r="BM64" s="28"/>
      <c r="BP64" s="28"/>
      <c r="BS64" s="28"/>
      <c r="BV64" s="28"/>
      <c r="BY64" s="28"/>
      <c r="CB64" s="28"/>
      <c r="CE64" s="28"/>
      <c r="CH64" s="28"/>
      <c r="CK64" s="28"/>
      <c r="CN64" s="28"/>
      <c r="CQ64" s="28"/>
      <c r="CT64" s="28"/>
      <c r="CW64" s="28"/>
      <c r="CZ64" s="28"/>
      <c r="DC64" s="28"/>
      <c r="DF64" s="28"/>
      <c r="DI64" s="28"/>
      <c r="DL64" s="28"/>
      <c r="DO64" s="28"/>
      <c r="DR64" s="28"/>
      <c r="DU64" s="28"/>
      <c r="DX64" s="28"/>
      <c r="EA64" s="28"/>
      <c r="ED64" s="28"/>
      <c r="EG64" s="28"/>
      <c r="EJ64" s="28"/>
      <c r="EM64" s="28"/>
      <c r="EP64" s="28"/>
      <c r="ES64" s="28"/>
      <c r="EV64" s="28"/>
      <c r="EY64" s="28"/>
      <c r="FB64" s="28"/>
      <c r="FE64" s="28"/>
      <c r="FH64" s="28"/>
      <c r="FK64" s="28"/>
      <c r="FN64" s="28"/>
      <c r="FQ64" s="28"/>
      <c r="FT64" s="28"/>
      <c r="FW64" s="28"/>
      <c r="FZ64" s="28"/>
      <c r="GC64" s="28"/>
    </row>
    <row r="65" spans="1:185" s="25" customFormat="1" x14ac:dyDescent="0.3">
      <c r="A65" s="27"/>
      <c r="B65" s="28"/>
      <c r="C65" s="27"/>
      <c r="D65" s="26"/>
      <c r="E65" s="28"/>
      <c r="H65" s="28"/>
      <c r="K65" s="28"/>
      <c r="N65" s="28"/>
      <c r="Q65" s="28"/>
      <c r="T65" s="28"/>
      <c r="W65" s="28"/>
      <c r="Z65" s="28"/>
      <c r="AC65" s="28"/>
      <c r="AF65" s="28"/>
      <c r="AI65" s="28"/>
      <c r="AL65" s="28"/>
      <c r="AO65" s="28"/>
      <c r="AR65" s="28"/>
      <c r="AU65" s="28"/>
      <c r="AX65" s="28"/>
      <c r="BA65" s="28"/>
      <c r="BD65" s="28"/>
      <c r="BG65" s="28"/>
      <c r="BJ65" s="28"/>
      <c r="BM65" s="28"/>
      <c r="BP65" s="28"/>
      <c r="BS65" s="28"/>
      <c r="BV65" s="28"/>
      <c r="BY65" s="28"/>
      <c r="CB65" s="28"/>
      <c r="CE65" s="28"/>
      <c r="CH65" s="28"/>
      <c r="CK65" s="28"/>
      <c r="CN65" s="28"/>
      <c r="CQ65" s="28"/>
      <c r="CT65" s="28"/>
      <c r="CW65" s="28"/>
      <c r="CZ65" s="28"/>
      <c r="DC65" s="28"/>
      <c r="DF65" s="28"/>
      <c r="DI65" s="28"/>
      <c r="DL65" s="28"/>
      <c r="DO65" s="28"/>
      <c r="DR65" s="28"/>
      <c r="DU65" s="28"/>
      <c r="DX65" s="28"/>
      <c r="EA65" s="28"/>
      <c r="ED65" s="28"/>
      <c r="EG65" s="28"/>
      <c r="EJ65" s="28"/>
      <c r="EM65" s="28"/>
      <c r="EP65" s="28"/>
      <c r="ES65" s="28"/>
      <c r="EV65" s="28"/>
      <c r="EY65" s="28"/>
      <c r="FB65" s="28"/>
      <c r="FE65" s="28"/>
      <c r="FH65" s="28"/>
      <c r="FK65" s="28"/>
      <c r="FN65" s="28"/>
      <c r="FQ65" s="28"/>
      <c r="FT65" s="28"/>
      <c r="FW65" s="28"/>
      <c r="FZ65" s="28"/>
      <c r="GC65" s="28"/>
    </row>
    <row r="66" spans="1:185" s="25" customFormat="1" x14ac:dyDescent="0.3">
      <c r="A66" s="27"/>
      <c r="B66" s="28"/>
      <c r="C66" s="27"/>
      <c r="D66" s="26"/>
      <c r="E66" s="28"/>
      <c r="H66" s="28"/>
      <c r="K66" s="28"/>
      <c r="N66" s="28"/>
      <c r="Q66" s="28"/>
      <c r="T66" s="28"/>
      <c r="W66" s="28"/>
      <c r="Z66" s="28"/>
      <c r="AC66" s="28"/>
      <c r="AF66" s="28"/>
      <c r="AI66" s="28"/>
      <c r="AL66" s="28"/>
      <c r="AO66" s="28"/>
      <c r="AR66" s="28"/>
      <c r="AU66" s="28"/>
      <c r="AX66" s="28"/>
      <c r="BA66" s="28"/>
      <c r="BD66" s="28"/>
      <c r="BG66" s="28"/>
      <c r="BJ66" s="28"/>
      <c r="BM66" s="28"/>
      <c r="BP66" s="28"/>
      <c r="BS66" s="28"/>
      <c r="BV66" s="28"/>
      <c r="BY66" s="28"/>
      <c r="CB66" s="28"/>
      <c r="CE66" s="28"/>
      <c r="CH66" s="28"/>
      <c r="CK66" s="28"/>
      <c r="CN66" s="28"/>
      <c r="CQ66" s="28"/>
      <c r="CT66" s="28"/>
      <c r="CW66" s="28"/>
      <c r="CZ66" s="28"/>
      <c r="DC66" s="28"/>
      <c r="DF66" s="28"/>
      <c r="DI66" s="28"/>
      <c r="DL66" s="28"/>
      <c r="DO66" s="28"/>
      <c r="DR66" s="28"/>
      <c r="DU66" s="28"/>
      <c r="DX66" s="28"/>
      <c r="EA66" s="28"/>
      <c r="ED66" s="28"/>
      <c r="EG66" s="28"/>
      <c r="EJ66" s="28"/>
      <c r="EM66" s="28"/>
      <c r="EP66" s="28"/>
      <c r="ES66" s="28"/>
      <c r="EV66" s="28"/>
      <c r="EY66" s="28"/>
      <c r="FB66" s="28"/>
      <c r="FE66" s="28"/>
      <c r="FH66" s="28"/>
      <c r="FK66" s="28"/>
      <c r="FN66" s="28"/>
      <c r="FQ66" s="28"/>
      <c r="FT66" s="28"/>
      <c r="FW66" s="28"/>
      <c r="FZ66" s="28"/>
      <c r="GC66" s="28"/>
    </row>
    <row r="67" spans="1:185" s="25" customFormat="1" x14ac:dyDescent="0.3">
      <c r="A67" s="27"/>
      <c r="B67" s="28"/>
      <c r="C67" s="27"/>
      <c r="D67" s="26"/>
      <c r="E67" s="28"/>
      <c r="H67" s="28"/>
      <c r="K67" s="28"/>
      <c r="N67" s="28"/>
      <c r="Q67" s="28"/>
      <c r="T67" s="28"/>
      <c r="W67" s="28"/>
      <c r="Z67" s="28"/>
      <c r="AC67" s="28"/>
      <c r="AF67" s="28"/>
      <c r="AI67" s="28"/>
      <c r="AL67" s="28"/>
      <c r="AO67" s="28"/>
      <c r="AR67" s="28"/>
      <c r="AU67" s="28"/>
      <c r="AX67" s="28"/>
      <c r="BA67" s="28"/>
      <c r="BD67" s="28"/>
      <c r="BG67" s="28"/>
      <c r="BJ67" s="28"/>
      <c r="BM67" s="28"/>
      <c r="BP67" s="28"/>
      <c r="BS67" s="28"/>
      <c r="BV67" s="28"/>
      <c r="BY67" s="28"/>
      <c r="CB67" s="28"/>
      <c r="CE67" s="28"/>
      <c r="CH67" s="28"/>
      <c r="CK67" s="28"/>
      <c r="CN67" s="28"/>
      <c r="CQ67" s="28"/>
      <c r="CT67" s="28"/>
      <c r="CW67" s="28"/>
      <c r="CZ67" s="28"/>
      <c r="DC67" s="28"/>
      <c r="DF67" s="28"/>
      <c r="DI67" s="28"/>
      <c r="DL67" s="28"/>
      <c r="DO67" s="28"/>
      <c r="DR67" s="28"/>
      <c r="DU67" s="28"/>
      <c r="DX67" s="28"/>
      <c r="EA67" s="28"/>
      <c r="ED67" s="28"/>
      <c r="EG67" s="28"/>
      <c r="EJ67" s="28"/>
      <c r="EM67" s="28"/>
      <c r="EP67" s="28"/>
      <c r="ES67" s="28"/>
      <c r="EV67" s="28"/>
      <c r="EY67" s="28"/>
      <c r="FB67" s="28"/>
      <c r="FE67" s="28"/>
      <c r="FH67" s="28"/>
      <c r="FK67" s="28"/>
      <c r="FN67" s="28"/>
      <c r="FQ67" s="28"/>
      <c r="FT67" s="28"/>
      <c r="FW67" s="28"/>
      <c r="FZ67" s="28"/>
      <c r="GC67" s="28"/>
    </row>
    <row r="68" spans="1:185" s="25" customFormat="1" x14ac:dyDescent="0.3">
      <c r="A68" s="27"/>
      <c r="B68" s="28"/>
      <c r="C68" s="27"/>
      <c r="D68" s="26"/>
      <c r="E68" s="28"/>
      <c r="H68" s="28"/>
      <c r="K68" s="28"/>
      <c r="N68" s="28"/>
      <c r="Q68" s="28"/>
      <c r="T68" s="28"/>
      <c r="W68" s="28"/>
      <c r="Z68" s="28"/>
      <c r="AC68" s="28"/>
      <c r="AF68" s="28"/>
      <c r="AI68" s="28"/>
      <c r="AL68" s="28"/>
      <c r="AO68" s="28"/>
      <c r="AR68" s="28"/>
      <c r="AU68" s="28"/>
      <c r="AX68" s="28"/>
      <c r="BA68" s="28"/>
      <c r="BD68" s="28"/>
      <c r="BG68" s="28"/>
      <c r="BJ68" s="28"/>
      <c r="BM68" s="28"/>
      <c r="BP68" s="28"/>
      <c r="BS68" s="28"/>
      <c r="BV68" s="28"/>
      <c r="BY68" s="28"/>
      <c r="CB68" s="28"/>
      <c r="CE68" s="28"/>
      <c r="CH68" s="28"/>
      <c r="CK68" s="28"/>
      <c r="CN68" s="28"/>
      <c r="CQ68" s="28"/>
      <c r="CT68" s="28"/>
      <c r="CW68" s="28"/>
      <c r="CZ68" s="28"/>
      <c r="DC68" s="28"/>
      <c r="DF68" s="28"/>
      <c r="DI68" s="28"/>
      <c r="DL68" s="28"/>
      <c r="DO68" s="28"/>
      <c r="DR68" s="28"/>
      <c r="DU68" s="28"/>
      <c r="DX68" s="28"/>
      <c r="EA68" s="28"/>
      <c r="ED68" s="28"/>
      <c r="EG68" s="28"/>
      <c r="EJ68" s="28"/>
      <c r="EM68" s="28"/>
      <c r="EP68" s="28"/>
      <c r="ES68" s="28"/>
      <c r="EV68" s="28"/>
      <c r="EY68" s="28"/>
      <c r="FB68" s="28"/>
      <c r="FE68" s="28"/>
      <c r="FH68" s="28"/>
      <c r="FK68" s="28"/>
      <c r="FN68" s="28"/>
      <c r="FQ68" s="28"/>
      <c r="FT68" s="28"/>
      <c r="FW68" s="28"/>
      <c r="FZ68" s="28"/>
      <c r="GC68" s="28"/>
    </row>
    <row r="69" spans="1:185" s="25" customFormat="1" x14ac:dyDescent="0.3">
      <c r="A69" s="27"/>
      <c r="B69" s="28"/>
      <c r="C69" s="27"/>
      <c r="D69" s="26"/>
      <c r="E69" s="28"/>
      <c r="H69" s="28"/>
      <c r="K69" s="28"/>
      <c r="N69" s="28"/>
      <c r="Q69" s="28"/>
      <c r="T69" s="28"/>
      <c r="W69" s="28"/>
      <c r="Z69" s="28"/>
      <c r="AC69" s="28"/>
      <c r="AF69" s="28"/>
      <c r="AI69" s="28"/>
      <c r="AL69" s="28"/>
      <c r="AO69" s="28"/>
      <c r="AR69" s="28"/>
      <c r="AU69" s="28"/>
      <c r="AX69" s="28"/>
      <c r="BA69" s="28"/>
      <c r="BD69" s="28"/>
      <c r="BG69" s="28"/>
      <c r="BJ69" s="28"/>
      <c r="BM69" s="28"/>
      <c r="BP69" s="28"/>
      <c r="BS69" s="28"/>
      <c r="BV69" s="28"/>
      <c r="BY69" s="28"/>
      <c r="CB69" s="28"/>
      <c r="CE69" s="28"/>
      <c r="CH69" s="28"/>
      <c r="CK69" s="28"/>
      <c r="CN69" s="28"/>
      <c r="CQ69" s="28"/>
      <c r="CT69" s="28"/>
      <c r="CW69" s="28"/>
      <c r="CZ69" s="28"/>
      <c r="DC69" s="28"/>
      <c r="DF69" s="28"/>
      <c r="DI69" s="28"/>
      <c r="DL69" s="28"/>
      <c r="DO69" s="28"/>
      <c r="DR69" s="28"/>
      <c r="DU69" s="28"/>
      <c r="DX69" s="28"/>
      <c r="EA69" s="28"/>
      <c r="ED69" s="28"/>
      <c r="EG69" s="28"/>
      <c r="EJ69" s="28"/>
      <c r="EM69" s="28"/>
      <c r="EP69" s="28"/>
      <c r="ES69" s="28"/>
      <c r="EV69" s="28"/>
      <c r="EY69" s="28"/>
      <c r="FB69" s="28"/>
      <c r="FE69" s="28"/>
      <c r="FH69" s="28"/>
      <c r="FK69" s="28"/>
      <c r="FN69" s="28"/>
      <c r="FQ69" s="28"/>
      <c r="FT69" s="28"/>
      <c r="FW69" s="28"/>
      <c r="FZ69" s="28"/>
      <c r="GC69" s="28"/>
    </row>
    <row r="70" spans="1:185" s="25" customFormat="1" x14ac:dyDescent="0.3">
      <c r="A70" s="27"/>
      <c r="B70" s="28"/>
      <c r="C70" s="27"/>
      <c r="D70" s="26"/>
      <c r="E70" s="28"/>
      <c r="H70" s="28"/>
      <c r="K70" s="28"/>
      <c r="N70" s="28"/>
      <c r="Q70" s="28"/>
      <c r="T70" s="28"/>
      <c r="W70" s="28"/>
      <c r="Z70" s="28"/>
      <c r="AC70" s="28"/>
      <c r="AF70" s="28"/>
      <c r="AI70" s="28"/>
      <c r="AL70" s="28"/>
      <c r="AO70" s="28"/>
      <c r="AR70" s="28"/>
      <c r="AU70" s="28"/>
      <c r="AX70" s="28"/>
      <c r="BA70" s="28"/>
      <c r="BD70" s="28"/>
      <c r="BG70" s="28"/>
      <c r="BJ70" s="28"/>
      <c r="BM70" s="28"/>
      <c r="BP70" s="28"/>
      <c r="BS70" s="28"/>
      <c r="BV70" s="28"/>
      <c r="BY70" s="28"/>
      <c r="CB70" s="28"/>
      <c r="CE70" s="28"/>
      <c r="CH70" s="28"/>
      <c r="CK70" s="28"/>
      <c r="CN70" s="28"/>
      <c r="CQ70" s="28"/>
      <c r="CT70" s="28"/>
      <c r="CW70" s="28"/>
      <c r="CZ70" s="28"/>
      <c r="DC70" s="28"/>
      <c r="DF70" s="28"/>
      <c r="DI70" s="28"/>
      <c r="DL70" s="28"/>
      <c r="DO70" s="28"/>
      <c r="DR70" s="28"/>
      <c r="DU70" s="28"/>
      <c r="DX70" s="28"/>
      <c r="EA70" s="28"/>
      <c r="ED70" s="28"/>
      <c r="EG70" s="28"/>
      <c r="EJ70" s="28"/>
      <c r="EM70" s="28"/>
      <c r="EP70" s="28"/>
      <c r="ES70" s="28"/>
      <c r="EV70" s="28"/>
      <c r="EY70" s="28"/>
      <c r="FB70" s="28"/>
      <c r="FE70" s="28"/>
      <c r="FH70" s="28"/>
      <c r="FK70" s="28"/>
      <c r="FN70" s="28"/>
      <c r="FQ70" s="28"/>
      <c r="FT70" s="28"/>
      <c r="FW70" s="28"/>
      <c r="FZ70" s="28"/>
      <c r="GC70" s="28"/>
    </row>
    <row r="71" spans="1:185" s="25" customFormat="1" x14ac:dyDescent="0.3">
      <c r="A71" s="27"/>
      <c r="B71" s="28"/>
      <c r="C71" s="27"/>
      <c r="D71" s="26"/>
      <c r="E71" s="28"/>
      <c r="H71" s="28"/>
      <c r="K71" s="28"/>
      <c r="N71" s="28"/>
      <c r="Q71" s="28"/>
      <c r="T71" s="28"/>
      <c r="W71" s="28"/>
      <c r="Z71" s="28"/>
      <c r="AC71" s="28"/>
      <c r="AF71" s="28"/>
      <c r="AI71" s="28"/>
      <c r="AL71" s="28"/>
      <c r="AO71" s="28"/>
      <c r="AR71" s="28"/>
      <c r="AU71" s="28"/>
      <c r="AX71" s="28"/>
      <c r="BA71" s="28"/>
      <c r="BD71" s="28"/>
      <c r="BG71" s="28"/>
      <c r="BJ71" s="28"/>
      <c r="BM71" s="28"/>
      <c r="BP71" s="28"/>
      <c r="BS71" s="28"/>
      <c r="BV71" s="28"/>
      <c r="BY71" s="28"/>
      <c r="CB71" s="28"/>
      <c r="CE71" s="28"/>
      <c r="CH71" s="28"/>
      <c r="CK71" s="28"/>
      <c r="CN71" s="28"/>
      <c r="CQ71" s="28"/>
      <c r="CT71" s="28"/>
      <c r="CW71" s="28"/>
      <c r="CZ71" s="28"/>
      <c r="DC71" s="28"/>
      <c r="DF71" s="28"/>
      <c r="DI71" s="28"/>
      <c r="DL71" s="28"/>
      <c r="DO71" s="28"/>
      <c r="DR71" s="28"/>
      <c r="DU71" s="28"/>
      <c r="DX71" s="28"/>
      <c r="EA71" s="28"/>
      <c r="ED71" s="28"/>
      <c r="EG71" s="28"/>
      <c r="EJ71" s="28"/>
      <c r="EM71" s="28"/>
      <c r="EP71" s="28"/>
      <c r="ES71" s="28"/>
      <c r="EV71" s="28"/>
      <c r="EY71" s="28"/>
      <c r="FB71" s="28"/>
      <c r="FE71" s="28"/>
      <c r="FH71" s="28"/>
      <c r="FK71" s="28"/>
      <c r="FN71" s="28"/>
      <c r="FQ71" s="28"/>
      <c r="FT71" s="28"/>
      <c r="FW71" s="28"/>
      <c r="FZ71" s="28"/>
      <c r="GC71" s="28"/>
    </row>
    <row r="72" spans="1:185" s="25" customFormat="1" x14ac:dyDescent="0.3">
      <c r="A72" s="27"/>
      <c r="B72" s="28"/>
      <c r="C72" s="27"/>
      <c r="D72" s="26"/>
      <c r="E72" s="28"/>
      <c r="H72" s="28"/>
      <c r="K72" s="28"/>
      <c r="N72" s="28"/>
      <c r="Q72" s="28"/>
      <c r="T72" s="28"/>
      <c r="W72" s="28"/>
      <c r="Z72" s="28"/>
      <c r="AC72" s="28"/>
      <c r="AF72" s="28"/>
      <c r="AI72" s="28"/>
      <c r="AL72" s="28"/>
      <c r="AO72" s="28"/>
      <c r="AR72" s="28"/>
      <c r="AU72" s="28"/>
      <c r="AX72" s="28"/>
      <c r="BA72" s="28"/>
      <c r="BD72" s="28"/>
      <c r="BG72" s="28"/>
      <c r="BJ72" s="28"/>
      <c r="BM72" s="28"/>
      <c r="BP72" s="28"/>
      <c r="BS72" s="28"/>
      <c r="BV72" s="28"/>
      <c r="BY72" s="28"/>
      <c r="CB72" s="28"/>
      <c r="CE72" s="28"/>
      <c r="CH72" s="28"/>
      <c r="CK72" s="28"/>
      <c r="CN72" s="28"/>
      <c r="CQ72" s="28"/>
      <c r="CT72" s="28"/>
      <c r="CW72" s="28"/>
      <c r="CZ72" s="28"/>
      <c r="DC72" s="28"/>
      <c r="DF72" s="28"/>
      <c r="DI72" s="28"/>
      <c r="DL72" s="28"/>
      <c r="DO72" s="28"/>
      <c r="DR72" s="28"/>
      <c r="DU72" s="28"/>
      <c r="DX72" s="28"/>
      <c r="EA72" s="28"/>
      <c r="ED72" s="28"/>
      <c r="EG72" s="28"/>
      <c r="EJ72" s="28"/>
      <c r="EM72" s="28"/>
      <c r="EP72" s="28"/>
      <c r="ES72" s="28"/>
      <c r="EV72" s="28"/>
      <c r="EY72" s="28"/>
      <c r="FB72" s="28"/>
      <c r="FE72" s="28"/>
      <c r="FH72" s="28"/>
      <c r="FK72" s="28"/>
      <c r="FN72" s="28"/>
      <c r="FQ72" s="28"/>
      <c r="FT72" s="28"/>
      <c r="FW72" s="28"/>
      <c r="FZ72" s="28"/>
      <c r="GC72" s="28"/>
    </row>
    <row r="73" spans="1:185" s="25" customFormat="1" x14ac:dyDescent="0.3">
      <c r="A73" s="27"/>
      <c r="B73" s="28"/>
      <c r="C73" s="27"/>
      <c r="D73" s="26"/>
      <c r="E73" s="28"/>
      <c r="H73" s="28"/>
      <c r="K73" s="28"/>
      <c r="N73" s="28"/>
      <c r="Q73" s="28"/>
      <c r="T73" s="28"/>
      <c r="W73" s="28"/>
      <c r="Z73" s="28"/>
      <c r="AC73" s="28"/>
      <c r="AF73" s="28"/>
      <c r="AI73" s="28"/>
      <c r="AL73" s="28"/>
      <c r="AO73" s="28"/>
      <c r="AR73" s="28"/>
      <c r="AU73" s="28"/>
      <c r="AX73" s="28"/>
      <c r="BA73" s="28"/>
      <c r="BD73" s="28"/>
      <c r="BG73" s="28"/>
      <c r="BJ73" s="28"/>
      <c r="BM73" s="28"/>
      <c r="BP73" s="28"/>
      <c r="BS73" s="28"/>
      <c r="BV73" s="28"/>
      <c r="BY73" s="28"/>
      <c r="CB73" s="28"/>
      <c r="CE73" s="28"/>
      <c r="CH73" s="28"/>
      <c r="CK73" s="28"/>
      <c r="CN73" s="28"/>
      <c r="CQ73" s="28"/>
      <c r="CT73" s="28"/>
      <c r="CW73" s="28"/>
      <c r="CZ73" s="28"/>
      <c r="DC73" s="28"/>
      <c r="DF73" s="28"/>
      <c r="DI73" s="28"/>
      <c r="DL73" s="28"/>
      <c r="DO73" s="28"/>
      <c r="DR73" s="28"/>
      <c r="DU73" s="28"/>
      <c r="DX73" s="28"/>
      <c r="EA73" s="28"/>
      <c r="ED73" s="28"/>
      <c r="EG73" s="28"/>
      <c r="EJ73" s="28"/>
      <c r="EM73" s="28"/>
      <c r="EP73" s="28"/>
      <c r="ES73" s="28"/>
      <c r="EV73" s="28"/>
      <c r="EY73" s="28"/>
      <c r="FB73" s="28"/>
      <c r="FE73" s="28"/>
      <c r="FH73" s="28"/>
      <c r="FK73" s="28"/>
      <c r="FN73" s="28"/>
      <c r="FQ73" s="28"/>
      <c r="FT73" s="28"/>
      <c r="FW73" s="28"/>
      <c r="FZ73" s="28"/>
      <c r="GC73" s="28"/>
    </row>
    <row r="74" spans="1:185" s="25" customFormat="1" x14ac:dyDescent="0.3">
      <c r="A74" s="27"/>
      <c r="B74" s="28"/>
      <c r="C74" s="27"/>
      <c r="D74" s="26"/>
      <c r="E74" s="28"/>
      <c r="H74" s="28"/>
      <c r="K74" s="28"/>
      <c r="N74" s="28"/>
      <c r="Q74" s="28"/>
      <c r="T74" s="28"/>
      <c r="W74" s="28"/>
      <c r="Z74" s="28"/>
      <c r="AC74" s="28"/>
      <c r="AF74" s="28"/>
      <c r="AI74" s="28"/>
      <c r="AL74" s="28"/>
      <c r="AO74" s="28"/>
      <c r="AR74" s="28"/>
      <c r="AU74" s="28"/>
      <c r="AX74" s="28"/>
      <c r="BA74" s="28"/>
      <c r="BD74" s="28"/>
      <c r="BG74" s="28"/>
      <c r="BJ74" s="28"/>
      <c r="BM74" s="28"/>
      <c r="BP74" s="28"/>
      <c r="BS74" s="28"/>
      <c r="BV74" s="28"/>
      <c r="BY74" s="28"/>
      <c r="CB74" s="28"/>
      <c r="CE74" s="28"/>
      <c r="CH74" s="28"/>
      <c r="CK74" s="28"/>
      <c r="CN74" s="28"/>
      <c r="CQ74" s="28"/>
      <c r="CT74" s="28"/>
      <c r="CW74" s="28"/>
      <c r="CZ74" s="28"/>
      <c r="DC74" s="28"/>
      <c r="DF74" s="28"/>
      <c r="DI74" s="28"/>
      <c r="DL74" s="28"/>
      <c r="DO74" s="28"/>
      <c r="DR74" s="28"/>
      <c r="DU74" s="28"/>
      <c r="DX74" s="28"/>
      <c r="EA74" s="28"/>
      <c r="ED74" s="28"/>
      <c r="EG74" s="28"/>
      <c r="EJ74" s="28"/>
      <c r="EM74" s="28"/>
      <c r="EP74" s="28"/>
      <c r="ES74" s="28"/>
      <c r="EV74" s="28"/>
      <c r="EY74" s="28"/>
      <c r="FB74" s="28"/>
      <c r="FE74" s="28"/>
      <c r="FH74" s="28"/>
      <c r="FK74" s="28"/>
      <c r="FN74" s="28"/>
      <c r="FQ74" s="28"/>
      <c r="FT74" s="28"/>
      <c r="FW74" s="28"/>
      <c r="FZ74" s="28"/>
      <c r="GC74" s="28"/>
    </row>
    <row r="75" spans="1:185" s="25" customFormat="1" x14ac:dyDescent="0.3">
      <c r="A75" s="27"/>
      <c r="B75" s="28"/>
      <c r="C75" s="27"/>
      <c r="D75" s="26"/>
      <c r="E75" s="28"/>
      <c r="H75" s="28"/>
      <c r="K75" s="28"/>
      <c r="N75" s="28"/>
      <c r="Q75" s="28"/>
      <c r="T75" s="28"/>
      <c r="W75" s="28"/>
      <c r="Z75" s="28"/>
      <c r="AC75" s="28"/>
      <c r="AF75" s="28"/>
      <c r="AI75" s="28"/>
      <c r="AL75" s="28"/>
      <c r="AO75" s="28"/>
      <c r="AR75" s="28"/>
      <c r="AU75" s="28"/>
      <c r="AX75" s="28"/>
      <c r="BA75" s="28"/>
      <c r="BD75" s="28"/>
      <c r="BG75" s="28"/>
      <c r="BJ75" s="28"/>
      <c r="BM75" s="28"/>
      <c r="BP75" s="28"/>
      <c r="BS75" s="28"/>
      <c r="BV75" s="28"/>
      <c r="BY75" s="28"/>
      <c r="CB75" s="28"/>
      <c r="CE75" s="28"/>
      <c r="CH75" s="28"/>
      <c r="CK75" s="28"/>
      <c r="CN75" s="28"/>
      <c r="CQ75" s="28"/>
      <c r="CT75" s="28"/>
      <c r="CW75" s="28"/>
      <c r="CZ75" s="28"/>
      <c r="DC75" s="28"/>
      <c r="DF75" s="28"/>
      <c r="DI75" s="28"/>
      <c r="DL75" s="28"/>
      <c r="DO75" s="28"/>
      <c r="DR75" s="28"/>
      <c r="DU75" s="28"/>
      <c r="DX75" s="28"/>
      <c r="EA75" s="28"/>
      <c r="ED75" s="28"/>
      <c r="EG75" s="28"/>
      <c r="EJ75" s="28"/>
      <c r="EM75" s="28"/>
      <c r="EP75" s="28"/>
      <c r="ES75" s="28"/>
      <c r="EV75" s="28"/>
      <c r="EY75" s="28"/>
      <c r="FB75" s="28"/>
      <c r="FE75" s="28"/>
      <c r="FH75" s="28"/>
      <c r="FK75" s="28"/>
      <c r="FN75" s="28"/>
      <c r="FQ75" s="28"/>
      <c r="FT75" s="28"/>
      <c r="FW75" s="28"/>
      <c r="FZ75" s="28"/>
      <c r="GC75" s="28"/>
    </row>
    <row r="76" spans="1:185" s="25" customFormat="1" x14ac:dyDescent="0.3">
      <c r="A76" s="27"/>
      <c r="B76" s="28"/>
      <c r="C76" s="27"/>
      <c r="D76" s="26"/>
      <c r="E76" s="28"/>
      <c r="H76" s="28"/>
      <c r="K76" s="28"/>
      <c r="N76" s="28"/>
      <c r="Q76" s="28"/>
      <c r="T76" s="28"/>
      <c r="W76" s="28"/>
      <c r="Z76" s="28"/>
      <c r="AC76" s="28"/>
      <c r="AF76" s="28"/>
      <c r="AI76" s="28"/>
      <c r="AL76" s="28"/>
      <c r="AO76" s="28"/>
      <c r="AR76" s="28"/>
      <c r="AU76" s="28"/>
      <c r="AX76" s="28"/>
      <c r="BA76" s="28"/>
      <c r="BD76" s="28"/>
      <c r="BG76" s="28"/>
      <c r="BJ76" s="28"/>
      <c r="BM76" s="28"/>
      <c r="BP76" s="28"/>
      <c r="BS76" s="28"/>
      <c r="BV76" s="28"/>
      <c r="BY76" s="28"/>
      <c r="CB76" s="28"/>
      <c r="CE76" s="28"/>
      <c r="CH76" s="28"/>
      <c r="CK76" s="28"/>
      <c r="CN76" s="28"/>
      <c r="CQ76" s="28"/>
      <c r="CT76" s="28"/>
      <c r="CW76" s="28"/>
      <c r="CZ76" s="28"/>
      <c r="DC76" s="28"/>
      <c r="DF76" s="28"/>
      <c r="DI76" s="28"/>
      <c r="DL76" s="28"/>
      <c r="DO76" s="28"/>
      <c r="DR76" s="28"/>
      <c r="DU76" s="28"/>
      <c r="DX76" s="28"/>
      <c r="EA76" s="28"/>
      <c r="ED76" s="28"/>
      <c r="EG76" s="28"/>
      <c r="EJ76" s="28"/>
      <c r="EM76" s="28"/>
      <c r="EP76" s="28"/>
      <c r="ES76" s="28"/>
      <c r="EV76" s="28"/>
      <c r="EY76" s="28"/>
      <c r="FB76" s="28"/>
      <c r="FE76" s="28"/>
      <c r="FH76" s="28"/>
      <c r="FK76" s="28"/>
      <c r="FN76" s="28"/>
      <c r="FQ76" s="28"/>
      <c r="FT76" s="28"/>
      <c r="FW76" s="28"/>
      <c r="FZ76" s="28"/>
      <c r="GC76" s="28"/>
    </row>
    <row r="77" spans="1:185" s="25" customFormat="1" x14ac:dyDescent="0.3">
      <c r="A77" s="27"/>
      <c r="B77" s="28"/>
      <c r="C77" s="27"/>
      <c r="D77" s="26"/>
      <c r="E77" s="28"/>
      <c r="H77" s="28"/>
      <c r="K77" s="28"/>
      <c r="N77" s="28"/>
      <c r="Q77" s="28"/>
      <c r="T77" s="28"/>
      <c r="W77" s="28"/>
      <c r="Z77" s="28"/>
      <c r="AC77" s="28"/>
      <c r="AF77" s="28"/>
      <c r="AI77" s="28"/>
      <c r="AL77" s="28"/>
      <c r="AO77" s="28"/>
      <c r="AR77" s="28"/>
      <c r="AU77" s="28"/>
      <c r="AX77" s="28"/>
      <c r="BA77" s="28"/>
      <c r="BD77" s="28"/>
      <c r="BG77" s="28"/>
      <c r="BJ77" s="28"/>
      <c r="BM77" s="28"/>
      <c r="BP77" s="28"/>
      <c r="BS77" s="28"/>
      <c r="BV77" s="28"/>
      <c r="BY77" s="28"/>
      <c r="CB77" s="28"/>
      <c r="CE77" s="28"/>
      <c r="CH77" s="28"/>
      <c r="CK77" s="28"/>
      <c r="CN77" s="28"/>
      <c r="CQ77" s="28"/>
      <c r="CT77" s="28"/>
      <c r="CW77" s="28"/>
      <c r="CZ77" s="28"/>
      <c r="DC77" s="28"/>
      <c r="DF77" s="28"/>
      <c r="DI77" s="28"/>
      <c r="DL77" s="28"/>
      <c r="DO77" s="28"/>
      <c r="DR77" s="28"/>
      <c r="DU77" s="28"/>
      <c r="DX77" s="28"/>
      <c r="EA77" s="28"/>
      <c r="ED77" s="28"/>
      <c r="EG77" s="28"/>
      <c r="EJ77" s="28"/>
      <c r="EM77" s="28"/>
      <c r="EP77" s="28"/>
      <c r="ES77" s="28"/>
      <c r="EV77" s="28"/>
      <c r="EY77" s="28"/>
      <c r="FB77" s="28"/>
      <c r="FE77" s="28"/>
      <c r="FH77" s="28"/>
      <c r="FK77" s="28"/>
      <c r="FN77" s="28"/>
      <c r="FQ77" s="28"/>
      <c r="FT77" s="28"/>
      <c r="FW77" s="28"/>
      <c r="FZ77" s="28"/>
      <c r="GC77" s="28"/>
    </row>
    <row r="78" spans="1:185" s="25" customFormat="1" x14ac:dyDescent="0.3">
      <c r="A78" s="27"/>
      <c r="B78" s="28"/>
      <c r="C78" s="27"/>
      <c r="D78" s="26"/>
      <c r="E78" s="28"/>
      <c r="H78" s="28"/>
      <c r="K78" s="28"/>
      <c r="N78" s="28"/>
      <c r="Q78" s="28"/>
      <c r="T78" s="28"/>
      <c r="W78" s="28"/>
      <c r="Z78" s="28"/>
      <c r="AC78" s="28"/>
      <c r="AF78" s="28"/>
      <c r="AI78" s="28"/>
      <c r="AL78" s="28"/>
      <c r="AO78" s="28"/>
      <c r="AR78" s="28"/>
      <c r="AU78" s="28"/>
      <c r="AX78" s="28"/>
      <c r="BA78" s="28"/>
      <c r="BD78" s="28"/>
      <c r="BG78" s="28"/>
      <c r="BJ78" s="28"/>
      <c r="BM78" s="28"/>
      <c r="BP78" s="28"/>
      <c r="BS78" s="28"/>
      <c r="BV78" s="28"/>
      <c r="BY78" s="28"/>
      <c r="CB78" s="28"/>
      <c r="CE78" s="28"/>
      <c r="CH78" s="28"/>
      <c r="CK78" s="28"/>
      <c r="CN78" s="28"/>
      <c r="CQ78" s="28"/>
      <c r="CT78" s="28"/>
      <c r="CW78" s="28"/>
      <c r="CZ78" s="28"/>
      <c r="DC78" s="28"/>
      <c r="DF78" s="28"/>
      <c r="DI78" s="28"/>
      <c r="DL78" s="28"/>
      <c r="DO78" s="28"/>
      <c r="DR78" s="28"/>
      <c r="DU78" s="28"/>
      <c r="DX78" s="28"/>
      <c r="EA78" s="28"/>
      <c r="ED78" s="28"/>
      <c r="EG78" s="28"/>
      <c r="EJ78" s="28"/>
      <c r="EM78" s="28"/>
      <c r="EP78" s="28"/>
      <c r="ES78" s="28"/>
      <c r="EV78" s="28"/>
      <c r="EY78" s="28"/>
      <c r="FB78" s="28"/>
      <c r="FE78" s="28"/>
      <c r="FH78" s="28"/>
      <c r="FK78" s="28"/>
      <c r="FN78" s="28"/>
      <c r="FQ78" s="28"/>
      <c r="FT78" s="28"/>
      <c r="FW78" s="28"/>
      <c r="FZ78" s="28"/>
      <c r="GC78" s="28"/>
    </row>
    <row r="79" spans="1:185" s="25" customFormat="1" x14ac:dyDescent="0.3">
      <c r="A79" s="27"/>
      <c r="B79" s="28"/>
      <c r="C79" s="27"/>
      <c r="D79" s="26"/>
      <c r="E79" s="28"/>
      <c r="H79" s="28"/>
      <c r="K79" s="28"/>
      <c r="N79" s="28"/>
      <c r="Q79" s="28"/>
      <c r="T79" s="28"/>
      <c r="W79" s="28"/>
      <c r="Z79" s="28"/>
      <c r="AC79" s="28"/>
      <c r="AF79" s="28"/>
      <c r="AI79" s="28"/>
      <c r="AL79" s="28"/>
      <c r="AO79" s="28"/>
      <c r="AR79" s="28"/>
      <c r="AU79" s="28"/>
      <c r="AX79" s="28"/>
      <c r="BA79" s="28"/>
      <c r="BD79" s="28"/>
      <c r="BG79" s="28"/>
      <c r="BJ79" s="28"/>
      <c r="BM79" s="28"/>
      <c r="BP79" s="28"/>
      <c r="BS79" s="28"/>
      <c r="BV79" s="28"/>
      <c r="BY79" s="28"/>
      <c r="CB79" s="28"/>
      <c r="CE79" s="28"/>
      <c r="CH79" s="28"/>
      <c r="CK79" s="28"/>
      <c r="CN79" s="28"/>
      <c r="CQ79" s="28"/>
      <c r="CT79" s="28"/>
      <c r="CW79" s="28"/>
      <c r="CZ79" s="28"/>
      <c r="DC79" s="28"/>
      <c r="DF79" s="28"/>
      <c r="DI79" s="28"/>
      <c r="DL79" s="28"/>
      <c r="DO79" s="28"/>
      <c r="DR79" s="28"/>
      <c r="DU79" s="28"/>
      <c r="DX79" s="28"/>
      <c r="EA79" s="28"/>
      <c r="ED79" s="28"/>
      <c r="EG79" s="28"/>
      <c r="EJ79" s="28"/>
      <c r="EM79" s="28"/>
      <c r="EP79" s="28"/>
      <c r="ES79" s="28"/>
      <c r="EV79" s="28"/>
      <c r="EY79" s="28"/>
      <c r="FB79" s="28"/>
      <c r="FE79" s="28"/>
      <c r="FH79" s="28"/>
      <c r="FK79" s="28"/>
      <c r="FN79" s="28"/>
      <c r="FQ79" s="28"/>
      <c r="FT79" s="28"/>
      <c r="FW79" s="28"/>
      <c r="FZ79" s="28"/>
      <c r="GC79" s="28"/>
    </row>
    <row r="80" spans="1:185" s="25" customFormat="1" x14ac:dyDescent="0.3">
      <c r="A80" s="27"/>
      <c r="B80" s="28"/>
      <c r="C80" s="27"/>
      <c r="D80" s="26"/>
      <c r="E80" s="28"/>
      <c r="H80" s="28"/>
      <c r="K80" s="28"/>
      <c r="N80" s="28"/>
      <c r="Q80" s="28"/>
      <c r="T80" s="28"/>
      <c r="W80" s="28"/>
      <c r="Z80" s="28"/>
      <c r="AC80" s="28"/>
      <c r="AF80" s="28"/>
      <c r="AI80" s="28"/>
      <c r="AL80" s="28"/>
      <c r="AO80" s="28"/>
      <c r="AR80" s="28"/>
      <c r="AU80" s="28"/>
      <c r="AX80" s="28"/>
      <c r="BA80" s="28"/>
      <c r="BD80" s="28"/>
      <c r="BG80" s="28"/>
      <c r="BJ80" s="28"/>
      <c r="BM80" s="28"/>
      <c r="BP80" s="28"/>
      <c r="BS80" s="28"/>
      <c r="BV80" s="28"/>
      <c r="BY80" s="28"/>
      <c r="CB80" s="28"/>
      <c r="CE80" s="28"/>
      <c r="CH80" s="28"/>
      <c r="CK80" s="28"/>
      <c r="CN80" s="28"/>
      <c r="CQ80" s="28"/>
      <c r="CT80" s="28"/>
      <c r="CW80" s="28"/>
      <c r="CZ80" s="28"/>
      <c r="DC80" s="28"/>
      <c r="DF80" s="28"/>
      <c r="DI80" s="28"/>
      <c r="DL80" s="28"/>
      <c r="DO80" s="28"/>
      <c r="DR80" s="28"/>
      <c r="DU80" s="28"/>
      <c r="DX80" s="28"/>
      <c r="EA80" s="28"/>
      <c r="ED80" s="28"/>
      <c r="EG80" s="28"/>
      <c r="EJ80" s="28"/>
      <c r="EM80" s="28"/>
      <c r="EP80" s="28"/>
      <c r="ES80" s="28"/>
      <c r="EV80" s="28"/>
      <c r="EY80" s="28"/>
      <c r="FB80" s="28"/>
      <c r="FE80" s="28"/>
      <c r="FH80" s="28"/>
      <c r="FK80" s="28"/>
      <c r="FN80" s="28"/>
      <c r="FQ80" s="28"/>
      <c r="FT80" s="28"/>
      <c r="FW80" s="28"/>
      <c r="FZ80" s="28"/>
      <c r="GC80" s="28"/>
    </row>
    <row r="81" spans="1:185" s="25" customFormat="1" x14ac:dyDescent="0.3">
      <c r="A81" s="27"/>
      <c r="B81" s="28"/>
      <c r="C81" s="27"/>
      <c r="D81" s="26"/>
      <c r="E81" s="28"/>
      <c r="H81" s="28"/>
      <c r="K81" s="28"/>
      <c r="N81" s="28"/>
      <c r="Q81" s="28"/>
      <c r="T81" s="28"/>
      <c r="W81" s="28"/>
      <c r="Z81" s="28"/>
      <c r="AC81" s="28"/>
      <c r="AF81" s="28"/>
      <c r="AI81" s="28"/>
      <c r="AL81" s="28"/>
      <c r="AO81" s="28"/>
      <c r="AR81" s="28"/>
      <c r="AU81" s="28"/>
      <c r="AX81" s="28"/>
      <c r="BA81" s="28"/>
      <c r="BD81" s="28"/>
      <c r="BG81" s="28"/>
      <c r="BJ81" s="28"/>
      <c r="BM81" s="28"/>
      <c r="BP81" s="28"/>
      <c r="BS81" s="28"/>
      <c r="BV81" s="28"/>
      <c r="BY81" s="28"/>
      <c r="CB81" s="28"/>
      <c r="CE81" s="28"/>
      <c r="CH81" s="28"/>
      <c r="CK81" s="28"/>
      <c r="CN81" s="28"/>
      <c r="CQ81" s="28"/>
      <c r="CT81" s="28"/>
      <c r="CW81" s="28"/>
      <c r="CZ81" s="28"/>
      <c r="DC81" s="28"/>
      <c r="DF81" s="28"/>
      <c r="DI81" s="28"/>
      <c r="DL81" s="28"/>
      <c r="DO81" s="28"/>
      <c r="DR81" s="28"/>
      <c r="DU81" s="28"/>
      <c r="DX81" s="28"/>
      <c r="EA81" s="28"/>
      <c r="ED81" s="28"/>
      <c r="EG81" s="28"/>
      <c r="EJ81" s="28"/>
      <c r="EM81" s="28"/>
      <c r="EP81" s="28"/>
      <c r="ES81" s="28"/>
      <c r="EV81" s="28"/>
      <c r="EY81" s="28"/>
      <c r="FB81" s="28"/>
      <c r="FE81" s="28"/>
      <c r="FH81" s="28"/>
      <c r="FK81" s="28"/>
      <c r="FN81" s="28"/>
      <c r="FQ81" s="28"/>
      <c r="FT81" s="28"/>
      <c r="FW81" s="28"/>
      <c r="FZ81" s="28"/>
      <c r="GC81" s="28"/>
    </row>
    <row r="82" spans="1:185" s="25" customFormat="1" x14ac:dyDescent="0.3">
      <c r="A82" s="27"/>
      <c r="B82" s="28"/>
      <c r="C82" s="27"/>
      <c r="D82" s="26"/>
      <c r="E82" s="28"/>
      <c r="H82" s="28"/>
      <c r="K82" s="28"/>
      <c r="N82" s="28"/>
      <c r="Q82" s="28"/>
      <c r="T82" s="28"/>
      <c r="W82" s="28"/>
      <c r="Z82" s="28"/>
      <c r="AC82" s="28"/>
      <c r="AF82" s="28"/>
      <c r="AI82" s="28"/>
      <c r="AL82" s="28"/>
      <c r="AO82" s="28"/>
      <c r="AR82" s="28"/>
      <c r="AU82" s="28"/>
      <c r="AX82" s="28"/>
      <c r="BA82" s="28"/>
      <c r="BD82" s="28"/>
      <c r="BG82" s="28"/>
      <c r="BJ82" s="28"/>
      <c r="BM82" s="28"/>
      <c r="BP82" s="28"/>
      <c r="BS82" s="28"/>
      <c r="BV82" s="28"/>
      <c r="BY82" s="28"/>
      <c r="CB82" s="28"/>
      <c r="CE82" s="28"/>
      <c r="CH82" s="28"/>
      <c r="CK82" s="28"/>
      <c r="CN82" s="28"/>
      <c r="CQ82" s="28"/>
      <c r="CT82" s="28"/>
      <c r="CW82" s="28"/>
      <c r="CZ82" s="28"/>
      <c r="DC82" s="28"/>
      <c r="DF82" s="28"/>
      <c r="DI82" s="28"/>
      <c r="DL82" s="28"/>
      <c r="DO82" s="28"/>
      <c r="DR82" s="28"/>
      <c r="DU82" s="28"/>
      <c r="DX82" s="28"/>
      <c r="EA82" s="28"/>
      <c r="ED82" s="28"/>
      <c r="EG82" s="28"/>
      <c r="EJ82" s="28"/>
      <c r="EM82" s="28"/>
      <c r="EP82" s="28"/>
      <c r="ES82" s="28"/>
      <c r="EV82" s="28"/>
      <c r="EY82" s="28"/>
      <c r="FB82" s="28"/>
      <c r="FE82" s="28"/>
      <c r="FH82" s="28"/>
      <c r="FK82" s="28"/>
      <c r="FN82" s="28"/>
      <c r="FQ82" s="28"/>
      <c r="FT82" s="28"/>
      <c r="FW82" s="28"/>
      <c r="FZ82" s="28"/>
      <c r="GC82" s="28"/>
    </row>
    <row r="83" spans="1:185" s="25" customFormat="1" x14ac:dyDescent="0.3">
      <c r="A83" s="27"/>
      <c r="B83" s="28"/>
      <c r="C83" s="27"/>
      <c r="D83" s="26"/>
      <c r="E83" s="28"/>
      <c r="H83" s="28"/>
      <c r="K83" s="28"/>
      <c r="N83" s="28"/>
      <c r="Q83" s="28"/>
      <c r="T83" s="28"/>
      <c r="W83" s="28"/>
      <c r="Z83" s="28"/>
      <c r="AC83" s="28"/>
      <c r="AF83" s="28"/>
      <c r="AI83" s="28"/>
      <c r="AL83" s="28"/>
      <c r="AO83" s="28"/>
      <c r="AR83" s="28"/>
      <c r="AU83" s="28"/>
      <c r="AX83" s="28"/>
      <c r="BA83" s="28"/>
      <c r="BD83" s="28"/>
      <c r="BG83" s="28"/>
      <c r="BJ83" s="28"/>
      <c r="BM83" s="28"/>
      <c r="BP83" s="28"/>
      <c r="BS83" s="28"/>
      <c r="BV83" s="28"/>
      <c r="BY83" s="28"/>
      <c r="CB83" s="28"/>
      <c r="CE83" s="28"/>
      <c r="CH83" s="28"/>
      <c r="CK83" s="28"/>
      <c r="CN83" s="28"/>
      <c r="CQ83" s="28"/>
      <c r="CT83" s="28"/>
      <c r="CW83" s="28"/>
      <c r="CZ83" s="28"/>
      <c r="DC83" s="28"/>
      <c r="DF83" s="28"/>
      <c r="DI83" s="28"/>
      <c r="DL83" s="28"/>
      <c r="DO83" s="28"/>
      <c r="DR83" s="28"/>
      <c r="DU83" s="28"/>
      <c r="DX83" s="28"/>
      <c r="EA83" s="28"/>
      <c r="ED83" s="28"/>
      <c r="EG83" s="28"/>
      <c r="EJ83" s="28"/>
      <c r="EM83" s="28"/>
      <c r="EP83" s="28"/>
      <c r="ES83" s="28"/>
      <c r="EV83" s="28"/>
      <c r="EY83" s="28"/>
      <c r="FB83" s="28"/>
      <c r="FE83" s="28"/>
      <c r="FH83" s="28"/>
      <c r="FK83" s="28"/>
      <c r="FN83" s="28"/>
      <c r="FQ83" s="28"/>
      <c r="FT83" s="28"/>
      <c r="FW83" s="28"/>
      <c r="FZ83" s="28"/>
      <c r="GC83" s="28"/>
    </row>
    <row r="84" spans="1:185" s="25" customFormat="1" x14ac:dyDescent="0.3">
      <c r="A84" s="27"/>
      <c r="B84" s="28"/>
      <c r="C84" s="27"/>
      <c r="D84" s="26"/>
      <c r="E84" s="28"/>
      <c r="H84" s="28"/>
      <c r="K84" s="28"/>
      <c r="N84" s="28"/>
      <c r="Q84" s="28"/>
      <c r="T84" s="28"/>
      <c r="W84" s="28"/>
      <c r="Z84" s="28"/>
      <c r="AC84" s="28"/>
      <c r="AF84" s="28"/>
      <c r="AI84" s="28"/>
      <c r="AL84" s="28"/>
      <c r="AO84" s="28"/>
      <c r="AR84" s="28"/>
      <c r="AU84" s="28"/>
      <c r="AX84" s="28"/>
      <c r="BA84" s="28"/>
      <c r="BD84" s="28"/>
      <c r="BG84" s="28"/>
      <c r="BJ84" s="28"/>
      <c r="BM84" s="28"/>
      <c r="BP84" s="28"/>
      <c r="BS84" s="28"/>
      <c r="BV84" s="28"/>
      <c r="BY84" s="28"/>
      <c r="CB84" s="28"/>
      <c r="CE84" s="28"/>
      <c r="CH84" s="28"/>
      <c r="CK84" s="28"/>
      <c r="CN84" s="28"/>
      <c r="CQ84" s="28"/>
      <c r="CT84" s="28"/>
      <c r="CW84" s="28"/>
      <c r="CZ84" s="28"/>
      <c r="DC84" s="28"/>
      <c r="DF84" s="28"/>
      <c r="DI84" s="28"/>
      <c r="DL84" s="28"/>
      <c r="DO84" s="28"/>
      <c r="DR84" s="28"/>
      <c r="DU84" s="28"/>
      <c r="DX84" s="28"/>
      <c r="EA84" s="28"/>
      <c r="ED84" s="28"/>
      <c r="EG84" s="28"/>
      <c r="EJ84" s="28"/>
      <c r="EM84" s="28"/>
      <c r="EP84" s="28"/>
      <c r="ES84" s="28"/>
      <c r="EV84" s="28"/>
      <c r="EY84" s="28"/>
      <c r="FB84" s="28"/>
      <c r="FE84" s="28"/>
      <c r="FH84" s="28"/>
      <c r="FK84" s="28"/>
      <c r="FN84" s="28"/>
      <c r="FQ84" s="28"/>
      <c r="FT84" s="28"/>
      <c r="FW84" s="28"/>
      <c r="FZ84" s="28"/>
      <c r="GC84" s="28"/>
    </row>
    <row r="85" spans="1:185" s="25" customFormat="1" x14ac:dyDescent="0.3">
      <c r="A85" s="27"/>
      <c r="B85" s="28"/>
      <c r="C85" s="27"/>
      <c r="D85" s="26"/>
      <c r="E85" s="28"/>
      <c r="H85" s="28"/>
      <c r="K85" s="28"/>
      <c r="N85" s="28"/>
      <c r="Q85" s="28"/>
      <c r="T85" s="28"/>
      <c r="W85" s="28"/>
      <c r="Z85" s="28"/>
      <c r="AC85" s="28"/>
      <c r="AF85" s="28"/>
      <c r="AI85" s="28"/>
      <c r="AL85" s="28"/>
      <c r="AO85" s="28"/>
      <c r="AR85" s="28"/>
      <c r="AU85" s="28"/>
      <c r="AX85" s="28"/>
      <c r="BA85" s="28"/>
      <c r="BD85" s="28"/>
      <c r="BG85" s="28"/>
      <c r="BJ85" s="28"/>
      <c r="BM85" s="28"/>
      <c r="BP85" s="28"/>
      <c r="BS85" s="28"/>
      <c r="BV85" s="28"/>
      <c r="BY85" s="28"/>
      <c r="CB85" s="28"/>
      <c r="CE85" s="28"/>
      <c r="CH85" s="28"/>
      <c r="CK85" s="28"/>
      <c r="CN85" s="28"/>
      <c r="CQ85" s="28"/>
      <c r="CT85" s="28"/>
      <c r="CW85" s="28"/>
      <c r="CZ85" s="28"/>
      <c r="DC85" s="28"/>
      <c r="DF85" s="28"/>
      <c r="DI85" s="28"/>
      <c r="DL85" s="28"/>
      <c r="DO85" s="28"/>
      <c r="DR85" s="28"/>
      <c r="DU85" s="28"/>
      <c r="DX85" s="28"/>
      <c r="EA85" s="28"/>
      <c r="ED85" s="28"/>
      <c r="EG85" s="28"/>
      <c r="EJ85" s="28"/>
      <c r="EM85" s="28"/>
      <c r="EP85" s="28"/>
      <c r="ES85" s="28"/>
      <c r="EV85" s="28"/>
      <c r="EY85" s="28"/>
      <c r="FB85" s="28"/>
      <c r="FE85" s="28"/>
      <c r="FH85" s="28"/>
      <c r="FK85" s="28"/>
      <c r="FN85" s="28"/>
      <c r="FQ85" s="28"/>
      <c r="FT85" s="28"/>
      <c r="FW85" s="28"/>
      <c r="FZ85" s="28"/>
      <c r="GC85" s="28"/>
    </row>
    <row r="86" spans="1:185" s="25" customFormat="1" x14ac:dyDescent="0.3">
      <c r="A86" s="27"/>
      <c r="B86" s="28"/>
      <c r="C86" s="27"/>
      <c r="D86" s="26"/>
      <c r="E86" s="28"/>
      <c r="H86" s="28"/>
      <c r="K86" s="28"/>
      <c r="N86" s="28"/>
      <c r="Q86" s="28"/>
      <c r="T86" s="28"/>
      <c r="W86" s="28"/>
      <c r="Z86" s="28"/>
      <c r="AC86" s="28"/>
      <c r="AF86" s="28"/>
      <c r="AI86" s="28"/>
      <c r="AL86" s="28"/>
      <c r="AO86" s="28"/>
      <c r="AR86" s="28"/>
      <c r="AU86" s="28"/>
      <c r="AX86" s="28"/>
      <c r="BA86" s="28"/>
      <c r="BD86" s="28"/>
      <c r="BG86" s="28"/>
      <c r="BJ86" s="28"/>
      <c r="BM86" s="28"/>
      <c r="BP86" s="28"/>
      <c r="BS86" s="28"/>
      <c r="BV86" s="28"/>
      <c r="BY86" s="28"/>
      <c r="CB86" s="28"/>
      <c r="CE86" s="28"/>
      <c r="CH86" s="28"/>
      <c r="CK86" s="28"/>
      <c r="CN86" s="28"/>
      <c r="CQ86" s="28"/>
      <c r="CT86" s="28"/>
      <c r="CW86" s="28"/>
      <c r="CZ86" s="28"/>
      <c r="DC86" s="28"/>
      <c r="DF86" s="28"/>
      <c r="DI86" s="28"/>
      <c r="DL86" s="28"/>
      <c r="DO86" s="28"/>
      <c r="DR86" s="28"/>
      <c r="DU86" s="28"/>
      <c r="DX86" s="28"/>
      <c r="EA86" s="28"/>
      <c r="ED86" s="28"/>
      <c r="EG86" s="28"/>
      <c r="EJ86" s="28"/>
      <c r="EM86" s="28"/>
      <c r="EP86" s="28"/>
      <c r="ES86" s="28"/>
      <c r="EV86" s="28"/>
      <c r="EY86" s="28"/>
      <c r="FB86" s="28"/>
      <c r="FE86" s="28"/>
      <c r="FH86" s="28"/>
      <c r="FK86" s="28"/>
      <c r="FN86" s="28"/>
      <c r="FQ86" s="28"/>
      <c r="FT86" s="28"/>
      <c r="FW86" s="28"/>
      <c r="FZ86" s="28"/>
      <c r="GC86" s="28"/>
    </row>
    <row r="87" spans="1:185" s="25" customFormat="1" x14ac:dyDescent="0.3">
      <c r="A87" s="27"/>
      <c r="B87" s="28"/>
      <c r="C87" s="27"/>
      <c r="D87" s="26"/>
      <c r="E87" s="28"/>
      <c r="H87" s="28"/>
      <c r="K87" s="28"/>
      <c r="N87" s="28"/>
      <c r="Q87" s="28"/>
      <c r="T87" s="28"/>
      <c r="W87" s="28"/>
      <c r="Z87" s="28"/>
      <c r="AC87" s="28"/>
      <c r="AF87" s="28"/>
      <c r="AI87" s="28"/>
      <c r="AL87" s="28"/>
      <c r="AO87" s="28"/>
      <c r="AR87" s="28"/>
      <c r="AU87" s="28"/>
      <c r="AX87" s="28"/>
      <c r="BA87" s="28"/>
      <c r="BD87" s="28"/>
      <c r="BG87" s="28"/>
      <c r="BJ87" s="28"/>
      <c r="BM87" s="28"/>
      <c r="BP87" s="28"/>
      <c r="BS87" s="28"/>
      <c r="BV87" s="28"/>
      <c r="BY87" s="28"/>
      <c r="CB87" s="28"/>
      <c r="CE87" s="28"/>
      <c r="CH87" s="28"/>
      <c r="CK87" s="28"/>
      <c r="CN87" s="28"/>
      <c r="CQ87" s="28"/>
      <c r="CT87" s="28"/>
      <c r="CW87" s="28"/>
      <c r="CZ87" s="28"/>
      <c r="DC87" s="28"/>
      <c r="DF87" s="28"/>
      <c r="DI87" s="28"/>
      <c r="DL87" s="28"/>
      <c r="DO87" s="28"/>
      <c r="DR87" s="28"/>
      <c r="DU87" s="28"/>
      <c r="DX87" s="28"/>
      <c r="EA87" s="28"/>
      <c r="ED87" s="28"/>
      <c r="EG87" s="28"/>
      <c r="EJ87" s="28"/>
      <c r="EM87" s="28"/>
      <c r="EP87" s="28"/>
      <c r="ES87" s="28"/>
      <c r="EV87" s="28"/>
      <c r="EY87" s="28"/>
      <c r="FB87" s="28"/>
      <c r="FE87" s="28"/>
      <c r="FH87" s="28"/>
      <c r="FK87" s="28"/>
      <c r="FN87" s="28"/>
      <c r="FQ87" s="28"/>
      <c r="FT87" s="28"/>
      <c r="FW87" s="28"/>
      <c r="FZ87" s="28"/>
      <c r="GC87" s="28"/>
    </row>
    <row r="88" spans="1:185" s="25" customFormat="1" x14ac:dyDescent="0.3">
      <c r="A88" s="27"/>
      <c r="B88" s="28"/>
      <c r="C88" s="27"/>
      <c r="D88" s="26"/>
      <c r="E88" s="28"/>
      <c r="H88" s="28"/>
      <c r="K88" s="28"/>
      <c r="N88" s="28"/>
      <c r="Q88" s="28"/>
      <c r="T88" s="28"/>
      <c r="W88" s="28"/>
      <c r="Z88" s="28"/>
      <c r="AC88" s="28"/>
      <c r="AF88" s="28"/>
      <c r="AI88" s="28"/>
      <c r="AL88" s="28"/>
      <c r="AO88" s="28"/>
      <c r="AR88" s="28"/>
      <c r="AU88" s="28"/>
      <c r="AX88" s="28"/>
      <c r="BA88" s="28"/>
      <c r="BD88" s="28"/>
      <c r="BG88" s="28"/>
      <c r="BJ88" s="28"/>
      <c r="BM88" s="28"/>
      <c r="BP88" s="28"/>
      <c r="BS88" s="28"/>
      <c r="BV88" s="28"/>
      <c r="BY88" s="28"/>
      <c r="CB88" s="28"/>
      <c r="CE88" s="28"/>
      <c r="CH88" s="28"/>
      <c r="CK88" s="28"/>
      <c r="CN88" s="28"/>
      <c r="CQ88" s="28"/>
      <c r="CT88" s="28"/>
      <c r="CW88" s="28"/>
      <c r="CZ88" s="28"/>
      <c r="DC88" s="28"/>
      <c r="DF88" s="28"/>
      <c r="DI88" s="28"/>
      <c r="DL88" s="28"/>
      <c r="DO88" s="28"/>
      <c r="DR88" s="28"/>
      <c r="DU88" s="28"/>
      <c r="DX88" s="28"/>
      <c r="EA88" s="28"/>
      <c r="ED88" s="28"/>
      <c r="EG88" s="28"/>
      <c r="EJ88" s="28"/>
      <c r="EM88" s="28"/>
      <c r="EP88" s="28"/>
      <c r="ES88" s="28"/>
      <c r="EV88" s="28"/>
      <c r="EY88" s="28"/>
      <c r="FB88" s="28"/>
      <c r="FE88" s="28"/>
      <c r="FH88" s="28"/>
      <c r="FK88" s="28"/>
      <c r="FN88" s="28"/>
      <c r="FQ88" s="28"/>
      <c r="FT88" s="28"/>
      <c r="FW88" s="28"/>
      <c r="FZ88" s="28"/>
      <c r="GC88" s="28"/>
    </row>
    <row r="89" spans="1:185" s="25" customFormat="1" x14ac:dyDescent="0.3">
      <c r="A89" s="27"/>
      <c r="B89" s="28"/>
      <c r="C89" s="27"/>
      <c r="D89" s="26"/>
      <c r="E89" s="28"/>
      <c r="H89" s="28"/>
      <c r="K89" s="28"/>
      <c r="N89" s="28"/>
      <c r="Q89" s="28"/>
      <c r="T89" s="28"/>
      <c r="W89" s="28"/>
      <c r="Z89" s="28"/>
      <c r="AC89" s="28"/>
      <c r="AF89" s="28"/>
      <c r="AI89" s="28"/>
      <c r="AL89" s="28"/>
      <c r="AO89" s="28"/>
      <c r="AR89" s="28"/>
      <c r="AU89" s="28"/>
      <c r="AX89" s="28"/>
      <c r="BA89" s="28"/>
      <c r="BD89" s="28"/>
      <c r="BG89" s="28"/>
      <c r="BJ89" s="28"/>
      <c r="BM89" s="28"/>
      <c r="BP89" s="28"/>
      <c r="BS89" s="28"/>
      <c r="BV89" s="28"/>
      <c r="BY89" s="28"/>
      <c r="CB89" s="28"/>
      <c r="CE89" s="28"/>
      <c r="CH89" s="28"/>
      <c r="CK89" s="28"/>
      <c r="CN89" s="28"/>
      <c r="CQ89" s="28"/>
      <c r="CT89" s="28"/>
      <c r="CW89" s="28"/>
      <c r="CZ89" s="28"/>
      <c r="DC89" s="28"/>
      <c r="DF89" s="28"/>
      <c r="DI89" s="28"/>
      <c r="DL89" s="28"/>
      <c r="DO89" s="28"/>
      <c r="DR89" s="28"/>
      <c r="DU89" s="28"/>
      <c r="DX89" s="28"/>
      <c r="EA89" s="28"/>
      <c r="ED89" s="28"/>
      <c r="EG89" s="28"/>
      <c r="EJ89" s="28"/>
      <c r="EM89" s="28"/>
      <c r="EP89" s="28"/>
      <c r="ES89" s="28"/>
      <c r="EV89" s="28"/>
      <c r="EY89" s="28"/>
      <c r="FB89" s="28"/>
      <c r="FE89" s="28"/>
      <c r="FH89" s="28"/>
      <c r="FK89" s="28"/>
      <c r="FN89" s="28"/>
      <c r="FQ89" s="28"/>
      <c r="FT89" s="28"/>
      <c r="FW89" s="28"/>
      <c r="FZ89" s="28"/>
      <c r="GC89" s="28"/>
    </row>
    <row r="90" spans="1:185" s="25" customFormat="1" x14ac:dyDescent="0.3">
      <c r="A90" s="27"/>
      <c r="B90" s="28"/>
      <c r="C90" s="27"/>
      <c r="D90" s="26"/>
      <c r="E90" s="28"/>
      <c r="H90" s="28"/>
      <c r="K90" s="28"/>
      <c r="N90" s="28"/>
      <c r="Q90" s="28"/>
      <c r="T90" s="28"/>
      <c r="W90" s="28"/>
      <c r="Z90" s="28"/>
      <c r="AC90" s="28"/>
      <c r="AF90" s="28"/>
      <c r="AI90" s="28"/>
      <c r="AL90" s="28"/>
      <c r="AO90" s="28"/>
      <c r="AR90" s="28"/>
      <c r="AU90" s="28"/>
      <c r="AX90" s="28"/>
      <c r="BA90" s="28"/>
      <c r="BD90" s="28"/>
      <c r="BG90" s="28"/>
      <c r="BJ90" s="28"/>
      <c r="BM90" s="28"/>
      <c r="BP90" s="28"/>
      <c r="BS90" s="28"/>
      <c r="BV90" s="28"/>
      <c r="BY90" s="28"/>
      <c r="CB90" s="28"/>
      <c r="CE90" s="28"/>
      <c r="CH90" s="28"/>
      <c r="CK90" s="28"/>
      <c r="CN90" s="28"/>
      <c r="CQ90" s="28"/>
      <c r="CT90" s="28"/>
      <c r="CW90" s="28"/>
      <c r="CZ90" s="28"/>
      <c r="DC90" s="28"/>
      <c r="DF90" s="28"/>
      <c r="DI90" s="28"/>
      <c r="DL90" s="28"/>
      <c r="DO90" s="28"/>
      <c r="DR90" s="28"/>
      <c r="DU90" s="28"/>
      <c r="DX90" s="28"/>
      <c r="EA90" s="28"/>
      <c r="ED90" s="28"/>
      <c r="EG90" s="28"/>
      <c r="EJ90" s="28"/>
      <c r="EM90" s="28"/>
      <c r="EP90" s="28"/>
      <c r="ES90" s="28"/>
      <c r="EV90" s="28"/>
      <c r="EY90" s="28"/>
      <c r="FB90" s="28"/>
      <c r="FE90" s="28"/>
      <c r="FH90" s="28"/>
      <c r="FK90" s="28"/>
      <c r="FN90" s="28"/>
      <c r="FQ90" s="28"/>
      <c r="FT90" s="28"/>
      <c r="FW90" s="28"/>
      <c r="FZ90" s="28"/>
      <c r="GC90" s="28"/>
    </row>
    <row r="91" spans="1:185" s="25" customFormat="1" x14ac:dyDescent="0.3">
      <c r="A91" s="27"/>
      <c r="B91" s="28"/>
      <c r="C91" s="27"/>
      <c r="D91" s="26"/>
      <c r="E91" s="28"/>
      <c r="H91" s="28"/>
      <c r="K91" s="28"/>
      <c r="N91" s="28"/>
      <c r="Q91" s="28"/>
      <c r="T91" s="28"/>
      <c r="W91" s="28"/>
      <c r="Z91" s="28"/>
      <c r="AC91" s="28"/>
      <c r="AF91" s="28"/>
      <c r="AI91" s="28"/>
      <c r="AL91" s="28"/>
      <c r="AO91" s="28"/>
      <c r="AR91" s="28"/>
      <c r="AU91" s="28"/>
      <c r="AX91" s="28"/>
      <c r="BA91" s="28"/>
      <c r="BD91" s="28"/>
      <c r="BG91" s="28"/>
      <c r="BJ91" s="28"/>
      <c r="BM91" s="28"/>
      <c r="BP91" s="28"/>
      <c r="BS91" s="28"/>
      <c r="BV91" s="28"/>
      <c r="BY91" s="28"/>
      <c r="CB91" s="28"/>
      <c r="CE91" s="28"/>
      <c r="CH91" s="28"/>
      <c r="CK91" s="28"/>
      <c r="CN91" s="28"/>
      <c r="CQ91" s="28"/>
      <c r="CT91" s="28"/>
      <c r="CW91" s="28"/>
      <c r="CZ91" s="28"/>
      <c r="DC91" s="28"/>
      <c r="DF91" s="28"/>
      <c r="DI91" s="28"/>
      <c r="DL91" s="28"/>
      <c r="DO91" s="28"/>
      <c r="DR91" s="28"/>
      <c r="DU91" s="28"/>
      <c r="DX91" s="28"/>
      <c r="EA91" s="28"/>
      <c r="ED91" s="28"/>
      <c r="EG91" s="28"/>
      <c r="EJ91" s="28"/>
      <c r="EM91" s="28"/>
      <c r="EP91" s="28"/>
      <c r="ES91" s="28"/>
      <c r="EV91" s="28"/>
      <c r="EY91" s="28"/>
      <c r="FB91" s="28"/>
      <c r="FE91" s="28"/>
      <c r="FH91" s="28"/>
      <c r="FK91" s="28"/>
      <c r="FN91" s="28"/>
      <c r="FQ91" s="28"/>
      <c r="FT91" s="28"/>
      <c r="FW91" s="28"/>
      <c r="FZ91" s="28"/>
      <c r="GC91" s="28"/>
    </row>
    <row r="92" spans="1:185" s="25" customFormat="1" x14ac:dyDescent="0.3">
      <c r="A92" s="27"/>
      <c r="B92" s="28"/>
      <c r="C92" s="27"/>
      <c r="D92" s="26"/>
      <c r="E92" s="28"/>
      <c r="H92" s="28"/>
      <c r="K92" s="28"/>
      <c r="N92" s="28"/>
      <c r="Q92" s="28"/>
      <c r="T92" s="28"/>
      <c r="W92" s="28"/>
      <c r="Z92" s="28"/>
      <c r="AC92" s="28"/>
      <c r="AF92" s="28"/>
      <c r="AI92" s="28"/>
      <c r="AL92" s="28"/>
      <c r="AO92" s="28"/>
      <c r="AR92" s="28"/>
      <c r="AU92" s="28"/>
      <c r="AX92" s="28"/>
      <c r="BA92" s="28"/>
      <c r="BD92" s="28"/>
      <c r="BG92" s="28"/>
      <c r="BJ92" s="28"/>
      <c r="BM92" s="28"/>
      <c r="BP92" s="28"/>
      <c r="BS92" s="28"/>
      <c r="BV92" s="28"/>
      <c r="BY92" s="28"/>
      <c r="CB92" s="28"/>
      <c r="CE92" s="28"/>
      <c r="CH92" s="28"/>
      <c r="CK92" s="28"/>
      <c r="CN92" s="28"/>
      <c r="CQ92" s="28"/>
      <c r="CT92" s="28"/>
      <c r="CW92" s="28"/>
      <c r="CZ92" s="28"/>
      <c r="DC92" s="28"/>
      <c r="DF92" s="28"/>
      <c r="DI92" s="28"/>
      <c r="DL92" s="28"/>
      <c r="DO92" s="28"/>
      <c r="DR92" s="28"/>
      <c r="DU92" s="28"/>
      <c r="DX92" s="28"/>
      <c r="EA92" s="28"/>
      <c r="ED92" s="28"/>
      <c r="EG92" s="28"/>
      <c r="EJ92" s="28"/>
      <c r="EM92" s="28"/>
      <c r="EP92" s="28"/>
      <c r="ES92" s="28"/>
      <c r="EV92" s="28"/>
      <c r="EY92" s="28"/>
      <c r="FB92" s="28"/>
      <c r="FE92" s="28"/>
      <c r="FH92" s="28"/>
      <c r="FK92" s="28"/>
      <c r="FN92" s="28"/>
      <c r="FQ92" s="28"/>
      <c r="FT92" s="28"/>
      <c r="FW92" s="28"/>
      <c r="FZ92" s="28"/>
      <c r="GC92" s="28"/>
    </row>
    <row r="93" spans="1:185" s="25" customFormat="1" x14ac:dyDescent="0.3">
      <c r="A93" s="27"/>
      <c r="B93" s="28"/>
      <c r="C93" s="27"/>
      <c r="D93" s="26"/>
      <c r="E93" s="28"/>
      <c r="H93" s="28"/>
      <c r="K93" s="28"/>
      <c r="N93" s="28"/>
      <c r="Q93" s="28"/>
      <c r="T93" s="28"/>
      <c r="W93" s="28"/>
      <c r="Z93" s="28"/>
      <c r="AC93" s="28"/>
      <c r="AF93" s="28"/>
      <c r="AI93" s="28"/>
      <c r="AL93" s="28"/>
      <c r="AO93" s="28"/>
      <c r="AR93" s="28"/>
      <c r="AU93" s="28"/>
      <c r="AX93" s="28"/>
      <c r="BA93" s="28"/>
      <c r="BD93" s="28"/>
      <c r="BG93" s="28"/>
      <c r="BJ93" s="28"/>
      <c r="BM93" s="28"/>
      <c r="BP93" s="28"/>
      <c r="BS93" s="28"/>
      <c r="BV93" s="28"/>
      <c r="BY93" s="28"/>
      <c r="CB93" s="28"/>
      <c r="CE93" s="28"/>
      <c r="CH93" s="28"/>
      <c r="CK93" s="28"/>
      <c r="CN93" s="28"/>
      <c r="CQ93" s="28"/>
      <c r="CT93" s="28"/>
      <c r="CW93" s="28"/>
      <c r="CZ93" s="28"/>
      <c r="DC93" s="28"/>
      <c r="DF93" s="28"/>
      <c r="DI93" s="28"/>
      <c r="DL93" s="28"/>
      <c r="DO93" s="28"/>
      <c r="DR93" s="28"/>
      <c r="DU93" s="28"/>
      <c r="DX93" s="28"/>
      <c r="EA93" s="28"/>
      <c r="ED93" s="28"/>
      <c r="EG93" s="28"/>
      <c r="EJ93" s="28"/>
      <c r="EM93" s="28"/>
      <c r="EP93" s="28"/>
      <c r="ES93" s="28"/>
      <c r="EV93" s="28"/>
      <c r="EY93" s="28"/>
      <c r="FB93" s="28"/>
      <c r="FE93" s="28"/>
      <c r="FH93" s="28"/>
      <c r="FK93" s="28"/>
      <c r="FN93" s="28"/>
      <c r="FQ93" s="28"/>
      <c r="FT93" s="28"/>
      <c r="FW93" s="28"/>
      <c r="FZ93" s="28"/>
      <c r="GC93" s="28"/>
    </row>
    <row r="94" spans="1:185" s="25" customFormat="1" x14ac:dyDescent="0.3">
      <c r="A94" s="27"/>
      <c r="B94" s="28"/>
      <c r="C94" s="27"/>
      <c r="D94" s="26"/>
      <c r="E94" s="28"/>
      <c r="H94" s="28"/>
      <c r="K94" s="28"/>
      <c r="N94" s="28"/>
      <c r="Q94" s="28"/>
      <c r="T94" s="28"/>
      <c r="W94" s="28"/>
      <c r="Z94" s="28"/>
      <c r="AC94" s="28"/>
      <c r="AF94" s="28"/>
      <c r="AI94" s="28"/>
      <c r="AL94" s="28"/>
      <c r="AO94" s="28"/>
      <c r="AR94" s="28"/>
      <c r="AU94" s="28"/>
      <c r="AX94" s="28"/>
      <c r="BA94" s="28"/>
      <c r="BD94" s="28"/>
      <c r="BG94" s="28"/>
      <c r="BJ94" s="28"/>
      <c r="BM94" s="28"/>
      <c r="BP94" s="28"/>
      <c r="BS94" s="28"/>
      <c r="BV94" s="28"/>
      <c r="BY94" s="28"/>
      <c r="CB94" s="28"/>
      <c r="CE94" s="28"/>
      <c r="CH94" s="28"/>
      <c r="CK94" s="28"/>
      <c r="CN94" s="28"/>
      <c r="CQ94" s="28"/>
      <c r="CT94" s="28"/>
      <c r="CW94" s="28"/>
      <c r="CZ94" s="28"/>
      <c r="DC94" s="28"/>
      <c r="DF94" s="28"/>
      <c r="DI94" s="28"/>
      <c r="DL94" s="28"/>
      <c r="DO94" s="28"/>
      <c r="DR94" s="28"/>
      <c r="DU94" s="28"/>
      <c r="DX94" s="28"/>
      <c r="EA94" s="28"/>
      <c r="ED94" s="28"/>
      <c r="EG94" s="28"/>
      <c r="EJ94" s="28"/>
      <c r="EM94" s="28"/>
      <c r="EP94" s="28"/>
      <c r="ES94" s="28"/>
      <c r="EV94" s="28"/>
      <c r="EY94" s="28"/>
      <c r="FB94" s="28"/>
      <c r="FE94" s="28"/>
      <c r="FH94" s="28"/>
      <c r="FK94" s="28"/>
      <c r="FN94" s="28"/>
      <c r="FQ94" s="28"/>
      <c r="FT94" s="28"/>
      <c r="FW94" s="28"/>
      <c r="FZ94" s="28"/>
      <c r="GC94" s="28"/>
    </row>
    <row r="95" spans="1:185" s="25" customFormat="1" x14ac:dyDescent="0.3">
      <c r="A95" s="27"/>
      <c r="B95" s="28"/>
      <c r="C95" s="27"/>
      <c r="D95" s="26"/>
      <c r="E95" s="28"/>
      <c r="H95" s="28"/>
      <c r="K95" s="28"/>
      <c r="N95" s="28"/>
      <c r="Q95" s="28"/>
      <c r="T95" s="28"/>
      <c r="W95" s="28"/>
      <c r="Z95" s="28"/>
      <c r="AC95" s="28"/>
      <c r="AF95" s="28"/>
      <c r="AI95" s="28"/>
      <c r="AL95" s="28"/>
      <c r="AO95" s="28"/>
      <c r="AR95" s="28"/>
      <c r="AU95" s="28"/>
      <c r="AX95" s="28"/>
      <c r="BA95" s="28"/>
      <c r="BD95" s="28"/>
      <c r="BG95" s="28"/>
      <c r="BJ95" s="28"/>
      <c r="BM95" s="28"/>
      <c r="BP95" s="28"/>
      <c r="BS95" s="28"/>
      <c r="BV95" s="28"/>
      <c r="BY95" s="28"/>
      <c r="CB95" s="28"/>
      <c r="CE95" s="28"/>
      <c r="CH95" s="28"/>
      <c r="CK95" s="28"/>
      <c r="CN95" s="28"/>
      <c r="CQ95" s="28"/>
      <c r="CT95" s="28"/>
      <c r="CW95" s="28"/>
      <c r="CZ95" s="28"/>
      <c r="DC95" s="28"/>
      <c r="DF95" s="28"/>
      <c r="DI95" s="28"/>
      <c r="DL95" s="28"/>
      <c r="DO95" s="28"/>
      <c r="DR95" s="28"/>
      <c r="DU95" s="28"/>
      <c r="DX95" s="28"/>
      <c r="EA95" s="28"/>
      <c r="ED95" s="28"/>
      <c r="EG95" s="28"/>
      <c r="EJ95" s="28"/>
      <c r="EM95" s="28"/>
      <c r="EP95" s="28"/>
      <c r="ES95" s="28"/>
      <c r="EV95" s="28"/>
      <c r="EY95" s="28"/>
      <c r="FB95" s="28"/>
      <c r="FE95" s="28"/>
      <c r="FH95" s="28"/>
      <c r="FK95" s="28"/>
      <c r="FN95" s="28"/>
      <c r="FQ95" s="28"/>
      <c r="FT95" s="28"/>
      <c r="FW95" s="28"/>
      <c r="FZ95" s="28"/>
      <c r="GC95" s="28"/>
    </row>
    <row r="96" spans="1:185" s="25" customFormat="1" x14ac:dyDescent="0.3">
      <c r="A96" s="27"/>
      <c r="B96" s="28"/>
      <c r="C96" s="27"/>
      <c r="D96" s="26"/>
      <c r="E96" s="28"/>
      <c r="H96" s="28"/>
      <c r="K96" s="28"/>
      <c r="N96" s="28"/>
      <c r="Q96" s="28"/>
      <c r="T96" s="28"/>
      <c r="W96" s="28"/>
      <c r="Z96" s="28"/>
      <c r="AC96" s="28"/>
      <c r="AF96" s="28"/>
      <c r="AI96" s="28"/>
      <c r="AL96" s="28"/>
      <c r="AO96" s="28"/>
      <c r="AR96" s="28"/>
      <c r="AU96" s="28"/>
      <c r="AX96" s="28"/>
      <c r="BA96" s="28"/>
      <c r="BD96" s="28"/>
      <c r="BG96" s="28"/>
      <c r="BJ96" s="28"/>
      <c r="BM96" s="28"/>
      <c r="BP96" s="28"/>
      <c r="BS96" s="28"/>
      <c r="BV96" s="28"/>
      <c r="BY96" s="28"/>
      <c r="CB96" s="28"/>
      <c r="CE96" s="28"/>
      <c r="CH96" s="28"/>
      <c r="CK96" s="28"/>
      <c r="CN96" s="28"/>
      <c r="CQ96" s="28"/>
      <c r="CT96" s="28"/>
      <c r="CW96" s="28"/>
      <c r="CZ96" s="28"/>
      <c r="DC96" s="28"/>
      <c r="DF96" s="28"/>
      <c r="DI96" s="28"/>
      <c r="DL96" s="28"/>
      <c r="DO96" s="28"/>
      <c r="DR96" s="28"/>
      <c r="DU96" s="28"/>
      <c r="DX96" s="28"/>
      <c r="EA96" s="28"/>
      <c r="ED96" s="28"/>
      <c r="EG96" s="28"/>
      <c r="EJ96" s="28"/>
      <c r="EM96" s="28"/>
      <c r="EP96" s="28"/>
      <c r="ES96" s="28"/>
      <c r="EV96" s="28"/>
      <c r="EY96" s="28"/>
      <c r="FB96" s="28"/>
      <c r="FE96" s="28"/>
      <c r="FH96" s="28"/>
      <c r="FK96" s="28"/>
      <c r="FN96" s="28"/>
      <c r="FQ96" s="28"/>
      <c r="FT96" s="28"/>
      <c r="FW96" s="28"/>
      <c r="FZ96" s="28"/>
      <c r="GC96" s="28"/>
    </row>
    <row r="97" spans="1:185" s="25" customFormat="1" x14ac:dyDescent="0.3">
      <c r="A97" s="27"/>
      <c r="B97" s="28"/>
      <c r="C97" s="27"/>
      <c r="D97" s="26"/>
      <c r="E97" s="28"/>
      <c r="H97" s="28"/>
      <c r="K97" s="28"/>
      <c r="N97" s="28"/>
      <c r="Q97" s="28"/>
      <c r="T97" s="28"/>
      <c r="W97" s="28"/>
      <c r="Z97" s="28"/>
      <c r="AC97" s="28"/>
      <c r="AF97" s="28"/>
      <c r="AI97" s="28"/>
      <c r="AL97" s="28"/>
      <c r="AO97" s="28"/>
      <c r="AR97" s="28"/>
      <c r="AU97" s="28"/>
      <c r="AX97" s="28"/>
      <c r="BA97" s="28"/>
      <c r="BD97" s="28"/>
      <c r="BG97" s="28"/>
      <c r="BJ97" s="28"/>
      <c r="BM97" s="28"/>
      <c r="BP97" s="28"/>
      <c r="BS97" s="28"/>
      <c r="BV97" s="28"/>
      <c r="BY97" s="28"/>
      <c r="CB97" s="28"/>
      <c r="CE97" s="28"/>
      <c r="CH97" s="28"/>
      <c r="CK97" s="28"/>
      <c r="CN97" s="28"/>
      <c r="CQ97" s="28"/>
      <c r="CT97" s="28"/>
      <c r="CW97" s="28"/>
      <c r="CZ97" s="28"/>
      <c r="DC97" s="28"/>
      <c r="DF97" s="28"/>
      <c r="DI97" s="28"/>
      <c r="DL97" s="28"/>
      <c r="DO97" s="28"/>
      <c r="DR97" s="28"/>
      <c r="DU97" s="28"/>
      <c r="DX97" s="28"/>
      <c r="EA97" s="28"/>
      <c r="ED97" s="28"/>
      <c r="EG97" s="28"/>
      <c r="EJ97" s="28"/>
      <c r="EM97" s="28"/>
      <c r="EP97" s="28"/>
      <c r="ES97" s="28"/>
      <c r="EV97" s="28"/>
      <c r="EY97" s="28"/>
      <c r="FB97" s="28"/>
      <c r="FE97" s="28"/>
      <c r="FH97" s="28"/>
      <c r="FK97" s="28"/>
      <c r="FN97" s="28"/>
      <c r="FQ97" s="28"/>
      <c r="FT97" s="28"/>
      <c r="FW97" s="28"/>
      <c r="FZ97" s="28"/>
      <c r="GC97" s="28"/>
    </row>
    <row r="98" spans="1:185" s="25" customFormat="1" x14ac:dyDescent="0.3">
      <c r="A98" s="27"/>
      <c r="B98" s="28"/>
      <c r="C98" s="27"/>
      <c r="D98" s="26"/>
      <c r="E98" s="28"/>
      <c r="H98" s="28"/>
      <c r="K98" s="28"/>
      <c r="N98" s="28"/>
      <c r="Q98" s="28"/>
      <c r="T98" s="28"/>
      <c r="W98" s="28"/>
      <c r="Z98" s="28"/>
      <c r="AC98" s="28"/>
      <c r="AF98" s="28"/>
      <c r="AI98" s="28"/>
      <c r="AL98" s="28"/>
      <c r="AO98" s="28"/>
      <c r="AR98" s="28"/>
      <c r="AU98" s="28"/>
      <c r="AX98" s="28"/>
      <c r="BA98" s="28"/>
      <c r="BD98" s="28"/>
      <c r="BG98" s="28"/>
      <c r="BJ98" s="28"/>
      <c r="BM98" s="28"/>
      <c r="BP98" s="28"/>
      <c r="BS98" s="28"/>
      <c r="BV98" s="28"/>
      <c r="BY98" s="28"/>
      <c r="CB98" s="28"/>
      <c r="CE98" s="28"/>
      <c r="CH98" s="28"/>
      <c r="CK98" s="28"/>
      <c r="CN98" s="28"/>
      <c r="CQ98" s="28"/>
      <c r="CT98" s="28"/>
      <c r="CW98" s="28"/>
      <c r="CZ98" s="28"/>
      <c r="DC98" s="28"/>
      <c r="DF98" s="28"/>
      <c r="DI98" s="28"/>
      <c r="DL98" s="28"/>
      <c r="DO98" s="28"/>
      <c r="DR98" s="28"/>
      <c r="DU98" s="28"/>
      <c r="DX98" s="28"/>
      <c r="EA98" s="28"/>
      <c r="ED98" s="28"/>
      <c r="EG98" s="28"/>
      <c r="EJ98" s="28"/>
      <c r="EM98" s="28"/>
      <c r="EP98" s="28"/>
      <c r="ES98" s="28"/>
      <c r="EV98" s="28"/>
      <c r="EY98" s="28"/>
      <c r="FB98" s="28"/>
      <c r="FE98" s="28"/>
      <c r="FH98" s="28"/>
      <c r="FK98" s="28"/>
      <c r="FN98" s="28"/>
      <c r="FQ98" s="28"/>
      <c r="FT98" s="28"/>
      <c r="FW98" s="28"/>
      <c r="FZ98" s="28"/>
      <c r="GC98" s="28"/>
    </row>
    <row r="99" spans="1:185" s="25" customFormat="1" x14ac:dyDescent="0.3">
      <c r="A99" s="27"/>
      <c r="B99" s="28"/>
      <c r="C99" s="27"/>
      <c r="D99" s="26"/>
      <c r="E99" s="28"/>
      <c r="H99" s="28"/>
      <c r="K99" s="28"/>
      <c r="N99" s="28"/>
      <c r="Q99" s="28"/>
      <c r="T99" s="28"/>
      <c r="W99" s="28"/>
      <c r="Z99" s="28"/>
      <c r="AC99" s="28"/>
      <c r="AF99" s="28"/>
      <c r="AI99" s="28"/>
      <c r="AL99" s="28"/>
      <c r="AO99" s="28"/>
      <c r="AR99" s="28"/>
      <c r="AU99" s="28"/>
      <c r="AX99" s="28"/>
      <c r="BA99" s="28"/>
      <c r="BD99" s="28"/>
      <c r="BG99" s="28"/>
      <c r="BJ99" s="28"/>
      <c r="BM99" s="28"/>
      <c r="BP99" s="28"/>
      <c r="BS99" s="28"/>
      <c r="BV99" s="28"/>
      <c r="BY99" s="28"/>
      <c r="CB99" s="28"/>
      <c r="CE99" s="28"/>
      <c r="CH99" s="28"/>
      <c r="CK99" s="28"/>
      <c r="CN99" s="28"/>
      <c r="CQ99" s="28"/>
      <c r="CT99" s="28"/>
      <c r="CW99" s="28"/>
      <c r="CZ99" s="28"/>
      <c r="DC99" s="28"/>
      <c r="DF99" s="28"/>
      <c r="DI99" s="28"/>
      <c r="DL99" s="28"/>
      <c r="DO99" s="28"/>
      <c r="DR99" s="28"/>
      <c r="DU99" s="28"/>
      <c r="DX99" s="28"/>
      <c r="EA99" s="28"/>
      <c r="ED99" s="28"/>
      <c r="EG99" s="28"/>
      <c r="EJ99" s="28"/>
      <c r="EM99" s="28"/>
      <c r="EP99" s="28"/>
      <c r="ES99" s="28"/>
      <c r="EV99" s="28"/>
      <c r="EY99" s="28"/>
      <c r="FB99" s="28"/>
      <c r="FE99" s="28"/>
      <c r="FH99" s="28"/>
      <c r="FK99" s="28"/>
      <c r="FN99" s="28"/>
      <c r="FQ99" s="28"/>
      <c r="FT99" s="28"/>
      <c r="FW99" s="28"/>
      <c r="FZ99" s="28"/>
      <c r="GC99" s="28"/>
    </row>
    <row r="100" spans="1:185" s="25" customFormat="1" x14ac:dyDescent="0.3">
      <c r="A100" s="27"/>
      <c r="B100" s="28"/>
      <c r="C100" s="27"/>
      <c r="D100" s="26"/>
      <c r="E100" s="28"/>
      <c r="H100" s="28"/>
      <c r="K100" s="28"/>
      <c r="N100" s="28"/>
      <c r="Q100" s="28"/>
      <c r="T100" s="28"/>
      <c r="W100" s="28"/>
      <c r="Z100" s="28"/>
      <c r="AC100" s="28"/>
      <c r="AF100" s="28"/>
      <c r="AI100" s="28"/>
      <c r="AL100" s="28"/>
      <c r="AO100" s="28"/>
      <c r="AR100" s="28"/>
      <c r="AU100" s="28"/>
      <c r="AX100" s="28"/>
      <c r="BA100" s="28"/>
      <c r="BD100" s="28"/>
      <c r="BG100" s="28"/>
      <c r="BJ100" s="28"/>
      <c r="BM100" s="28"/>
      <c r="BP100" s="28"/>
      <c r="BS100" s="28"/>
      <c r="BV100" s="28"/>
      <c r="BY100" s="28"/>
      <c r="CB100" s="28"/>
      <c r="CE100" s="28"/>
      <c r="CH100" s="28"/>
      <c r="CK100" s="28"/>
      <c r="CN100" s="28"/>
      <c r="CQ100" s="28"/>
      <c r="CT100" s="28"/>
      <c r="CW100" s="28"/>
      <c r="CZ100" s="28"/>
      <c r="DC100" s="28"/>
      <c r="DF100" s="28"/>
      <c r="DI100" s="28"/>
      <c r="DL100" s="28"/>
      <c r="DO100" s="28"/>
      <c r="DR100" s="28"/>
      <c r="DU100" s="28"/>
      <c r="DX100" s="28"/>
      <c r="EA100" s="28"/>
      <c r="ED100" s="28"/>
      <c r="EG100" s="28"/>
      <c r="EJ100" s="28"/>
      <c r="EM100" s="28"/>
      <c r="EP100" s="28"/>
      <c r="ES100" s="28"/>
      <c r="EV100" s="28"/>
      <c r="EY100" s="28"/>
      <c r="FB100" s="28"/>
      <c r="FE100" s="28"/>
      <c r="FH100" s="28"/>
      <c r="FK100" s="28"/>
      <c r="FN100" s="28"/>
      <c r="FQ100" s="28"/>
      <c r="FT100" s="28"/>
      <c r="FW100" s="28"/>
      <c r="FZ100" s="28"/>
      <c r="GC100" s="28"/>
    </row>
    <row r="101" spans="1:185" s="25" customFormat="1" x14ac:dyDescent="0.3">
      <c r="A101" s="27"/>
      <c r="B101" s="28"/>
      <c r="C101" s="27"/>
      <c r="D101" s="26"/>
      <c r="E101" s="28"/>
      <c r="H101" s="28"/>
      <c r="K101" s="28"/>
      <c r="N101" s="28"/>
      <c r="Q101" s="28"/>
      <c r="T101" s="28"/>
      <c r="W101" s="28"/>
      <c r="Z101" s="28"/>
      <c r="AC101" s="28"/>
      <c r="AF101" s="28"/>
      <c r="AI101" s="28"/>
      <c r="AL101" s="28"/>
      <c r="AO101" s="28"/>
      <c r="AR101" s="28"/>
      <c r="AU101" s="28"/>
      <c r="AX101" s="28"/>
      <c r="BA101" s="28"/>
      <c r="BD101" s="28"/>
      <c r="BG101" s="28"/>
      <c r="BJ101" s="28"/>
      <c r="BM101" s="28"/>
      <c r="BP101" s="28"/>
      <c r="BS101" s="28"/>
      <c r="BV101" s="28"/>
      <c r="BY101" s="28"/>
      <c r="CB101" s="28"/>
      <c r="CE101" s="28"/>
      <c r="CH101" s="28"/>
      <c r="CK101" s="28"/>
      <c r="CN101" s="28"/>
      <c r="CQ101" s="28"/>
      <c r="CT101" s="28"/>
      <c r="CW101" s="28"/>
      <c r="CZ101" s="28"/>
      <c r="DC101" s="28"/>
      <c r="DF101" s="28"/>
      <c r="DI101" s="28"/>
      <c r="DL101" s="28"/>
      <c r="DO101" s="28"/>
      <c r="DR101" s="28"/>
      <c r="DU101" s="28"/>
      <c r="DX101" s="28"/>
      <c r="EA101" s="28"/>
      <c r="ED101" s="28"/>
      <c r="EG101" s="28"/>
      <c r="EJ101" s="28"/>
      <c r="EM101" s="28"/>
      <c r="EP101" s="28"/>
      <c r="ES101" s="28"/>
      <c r="EV101" s="28"/>
      <c r="EY101" s="28"/>
      <c r="FB101" s="28"/>
      <c r="FE101" s="28"/>
      <c r="FH101" s="28"/>
      <c r="FK101" s="28"/>
      <c r="FN101" s="28"/>
      <c r="FQ101" s="28"/>
      <c r="FT101" s="28"/>
      <c r="FW101" s="28"/>
      <c r="FZ101" s="28"/>
      <c r="GC101" s="28"/>
    </row>
    <row r="102" spans="1:185" s="25" customFormat="1" x14ac:dyDescent="0.3">
      <c r="A102" s="27"/>
      <c r="B102" s="28"/>
      <c r="C102" s="27"/>
      <c r="D102" s="26"/>
      <c r="E102" s="28"/>
      <c r="H102" s="28"/>
      <c r="K102" s="28"/>
      <c r="N102" s="28"/>
      <c r="Q102" s="28"/>
      <c r="T102" s="28"/>
      <c r="W102" s="28"/>
      <c r="Z102" s="28"/>
      <c r="AC102" s="28"/>
      <c r="AF102" s="28"/>
      <c r="AI102" s="28"/>
      <c r="AL102" s="28"/>
      <c r="AO102" s="28"/>
      <c r="AR102" s="28"/>
      <c r="AU102" s="28"/>
      <c r="AX102" s="28"/>
      <c r="BA102" s="28"/>
      <c r="BD102" s="28"/>
      <c r="BG102" s="28"/>
      <c r="BJ102" s="28"/>
      <c r="BM102" s="28"/>
      <c r="BP102" s="28"/>
      <c r="BS102" s="28"/>
      <c r="BV102" s="28"/>
      <c r="BY102" s="28"/>
      <c r="CB102" s="28"/>
      <c r="CE102" s="28"/>
      <c r="CH102" s="28"/>
      <c r="CK102" s="28"/>
      <c r="CN102" s="28"/>
      <c r="CQ102" s="28"/>
      <c r="CT102" s="28"/>
      <c r="CW102" s="28"/>
      <c r="CZ102" s="28"/>
      <c r="DC102" s="28"/>
      <c r="DF102" s="28"/>
      <c r="DI102" s="28"/>
      <c r="DL102" s="28"/>
      <c r="DO102" s="28"/>
      <c r="DR102" s="28"/>
      <c r="DU102" s="28"/>
      <c r="DX102" s="28"/>
      <c r="EA102" s="28"/>
      <c r="ED102" s="28"/>
      <c r="EG102" s="28"/>
      <c r="EJ102" s="28"/>
      <c r="EM102" s="28"/>
      <c r="EP102" s="28"/>
      <c r="ES102" s="28"/>
      <c r="EV102" s="28"/>
      <c r="EY102" s="28"/>
      <c r="FB102" s="28"/>
      <c r="FE102" s="28"/>
      <c r="FH102" s="28"/>
      <c r="FK102" s="28"/>
      <c r="FN102" s="28"/>
      <c r="FQ102" s="28"/>
      <c r="FT102" s="28"/>
      <c r="FW102" s="28"/>
      <c r="FZ102" s="28"/>
      <c r="GC102" s="28"/>
    </row>
    <row r="103" spans="1:185" s="25" customFormat="1" x14ac:dyDescent="0.3">
      <c r="A103" s="27"/>
      <c r="B103" s="28"/>
      <c r="C103" s="27"/>
      <c r="D103" s="26"/>
      <c r="E103" s="28"/>
      <c r="H103" s="28"/>
      <c r="K103" s="28"/>
      <c r="N103" s="28"/>
      <c r="Q103" s="28"/>
      <c r="T103" s="28"/>
      <c r="W103" s="28"/>
      <c r="Z103" s="28"/>
      <c r="AC103" s="28"/>
      <c r="AF103" s="28"/>
      <c r="AI103" s="28"/>
      <c r="AL103" s="28"/>
      <c r="AO103" s="28"/>
      <c r="AR103" s="28"/>
      <c r="AU103" s="28"/>
      <c r="AX103" s="28"/>
      <c r="BA103" s="28"/>
      <c r="BD103" s="28"/>
      <c r="BG103" s="28"/>
      <c r="BJ103" s="28"/>
      <c r="BM103" s="28"/>
      <c r="BP103" s="28"/>
      <c r="BS103" s="28"/>
      <c r="BV103" s="28"/>
      <c r="BY103" s="28"/>
      <c r="CB103" s="28"/>
      <c r="CE103" s="28"/>
      <c r="CH103" s="28"/>
      <c r="CK103" s="28"/>
      <c r="CN103" s="28"/>
      <c r="CQ103" s="28"/>
      <c r="CT103" s="28"/>
      <c r="CW103" s="28"/>
      <c r="CZ103" s="28"/>
      <c r="DC103" s="28"/>
      <c r="DF103" s="28"/>
      <c r="DI103" s="28"/>
      <c r="DL103" s="28"/>
      <c r="DO103" s="28"/>
      <c r="DR103" s="28"/>
      <c r="DU103" s="28"/>
      <c r="DX103" s="28"/>
      <c r="EA103" s="28"/>
      <c r="ED103" s="28"/>
      <c r="EG103" s="28"/>
      <c r="EJ103" s="28"/>
      <c r="EM103" s="28"/>
      <c r="EP103" s="28"/>
      <c r="ES103" s="28"/>
      <c r="EV103" s="28"/>
      <c r="EY103" s="28"/>
      <c r="FB103" s="28"/>
      <c r="FE103" s="28"/>
      <c r="FH103" s="28"/>
      <c r="FK103" s="28"/>
      <c r="FN103" s="28"/>
      <c r="FQ103" s="28"/>
      <c r="FT103" s="28"/>
      <c r="FW103" s="28"/>
      <c r="FZ103" s="28"/>
      <c r="GC103" s="28"/>
    </row>
    <row r="104" spans="1:185" s="25" customFormat="1" x14ac:dyDescent="0.3">
      <c r="A104" s="27"/>
      <c r="B104" s="28"/>
      <c r="C104" s="27"/>
      <c r="D104" s="26"/>
      <c r="E104" s="28"/>
      <c r="H104" s="28"/>
      <c r="K104" s="28"/>
      <c r="N104" s="28"/>
      <c r="Q104" s="28"/>
      <c r="T104" s="28"/>
      <c r="W104" s="28"/>
      <c r="Z104" s="28"/>
      <c r="AC104" s="28"/>
      <c r="AF104" s="28"/>
      <c r="AI104" s="28"/>
      <c r="AL104" s="28"/>
      <c r="AO104" s="28"/>
      <c r="AR104" s="28"/>
      <c r="AU104" s="28"/>
      <c r="AX104" s="28"/>
      <c r="BA104" s="28"/>
      <c r="BD104" s="28"/>
      <c r="BG104" s="28"/>
      <c r="BJ104" s="28"/>
      <c r="BM104" s="28"/>
      <c r="BP104" s="28"/>
      <c r="BS104" s="28"/>
      <c r="BV104" s="28"/>
      <c r="BY104" s="28"/>
      <c r="CB104" s="28"/>
      <c r="CE104" s="28"/>
      <c r="CH104" s="28"/>
      <c r="CK104" s="28"/>
      <c r="CN104" s="28"/>
      <c r="CQ104" s="28"/>
      <c r="CT104" s="28"/>
      <c r="CW104" s="28"/>
      <c r="CZ104" s="28"/>
      <c r="DC104" s="28"/>
      <c r="DF104" s="28"/>
      <c r="DI104" s="28"/>
      <c r="DL104" s="28"/>
      <c r="DO104" s="28"/>
      <c r="DR104" s="28"/>
      <c r="DU104" s="28"/>
      <c r="DX104" s="28"/>
      <c r="EA104" s="28"/>
      <c r="ED104" s="28"/>
      <c r="EG104" s="28"/>
      <c r="EJ104" s="28"/>
      <c r="EM104" s="28"/>
      <c r="EP104" s="28"/>
      <c r="ES104" s="28"/>
      <c r="EV104" s="28"/>
      <c r="EY104" s="28"/>
      <c r="FB104" s="28"/>
      <c r="FE104" s="28"/>
      <c r="FH104" s="28"/>
      <c r="FK104" s="28"/>
      <c r="FN104" s="28"/>
      <c r="FQ104" s="28"/>
      <c r="FT104" s="28"/>
      <c r="FW104" s="28"/>
      <c r="FZ104" s="28"/>
      <c r="GC104" s="28"/>
    </row>
    <row r="105" spans="1:185" s="25" customFormat="1" x14ac:dyDescent="0.3">
      <c r="A105" s="27"/>
      <c r="B105" s="28"/>
      <c r="C105" s="27"/>
      <c r="D105" s="26"/>
      <c r="E105" s="28"/>
      <c r="H105" s="28"/>
      <c r="K105" s="28"/>
      <c r="N105" s="28"/>
      <c r="Q105" s="28"/>
      <c r="T105" s="28"/>
      <c r="W105" s="28"/>
      <c r="Z105" s="28"/>
      <c r="AC105" s="28"/>
      <c r="AF105" s="28"/>
      <c r="AI105" s="28"/>
      <c r="AL105" s="28"/>
      <c r="AO105" s="28"/>
      <c r="AR105" s="28"/>
      <c r="AU105" s="28"/>
      <c r="AX105" s="28"/>
      <c r="BA105" s="28"/>
      <c r="BD105" s="28"/>
      <c r="BG105" s="28"/>
      <c r="BJ105" s="28"/>
      <c r="BM105" s="28"/>
      <c r="BP105" s="28"/>
      <c r="BS105" s="28"/>
      <c r="BV105" s="28"/>
      <c r="BY105" s="28"/>
      <c r="CB105" s="28"/>
      <c r="CE105" s="28"/>
      <c r="CH105" s="28"/>
      <c r="CK105" s="28"/>
      <c r="CN105" s="28"/>
      <c r="CQ105" s="28"/>
      <c r="CT105" s="28"/>
      <c r="CW105" s="28"/>
      <c r="CZ105" s="28"/>
      <c r="DC105" s="28"/>
      <c r="DF105" s="28"/>
      <c r="DI105" s="28"/>
      <c r="DL105" s="28"/>
      <c r="DO105" s="28"/>
      <c r="DR105" s="28"/>
      <c r="DU105" s="28"/>
      <c r="DX105" s="28"/>
      <c r="EA105" s="28"/>
      <c r="ED105" s="28"/>
      <c r="EG105" s="28"/>
      <c r="EJ105" s="28"/>
      <c r="EM105" s="28"/>
      <c r="EP105" s="28"/>
      <c r="ES105" s="28"/>
      <c r="EV105" s="28"/>
      <c r="EY105" s="28"/>
      <c r="FB105" s="28"/>
      <c r="FE105" s="28"/>
      <c r="FH105" s="28"/>
      <c r="FK105" s="28"/>
      <c r="FN105" s="28"/>
      <c r="FQ105" s="28"/>
      <c r="FT105" s="28"/>
      <c r="FW105" s="28"/>
      <c r="FZ105" s="28"/>
      <c r="GC105" s="28"/>
    </row>
    <row r="106" spans="1:185" s="25" customFormat="1" x14ac:dyDescent="0.3">
      <c r="A106" s="27"/>
      <c r="B106" s="28"/>
      <c r="C106" s="27"/>
      <c r="D106" s="26"/>
      <c r="E106" s="28"/>
      <c r="H106" s="28"/>
      <c r="K106" s="28"/>
      <c r="N106" s="28"/>
      <c r="Q106" s="28"/>
      <c r="T106" s="28"/>
      <c r="W106" s="28"/>
      <c r="Z106" s="28"/>
      <c r="AC106" s="28"/>
      <c r="AF106" s="28"/>
      <c r="AI106" s="28"/>
      <c r="AL106" s="28"/>
      <c r="AO106" s="28"/>
      <c r="AR106" s="28"/>
      <c r="AU106" s="28"/>
      <c r="AX106" s="28"/>
      <c r="BA106" s="28"/>
      <c r="BD106" s="28"/>
      <c r="BG106" s="28"/>
      <c r="BJ106" s="28"/>
      <c r="BM106" s="28"/>
      <c r="BP106" s="28"/>
      <c r="BS106" s="28"/>
      <c r="BV106" s="28"/>
      <c r="BY106" s="28"/>
      <c r="CB106" s="28"/>
      <c r="CE106" s="28"/>
      <c r="CH106" s="28"/>
      <c r="CK106" s="28"/>
      <c r="CN106" s="28"/>
      <c r="CQ106" s="28"/>
      <c r="CT106" s="28"/>
      <c r="CW106" s="28"/>
      <c r="CZ106" s="28"/>
      <c r="DC106" s="28"/>
      <c r="DF106" s="28"/>
      <c r="DI106" s="28"/>
      <c r="DL106" s="28"/>
      <c r="DO106" s="28"/>
      <c r="DR106" s="28"/>
      <c r="DU106" s="28"/>
      <c r="DX106" s="28"/>
      <c r="EA106" s="28"/>
      <c r="ED106" s="28"/>
      <c r="EG106" s="28"/>
      <c r="EJ106" s="28"/>
      <c r="EM106" s="28"/>
      <c r="EP106" s="28"/>
      <c r="ES106" s="28"/>
      <c r="EV106" s="28"/>
      <c r="EY106" s="28"/>
      <c r="FB106" s="28"/>
      <c r="FE106" s="28"/>
      <c r="FH106" s="28"/>
      <c r="FK106" s="28"/>
      <c r="FN106" s="28"/>
      <c r="FQ106" s="28"/>
      <c r="FT106" s="28"/>
      <c r="FW106" s="28"/>
      <c r="FZ106" s="28"/>
      <c r="GC106" s="28"/>
    </row>
    <row r="107" spans="1:185" s="25" customFormat="1" x14ac:dyDescent="0.3">
      <c r="A107" s="27"/>
      <c r="B107" s="28"/>
      <c r="C107" s="27"/>
      <c r="D107" s="26"/>
      <c r="E107" s="28"/>
      <c r="H107" s="28"/>
      <c r="K107" s="28"/>
      <c r="N107" s="28"/>
      <c r="Q107" s="28"/>
      <c r="T107" s="28"/>
      <c r="W107" s="28"/>
      <c r="Z107" s="28"/>
      <c r="AC107" s="28"/>
      <c r="AF107" s="28"/>
      <c r="AI107" s="28"/>
      <c r="AL107" s="28"/>
      <c r="AO107" s="28"/>
      <c r="AR107" s="28"/>
      <c r="AU107" s="28"/>
      <c r="AX107" s="28"/>
      <c r="BA107" s="28"/>
      <c r="BD107" s="28"/>
      <c r="BG107" s="28"/>
      <c r="BJ107" s="28"/>
      <c r="BM107" s="28"/>
      <c r="BP107" s="28"/>
      <c r="BS107" s="28"/>
      <c r="BV107" s="28"/>
      <c r="BY107" s="28"/>
      <c r="CB107" s="28"/>
      <c r="CE107" s="28"/>
      <c r="CH107" s="28"/>
      <c r="CK107" s="28"/>
      <c r="CN107" s="28"/>
      <c r="CQ107" s="28"/>
      <c r="CT107" s="28"/>
      <c r="CW107" s="28"/>
      <c r="CZ107" s="28"/>
      <c r="DC107" s="28"/>
      <c r="DF107" s="28"/>
      <c r="DI107" s="28"/>
      <c r="DL107" s="28"/>
      <c r="DO107" s="28"/>
      <c r="DR107" s="28"/>
      <c r="DU107" s="28"/>
      <c r="DX107" s="28"/>
      <c r="EA107" s="28"/>
      <c r="ED107" s="28"/>
      <c r="EG107" s="28"/>
      <c r="EJ107" s="28"/>
      <c r="EM107" s="28"/>
      <c r="EP107" s="28"/>
      <c r="ES107" s="28"/>
      <c r="EV107" s="28"/>
      <c r="EY107" s="28"/>
      <c r="FB107" s="28"/>
      <c r="FE107" s="28"/>
      <c r="FH107" s="28"/>
      <c r="FK107" s="28"/>
      <c r="FN107" s="28"/>
      <c r="FQ107" s="28"/>
      <c r="FT107" s="28"/>
      <c r="FW107" s="28"/>
      <c r="FZ107" s="28"/>
      <c r="GC107" s="28"/>
    </row>
    <row r="108" spans="1:185" s="25" customFormat="1" x14ac:dyDescent="0.3">
      <c r="A108" s="27"/>
      <c r="B108" s="28"/>
      <c r="C108" s="27"/>
      <c r="D108" s="26"/>
      <c r="E108" s="28"/>
      <c r="H108" s="28"/>
      <c r="K108" s="28"/>
      <c r="N108" s="28"/>
      <c r="Q108" s="28"/>
      <c r="T108" s="28"/>
      <c r="W108" s="28"/>
      <c r="Z108" s="28"/>
      <c r="AC108" s="28"/>
      <c r="AF108" s="28"/>
      <c r="AI108" s="28"/>
      <c r="AL108" s="28"/>
      <c r="AO108" s="28"/>
      <c r="AR108" s="28"/>
      <c r="AU108" s="28"/>
      <c r="AX108" s="28"/>
      <c r="BA108" s="28"/>
      <c r="BD108" s="28"/>
      <c r="BG108" s="28"/>
      <c r="BJ108" s="28"/>
      <c r="BM108" s="28"/>
      <c r="BP108" s="28"/>
      <c r="BS108" s="28"/>
      <c r="BV108" s="28"/>
      <c r="BY108" s="28"/>
      <c r="CB108" s="28"/>
      <c r="CE108" s="28"/>
      <c r="CH108" s="28"/>
      <c r="CK108" s="28"/>
      <c r="CN108" s="28"/>
      <c r="CQ108" s="28"/>
      <c r="CT108" s="28"/>
      <c r="CW108" s="28"/>
      <c r="CZ108" s="28"/>
      <c r="DC108" s="28"/>
      <c r="DF108" s="28"/>
      <c r="DI108" s="28"/>
      <c r="DL108" s="28"/>
      <c r="DO108" s="28"/>
      <c r="DR108" s="28"/>
      <c r="DU108" s="28"/>
      <c r="DX108" s="28"/>
      <c r="EA108" s="28"/>
      <c r="ED108" s="28"/>
      <c r="EG108" s="28"/>
      <c r="EJ108" s="28"/>
      <c r="EM108" s="28"/>
      <c r="EP108" s="28"/>
      <c r="ES108" s="28"/>
      <c r="EV108" s="28"/>
      <c r="EY108" s="28"/>
      <c r="FB108" s="28"/>
      <c r="FE108" s="28"/>
      <c r="FH108" s="28"/>
      <c r="FK108" s="28"/>
      <c r="FN108" s="28"/>
      <c r="FQ108" s="28"/>
      <c r="FT108" s="28"/>
      <c r="FW108" s="28"/>
      <c r="FZ108" s="28"/>
      <c r="GC108" s="28"/>
    </row>
    <row r="109" spans="1:185" s="25" customFormat="1" x14ac:dyDescent="0.3">
      <c r="A109" s="27"/>
      <c r="B109" s="28"/>
      <c r="C109" s="27"/>
      <c r="D109" s="26"/>
      <c r="E109" s="28"/>
      <c r="H109" s="28"/>
      <c r="K109" s="28"/>
      <c r="N109" s="28"/>
      <c r="Q109" s="28"/>
      <c r="T109" s="28"/>
      <c r="W109" s="28"/>
      <c r="Z109" s="28"/>
      <c r="AC109" s="28"/>
      <c r="AF109" s="28"/>
      <c r="AI109" s="28"/>
      <c r="AL109" s="28"/>
      <c r="AO109" s="28"/>
      <c r="AR109" s="28"/>
      <c r="AU109" s="28"/>
      <c r="AX109" s="28"/>
      <c r="BA109" s="28"/>
      <c r="BD109" s="28"/>
      <c r="BG109" s="28"/>
      <c r="BJ109" s="28"/>
      <c r="BM109" s="28"/>
      <c r="BP109" s="28"/>
      <c r="BS109" s="28"/>
      <c r="BV109" s="28"/>
      <c r="BY109" s="28"/>
      <c r="CB109" s="28"/>
      <c r="CE109" s="28"/>
      <c r="CH109" s="28"/>
      <c r="CK109" s="28"/>
      <c r="CN109" s="28"/>
      <c r="CQ109" s="28"/>
      <c r="CT109" s="28"/>
      <c r="CW109" s="28"/>
      <c r="CZ109" s="28"/>
      <c r="DC109" s="28"/>
      <c r="DF109" s="28"/>
      <c r="DI109" s="28"/>
      <c r="DL109" s="28"/>
      <c r="DO109" s="28"/>
      <c r="DR109" s="28"/>
      <c r="DU109" s="28"/>
      <c r="DX109" s="28"/>
      <c r="EA109" s="28"/>
      <c r="ED109" s="28"/>
      <c r="EG109" s="28"/>
      <c r="EJ109" s="28"/>
      <c r="EM109" s="28"/>
      <c r="EP109" s="28"/>
      <c r="ES109" s="28"/>
      <c r="EV109" s="28"/>
      <c r="EY109" s="28"/>
      <c r="FB109" s="28"/>
      <c r="FE109" s="28"/>
      <c r="FH109" s="28"/>
      <c r="FK109" s="28"/>
      <c r="FN109" s="28"/>
      <c r="FQ109" s="28"/>
      <c r="FT109" s="28"/>
      <c r="FW109" s="28"/>
      <c r="FZ109" s="28"/>
      <c r="GC109" s="28"/>
    </row>
    <row r="110" spans="1:185" s="25" customFormat="1" x14ac:dyDescent="0.3">
      <c r="A110" s="27"/>
      <c r="B110" s="28"/>
      <c r="C110" s="27"/>
      <c r="D110" s="26"/>
      <c r="E110" s="28"/>
      <c r="H110" s="28"/>
      <c r="K110" s="28"/>
      <c r="N110" s="28"/>
      <c r="Q110" s="28"/>
      <c r="T110" s="28"/>
      <c r="W110" s="28"/>
      <c r="Z110" s="28"/>
      <c r="AC110" s="28"/>
      <c r="AF110" s="28"/>
      <c r="AI110" s="28"/>
      <c r="AL110" s="28"/>
      <c r="AO110" s="28"/>
      <c r="AR110" s="28"/>
      <c r="AU110" s="28"/>
      <c r="AX110" s="28"/>
      <c r="BA110" s="28"/>
      <c r="BD110" s="28"/>
      <c r="BG110" s="28"/>
      <c r="BJ110" s="28"/>
      <c r="BM110" s="28"/>
      <c r="BP110" s="28"/>
      <c r="BS110" s="28"/>
      <c r="BV110" s="28"/>
      <c r="BY110" s="28"/>
      <c r="CB110" s="28"/>
      <c r="CE110" s="28"/>
      <c r="CH110" s="28"/>
      <c r="CK110" s="28"/>
      <c r="CN110" s="28"/>
      <c r="CQ110" s="28"/>
      <c r="CT110" s="28"/>
      <c r="CW110" s="28"/>
      <c r="CZ110" s="28"/>
      <c r="DC110" s="28"/>
      <c r="DF110" s="28"/>
      <c r="DI110" s="28"/>
      <c r="DL110" s="28"/>
      <c r="DO110" s="28"/>
      <c r="DR110" s="28"/>
      <c r="DU110" s="28"/>
      <c r="DX110" s="28"/>
      <c r="EA110" s="28"/>
      <c r="ED110" s="28"/>
      <c r="EG110" s="28"/>
      <c r="EJ110" s="28"/>
      <c r="EM110" s="28"/>
      <c r="EP110" s="28"/>
      <c r="ES110" s="28"/>
      <c r="EV110" s="28"/>
      <c r="EY110" s="28"/>
      <c r="FB110" s="28"/>
      <c r="FE110" s="28"/>
      <c r="FH110" s="28"/>
      <c r="FK110" s="28"/>
      <c r="FN110" s="28"/>
      <c r="FQ110" s="28"/>
      <c r="FT110" s="28"/>
      <c r="FW110" s="28"/>
      <c r="FZ110" s="28"/>
      <c r="GC110" s="28"/>
    </row>
    <row r="111" spans="1:185" s="25" customFormat="1" x14ac:dyDescent="0.3">
      <c r="A111" s="27"/>
      <c r="B111" s="28"/>
      <c r="C111" s="27"/>
      <c r="D111" s="26"/>
      <c r="E111" s="28"/>
      <c r="H111" s="28"/>
      <c r="K111" s="28"/>
      <c r="N111" s="28"/>
      <c r="Q111" s="28"/>
      <c r="T111" s="28"/>
      <c r="W111" s="28"/>
      <c r="Z111" s="28"/>
      <c r="AC111" s="28"/>
      <c r="AF111" s="28"/>
      <c r="AI111" s="28"/>
      <c r="AL111" s="28"/>
      <c r="AO111" s="28"/>
      <c r="AR111" s="28"/>
      <c r="AU111" s="28"/>
      <c r="AX111" s="28"/>
      <c r="BA111" s="28"/>
      <c r="BD111" s="28"/>
      <c r="BG111" s="28"/>
      <c r="BJ111" s="28"/>
      <c r="BM111" s="28"/>
      <c r="BP111" s="28"/>
      <c r="BS111" s="28"/>
      <c r="BV111" s="28"/>
      <c r="BY111" s="28"/>
      <c r="CB111" s="28"/>
      <c r="CE111" s="28"/>
      <c r="CH111" s="28"/>
      <c r="CK111" s="28"/>
      <c r="CN111" s="28"/>
      <c r="CQ111" s="28"/>
      <c r="CT111" s="28"/>
      <c r="CW111" s="28"/>
      <c r="CZ111" s="28"/>
      <c r="DC111" s="28"/>
      <c r="DF111" s="28"/>
      <c r="DI111" s="28"/>
      <c r="DL111" s="28"/>
      <c r="DO111" s="28"/>
      <c r="DR111" s="28"/>
      <c r="DU111" s="28"/>
      <c r="DX111" s="28"/>
      <c r="EA111" s="28"/>
      <c r="ED111" s="28"/>
      <c r="EG111" s="28"/>
      <c r="EJ111" s="28"/>
      <c r="EM111" s="28"/>
      <c r="EP111" s="28"/>
      <c r="ES111" s="28"/>
      <c r="EV111" s="28"/>
      <c r="EY111" s="28"/>
      <c r="FB111" s="28"/>
      <c r="FE111" s="28"/>
      <c r="FH111" s="28"/>
      <c r="FK111" s="28"/>
      <c r="FN111" s="28"/>
      <c r="FQ111" s="28"/>
      <c r="FT111" s="28"/>
      <c r="FW111" s="28"/>
      <c r="FZ111" s="28"/>
      <c r="GC111" s="28"/>
    </row>
    <row r="112" spans="1:185" s="25" customFormat="1" x14ac:dyDescent="0.3">
      <c r="A112" s="27"/>
      <c r="B112" s="28"/>
      <c r="C112" s="27"/>
      <c r="D112" s="26"/>
      <c r="E112" s="28"/>
      <c r="H112" s="28"/>
      <c r="K112" s="28"/>
      <c r="N112" s="28"/>
      <c r="Q112" s="28"/>
      <c r="T112" s="28"/>
      <c r="W112" s="28"/>
      <c r="Z112" s="28"/>
      <c r="AC112" s="28"/>
      <c r="AF112" s="28"/>
      <c r="AI112" s="28"/>
      <c r="AL112" s="28"/>
      <c r="AO112" s="28"/>
      <c r="AR112" s="28"/>
      <c r="AU112" s="28"/>
      <c r="AX112" s="28"/>
      <c r="BA112" s="28"/>
      <c r="BD112" s="28"/>
      <c r="BG112" s="28"/>
      <c r="BJ112" s="28"/>
      <c r="BM112" s="28"/>
      <c r="BP112" s="28"/>
      <c r="BS112" s="28"/>
      <c r="BV112" s="28"/>
      <c r="BY112" s="28"/>
      <c r="CB112" s="28"/>
      <c r="CE112" s="28"/>
      <c r="CH112" s="28"/>
      <c r="CK112" s="28"/>
      <c r="CN112" s="28"/>
      <c r="CQ112" s="28"/>
      <c r="CT112" s="28"/>
      <c r="CW112" s="28"/>
      <c r="CZ112" s="28"/>
      <c r="DC112" s="28"/>
      <c r="DF112" s="28"/>
      <c r="DI112" s="28"/>
      <c r="DL112" s="28"/>
      <c r="DO112" s="28"/>
      <c r="DR112" s="28"/>
      <c r="DU112" s="28"/>
      <c r="DX112" s="28"/>
      <c r="EA112" s="28"/>
      <c r="ED112" s="28"/>
      <c r="EG112" s="28"/>
      <c r="EJ112" s="28"/>
      <c r="EM112" s="28"/>
      <c r="EP112" s="28"/>
      <c r="ES112" s="28"/>
      <c r="EV112" s="28"/>
      <c r="EY112" s="28"/>
      <c r="FB112" s="28"/>
      <c r="FE112" s="28"/>
      <c r="FH112" s="28"/>
      <c r="FK112" s="28"/>
      <c r="FN112" s="28"/>
      <c r="FQ112" s="28"/>
      <c r="FT112" s="28"/>
      <c r="FW112" s="28"/>
      <c r="FZ112" s="28"/>
      <c r="GC112" s="28"/>
    </row>
    <row r="113" spans="1:185" s="25" customFormat="1" x14ac:dyDescent="0.3">
      <c r="A113" s="27"/>
      <c r="B113" s="28"/>
      <c r="C113" s="27"/>
      <c r="D113" s="26"/>
      <c r="E113" s="28"/>
      <c r="H113" s="28"/>
      <c r="K113" s="28"/>
      <c r="N113" s="28"/>
      <c r="Q113" s="28"/>
      <c r="T113" s="28"/>
      <c r="W113" s="28"/>
      <c r="Z113" s="28"/>
      <c r="AC113" s="28"/>
      <c r="AF113" s="28"/>
      <c r="AI113" s="28"/>
      <c r="AL113" s="28"/>
      <c r="AO113" s="28"/>
      <c r="AR113" s="28"/>
      <c r="AU113" s="28"/>
      <c r="AX113" s="28"/>
      <c r="BA113" s="28"/>
      <c r="BD113" s="28"/>
      <c r="BG113" s="28"/>
      <c r="BJ113" s="28"/>
      <c r="BM113" s="28"/>
      <c r="BP113" s="28"/>
      <c r="BS113" s="28"/>
      <c r="BV113" s="28"/>
      <c r="BY113" s="28"/>
      <c r="CB113" s="28"/>
      <c r="CE113" s="28"/>
      <c r="CH113" s="28"/>
      <c r="CK113" s="28"/>
      <c r="CN113" s="28"/>
      <c r="CQ113" s="28"/>
      <c r="CT113" s="28"/>
      <c r="CW113" s="28"/>
      <c r="CZ113" s="28"/>
      <c r="DC113" s="28"/>
      <c r="DF113" s="28"/>
      <c r="DI113" s="28"/>
      <c r="DL113" s="28"/>
      <c r="DO113" s="28"/>
      <c r="DR113" s="28"/>
      <c r="DU113" s="28"/>
      <c r="DX113" s="28"/>
      <c r="EA113" s="28"/>
      <c r="ED113" s="28"/>
      <c r="EG113" s="28"/>
      <c r="EJ113" s="28"/>
      <c r="EM113" s="28"/>
      <c r="EP113" s="28"/>
      <c r="ES113" s="28"/>
      <c r="EV113" s="28"/>
      <c r="EY113" s="28"/>
      <c r="FB113" s="28"/>
      <c r="FE113" s="28"/>
      <c r="FH113" s="28"/>
      <c r="FK113" s="28"/>
      <c r="FN113" s="28"/>
      <c r="FQ113" s="28"/>
      <c r="FT113" s="28"/>
      <c r="FW113" s="28"/>
      <c r="FZ113" s="28"/>
      <c r="GC113" s="28"/>
    </row>
    <row r="114" spans="1:185" s="25" customFormat="1" x14ac:dyDescent="0.3">
      <c r="A114" s="27"/>
      <c r="B114" s="28"/>
      <c r="C114" s="27"/>
      <c r="D114" s="26"/>
      <c r="E114" s="28"/>
      <c r="H114" s="28"/>
      <c r="K114" s="28"/>
      <c r="N114" s="28"/>
      <c r="Q114" s="28"/>
      <c r="T114" s="28"/>
      <c r="W114" s="28"/>
      <c r="Z114" s="28"/>
      <c r="AC114" s="28"/>
      <c r="AF114" s="28"/>
      <c r="AI114" s="28"/>
      <c r="AL114" s="28"/>
      <c r="AO114" s="28"/>
      <c r="AR114" s="28"/>
      <c r="AU114" s="28"/>
      <c r="AX114" s="28"/>
      <c r="BA114" s="28"/>
      <c r="BD114" s="28"/>
      <c r="BG114" s="28"/>
      <c r="BJ114" s="28"/>
      <c r="BM114" s="28"/>
      <c r="BP114" s="28"/>
      <c r="BS114" s="28"/>
      <c r="BV114" s="28"/>
      <c r="BY114" s="28"/>
      <c r="CB114" s="28"/>
      <c r="CE114" s="28"/>
      <c r="CH114" s="28"/>
      <c r="CK114" s="28"/>
      <c r="CN114" s="28"/>
      <c r="CQ114" s="28"/>
      <c r="CT114" s="28"/>
      <c r="CW114" s="28"/>
      <c r="CZ114" s="28"/>
      <c r="DC114" s="28"/>
      <c r="DF114" s="28"/>
      <c r="DI114" s="28"/>
      <c r="DL114" s="28"/>
      <c r="DO114" s="28"/>
      <c r="DR114" s="28"/>
      <c r="DU114" s="28"/>
      <c r="DX114" s="28"/>
      <c r="EA114" s="28"/>
      <c r="ED114" s="28"/>
      <c r="EG114" s="28"/>
      <c r="EJ114" s="28"/>
      <c r="EM114" s="28"/>
      <c r="EP114" s="28"/>
      <c r="ES114" s="28"/>
      <c r="EV114" s="28"/>
      <c r="EY114" s="28"/>
      <c r="FB114" s="28"/>
      <c r="FE114" s="28"/>
      <c r="FH114" s="28"/>
      <c r="FK114" s="28"/>
      <c r="FN114" s="28"/>
      <c r="FQ114" s="28"/>
      <c r="FT114" s="28"/>
      <c r="FW114" s="28"/>
      <c r="FZ114" s="28"/>
      <c r="GC114" s="28"/>
    </row>
    <row r="115" spans="1:185" s="25" customFormat="1" x14ac:dyDescent="0.3">
      <c r="A115" s="27"/>
      <c r="B115" s="28"/>
      <c r="C115" s="27"/>
      <c r="D115" s="26"/>
      <c r="E115" s="28"/>
      <c r="H115" s="28"/>
      <c r="K115" s="28"/>
      <c r="N115" s="28"/>
      <c r="Q115" s="28"/>
      <c r="T115" s="28"/>
      <c r="W115" s="28"/>
      <c r="Z115" s="28"/>
      <c r="AC115" s="28"/>
      <c r="AF115" s="28"/>
      <c r="AI115" s="28"/>
      <c r="AL115" s="28"/>
      <c r="AO115" s="28"/>
      <c r="AR115" s="28"/>
      <c r="AU115" s="28"/>
      <c r="AX115" s="28"/>
      <c r="BA115" s="28"/>
      <c r="BD115" s="28"/>
      <c r="BG115" s="28"/>
      <c r="BJ115" s="28"/>
      <c r="BM115" s="28"/>
      <c r="BP115" s="28"/>
      <c r="BS115" s="28"/>
      <c r="BV115" s="28"/>
      <c r="BY115" s="28"/>
      <c r="CB115" s="28"/>
      <c r="CE115" s="28"/>
      <c r="CH115" s="28"/>
      <c r="CK115" s="28"/>
      <c r="CN115" s="28"/>
      <c r="CQ115" s="28"/>
      <c r="CT115" s="28"/>
      <c r="CW115" s="28"/>
      <c r="CZ115" s="28"/>
      <c r="DC115" s="28"/>
      <c r="DF115" s="28"/>
      <c r="DI115" s="28"/>
      <c r="DL115" s="28"/>
      <c r="DO115" s="28"/>
      <c r="DR115" s="28"/>
      <c r="DU115" s="28"/>
      <c r="DX115" s="28"/>
      <c r="EA115" s="28"/>
      <c r="ED115" s="28"/>
      <c r="EG115" s="28"/>
      <c r="EJ115" s="28"/>
      <c r="EM115" s="28"/>
      <c r="EP115" s="28"/>
      <c r="ES115" s="28"/>
      <c r="EV115" s="28"/>
      <c r="EY115" s="28"/>
      <c r="FB115" s="28"/>
      <c r="FE115" s="28"/>
      <c r="FH115" s="28"/>
      <c r="FK115" s="28"/>
      <c r="FN115" s="28"/>
      <c r="FQ115" s="28"/>
      <c r="FT115" s="28"/>
      <c r="FW115" s="28"/>
      <c r="FZ115" s="28"/>
      <c r="GC115" s="28"/>
    </row>
    <row r="116" spans="1:185" s="25" customFormat="1" x14ac:dyDescent="0.3">
      <c r="A116" s="27"/>
      <c r="B116" s="28"/>
      <c r="C116" s="27"/>
      <c r="D116" s="26"/>
      <c r="E116" s="28"/>
      <c r="H116" s="28"/>
      <c r="K116" s="28"/>
      <c r="N116" s="28"/>
      <c r="Q116" s="28"/>
      <c r="T116" s="28"/>
      <c r="W116" s="28"/>
      <c r="Z116" s="28"/>
      <c r="AC116" s="28"/>
      <c r="AF116" s="28"/>
      <c r="AI116" s="28"/>
      <c r="AL116" s="28"/>
      <c r="AO116" s="28"/>
      <c r="AR116" s="28"/>
      <c r="AU116" s="28"/>
      <c r="AX116" s="28"/>
      <c r="BA116" s="28"/>
      <c r="BD116" s="28"/>
      <c r="BG116" s="28"/>
      <c r="BJ116" s="28"/>
      <c r="BM116" s="28"/>
      <c r="BP116" s="28"/>
      <c r="BS116" s="28"/>
      <c r="BV116" s="28"/>
      <c r="BY116" s="28"/>
      <c r="CB116" s="28"/>
      <c r="CE116" s="28"/>
      <c r="CH116" s="28"/>
      <c r="CK116" s="28"/>
      <c r="CN116" s="28"/>
      <c r="CQ116" s="28"/>
      <c r="CT116" s="28"/>
      <c r="CW116" s="28"/>
      <c r="CZ116" s="28"/>
      <c r="DC116" s="28"/>
      <c r="DF116" s="28"/>
      <c r="DI116" s="28"/>
      <c r="DL116" s="28"/>
      <c r="DO116" s="28"/>
      <c r="DR116" s="28"/>
      <c r="DU116" s="28"/>
      <c r="DX116" s="28"/>
      <c r="EA116" s="28"/>
      <c r="ED116" s="28"/>
      <c r="EG116" s="28"/>
      <c r="EJ116" s="28"/>
      <c r="EM116" s="28"/>
      <c r="EP116" s="28"/>
      <c r="ES116" s="28"/>
      <c r="EV116" s="28"/>
      <c r="EY116" s="28"/>
      <c r="FB116" s="28"/>
      <c r="FE116" s="28"/>
      <c r="FH116" s="28"/>
      <c r="FK116" s="28"/>
      <c r="FN116" s="28"/>
      <c r="FQ116" s="28"/>
      <c r="FT116" s="28"/>
      <c r="FW116" s="28"/>
      <c r="FZ116" s="28"/>
      <c r="GC116" s="28"/>
    </row>
    <row r="117" spans="1:185" s="25" customFormat="1" x14ac:dyDescent="0.3">
      <c r="A117" s="27"/>
      <c r="B117" s="28"/>
      <c r="C117" s="27"/>
      <c r="D117" s="26"/>
      <c r="E117" s="28"/>
      <c r="H117" s="28"/>
      <c r="K117" s="28"/>
      <c r="N117" s="28"/>
      <c r="Q117" s="28"/>
      <c r="T117" s="28"/>
      <c r="W117" s="28"/>
      <c r="Z117" s="28"/>
      <c r="AC117" s="28"/>
      <c r="AF117" s="28"/>
      <c r="AI117" s="28"/>
      <c r="AL117" s="28"/>
      <c r="AO117" s="28"/>
      <c r="AR117" s="28"/>
      <c r="AU117" s="28"/>
      <c r="AX117" s="28"/>
      <c r="BA117" s="28"/>
      <c r="BD117" s="28"/>
      <c r="BG117" s="28"/>
      <c r="BJ117" s="28"/>
      <c r="BM117" s="28"/>
      <c r="BP117" s="28"/>
      <c r="BS117" s="28"/>
      <c r="BV117" s="28"/>
      <c r="BY117" s="28"/>
      <c r="CB117" s="28"/>
      <c r="CE117" s="28"/>
      <c r="CH117" s="28"/>
      <c r="CK117" s="28"/>
      <c r="CN117" s="28"/>
      <c r="CQ117" s="28"/>
      <c r="CT117" s="28"/>
      <c r="CW117" s="28"/>
      <c r="CZ117" s="28"/>
      <c r="DC117" s="28"/>
      <c r="DF117" s="28"/>
      <c r="DI117" s="28"/>
      <c r="DL117" s="28"/>
      <c r="DO117" s="28"/>
      <c r="DR117" s="28"/>
      <c r="DU117" s="28"/>
      <c r="DX117" s="28"/>
      <c r="EA117" s="28"/>
      <c r="ED117" s="28"/>
      <c r="EG117" s="28"/>
      <c r="EJ117" s="28"/>
      <c r="EM117" s="28"/>
      <c r="EP117" s="28"/>
      <c r="ES117" s="28"/>
      <c r="EV117" s="28"/>
      <c r="EY117" s="28"/>
      <c r="FB117" s="28"/>
      <c r="FE117" s="28"/>
      <c r="FH117" s="28"/>
      <c r="FK117" s="28"/>
      <c r="FN117" s="28"/>
      <c r="FQ117" s="28"/>
      <c r="FT117" s="28"/>
      <c r="FW117" s="28"/>
      <c r="FZ117" s="28"/>
      <c r="GC117" s="28"/>
    </row>
    <row r="118" spans="1:185" s="25" customFormat="1" x14ac:dyDescent="0.3">
      <c r="A118" s="27"/>
      <c r="B118" s="28"/>
      <c r="C118" s="27"/>
      <c r="D118" s="26"/>
      <c r="E118" s="28"/>
      <c r="H118" s="28"/>
      <c r="K118" s="28"/>
      <c r="N118" s="28"/>
      <c r="Q118" s="28"/>
      <c r="T118" s="28"/>
      <c r="W118" s="28"/>
      <c r="Z118" s="28"/>
      <c r="AC118" s="28"/>
      <c r="AF118" s="28"/>
      <c r="AI118" s="28"/>
      <c r="AL118" s="28"/>
      <c r="AO118" s="28"/>
      <c r="AR118" s="28"/>
      <c r="AU118" s="28"/>
      <c r="AX118" s="28"/>
      <c r="BA118" s="28"/>
      <c r="BD118" s="28"/>
      <c r="BG118" s="28"/>
      <c r="BJ118" s="28"/>
      <c r="BM118" s="28"/>
      <c r="BP118" s="28"/>
      <c r="BS118" s="28"/>
      <c r="BV118" s="28"/>
      <c r="BY118" s="28"/>
      <c r="CB118" s="28"/>
      <c r="CE118" s="28"/>
      <c r="CH118" s="28"/>
      <c r="CK118" s="28"/>
      <c r="CN118" s="28"/>
      <c r="CQ118" s="28"/>
      <c r="CT118" s="28"/>
      <c r="CW118" s="28"/>
      <c r="CZ118" s="28"/>
      <c r="DC118" s="28"/>
      <c r="DF118" s="28"/>
      <c r="DI118" s="28"/>
      <c r="DL118" s="28"/>
      <c r="DO118" s="28"/>
      <c r="DR118" s="28"/>
      <c r="DU118" s="28"/>
      <c r="DX118" s="28"/>
      <c r="EA118" s="28"/>
      <c r="ED118" s="28"/>
      <c r="EG118" s="28"/>
      <c r="EJ118" s="28"/>
      <c r="EM118" s="28"/>
      <c r="EP118" s="28"/>
      <c r="ES118" s="28"/>
      <c r="EV118" s="28"/>
      <c r="EY118" s="28"/>
      <c r="FB118" s="28"/>
      <c r="FE118" s="28"/>
      <c r="FH118" s="28"/>
      <c r="FK118" s="28"/>
      <c r="FN118" s="28"/>
      <c r="FQ118" s="28"/>
      <c r="FT118" s="28"/>
      <c r="FW118" s="28"/>
      <c r="FZ118" s="28"/>
      <c r="GC118" s="28"/>
    </row>
    <row r="119" spans="1:185" s="25" customFormat="1" x14ac:dyDescent="0.3">
      <c r="A119" s="27"/>
      <c r="B119" s="28"/>
      <c r="C119" s="27"/>
      <c r="D119" s="26"/>
      <c r="E119" s="28"/>
      <c r="H119" s="28"/>
      <c r="K119" s="28"/>
      <c r="N119" s="28"/>
      <c r="Q119" s="28"/>
      <c r="T119" s="28"/>
      <c r="W119" s="28"/>
      <c r="Z119" s="28"/>
      <c r="AC119" s="28"/>
      <c r="AF119" s="28"/>
      <c r="AI119" s="28"/>
      <c r="AL119" s="28"/>
      <c r="AO119" s="28"/>
      <c r="AR119" s="28"/>
      <c r="AU119" s="28"/>
      <c r="AX119" s="28"/>
      <c r="BA119" s="28"/>
      <c r="BD119" s="28"/>
      <c r="BG119" s="28"/>
      <c r="BJ119" s="28"/>
      <c r="BM119" s="28"/>
      <c r="BP119" s="28"/>
      <c r="BS119" s="28"/>
      <c r="BV119" s="28"/>
      <c r="BY119" s="28"/>
      <c r="CB119" s="28"/>
      <c r="CE119" s="28"/>
      <c r="CH119" s="28"/>
      <c r="CK119" s="28"/>
      <c r="CN119" s="28"/>
      <c r="CQ119" s="28"/>
      <c r="CT119" s="28"/>
      <c r="CW119" s="28"/>
      <c r="CZ119" s="28"/>
      <c r="DC119" s="28"/>
      <c r="DF119" s="28"/>
      <c r="DI119" s="28"/>
      <c r="DL119" s="28"/>
      <c r="DO119" s="28"/>
      <c r="DR119" s="28"/>
      <c r="DU119" s="28"/>
      <c r="DX119" s="28"/>
      <c r="EA119" s="28"/>
      <c r="ED119" s="28"/>
      <c r="EG119" s="28"/>
      <c r="EJ119" s="28"/>
      <c r="EM119" s="28"/>
      <c r="EP119" s="28"/>
      <c r="ES119" s="28"/>
      <c r="EV119" s="28"/>
      <c r="EY119" s="28"/>
      <c r="FB119" s="28"/>
      <c r="FE119" s="28"/>
      <c r="FH119" s="28"/>
      <c r="FK119" s="28"/>
      <c r="FN119" s="28"/>
      <c r="FQ119" s="28"/>
      <c r="FT119" s="28"/>
      <c r="FW119" s="28"/>
      <c r="FZ119" s="28"/>
      <c r="GC119" s="28"/>
    </row>
    <row r="120" spans="1:185" s="25" customFormat="1" x14ac:dyDescent="0.3">
      <c r="A120" s="27"/>
      <c r="B120" s="28"/>
      <c r="C120" s="27"/>
      <c r="D120" s="26"/>
      <c r="E120" s="28"/>
      <c r="H120" s="28"/>
      <c r="K120" s="28"/>
      <c r="N120" s="28"/>
      <c r="Q120" s="28"/>
      <c r="T120" s="28"/>
      <c r="W120" s="28"/>
      <c r="Z120" s="28"/>
      <c r="AC120" s="28"/>
      <c r="AF120" s="28"/>
      <c r="AI120" s="28"/>
      <c r="AL120" s="28"/>
      <c r="AO120" s="28"/>
      <c r="AR120" s="28"/>
      <c r="AU120" s="28"/>
      <c r="AX120" s="28"/>
      <c r="BA120" s="28"/>
      <c r="BD120" s="28"/>
      <c r="BG120" s="28"/>
      <c r="BJ120" s="28"/>
      <c r="BM120" s="28"/>
      <c r="BP120" s="28"/>
      <c r="BS120" s="28"/>
      <c r="BV120" s="28"/>
      <c r="BY120" s="28"/>
      <c r="CB120" s="28"/>
      <c r="CE120" s="28"/>
      <c r="CH120" s="28"/>
      <c r="CK120" s="28"/>
      <c r="CN120" s="28"/>
      <c r="CQ120" s="28"/>
      <c r="CT120" s="28"/>
      <c r="CW120" s="28"/>
      <c r="CZ120" s="28"/>
      <c r="DC120" s="28"/>
      <c r="DF120" s="28"/>
      <c r="DI120" s="28"/>
      <c r="DL120" s="28"/>
      <c r="DO120" s="28"/>
      <c r="DR120" s="28"/>
      <c r="DU120" s="28"/>
      <c r="DX120" s="28"/>
      <c r="EA120" s="28"/>
      <c r="ED120" s="28"/>
      <c r="EG120" s="28"/>
      <c r="EJ120" s="28"/>
      <c r="EM120" s="28"/>
      <c r="EP120" s="28"/>
      <c r="ES120" s="28"/>
      <c r="EV120" s="28"/>
      <c r="EY120" s="28"/>
      <c r="FB120" s="28"/>
      <c r="FE120" s="28"/>
      <c r="FH120" s="28"/>
      <c r="FK120" s="28"/>
      <c r="FN120" s="28"/>
      <c r="FQ120" s="28"/>
      <c r="FT120" s="28"/>
      <c r="FW120" s="28"/>
      <c r="FZ120" s="28"/>
      <c r="GC120" s="28"/>
    </row>
    <row r="121" spans="1:185" s="25" customFormat="1" x14ac:dyDescent="0.3">
      <c r="A121" s="27"/>
      <c r="B121" s="28"/>
      <c r="C121" s="27"/>
      <c r="D121" s="26"/>
      <c r="E121" s="28"/>
      <c r="H121" s="28"/>
      <c r="K121" s="28"/>
      <c r="N121" s="28"/>
      <c r="Q121" s="28"/>
      <c r="T121" s="28"/>
      <c r="W121" s="28"/>
      <c r="Z121" s="28"/>
      <c r="AC121" s="28"/>
      <c r="AF121" s="28"/>
      <c r="AI121" s="28"/>
      <c r="AL121" s="28"/>
      <c r="AO121" s="28"/>
      <c r="AR121" s="28"/>
      <c r="AU121" s="28"/>
      <c r="AX121" s="28"/>
      <c r="BA121" s="28"/>
      <c r="BD121" s="28"/>
      <c r="BG121" s="28"/>
      <c r="BJ121" s="28"/>
      <c r="BM121" s="28"/>
      <c r="BP121" s="28"/>
      <c r="BS121" s="28"/>
      <c r="BV121" s="28"/>
      <c r="BY121" s="28"/>
      <c r="CB121" s="28"/>
      <c r="CE121" s="28"/>
      <c r="CH121" s="28"/>
      <c r="CK121" s="28"/>
      <c r="CN121" s="28"/>
      <c r="CQ121" s="28"/>
      <c r="CT121" s="28"/>
      <c r="CW121" s="28"/>
      <c r="CZ121" s="28"/>
      <c r="DC121" s="28"/>
      <c r="DF121" s="28"/>
      <c r="DI121" s="28"/>
      <c r="DL121" s="28"/>
      <c r="DO121" s="28"/>
      <c r="DR121" s="28"/>
      <c r="DU121" s="28"/>
      <c r="DX121" s="28"/>
      <c r="EA121" s="28"/>
      <c r="ED121" s="28"/>
      <c r="EG121" s="28"/>
      <c r="EJ121" s="28"/>
      <c r="EM121" s="28"/>
      <c r="EP121" s="28"/>
      <c r="ES121" s="28"/>
      <c r="EV121" s="28"/>
      <c r="EY121" s="28"/>
      <c r="FB121" s="28"/>
      <c r="FE121" s="28"/>
      <c r="FH121" s="28"/>
      <c r="FK121" s="28"/>
      <c r="FN121" s="28"/>
      <c r="FQ121" s="28"/>
      <c r="FT121" s="28"/>
      <c r="FW121" s="28"/>
      <c r="FZ121" s="28"/>
      <c r="GC121" s="28"/>
    </row>
    <row r="122" spans="1:185" s="25" customFormat="1" x14ac:dyDescent="0.3">
      <c r="A122" s="27"/>
      <c r="B122" s="28"/>
      <c r="C122" s="27"/>
      <c r="D122" s="26"/>
      <c r="E122" s="28"/>
      <c r="H122" s="28"/>
      <c r="K122" s="28"/>
      <c r="N122" s="28"/>
      <c r="Q122" s="28"/>
      <c r="T122" s="28"/>
      <c r="W122" s="28"/>
      <c r="Z122" s="28"/>
      <c r="AC122" s="28"/>
      <c r="AF122" s="28"/>
      <c r="AI122" s="28"/>
      <c r="AL122" s="28"/>
      <c r="AO122" s="28"/>
      <c r="AR122" s="28"/>
      <c r="AU122" s="28"/>
      <c r="AX122" s="28"/>
      <c r="BA122" s="28"/>
      <c r="BD122" s="28"/>
      <c r="BG122" s="28"/>
      <c r="BJ122" s="28"/>
      <c r="BM122" s="28"/>
      <c r="BP122" s="28"/>
      <c r="BS122" s="28"/>
      <c r="BV122" s="28"/>
      <c r="BY122" s="28"/>
      <c r="CB122" s="28"/>
      <c r="CE122" s="28"/>
      <c r="CH122" s="28"/>
      <c r="CK122" s="28"/>
      <c r="CN122" s="28"/>
      <c r="CQ122" s="28"/>
      <c r="CT122" s="28"/>
      <c r="CW122" s="28"/>
      <c r="CZ122" s="28"/>
      <c r="DC122" s="28"/>
      <c r="DF122" s="28"/>
      <c r="DI122" s="28"/>
      <c r="DL122" s="28"/>
      <c r="DO122" s="28"/>
      <c r="DR122" s="28"/>
      <c r="DU122" s="28"/>
      <c r="DX122" s="28"/>
      <c r="EA122" s="28"/>
      <c r="ED122" s="28"/>
      <c r="EG122" s="28"/>
      <c r="EJ122" s="28"/>
      <c r="EM122" s="28"/>
      <c r="EP122" s="28"/>
      <c r="ES122" s="28"/>
      <c r="EV122" s="28"/>
      <c r="EY122" s="28"/>
      <c r="FB122" s="28"/>
      <c r="FE122" s="28"/>
      <c r="FH122" s="28"/>
      <c r="FK122" s="28"/>
      <c r="FN122" s="28"/>
      <c r="FQ122" s="28"/>
      <c r="FT122" s="28"/>
      <c r="FW122" s="28"/>
      <c r="FZ122" s="28"/>
      <c r="GC122" s="28"/>
    </row>
    <row r="123" spans="1:185" s="25" customFormat="1" x14ac:dyDescent="0.3">
      <c r="A123" s="27"/>
      <c r="B123" s="28"/>
      <c r="C123" s="27"/>
      <c r="D123" s="26"/>
      <c r="E123" s="28"/>
      <c r="H123" s="28"/>
      <c r="K123" s="28"/>
      <c r="N123" s="28"/>
      <c r="Q123" s="28"/>
      <c r="T123" s="28"/>
      <c r="W123" s="28"/>
      <c r="Z123" s="28"/>
      <c r="AC123" s="28"/>
      <c r="AF123" s="28"/>
      <c r="AI123" s="28"/>
      <c r="AL123" s="28"/>
      <c r="AO123" s="28"/>
      <c r="AR123" s="28"/>
      <c r="AU123" s="28"/>
      <c r="AX123" s="28"/>
      <c r="BA123" s="28"/>
      <c r="BD123" s="28"/>
      <c r="BG123" s="28"/>
      <c r="BJ123" s="28"/>
      <c r="BM123" s="28"/>
      <c r="BP123" s="28"/>
      <c r="BS123" s="28"/>
      <c r="BV123" s="28"/>
      <c r="BY123" s="28"/>
      <c r="CB123" s="28"/>
      <c r="CE123" s="28"/>
      <c r="CH123" s="28"/>
      <c r="CK123" s="28"/>
      <c r="CN123" s="28"/>
      <c r="CQ123" s="28"/>
      <c r="CT123" s="28"/>
      <c r="CW123" s="28"/>
      <c r="CZ123" s="28"/>
      <c r="DC123" s="28"/>
      <c r="DF123" s="28"/>
      <c r="DI123" s="28"/>
      <c r="DL123" s="28"/>
      <c r="DO123" s="28"/>
      <c r="DR123" s="28"/>
      <c r="DU123" s="28"/>
      <c r="DX123" s="28"/>
      <c r="EA123" s="28"/>
      <c r="ED123" s="28"/>
      <c r="EG123" s="28"/>
      <c r="EJ123" s="28"/>
      <c r="EM123" s="28"/>
      <c r="EP123" s="28"/>
      <c r="ES123" s="28"/>
      <c r="EV123" s="28"/>
      <c r="EY123" s="28"/>
      <c r="FB123" s="28"/>
      <c r="FE123" s="28"/>
      <c r="FH123" s="28"/>
      <c r="FK123" s="28"/>
      <c r="FN123" s="28"/>
      <c r="FQ123" s="28"/>
      <c r="FT123" s="28"/>
      <c r="FW123" s="28"/>
      <c r="FZ123" s="28"/>
      <c r="GC123" s="28"/>
    </row>
    <row r="124" spans="1:185" s="25" customFormat="1" x14ac:dyDescent="0.3">
      <c r="A124" s="27"/>
      <c r="B124" s="28"/>
      <c r="C124" s="27"/>
      <c r="D124" s="26"/>
      <c r="E124" s="28"/>
      <c r="H124" s="28"/>
      <c r="K124" s="28"/>
      <c r="N124" s="28"/>
      <c r="Q124" s="28"/>
      <c r="T124" s="28"/>
      <c r="W124" s="28"/>
      <c r="Z124" s="28"/>
      <c r="AC124" s="28"/>
      <c r="AF124" s="28"/>
      <c r="AI124" s="28"/>
      <c r="AL124" s="28"/>
      <c r="AO124" s="28"/>
      <c r="AR124" s="28"/>
      <c r="AU124" s="28"/>
      <c r="AX124" s="28"/>
      <c r="BA124" s="28"/>
      <c r="BD124" s="28"/>
      <c r="BG124" s="28"/>
      <c r="BJ124" s="28"/>
      <c r="BM124" s="28"/>
      <c r="BP124" s="28"/>
      <c r="BS124" s="28"/>
      <c r="BV124" s="28"/>
      <c r="BY124" s="28"/>
      <c r="CB124" s="28"/>
      <c r="CE124" s="28"/>
      <c r="CH124" s="28"/>
      <c r="CK124" s="28"/>
      <c r="CN124" s="28"/>
      <c r="CQ124" s="28"/>
      <c r="CT124" s="28"/>
      <c r="CW124" s="28"/>
      <c r="CZ124" s="28"/>
      <c r="DC124" s="28"/>
      <c r="DF124" s="28"/>
      <c r="DI124" s="28"/>
      <c r="DL124" s="28"/>
      <c r="DO124" s="28"/>
      <c r="DR124" s="28"/>
      <c r="DU124" s="28"/>
      <c r="DX124" s="28"/>
      <c r="EA124" s="28"/>
      <c r="ED124" s="28"/>
      <c r="EG124" s="28"/>
      <c r="EJ124" s="28"/>
      <c r="EM124" s="28"/>
      <c r="EP124" s="28"/>
      <c r="ES124" s="28"/>
      <c r="EV124" s="28"/>
      <c r="EY124" s="28"/>
      <c r="FB124" s="28"/>
      <c r="FE124" s="28"/>
      <c r="FH124" s="28"/>
      <c r="FK124" s="28"/>
      <c r="FN124" s="28"/>
      <c r="FQ124" s="28"/>
      <c r="FT124" s="28"/>
      <c r="FW124" s="28"/>
      <c r="FZ124" s="28"/>
      <c r="GC124" s="28"/>
    </row>
    <row r="125" spans="1:185" s="25" customFormat="1" x14ac:dyDescent="0.3">
      <c r="A125" s="27"/>
      <c r="B125" s="28"/>
      <c r="C125" s="27"/>
      <c r="D125" s="26"/>
      <c r="E125" s="28"/>
      <c r="H125" s="28"/>
      <c r="K125" s="28"/>
      <c r="N125" s="28"/>
      <c r="Q125" s="28"/>
      <c r="T125" s="28"/>
      <c r="W125" s="28"/>
      <c r="Z125" s="28"/>
      <c r="AC125" s="28"/>
      <c r="AF125" s="28"/>
      <c r="AI125" s="28"/>
      <c r="AL125" s="28"/>
      <c r="AO125" s="28"/>
      <c r="AR125" s="28"/>
      <c r="AU125" s="28"/>
      <c r="AX125" s="28"/>
      <c r="BA125" s="28"/>
      <c r="BD125" s="28"/>
      <c r="BG125" s="28"/>
      <c r="BJ125" s="28"/>
      <c r="BM125" s="28"/>
      <c r="BP125" s="28"/>
      <c r="BS125" s="28"/>
      <c r="BV125" s="28"/>
      <c r="BY125" s="28"/>
      <c r="CB125" s="28"/>
      <c r="CE125" s="28"/>
      <c r="CH125" s="28"/>
      <c r="CK125" s="28"/>
      <c r="CN125" s="28"/>
      <c r="CQ125" s="28"/>
      <c r="CT125" s="28"/>
      <c r="CW125" s="28"/>
      <c r="CZ125" s="28"/>
      <c r="DC125" s="28"/>
      <c r="DF125" s="28"/>
      <c r="DI125" s="28"/>
      <c r="DL125" s="28"/>
      <c r="DO125" s="28"/>
      <c r="DR125" s="28"/>
      <c r="DU125" s="28"/>
      <c r="DX125" s="28"/>
      <c r="EA125" s="28"/>
      <c r="ED125" s="28"/>
      <c r="EG125" s="28"/>
      <c r="EJ125" s="28"/>
      <c r="EM125" s="28"/>
      <c r="EP125" s="28"/>
      <c r="ES125" s="28"/>
      <c r="EV125" s="28"/>
      <c r="EY125" s="28"/>
      <c r="FB125" s="28"/>
      <c r="FE125" s="28"/>
      <c r="FH125" s="28"/>
      <c r="FK125" s="28"/>
      <c r="FN125" s="28"/>
      <c r="FQ125" s="28"/>
      <c r="FT125" s="28"/>
      <c r="FW125" s="28"/>
      <c r="FZ125" s="28"/>
      <c r="GC125" s="28"/>
    </row>
    <row r="126" spans="1:185" s="25" customFormat="1" x14ac:dyDescent="0.3">
      <c r="A126" s="27"/>
      <c r="B126" s="28"/>
      <c r="C126" s="27"/>
      <c r="D126" s="26"/>
      <c r="E126" s="28"/>
      <c r="H126" s="28"/>
      <c r="K126" s="28"/>
      <c r="N126" s="28"/>
      <c r="Q126" s="28"/>
      <c r="T126" s="28"/>
      <c r="W126" s="28"/>
      <c r="Z126" s="28"/>
      <c r="AC126" s="28"/>
      <c r="AF126" s="28"/>
      <c r="AI126" s="28"/>
      <c r="AL126" s="28"/>
      <c r="AO126" s="28"/>
      <c r="AR126" s="28"/>
      <c r="AU126" s="28"/>
      <c r="AX126" s="28"/>
      <c r="BA126" s="28"/>
      <c r="BD126" s="28"/>
      <c r="BG126" s="28"/>
      <c r="BJ126" s="28"/>
      <c r="BM126" s="28"/>
      <c r="BP126" s="28"/>
      <c r="BS126" s="28"/>
      <c r="BV126" s="28"/>
      <c r="BY126" s="28"/>
      <c r="CB126" s="28"/>
      <c r="CE126" s="28"/>
      <c r="CH126" s="28"/>
      <c r="CK126" s="28"/>
      <c r="CN126" s="28"/>
      <c r="CQ126" s="28"/>
      <c r="CT126" s="28"/>
      <c r="CW126" s="28"/>
      <c r="CZ126" s="28"/>
      <c r="DC126" s="28"/>
      <c r="DF126" s="28"/>
      <c r="DI126" s="28"/>
      <c r="DL126" s="28"/>
      <c r="DO126" s="28"/>
      <c r="DR126" s="28"/>
      <c r="DU126" s="28"/>
      <c r="DX126" s="28"/>
      <c r="EA126" s="28"/>
      <c r="ED126" s="28"/>
      <c r="EG126" s="28"/>
      <c r="EJ126" s="28"/>
      <c r="EM126" s="28"/>
      <c r="EP126" s="28"/>
      <c r="ES126" s="28"/>
      <c r="EV126" s="28"/>
      <c r="EY126" s="28"/>
      <c r="FB126" s="28"/>
      <c r="FE126" s="28"/>
      <c r="FH126" s="28"/>
      <c r="FK126" s="28"/>
      <c r="FN126" s="28"/>
      <c r="FQ126" s="28"/>
      <c r="FT126" s="28"/>
      <c r="FW126" s="28"/>
      <c r="FZ126" s="28"/>
      <c r="GC126" s="28"/>
    </row>
    <row r="127" spans="1:185" s="25" customFormat="1" x14ac:dyDescent="0.3">
      <c r="A127" s="27"/>
      <c r="B127" s="28"/>
      <c r="C127" s="27"/>
      <c r="D127" s="26"/>
      <c r="E127" s="28"/>
      <c r="H127" s="28"/>
      <c r="K127" s="28"/>
      <c r="N127" s="28"/>
      <c r="Q127" s="28"/>
      <c r="T127" s="28"/>
      <c r="W127" s="28"/>
      <c r="Z127" s="28"/>
      <c r="AC127" s="28"/>
      <c r="AF127" s="28"/>
      <c r="AI127" s="28"/>
      <c r="AL127" s="28"/>
      <c r="AO127" s="28"/>
      <c r="AR127" s="28"/>
      <c r="AU127" s="28"/>
      <c r="AX127" s="28"/>
      <c r="BA127" s="28"/>
      <c r="BD127" s="28"/>
      <c r="BG127" s="28"/>
      <c r="BJ127" s="28"/>
      <c r="BM127" s="28"/>
      <c r="BP127" s="28"/>
      <c r="BS127" s="28"/>
      <c r="BV127" s="28"/>
      <c r="BY127" s="28"/>
      <c r="CB127" s="28"/>
      <c r="CE127" s="28"/>
      <c r="CH127" s="28"/>
      <c r="CK127" s="28"/>
      <c r="CN127" s="28"/>
      <c r="CQ127" s="28"/>
      <c r="CT127" s="28"/>
      <c r="CW127" s="28"/>
      <c r="CZ127" s="28"/>
      <c r="DC127" s="28"/>
      <c r="DF127" s="28"/>
      <c r="DI127" s="28"/>
      <c r="DL127" s="28"/>
      <c r="DO127" s="28"/>
      <c r="DR127" s="28"/>
      <c r="DU127" s="28"/>
      <c r="DX127" s="28"/>
      <c r="EA127" s="28"/>
      <c r="ED127" s="28"/>
      <c r="EG127" s="28"/>
      <c r="EJ127" s="28"/>
      <c r="EM127" s="28"/>
      <c r="EP127" s="28"/>
      <c r="ES127" s="28"/>
      <c r="EV127" s="28"/>
      <c r="EY127" s="28"/>
      <c r="FB127" s="28"/>
      <c r="FE127" s="28"/>
      <c r="FH127" s="28"/>
      <c r="FK127" s="28"/>
      <c r="FN127" s="28"/>
      <c r="FQ127" s="28"/>
      <c r="FT127" s="28"/>
      <c r="FW127" s="28"/>
      <c r="FZ127" s="28"/>
      <c r="GC127" s="28"/>
    </row>
    <row r="128" spans="1:185" s="25" customFormat="1" x14ac:dyDescent="0.3">
      <c r="A128" s="27"/>
      <c r="B128" s="28"/>
      <c r="C128" s="27"/>
      <c r="D128" s="26"/>
      <c r="E128" s="28"/>
      <c r="H128" s="28"/>
      <c r="K128" s="28"/>
      <c r="N128" s="28"/>
      <c r="Q128" s="28"/>
      <c r="T128" s="28"/>
      <c r="W128" s="28"/>
      <c r="Z128" s="28"/>
      <c r="AC128" s="28"/>
      <c r="AF128" s="28"/>
      <c r="AI128" s="28"/>
      <c r="AL128" s="28"/>
      <c r="AO128" s="28"/>
      <c r="AR128" s="28"/>
      <c r="AU128" s="28"/>
      <c r="AX128" s="28"/>
      <c r="BA128" s="28"/>
      <c r="BD128" s="28"/>
      <c r="BG128" s="28"/>
      <c r="BJ128" s="28"/>
      <c r="BM128" s="28"/>
      <c r="BP128" s="28"/>
      <c r="BS128" s="28"/>
      <c r="BV128" s="28"/>
      <c r="BY128" s="28"/>
      <c r="CB128" s="28"/>
      <c r="CE128" s="28"/>
      <c r="CH128" s="28"/>
      <c r="CK128" s="28"/>
      <c r="CN128" s="28"/>
      <c r="CQ128" s="28"/>
      <c r="CT128" s="28"/>
      <c r="CW128" s="28"/>
      <c r="CZ128" s="28"/>
      <c r="DC128" s="28"/>
      <c r="DF128" s="28"/>
      <c r="DI128" s="28"/>
      <c r="DL128" s="28"/>
      <c r="DO128" s="28"/>
      <c r="DR128" s="28"/>
      <c r="DU128" s="28"/>
      <c r="DX128" s="28"/>
      <c r="EA128" s="28"/>
      <c r="ED128" s="28"/>
      <c r="EG128" s="28"/>
      <c r="EJ128" s="28"/>
      <c r="EM128" s="28"/>
      <c r="EP128" s="28"/>
      <c r="ES128" s="28"/>
      <c r="EV128" s="28"/>
      <c r="EY128" s="28"/>
      <c r="FB128" s="28"/>
      <c r="FE128" s="28"/>
      <c r="FH128" s="28"/>
      <c r="FK128" s="28"/>
      <c r="FN128" s="28"/>
      <c r="FQ128" s="28"/>
      <c r="FT128" s="28"/>
      <c r="FW128" s="28"/>
      <c r="FZ128" s="28"/>
      <c r="GC128" s="28"/>
    </row>
    <row r="129" spans="1:185" s="25" customFormat="1" x14ac:dyDescent="0.3">
      <c r="A129" s="27"/>
      <c r="B129" s="28"/>
      <c r="C129" s="27"/>
      <c r="D129" s="26"/>
      <c r="E129" s="28"/>
      <c r="H129" s="28"/>
      <c r="K129" s="28"/>
      <c r="N129" s="28"/>
      <c r="Q129" s="28"/>
      <c r="T129" s="28"/>
      <c r="W129" s="28"/>
      <c r="Z129" s="28"/>
      <c r="AC129" s="28"/>
      <c r="AF129" s="28"/>
      <c r="AI129" s="28"/>
      <c r="AL129" s="28"/>
      <c r="AO129" s="28"/>
      <c r="AR129" s="28"/>
      <c r="AU129" s="28"/>
      <c r="AX129" s="28"/>
      <c r="BA129" s="28"/>
      <c r="BD129" s="28"/>
      <c r="BG129" s="28"/>
      <c r="BJ129" s="28"/>
      <c r="BM129" s="28"/>
      <c r="BP129" s="28"/>
      <c r="BS129" s="28"/>
      <c r="BV129" s="28"/>
      <c r="BY129" s="28"/>
      <c r="CB129" s="28"/>
      <c r="CE129" s="28"/>
      <c r="CH129" s="28"/>
      <c r="CK129" s="28"/>
      <c r="CN129" s="28"/>
      <c r="CQ129" s="28"/>
      <c r="CT129" s="28"/>
      <c r="CW129" s="28"/>
      <c r="CZ129" s="28"/>
      <c r="DC129" s="28"/>
      <c r="DF129" s="28"/>
      <c r="DI129" s="28"/>
      <c r="DL129" s="28"/>
      <c r="DO129" s="28"/>
      <c r="DR129" s="28"/>
      <c r="DU129" s="28"/>
      <c r="DX129" s="28"/>
      <c r="EA129" s="28"/>
      <c r="ED129" s="28"/>
      <c r="EG129" s="28"/>
      <c r="EJ129" s="28"/>
      <c r="EM129" s="28"/>
      <c r="EP129" s="28"/>
      <c r="ES129" s="28"/>
      <c r="EV129" s="28"/>
      <c r="EY129" s="28"/>
      <c r="FB129" s="28"/>
      <c r="FE129" s="28"/>
      <c r="FH129" s="28"/>
      <c r="FK129" s="28"/>
      <c r="FN129" s="28"/>
      <c r="FQ129" s="28"/>
      <c r="FT129" s="28"/>
      <c r="FW129" s="28"/>
      <c r="FZ129" s="28"/>
      <c r="GC129" s="28"/>
    </row>
    <row r="130" spans="1:185" s="25" customFormat="1" x14ac:dyDescent="0.3">
      <c r="A130" s="27"/>
      <c r="B130" s="28"/>
      <c r="C130" s="27"/>
      <c r="D130" s="26"/>
      <c r="E130" s="28"/>
      <c r="H130" s="28"/>
      <c r="K130" s="28"/>
      <c r="N130" s="28"/>
      <c r="Q130" s="28"/>
      <c r="T130" s="28"/>
      <c r="W130" s="28"/>
      <c r="Z130" s="28"/>
      <c r="AC130" s="28"/>
      <c r="AF130" s="28"/>
      <c r="AI130" s="28"/>
      <c r="AL130" s="28"/>
      <c r="AO130" s="28"/>
      <c r="AR130" s="28"/>
      <c r="AU130" s="28"/>
      <c r="AX130" s="28"/>
      <c r="BA130" s="28"/>
      <c r="BD130" s="28"/>
      <c r="BG130" s="28"/>
      <c r="BJ130" s="28"/>
      <c r="BM130" s="28"/>
      <c r="BP130" s="28"/>
      <c r="BS130" s="28"/>
      <c r="BV130" s="28"/>
      <c r="BY130" s="28"/>
      <c r="CB130" s="28"/>
      <c r="CE130" s="28"/>
      <c r="CH130" s="28"/>
      <c r="CK130" s="28"/>
      <c r="CN130" s="28"/>
      <c r="CQ130" s="28"/>
      <c r="CT130" s="28"/>
      <c r="CW130" s="28"/>
      <c r="CZ130" s="28"/>
      <c r="DC130" s="28"/>
      <c r="DF130" s="28"/>
      <c r="DI130" s="28"/>
      <c r="DL130" s="28"/>
      <c r="DO130" s="28"/>
      <c r="DR130" s="28"/>
      <c r="DU130" s="28"/>
      <c r="DX130" s="28"/>
      <c r="EA130" s="28"/>
      <c r="ED130" s="28"/>
      <c r="EG130" s="28"/>
      <c r="EJ130" s="28"/>
      <c r="EM130" s="28"/>
      <c r="EP130" s="28"/>
      <c r="ES130" s="28"/>
      <c r="EV130" s="28"/>
      <c r="EY130" s="28"/>
      <c r="FB130" s="28"/>
      <c r="FE130" s="28"/>
      <c r="FH130" s="28"/>
      <c r="FK130" s="28"/>
      <c r="FN130" s="28"/>
      <c r="FQ130" s="28"/>
      <c r="FT130" s="28"/>
      <c r="FW130" s="28"/>
      <c r="FZ130" s="28"/>
      <c r="GC130" s="28"/>
    </row>
    <row r="131" spans="1:185" s="25" customFormat="1" x14ac:dyDescent="0.3">
      <c r="A131" s="27"/>
      <c r="B131" s="28"/>
      <c r="C131" s="27"/>
      <c r="D131" s="26"/>
      <c r="E131" s="28"/>
      <c r="H131" s="28"/>
      <c r="K131" s="28"/>
      <c r="N131" s="28"/>
      <c r="Q131" s="28"/>
      <c r="T131" s="28"/>
      <c r="W131" s="28"/>
      <c r="Z131" s="28"/>
      <c r="AC131" s="28"/>
      <c r="AF131" s="28"/>
      <c r="AI131" s="28"/>
      <c r="AL131" s="28"/>
      <c r="AO131" s="28"/>
      <c r="AR131" s="28"/>
      <c r="AU131" s="28"/>
      <c r="AX131" s="28"/>
      <c r="BA131" s="28"/>
      <c r="BD131" s="28"/>
      <c r="BG131" s="28"/>
      <c r="BJ131" s="28"/>
      <c r="BM131" s="28"/>
      <c r="BP131" s="28"/>
      <c r="BS131" s="28"/>
      <c r="BV131" s="28"/>
      <c r="BY131" s="28"/>
      <c r="CB131" s="28"/>
      <c r="CE131" s="28"/>
      <c r="CH131" s="28"/>
      <c r="CK131" s="28"/>
      <c r="CN131" s="28"/>
      <c r="CQ131" s="28"/>
      <c r="CT131" s="28"/>
      <c r="CW131" s="28"/>
      <c r="CZ131" s="28"/>
      <c r="DC131" s="28"/>
      <c r="DF131" s="28"/>
      <c r="DI131" s="28"/>
      <c r="DL131" s="28"/>
      <c r="DO131" s="28"/>
      <c r="DR131" s="28"/>
      <c r="DU131" s="28"/>
      <c r="DX131" s="28"/>
      <c r="EA131" s="28"/>
      <c r="ED131" s="28"/>
      <c r="EG131" s="28"/>
      <c r="EJ131" s="28"/>
      <c r="EM131" s="28"/>
      <c r="EP131" s="28"/>
      <c r="ES131" s="28"/>
      <c r="EV131" s="28"/>
      <c r="EY131" s="28"/>
      <c r="FB131" s="28"/>
      <c r="FE131" s="28"/>
      <c r="FH131" s="28"/>
      <c r="FK131" s="28"/>
      <c r="FN131" s="28"/>
      <c r="FQ131" s="28"/>
      <c r="FT131" s="28"/>
      <c r="FW131" s="28"/>
      <c r="FZ131" s="28"/>
      <c r="GC131" s="28"/>
    </row>
    <row r="132" spans="1:185" s="25" customFormat="1" x14ac:dyDescent="0.3">
      <c r="A132" s="27"/>
      <c r="B132" s="28"/>
      <c r="C132" s="27"/>
      <c r="D132" s="26"/>
      <c r="E132" s="28"/>
      <c r="H132" s="28"/>
      <c r="K132" s="28"/>
      <c r="N132" s="28"/>
      <c r="Q132" s="28"/>
      <c r="T132" s="28"/>
      <c r="W132" s="28"/>
      <c r="Z132" s="28"/>
      <c r="AC132" s="28"/>
      <c r="AF132" s="28"/>
      <c r="AI132" s="28"/>
      <c r="AL132" s="28"/>
      <c r="AO132" s="28"/>
      <c r="AR132" s="28"/>
      <c r="AU132" s="28"/>
      <c r="AX132" s="28"/>
      <c r="BA132" s="28"/>
      <c r="BD132" s="28"/>
      <c r="BG132" s="28"/>
      <c r="BJ132" s="28"/>
      <c r="BM132" s="28"/>
      <c r="BP132" s="28"/>
      <c r="BS132" s="28"/>
      <c r="BV132" s="28"/>
      <c r="BY132" s="28"/>
      <c r="CB132" s="28"/>
      <c r="CE132" s="28"/>
      <c r="CH132" s="28"/>
      <c r="CK132" s="28"/>
      <c r="CN132" s="28"/>
      <c r="CQ132" s="28"/>
      <c r="CT132" s="28"/>
      <c r="CW132" s="28"/>
      <c r="CZ132" s="28"/>
      <c r="DC132" s="28"/>
      <c r="DF132" s="28"/>
      <c r="DI132" s="28"/>
      <c r="DL132" s="28"/>
      <c r="DO132" s="28"/>
      <c r="DR132" s="28"/>
      <c r="DU132" s="28"/>
      <c r="DX132" s="28"/>
      <c r="EA132" s="28"/>
      <c r="ED132" s="28"/>
      <c r="EG132" s="28"/>
      <c r="EJ132" s="28"/>
      <c r="EM132" s="28"/>
      <c r="EP132" s="28"/>
      <c r="ES132" s="28"/>
      <c r="EV132" s="28"/>
      <c r="EY132" s="28"/>
      <c r="FB132" s="28"/>
      <c r="FE132" s="28"/>
      <c r="FH132" s="28"/>
      <c r="FK132" s="28"/>
      <c r="FN132" s="28"/>
      <c r="FQ132" s="28"/>
      <c r="FT132" s="28"/>
      <c r="FW132" s="28"/>
      <c r="FZ132" s="28"/>
      <c r="GC132" s="28"/>
    </row>
    <row r="133" spans="1:185" s="25" customFormat="1" x14ac:dyDescent="0.3">
      <c r="A133" s="27"/>
      <c r="B133" s="28"/>
      <c r="C133" s="27"/>
      <c r="D133" s="26"/>
      <c r="E133" s="28"/>
      <c r="H133" s="28"/>
      <c r="K133" s="28"/>
      <c r="N133" s="28"/>
      <c r="Q133" s="28"/>
      <c r="T133" s="28"/>
      <c r="W133" s="28"/>
      <c r="Z133" s="28"/>
      <c r="AC133" s="28"/>
      <c r="AF133" s="28"/>
      <c r="AI133" s="28"/>
      <c r="AL133" s="28"/>
      <c r="AO133" s="28"/>
      <c r="AR133" s="28"/>
      <c r="AU133" s="28"/>
      <c r="AX133" s="28"/>
      <c r="BA133" s="28"/>
      <c r="BD133" s="28"/>
      <c r="BG133" s="28"/>
      <c r="BJ133" s="28"/>
      <c r="BM133" s="28"/>
      <c r="BP133" s="28"/>
      <c r="BS133" s="28"/>
      <c r="BV133" s="28"/>
      <c r="BY133" s="28"/>
      <c r="CB133" s="28"/>
      <c r="CE133" s="28"/>
      <c r="CH133" s="28"/>
      <c r="CK133" s="28"/>
      <c r="CN133" s="28"/>
      <c r="CQ133" s="28"/>
      <c r="CT133" s="28"/>
      <c r="CW133" s="28"/>
      <c r="CZ133" s="28"/>
      <c r="DC133" s="28"/>
      <c r="DF133" s="28"/>
      <c r="DI133" s="28"/>
      <c r="DL133" s="28"/>
      <c r="DO133" s="28"/>
      <c r="DR133" s="28"/>
      <c r="DU133" s="28"/>
      <c r="DX133" s="28"/>
      <c r="EA133" s="28"/>
      <c r="ED133" s="28"/>
      <c r="EG133" s="28"/>
      <c r="EJ133" s="28"/>
      <c r="EM133" s="28"/>
      <c r="EP133" s="28"/>
      <c r="ES133" s="28"/>
      <c r="EV133" s="28"/>
      <c r="EY133" s="28"/>
      <c r="FB133" s="28"/>
      <c r="FE133" s="28"/>
      <c r="FH133" s="28"/>
      <c r="FK133" s="28"/>
      <c r="FN133" s="28"/>
      <c r="FQ133" s="28"/>
      <c r="FT133" s="28"/>
      <c r="FW133" s="28"/>
      <c r="FZ133" s="28"/>
      <c r="GC133" s="28"/>
    </row>
    <row r="134" spans="1:185" s="25" customFormat="1" x14ac:dyDescent="0.3">
      <c r="A134" s="27"/>
      <c r="B134" s="28"/>
      <c r="C134" s="27"/>
      <c r="D134" s="26"/>
      <c r="E134" s="28"/>
      <c r="H134" s="28"/>
      <c r="K134" s="28"/>
      <c r="N134" s="28"/>
      <c r="Q134" s="28"/>
      <c r="T134" s="28"/>
      <c r="W134" s="28"/>
      <c r="Z134" s="28"/>
      <c r="AC134" s="28"/>
      <c r="AF134" s="28"/>
      <c r="AI134" s="28"/>
      <c r="AL134" s="28"/>
      <c r="AO134" s="28"/>
      <c r="AR134" s="28"/>
      <c r="AU134" s="28"/>
      <c r="AX134" s="28"/>
      <c r="BA134" s="28"/>
      <c r="BD134" s="28"/>
      <c r="BG134" s="28"/>
      <c r="BJ134" s="28"/>
      <c r="BM134" s="28"/>
      <c r="BP134" s="28"/>
      <c r="BS134" s="28"/>
      <c r="BV134" s="28"/>
      <c r="BY134" s="28"/>
      <c r="CB134" s="28"/>
      <c r="CE134" s="28"/>
      <c r="CH134" s="28"/>
      <c r="CK134" s="28"/>
      <c r="CN134" s="28"/>
      <c r="CQ134" s="28"/>
      <c r="CT134" s="28"/>
      <c r="CW134" s="28"/>
      <c r="CZ134" s="28"/>
      <c r="DC134" s="28"/>
      <c r="DF134" s="28"/>
      <c r="DI134" s="28"/>
      <c r="DL134" s="28"/>
      <c r="DO134" s="28"/>
      <c r="DR134" s="28"/>
      <c r="DU134" s="28"/>
      <c r="DX134" s="28"/>
      <c r="EA134" s="28"/>
      <c r="ED134" s="28"/>
      <c r="EG134" s="28"/>
      <c r="EJ134" s="28"/>
      <c r="EM134" s="28"/>
      <c r="EP134" s="28"/>
      <c r="ES134" s="28"/>
      <c r="EV134" s="28"/>
      <c r="EY134" s="28"/>
      <c r="FB134" s="28"/>
      <c r="FE134" s="28"/>
      <c r="FH134" s="28"/>
      <c r="FK134" s="28"/>
      <c r="FN134" s="28"/>
      <c r="FQ134" s="28"/>
      <c r="FT134" s="28"/>
      <c r="FW134" s="28"/>
      <c r="FZ134" s="28"/>
      <c r="GC134" s="28"/>
    </row>
    <row r="135" spans="1:185" s="25" customFormat="1" x14ac:dyDescent="0.3">
      <c r="A135" s="27"/>
      <c r="B135" s="28"/>
      <c r="C135" s="27"/>
      <c r="D135" s="26"/>
      <c r="E135" s="28"/>
      <c r="H135" s="28"/>
      <c r="K135" s="28"/>
      <c r="N135" s="28"/>
      <c r="Q135" s="28"/>
      <c r="T135" s="28"/>
      <c r="W135" s="28"/>
      <c r="Z135" s="28"/>
      <c r="AC135" s="28"/>
      <c r="AF135" s="28"/>
      <c r="AI135" s="28"/>
      <c r="AL135" s="28"/>
      <c r="AO135" s="28"/>
      <c r="AR135" s="28"/>
      <c r="AU135" s="28"/>
      <c r="AX135" s="28"/>
      <c r="BA135" s="28"/>
      <c r="BD135" s="28"/>
      <c r="BG135" s="28"/>
      <c r="BJ135" s="28"/>
      <c r="BM135" s="28"/>
      <c r="BP135" s="28"/>
      <c r="BS135" s="28"/>
      <c r="BV135" s="28"/>
      <c r="BY135" s="28"/>
      <c r="CB135" s="28"/>
      <c r="CE135" s="28"/>
      <c r="CH135" s="28"/>
      <c r="CK135" s="28"/>
      <c r="CN135" s="28"/>
      <c r="CQ135" s="28"/>
      <c r="CT135" s="28"/>
      <c r="CW135" s="28"/>
      <c r="CZ135" s="28"/>
      <c r="DC135" s="28"/>
      <c r="DF135" s="28"/>
      <c r="DI135" s="28"/>
      <c r="DL135" s="28"/>
      <c r="DO135" s="28"/>
      <c r="DR135" s="28"/>
      <c r="DU135" s="28"/>
      <c r="DX135" s="28"/>
      <c r="EA135" s="28"/>
      <c r="ED135" s="28"/>
      <c r="EG135" s="28"/>
      <c r="EJ135" s="28"/>
      <c r="EM135" s="28"/>
      <c r="EP135" s="28"/>
      <c r="ES135" s="28"/>
      <c r="EV135" s="28"/>
      <c r="EY135" s="28"/>
      <c r="FB135" s="28"/>
      <c r="FE135" s="28"/>
      <c r="FH135" s="28"/>
      <c r="FK135" s="28"/>
      <c r="FN135" s="28"/>
      <c r="FQ135" s="28"/>
      <c r="FT135" s="28"/>
      <c r="FW135" s="28"/>
      <c r="FZ135" s="28"/>
      <c r="GC135" s="28"/>
    </row>
    <row r="136" spans="1:185" s="25" customFormat="1" x14ac:dyDescent="0.3">
      <c r="A136" s="27"/>
      <c r="B136" s="28"/>
      <c r="C136" s="27"/>
      <c r="D136" s="26"/>
      <c r="E136" s="28"/>
      <c r="H136" s="28"/>
      <c r="K136" s="28"/>
      <c r="N136" s="28"/>
      <c r="Q136" s="28"/>
      <c r="T136" s="28"/>
      <c r="W136" s="28"/>
      <c r="Z136" s="28"/>
      <c r="AC136" s="28"/>
      <c r="AF136" s="28"/>
      <c r="AI136" s="28"/>
      <c r="AL136" s="28"/>
      <c r="AO136" s="28"/>
      <c r="AR136" s="28"/>
      <c r="AU136" s="28"/>
      <c r="AX136" s="28"/>
      <c r="BA136" s="28"/>
      <c r="BD136" s="28"/>
      <c r="BG136" s="28"/>
      <c r="BJ136" s="28"/>
      <c r="BM136" s="28"/>
      <c r="BP136" s="28"/>
      <c r="BS136" s="28"/>
      <c r="BV136" s="28"/>
      <c r="BY136" s="28"/>
      <c r="CB136" s="28"/>
      <c r="CE136" s="28"/>
      <c r="CH136" s="28"/>
      <c r="CK136" s="28"/>
      <c r="CN136" s="28"/>
      <c r="CQ136" s="28"/>
      <c r="CT136" s="28"/>
      <c r="CW136" s="28"/>
      <c r="CZ136" s="28"/>
      <c r="DC136" s="28"/>
      <c r="DF136" s="28"/>
      <c r="DI136" s="28"/>
      <c r="DL136" s="28"/>
      <c r="DO136" s="28"/>
      <c r="DR136" s="28"/>
      <c r="DU136" s="28"/>
      <c r="DX136" s="28"/>
      <c r="EA136" s="28"/>
      <c r="ED136" s="28"/>
      <c r="EG136" s="28"/>
      <c r="EJ136" s="28"/>
      <c r="EM136" s="28"/>
      <c r="EP136" s="28"/>
      <c r="ES136" s="28"/>
      <c r="EV136" s="28"/>
      <c r="EY136" s="28"/>
      <c r="FB136" s="28"/>
      <c r="FE136" s="28"/>
      <c r="FH136" s="28"/>
      <c r="FK136" s="28"/>
      <c r="FN136" s="28"/>
      <c r="FQ136" s="28"/>
      <c r="FT136" s="28"/>
      <c r="FW136" s="28"/>
      <c r="FZ136" s="28"/>
      <c r="GC136" s="28"/>
    </row>
    <row r="137" spans="1:185" s="25" customFormat="1" x14ac:dyDescent="0.3">
      <c r="A137" s="27"/>
      <c r="B137" s="28"/>
      <c r="C137" s="27"/>
      <c r="D137" s="26"/>
      <c r="E137" s="28"/>
      <c r="H137" s="28"/>
      <c r="K137" s="28"/>
      <c r="N137" s="28"/>
      <c r="Q137" s="28"/>
      <c r="T137" s="28"/>
      <c r="W137" s="28"/>
      <c r="Z137" s="28"/>
      <c r="AC137" s="28"/>
      <c r="AF137" s="28"/>
      <c r="AI137" s="28"/>
      <c r="AL137" s="28"/>
      <c r="AO137" s="28"/>
      <c r="AR137" s="28"/>
      <c r="AU137" s="28"/>
      <c r="AX137" s="28"/>
      <c r="BA137" s="28"/>
      <c r="BD137" s="28"/>
      <c r="BG137" s="28"/>
      <c r="BJ137" s="28"/>
      <c r="BM137" s="28"/>
      <c r="BP137" s="28"/>
      <c r="BS137" s="28"/>
      <c r="BV137" s="28"/>
      <c r="BY137" s="28"/>
      <c r="CB137" s="28"/>
      <c r="CE137" s="28"/>
      <c r="CH137" s="28"/>
      <c r="CK137" s="28"/>
      <c r="CN137" s="28"/>
      <c r="CQ137" s="28"/>
      <c r="CT137" s="28"/>
      <c r="CW137" s="28"/>
      <c r="CZ137" s="28"/>
      <c r="DC137" s="28"/>
      <c r="DF137" s="28"/>
      <c r="DI137" s="28"/>
      <c r="DL137" s="28"/>
      <c r="DO137" s="28"/>
      <c r="DR137" s="28"/>
      <c r="DU137" s="28"/>
      <c r="DX137" s="28"/>
      <c r="EA137" s="28"/>
      <c r="ED137" s="28"/>
      <c r="EG137" s="28"/>
      <c r="EJ137" s="28"/>
      <c r="EM137" s="28"/>
      <c r="EP137" s="28"/>
      <c r="ES137" s="28"/>
      <c r="EV137" s="28"/>
      <c r="EY137" s="28"/>
      <c r="FB137" s="28"/>
      <c r="FE137" s="28"/>
      <c r="FH137" s="28"/>
      <c r="FK137" s="28"/>
      <c r="FN137" s="28"/>
      <c r="FQ137" s="28"/>
      <c r="FT137" s="28"/>
      <c r="FW137" s="28"/>
      <c r="FZ137" s="28"/>
      <c r="GC137" s="28"/>
    </row>
    <row r="138" spans="1:185" s="25" customFormat="1" x14ac:dyDescent="0.3">
      <c r="A138" s="27"/>
      <c r="B138" s="28"/>
      <c r="C138" s="27"/>
      <c r="D138" s="26"/>
      <c r="E138" s="28"/>
      <c r="H138" s="28"/>
      <c r="K138" s="28"/>
      <c r="N138" s="28"/>
      <c r="Q138" s="28"/>
      <c r="T138" s="28"/>
      <c r="W138" s="28"/>
      <c r="Z138" s="28"/>
      <c r="AC138" s="28"/>
      <c r="AF138" s="28"/>
      <c r="AI138" s="28"/>
      <c r="AL138" s="28"/>
      <c r="AO138" s="28"/>
      <c r="AR138" s="28"/>
      <c r="AU138" s="28"/>
      <c r="AX138" s="28"/>
      <c r="BA138" s="28"/>
      <c r="BD138" s="28"/>
      <c r="BG138" s="28"/>
      <c r="BJ138" s="28"/>
      <c r="BM138" s="28"/>
      <c r="BP138" s="28"/>
      <c r="BS138" s="28"/>
      <c r="BV138" s="28"/>
      <c r="BY138" s="28"/>
      <c r="CB138" s="28"/>
      <c r="CE138" s="28"/>
      <c r="CH138" s="28"/>
      <c r="CK138" s="28"/>
      <c r="CN138" s="28"/>
      <c r="CQ138" s="28"/>
      <c r="CT138" s="28"/>
      <c r="CW138" s="28"/>
      <c r="CZ138" s="28"/>
      <c r="DC138" s="28"/>
      <c r="DF138" s="28"/>
      <c r="DI138" s="28"/>
      <c r="DL138" s="28"/>
      <c r="DO138" s="28"/>
      <c r="DR138" s="28"/>
      <c r="DU138" s="28"/>
      <c r="DX138" s="28"/>
      <c r="EA138" s="28"/>
      <c r="ED138" s="28"/>
      <c r="EG138" s="28"/>
      <c r="EJ138" s="28"/>
      <c r="EM138" s="28"/>
      <c r="EP138" s="28"/>
      <c r="ES138" s="28"/>
      <c r="EV138" s="28"/>
      <c r="EY138" s="28"/>
      <c r="FB138" s="28"/>
      <c r="FE138" s="28"/>
      <c r="FH138" s="28"/>
      <c r="FK138" s="28"/>
      <c r="FN138" s="28"/>
      <c r="FQ138" s="28"/>
      <c r="FT138" s="28"/>
      <c r="FW138" s="28"/>
      <c r="FZ138" s="28"/>
      <c r="GC138" s="28"/>
    </row>
    <row r="139" spans="1:185" s="25" customFormat="1" x14ac:dyDescent="0.3">
      <c r="A139" s="27"/>
      <c r="B139" s="28"/>
      <c r="C139" s="27"/>
      <c r="D139" s="26"/>
      <c r="E139" s="28"/>
      <c r="H139" s="28"/>
      <c r="K139" s="28"/>
      <c r="N139" s="28"/>
      <c r="Q139" s="28"/>
      <c r="T139" s="28"/>
      <c r="W139" s="28"/>
      <c r="Z139" s="28"/>
      <c r="AC139" s="28"/>
      <c r="AF139" s="28"/>
      <c r="AI139" s="28"/>
      <c r="AL139" s="28"/>
      <c r="AO139" s="28"/>
      <c r="AR139" s="28"/>
      <c r="AU139" s="28"/>
      <c r="AX139" s="28"/>
      <c r="BA139" s="28"/>
      <c r="BD139" s="28"/>
      <c r="BG139" s="28"/>
      <c r="BJ139" s="28"/>
      <c r="BM139" s="28"/>
      <c r="BP139" s="28"/>
      <c r="BS139" s="28"/>
      <c r="BV139" s="28"/>
      <c r="BY139" s="28"/>
      <c r="CB139" s="28"/>
      <c r="CE139" s="28"/>
      <c r="CH139" s="28"/>
      <c r="CK139" s="28"/>
      <c r="CN139" s="28"/>
      <c r="CQ139" s="28"/>
      <c r="CT139" s="28"/>
      <c r="CW139" s="28"/>
      <c r="CZ139" s="28"/>
      <c r="DC139" s="28"/>
      <c r="DF139" s="28"/>
      <c r="DI139" s="28"/>
      <c r="DL139" s="28"/>
      <c r="DO139" s="28"/>
      <c r="DR139" s="28"/>
      <c r="DU139" s="28"/>
      <c r="DX139" s="28"/>
      <c r="EA139" s="28"/>
      <c r="ED139" s="28"/>
      <c r="EG139" s="28"/>
      <c r="EJ139" s="28"/>
      <c r="EM139" s="28"/>
      <c r="EP139" s="28"/>
      <c r="ES139" s="28"/>
      <c r="EV139" s="28"/>
      <c r="EY139" s="28"/>
      <c r="FB139" s="28"/>
      <c r="FE139" s="28"/>
      <c r="FH139" s="28"/>
      <c r="FK139" s="28"/>
      <c r="FN139" s="28"/>
      <c r="FQ139" s="28"/>
      <c r="FT139" s="28"/>
      <c r="FW139" s="28"/>
      <c r="FZ139" s="28"/>
      <c r="GC139" s="28"/>
    </row>
    <row r="140" spans="1:185" s="25" customFormat="1" x14ac:dyDescent="0.3">
      <c r="A140" s="27"/>
      <c r="B140" s="28"/>
      <c r="C140" s="27"/>
      <c r="D140" s="26"/>
      <c r="E140" s="28"/>
      <c r="H140" s="28"/>
      <c r="K140" s="28"/>
      <c r="N140" s="28"/>
      <c r="Q140" s="28"/>
      <c r="T140" s="28"/>
      <c r="W140" s="28"/>
      <c r="Z140" s="28"/>
      <c r="AC140" s="28"/>
      <c r="AF140" s="28"/>
      <c r="AI140" s="28"/>
      <c r="AL140" s="28"/>
      <c r="AO140" s="28"/>
      <c r="AR140" s="28"/>
      <c r="AU140" s="28"/>
      <c r="AX140" s="28"/>
      <c r="BA140" s="28"/>
      <c r="BD140" s="28"/>
      <c r="BG140" s="28"/>
      <c r="BJ140" s="28"/>
      <c r="BM140" s="28"/>
      <c r="BP140" s="28"/>
      <c r="BS140" s="28"/>
      <c r="BV140" s="28"/>
      <c r="BY140" s="28"/>
      <c r="CB140" s="28"/>
      <c r="CE140" s="28"/>
      <c r="CH140" s="28"/>
      <c r="CK140" s="28"/>
      <c r="CN140" s="28"/>
      <c r="CQ140" s="28"/>
      <c r="CT140" s="28"/>
      <c r="CW140" s="28"/>
      <c r="CZ140" s="28"/>
      <c r="DC140" s="28"/>
      <c r="DF140" s="28"/>
      <c r="DI140" s="28"/>
      <c r="DL140" s="28"/>
      <c r="DO140" s="28"/>
      <c r="DR140" s="28"/>
      <c r="DU140" s="28"/>
      <c r="DX140" s="28"/>
      <c r="EA140" s="28"/>
      <c r="ED140" s="28"/>
      <c r="EG140" s="28"/>
      <c r="EJ140" s="28"/>
      <c r="EM140" s="28"/>
      <c r="EP140" s="28"/>
      <c r="ES140" s="28"/>
      <c r="EV140" s="28"/>
      <c r="EY140" s="28"/>
      <c r="FB140" s="28"/>
      <c r="FE140" s="28"/>
      <c r="FH140" s="28"/>
      <c r="FK140" s="28"/>
      <c r="FN140" s="28"/>
      <c r="FQ140" s="28"/>
      <c r="FT140" s="28"/>
      <c r="FW140" s="28"/>
      <c r="FZ140" s="28"/>
      <c r="GC140" s="28"/>
    </row>
    <row r="141" spans="1:185" s="25" customFormat="1" x14ac:dyDescent="0.3">
      <c r="A141" s="27"/>
      <c r="B141" s="28"/>
      <c r="C141" s="27"/>
      <c r="D141" s="26"/>
      <c r="E141" s="28"/>
      <c r="H141" s="28"/>
      <c r="K141" s="28"/>
      <c r="N141" s="28"/>
      <c r="Q141" s="28"/>
      <c r="T141" s="28"/>
      <c r="W141" s="28"/>
      <c r="Z141" s="28"/>
      <c r="AC141" s="28"/>
      <c r="AF141" s="28"/>
      <c r="AI141" s="28"/>
      <c r="AL141" s="28"/>
      <c r="AO141" s="28"/>
      <c r="AR141" s="28"/>
      <c r="AU141" s="28"/>
      <c r="AX141" s="28"/>
      <c r="BA141" s="28"/>
      <c r="BD141" s="28"/>
      <c r="BG141" s="28"/>
      <c r="BJ141" s="28"/>
      <c r="BM141" s="28"/>
      <c r="BP141" s="28"/>
      <c r="BS141" s="28"/>
      <c r="BV141" s="28"/>
      <c r="BY141" s="28"/>
      <c r="CB141" s="28"/>
      <c r="CE141" s="28"/>
      <c r="CH141" s="28"/>
      <c r="CK141" s="28"/>
      <c r="CN141" s="28"/>
      <c r="CQ141" s="28"/>
      <c r="CT141" s="28"/>
      <c r="CW141" s="28"/>
      <c r="CZ141" s="28"/>
      <c r="DC141" s="28"/>
      <c r="DF141" s="28"/>
      <c r="DI141" s="28"/>
      <c r="DL141" s="28"/>
      <c r="DO141" s="28"/>
      <c r="DR141" s="28"/>
      <c r="DU141" s="28"/>
      <c r="DX141" s="28"/>
      <c r="EA141" s="28"/>
      <c r="ED141" s="28"/>
      <c r="EG141" s="28"/>
      <c r="EJ141" s="28"/>
      <c r="EM141" s="28"/>
      <c r="EP141" s="28"/>
      <c r="ES141" s="28"/>
      <c r="EV141" s="28"/>
      <c r="EY141" s="28"/>
      <c r="FB141" s="28"/>
      <c r="FE141" s="28"/>
      <c r="FH141" s="28"/>
      <c r="FK141" s="28"/>
      <c r="FN141" s="28"/>
      <c r="FQ141" s="28"/>
      <c r="FT141" s="28"/>
      <c r="FW141" s="28"/>
      <c r="FZ141" s="28"/>
      <c r="GC141" s="28"/>
    </row>
    <row r="142" spans="1:185" s="25" customFormat="1" x14ac:dyDescent="0.3">
      <c r="A142" s="27"/>
      <c r="B142" s="28"/>
      <c r="C142" s="27"/>
      <c r="D142" s="26"/>
      <c r="E142" s="28"/>
      <c r="H142" s="28"/>
      <c r="K142" s="28"/>
      <c r="N142" s="28"/>
      <c r="Q142" s="28"/>
      <c r="T142" s="28"/>
      <c r="W142" s="28"/>
      <c r="Z142" s="28"/>
      <c r="AC142" s="28"/>
      <c r="AF142" s="28"/>
      <c r="AI142" s="28"/>
      <c r="AL142" s="28"/>
      <c r="AO142" s="28"/>
      <c r="AR142" s="28"/>
      <c r="AU142" s="28"/>
      <c r="AX142" s="28"/>
      <c r="BA142" s="28"/>
      <c r="BD142" s="28"/>
      <c r="BG142" s="28"/>
      <c r="BJ142" s="28"/>
      <c r="BM142" s="28"/>
      <c r="BP142" s="28"/>
      <c r="BS142" s="28"/>
      <c r="BV142" s="28"/>
      <c r="BY142" s="28"/>
      <c r="CB142" s="28"/>
      <c r="CE142" s="28"/>
      <c r="CH142" s="28"/>
      <c r="CK142" s="28"/>
      <c r="CN142" s="28"/>
      <c r="CQ142" s="28"/>
      <c r="CT142" s="28"/>
      <c r="CW142" s="28"/>
      <c r="CZ142" s="28"/>
      <c r="DC142" s="28"/>
      <c r="DF142" s="28"/>
      <c r="DI142" s="28"/>
      <c r="DL142" s="28"/>
      <c r="DO142" s="28"/>
      <c r="DR142" s="28"/>
      <c r="DU142" s="28"/>
      <c r="DX142" s="28"/>
      <c r="EA142" s="28"/>
      <c r="ED142" s="28"/>
      <c r="EG142" s="28"/>
      <c r="EJ142" s="28"/>
      <c r="EM142" s="28"/>
      <c r="EP142" s="28"/>
      <c r="ES142" s="28"/>
      <c r="EV142" s="28"/>
      <c r="EY142" s="28"/>
      <c r="FB142" s="28"/>
      <c r="FE142" s="28"/>
      <c r="FH142" s="28"/>
      <c r="FK142" s="28"/>
      <c r="FN142" s="28"/>
      <c r="FQ142" s="28"/>
      <c r="FT142" s="28"/>
      <c r="FW142" s="28"/>
      <c r="FZ142" s="28"/>
      <c r="GC142" s="28"/>
    </row>
    <row r="143" spans="1:185" s="25" customFormat="1" x14ac:dyDescent="0.3">
      <c r="A143" s="27"/>
      <c r="B143" s="28"/>
      <c r="C143" s="27"/>
      <c r="D143" s="26"/>
      <c r="E143" s="28"/>
      <c r="H143" s="28"/>
      <c r="K143" s="28"/>
      <c r="N143" s="28"/>
      <c r="Q143" s="28"/>
      <c r="T143" s="28"/>
      <c r="W143" s="28"/>
      <c r="Z143" s="28"/>
      <c r="AC143" s="28"/>
      <c r="AF143" s="28"/>
      <c r="AI143" s="28"/>
      <c r="AL143" s="28"/>
      <c r="AO143" s="28"/>
      <c r="AR143" s="28"/>
      <c r="AU143" s="28"/>
      <c r="AX143" s="28"/>
      <c r="BA143" s="28"/>
      <c r="BD143" s="28"/>
      <c r="BG143" s="28"/>
      <c r="BJ143" s="28"/>
      <c r="BM143" s="28"/>
      <c r="BP143" s="28"/>
      <c r="BS143" s="28"/>
      <c r="BV143" s="28"/>
      <c r="BY143" s="28"/>
      <c r="CB143" s="28"/>
      <c r="CE143" s="28"/>
      <c r="CH143" s="28"/>
      <c r="CK143" s="28"/>
      <c r="CN143" s="28"/>
      <c r="CQ143" s="28"/>
      <c r="CT143" s="28"/>
      <c r="CW143" s="28"/>
      <c r="CZ143" s="28"/>
      <c r="DC143" s="28"/>
      <c r="DF143" s="28"/>
      <c r="DI143" s="28"/>
      <c r="DL143" s="28"/>
      <c r="DO143" s="28"/>
      <c r="DR143" s="28"/>
      <c r="DU143" s="28"/>
      <c r="DX143" s="28"/>
      <c r="EA143" s="28"/>
      <c r="ED143" s="28"/>
      <c r="EG143" s="28"/>
      <c r="EJ143" s="28"/>
      <c r="EM143" s="28"/>
      <c r="EP143" s="28"/>
      <c r="ES143" s="28"/>
      <c r="EV143" s="28"/>
      <c r="EY143" s="28"/>
      <c r="FB143" s="28"/>
      <c r="FE143" s="28"/>
      <c r="FH143" s="28"/>
      <c r="FK143" s="28"/>
      <c r="FN143" s="28"/>
      <c r="FQ143" s="28"/>
      <c r="FT143" s="28"/>
      <c r="FW143" s="28"/>
      <c r="FZ143" s="28"/>
      <c r="GC143" s="28"/>
    </row>
    <row r="144" spans="1:185" s="25" customFormat="1" x14ac:dyDescent="0.3">
      <c r="A144" s="27"/>
      <c r="B144" s="28"/>
      <c r="C144" s="27"/>
      <c r="D144" s="26"/>
      <c r="E144" s="28"/>
      <c r="H144" s="28"/>
      <c r="K144" s="28"/>
      <c r="N144" s="28"/>
      <c r="Q144" s="28"/>
      <c r="T144" s="28"/>
      <c r="W144" s="28"/>
      <c r="Z144" s="28"/>
      <c r="AC144" s="28"/>
      <c r="AF144" s="28"/>
      <c r="AI144" s="28"/>
      <c r="AL144" s="28"/>
      <c r="AO144" s="28"/>
      <c r="AR144" s="28"/>
      <c r="AU144" s="28"/>
      <c r="AX144" s="28"/>
      <c r="BA144" s="28"/>
      <c r="BD144" s="28"/>
      <c r="BG144" s="28"/>
      <c r="BJ144" s="28"/>
      <c r="BM144" s="28"/>
      <c r="BP144" s="28"/>
      <c r="BS144" s="28"/>
      <c r="BV144" s="28"/>
      <c r="BY144" s="28"/>
      <c r="CB144" s="28"/>
      <c r="CE144" s="28"/>
      <c r="CH144" s="28"/>
      <c r="CK144" s="28"/>
      <c r="CN144" s="28"/>
      <c r="CQ144" s="28"/>
      <c r="CT144" s="28"/>
      <c r="CW144" s="28"/>
      <c r="CZ144" s="28"/>
      <c r="DC144" s="28"/>
      <c r="DF144" s="28"/>
      <c r="DI144" s="28"/>
      <c r="DL144" s="28"/>
      <c r="DO144" s="28"/>
      <c r="DR144" s="28"/>
      <c r="DU144" s="28"/>
      <c r="DX144" s="28"/>
      <c r="EA144" s="28"/>
      <c r="ED144" s="28"/>
      <c r="EG144" s="28"/>
      <c r="EJ144" s="28"/>
      <c r="EM144" s="28"/>
      <c r="EP144" s="28"/>
      <c r="ES144" s="28"/>
      <c r="EV144" s="28"/>
      <c r="EY144" s="28"/>
      <c r="FB144" s="28"/>
      <c r="FE144" s="28"/>
      <c r="FH144" s="28"/>
      <c r="FK144" s="28"/>
      <c r="FN144" s="28"/>
      <c r="FQ144" s="28"/>
      <c r="FT144" s="28"/>
      <c r="FW144" s="28"/>
      <c r="FZ144" s="28"/>
      <c r="GC144" s="28"/>
    </row>
    <row r="145" spans="1:185" s="25" customFormat="1" x14ac:dyDescent="0.3">
      <c r="A145" s="27"/>
      <c r="B145" s="28"/>
      <c r="C145" s="27"/>
      <c r="D145" s="26"/>
      <c r="E145" s="28"/>
      <c r="H145" s="28"/>
      <c r="K145" s="28"/>
      <c r="N145" s="28"/>
      <c r="Q145" s="28"/>
      <c r="T145" s="28"/>
      <c r="W145" s="28"/>
      <c r="Z145" s="28"/>
      <c r="AC145" s="28"/>
      <c r="AF145" s="28"/>
      <c r="AI145" s="28"/>
      <c r="AL145" s="28"/>
      <c r="AO145" s="28"/>
      <c r="AR145" s="28"/>
      <c r="AU145" s="28"/>
      <c r="AX145" s="28"/>
      <c r="BA145" s="28"/>
      <c r="BD145" s="28"/>
      <c r="BG145" s="28"/>
      <c r="BJ145" s="28"/>
      <c r="BM145" s="28"/>
      <c r="BP145" s="28"/>
      <c r="BS145" s="28"/>
      <c r="BV145" s="28"/>
      <c r="BY145" s="28"/>
      <c r="CB145" s="28"/>
      <c r="CE145" s="28"/>
      <c r="CH145" s="28"/>
      <c r="CK145" s="28"/>
      <c r="CN145" s="28"/>
      <c r="CQ145" s="28"/>
      <c r="CT145" s="28"/>
      <c r="CW145" s="28"/>
      <c r="CZ145" s="28"/>
      <c r="DC145" s="28"/>
      <c r="DF145" s="28"/>
      <c r="DI145" s="28"/>
      <c r="DL145" s="28"/>
      <c r="DO145" s="28"/>
      <c r="DR145" s="28"/>
      <c r="DU145" s="28"/>
      <c r="DX145" s="28"/>
      <c r="EA145" s="28"/>
      <c r="ED145" s="28"/>
      <c r="EG145" s="28"/>
      <c r="EJ145" s="28"/>
      <c r="EM145" s="28"/>
      <c r="EP145" s="28"/>
      <c r="ES145" s="28"/>
      <c r="EV145" s="28"/>
      <c r="EY145" s="28"/>
      <c r="FB145" s="28"/>
      <c r="FE145" s="28"/>
      <c r="FH145" s="28"/>
      <c r="FK145" s="28"/>
      <c r="FN145" s="28"/>
      <c r="FQ145" s="28"/>
      <c r="FT145" s="28"/>
      <c r="FW145" s="28"/>
      <c r="FZ145" s="28"/>
      <c r="GC145" s="28"/>
    </row>
    <row r="146" spans="1:185" s="25" customFormat="1" x14ac:dyDescent="0.3">
      <c r="A146" s="27"/>
      <c r="B146" s="28"/>
      <c r="C146" s="27"/>
      <c r="D146" s="26"/>
      <c r="E146" s="28"/>
      <c r="H146" s="28"/>
      <c r="K146" s="28"/>
      <c r="N146" s="28"/>
      <c r="Q146" s="28"/>
      <c r="T146" s="28"/>
      <c r="W146" s="28"/>
      <c r="Z146" s="28"/>
      <c r="AC146" s="28"/>
      <c r="AF146" s="28"/>
      <c r="AI146" s="28"/>
      <c r="AL146" s="28"/>
      <c r="AO146" s="28"/>
      <c r="AR146" s="28"/>
      <c r="AU146" s="28"/>
      <c r="AX146" s="28"/>
      <c r="BA146" s="28"/>
      <c r="BD146" s="28"/>
      <c r="BG146" s="28"/>
      <c r="BJ146" s="28"/>
      <c r="BM146" s="28"/>
      <c r="BP146" s="28"/>
      <c r="BS146" s="28"/>
      <c r="BV146" s="28"/>
      <c r="BY146" s="28"/>
      <c r="CB146" s="28"/>
      <c r="CE146" s="28"/>
      <c r="CH146" s="28"/>
      <c r="CK146" s="28"/>
      <c r="CN146" s="28"/>
      <c r="CQ146" s="28"/>
      <c r="CT146" s="28"/>
      <c r="CW146" s="28"/>
      <c r="CZ146" s="28"/>
      <c r="DC146" s="28"/>
      <c r="DF146" s="28"/>
      <c r="DI146" s="28"/>
      <c r="DL146" s="28"/>
      <c r="DO146" s="28"/>
      <c r="DR146" s="28"/>
      <c r="DU146" s="28"/>
      <c r="DX146" s="28"/>
      <c r="EA146" s="28"/>
      <c r="ED146" s="28"/>
      <c r="EG146" s="28"/>
      <c r="EJ146" s="28"/>
      <c r="EM146" s="28"/>
      <c r="EP146" s="28"/>
      <c r="ES146" s="28"/>
      <c r="EV146" s="28"/>
      <c r="EY146" s="28"/>
      <c r="FB146" s="28"/>
      <c r="FE146" s="28"/>
      <c r="FH146" s="28"/>
      <c r="FK146" s="28"/>
      <c r="FN146" s="28"/>
      <c r="FQ146" s="28"/>
      <c r="FT146" s="28"/>
      <c r="FW146" s="28"/>
      <c r="FZ146" s="28"/>
      <c r="GC146" s="28"/>
    </row>
    <row r="147" spans="1:185" s="25" customFormat="1" x14ac:dyDescent="0.3">
      <c r="A147" s="27"/>
      <c r="B147" s="28"/>
      <c r="C147" s="27"/>
      <c r="D147" s="26"/>
      <c r="E147" s="28"/>
      <c r="H147" s="28"/>
      <c r="K147" s="28"/>
      <c r="N147" s="28"/>
      <c r="Q147" s="28"/>
      <c r="T147" s="28"/>
      <c r="W147" s="28"/>
      <c r="Z147" s="28"/>
      <c r="AC147" s="28"/>
      <c r="AF147" s="28"/>
      <c r="AI147" s="28"/>
      <c r="AL147" s="28"/>
      <c r="AO147" s="28"/>
      <c r="AR147" s="28"/>
      <c r="AU147" s="28"/>
      <c r="AX147" s="28"/>
      <c r="BA147" s="28"/>
      <c r="BD147" s="28"/>
      <c r="BG147" s="28"/>
      <c r="BJ147" s="28"/>
      <c r="BM147" s="28"/>
      <c r="BP147" s="28"/>
      <c r="BS147" s="28"/>
      <c r="BV147" s="28"/>
      <c r="BY147" s="28"/>
      <c r="CB147" s="28"/>
      <c r="CE147" s="28"/>
      <c r="CH147" s="28"/>
      <c r="CK147" s="28"/>
      <c r="CN147" s="28"/>
      <c r="CQ147" s="28"/>
      <c r="CT147" s="28"/>
      <c r="CW147" s="28"/>
      <c r="CZ147" s="28"/>
      <c r="DC147" s="28"/>
      <c r="DF147" s="28"/>
      <c r="DI147" s="28"/>
      <c r="DL147" s="28"/>
      <c r="DO147" s="28"/>
      <c r="DR147" s="28"/>
      <c r="DU147" s="28"/>
      <c r="DX147" s="28"/>
      <c r="EA147" s="28"/>
      <c r="ED147" s="28"/>
      <c r="EG147" s="28"/>
      <c r="EJ147" s="28"/>
      <c r="EM147" s="28"/>
      <c r="EP147" s="28"/>
      <c r="ES147" s="28"/>
      <c r="EV147" s="28"/>
      <c r="EY147" s="28"/>
      <c r="FB147" s="28"/>
      <c r="FE147" s="28"/>
      <c r="FH147" s="28"/>
      <c r="FK147" s="28"/>
      <c r="FN147" s="28"/>
      <c r="FQ147" s="28"/>
      <c r="FT147" s="28"/>
      <c r="FW147" s="28"/>
      <c r="FZ147" s="28"/>
      <c r="GC147" s="28"/>
    </row>
    <row r="148" spans="1:185" s="25" customFormat="1" x14ac:dyDescent="0.3">
      <c r="A148" s="27"/>
      <c r="B148" s="28"/>
      <c r="C148" s="27"/>
      <c r="D148" s="26"/>
      <c r="E148" s="28"/>
      <c r="H148" s="28"/>
      <c r="K148" s="28"/>
      <c r="N148" s="28"/>
      <c r="Q148" s="28"/>
      <c r="T148" s="28"/>
      <c r="W148" s="28"/>
      <c r="Z148" s="28"/>
      <c r="AC148" s="28"/>
      <c r="AF148" s="28"/>
      <c r="AI148" s="28"/>
      <c r="AL148" s="28"/>
      <c r="AO148" s="28"/>
      <c r="AR148" s="28"/>
      <c r="AU148" s="28"/>
      <c r="AX148" s="28"/>
      <c r="BA148" s="28"/>
      <c r="BD148" s="28"/>
      <c r="BG148" s="28"/>
      <c r="BJ148" s="28"/>
      <c r="BM148" s="28"/>
      <c r="BP148" s="28"/>
      <c r="BS148" s="28"/>
      <c r="BV148" s="28"/>
      <c r="BY148" s="28"/>
      <c r="CB148" s="28"/>
      <c r="CE148" s="28"/>
      <c r="CH148" s="28"/>
      <c r="CK148" s="28"/>
      <c r="CN148" s="28"/>
      <c r="CQ148" s="28"/>
      <c r="CT148" s="28"/>
      <c r="CW148" s="28"/>
      <c r="CZ148" s="28"/>
      <c r="DC148" s="28"/>
      <c r="DF148" s="28"/>
      <c r="DI148" s="28"/>
      <c r="DL148" s="28"/>
      <c r="DO148" s="28"/>
      <c r="DR148" s="28"/>
      <c r="DU148" s="28"/>
      <c r="DX148" s="28"/>
      <c r="EA148" s="28"/>
      <c r="ED148" s="28"/>
      <c r="EG148" s="28"/>
      <c r="EJ148" s="28"/>
      <c r="EM148" s="28"/>
      <c r="EP148" s="28"/>
      <c r="ES148" s="28"/>
      <c r="EV148" s="28"/>
      <c r="EY148" s="28"/>
      <c r="FB148" s="28"/>
      <c r="FE148" s="28"/>
      <c r="FH148" s="28"/>
      <c r="FK148" s="28"/>
      <c r="FN148" s="28"/>
      <c r="FQ148" s="28"/>
      <c r="FT148" s="28"/>
      <c r="FW148" s="28"/>
      <c r="FZ148" s="28"/>
      <c r="GC148" s="28"/>
    </row>
    <row r="149" spans="1:185" s="25" customFormat="1" x14ac:dyDescent="0.3">
      <c r="A149" s="27"/>
      <c r="B149" s="28"/>
      <c r="C149" s="27"/>
      <c r="D149" s="26"/>
      <c r="E149" s="28"/>
      <c r="H149" s="28"/>
      <c r="K149" s="28"/>
      <c r="N149" s="28"/>
      <c r="Q149" s="28"/>
      <c r="T149" s="28"/>
      <c r="W149" s="28"/>
      <c r="Z149" s="28"/>
      <c r="AC149" s="28"/>
      <c r="AF149" s="28"/>
      <c r="AI149" s="28"/>
      <c r="AL149" s="28"/>
      <c r="AO149" s="28"/>
      <c r="AR149" s="28"/>
      <c r="AU149" s="28"/>
      <c r="AX149" s="28"/>
      <c r="BA149" s="28"/>
      <c r="BD149" s="28"/>
      <c r="BG149" s="28"/>
      <c r="BJ149" s="28"/>
      <c r="BM149" s="28"/>
      <c r="BP149" s="28"/>
      <c r="BS149" s="28"/>
      <c r="BV149" s="28"/>
      <c r="BY149" s="28"/>
      <c r="CB149" s="28"/>
      <c r="CE149" s="28"/>
      <c r="CH149" s="28"/>
      <c r="CK149" s="28"/>
      <c r="CN149" s="28"/>
      <c r="CQ149" s="28"/>
      <c r="CT149" s="28"/>
      <c r="CW149" s="28"/>
      <c r="CZ149" s="28"/>
      <c r="DC149" s="28"/>
      <c r="DF149" s="28"/>
      <c r="DI149" s="28"/>
      <c r="DL149" s="28"/>
      <c r="DO149" s="28"/>
      <c r="DR149" s="28"/>
      <c r="DU149" s="28"/>
      <c r="DX149" s="28"/>
      <c r="EA149" s="28"/>
      <c r="ED149" s="28"/>
      <c r="EG149" s="28"/>
      <c r="EJ149" s="28"/>
      <c r="EM149" s="28"/>
      <c r="EP149" s="28"/>
      <c r="ES149" s="28"/>
      <c r="EV149" s="28"/>
      <c r="EY149" s="28"/>
      <c r="FB149" s="28"/>
      <c r="FE149" s="28"/>
      <c r="FH149" s="28"/>
      <c r="FK149" s="28"/>
      <c r="FN149" s="28"/>
      <c r="FQ149" s="28"/>
      <c r="FT149" s="28"/>
      <c r="FW149" s="28"/>
      <c r="FZ149" s="28"/>
      <c r="GC149" s="28"/>
    </row>
    <row r="150" spans="1:185" s="25" customFormat="1" x14ac:dyDescent="0.3">
      <c r="A150" s="27"/>
      <c r="B150" s="28"/>
      <c r="C150" s="27"/>
      <c r="D150" s="26"/>
      <c r="E150" s="28"/>
      <c r="H150" s="28"/>
      <c r="K150" s="28"/>
      <c r="N150" s="28"/>
      <c r="Q150" s="28"/>
      <c r="T150" s="28"/>
      <c r="W150" s="28"/>
      <c r="Z150" s="28"/>
      <c r="AC150" s="28"/>
      <c r="AF150" s="28"/>
      <c r="AI150" s="28"/>
      <c r="AL150" s="28"/>
      <c r="AO150" s="28"/>
      <c r="AR150" s="28"/>
      <c r="AU150" s="28"/>
      <c r="AX150" s="28"/>
      <c r="BA150" s="28"/>
      <c r="BD150" s="28"/>
      <c r="BG150" s="28"/>
      <c r="BJ150" s="28"/>
      <c r="BM150" s="28"/>
      <c r="BP150" s="28"/>
      <c r="BS150" s="28"/>
      <c r="BV150" s="28"/>
      <c r="BY150" s="28"/>
      <c r="CB150" s="28"/>
      <c r="CE150" s="28"/>
      <c r="CH150" s="28"/>
      <c r="CK150" s="28"/>
      <c r="CN150" s="28"/>
      <c r="CQ150" s="28"/>
      <c r="CT150" s="28"/>
      <c r="CW150" s="28"/>
      <c r="CZ150" s="28"/>
      <c r="DC150" s="28"/>
      <c r="DF150" s="28"/>
      <c r="DI150" s="28"/>
      <c r="DL150" s="28"/>
      <c r="DO150" s="28"/>
      <c r="DR150" s="28"/>
      <c r="DU150" s="28"/>
      <c r="DX150" s="28"/>
      <c r="EA150" s="28"/>
      <c r="ED150" s="28"/>
      <c r="EG150" s="28"/>
      <c r="EJ150" s="28"/>
      <c r="EM150" s="28"/>
      <c r="EP150" s="28"/>
      <c r="ES150" s="28"/>
      <c r="EV150" s="28"/>
      <c r="EY150" s="28"/>
      <c r="FB150" s="28"/>
      <c r="FE150" s="28"/>
      <c r="FH150" s="28"/>
      <c r="FK150" s="28"/>
      <c r="FN150" s="28"/>
      <c r="FQ150" s="28"/>
      <c r="FT150" s="28"/>
      <c r="FW150" s="28"/>
      <c r="FZ150" s="28"/>
      <c r="GC150" s="28"/>
    </row>
    <row r="151" spans="1:185" s="25" customFormat="1" x14ac:dyDescent="0.3">
      <c r="A151" s="27"/>
      <c r="B151" s="28"/>
      <c r="C151" s="27"/>
      <c r="D151" s="26"/>
      <c r="E151" s="28"/>
      <c r="H151" s="28"/>
      <c r="K151" s="28"/>
      <c r="N151" s="28"/>
      <c r="Q151" s="28"/>
      <c r="T151" s="28"/>
      <c r="W151" s="28"/>
      <c r="Z151" s="28"/>
      <c r="AC151" s="28"/>
      <c r="AF151" s="28"/>
      <c r="AI151" s="28"/>
      <c r="AL151" s="28"/>
      <c r="AO151" s="28"/>
      <c r="AR151" s="28"/>
      <c r="AU151" s="28"/>
      <c r="AX151" s="28"/>
      <c r="BA151" s="28"/>
      <c r="BD151" s="28"/>
      <c r="BG151" s="28"/>
      <c r="BJ151" s="28"/>
      <c r="BM151" s="28"/>
      <c r="BP151" s="28"/>
      <c r="BS151" s="28"/>
      <c r="BV151" s="28"/>
      <c r="BY151" s="28"/>
      <c r="CB151" s="28"/>
      <c r="CE151" s="28"/>
      <c r="CH151" s="28"/>
      <c r="CK151" s="28"/>
      <c r="CN151" s="28"/>
      <c r="CQ151" s="28"/>
      <c r="CT151" s="28"/>
      <c r="CW151" s="28"/>
      <c r="CZ151" s="28"/>
      <c r="DC151" s="28"/>
      <c r="DF151" s="28"/>
      <c r="DI151" s="28"/>
      <c r="DL151" s="28"/>
      <c r="DO151" s="28"/>
      <c r="DR151" s="28"/>
      <c r="DU151" s="28"/>
      <c r="DX151" s="28"/>
      <c r="EA151" s="28"/>
      <c r="ED151" s="28"/>
      <c r="EG151" s="28"/>
      <c r="EJ151" s="28"/>
      <c r="EM151" s="28"/>
      <c r="EP151" s="28"/>
      <c r="ES151" s="28"/>
      <c r="EV151" s="28"/>
      <c r="EY151" s="28"/>
      <c r="FB151" s="28"/>
      <c r="FE151" s="28"/>
      <c r="FH151" s="28"/>
      <c r="FK151" s="28"/>
      <c r="FN151" s="28"/>
      <c r="FQ151" s="28"/>
      <c r="FT151" s="28"/>
      <c r="FW151" s="28"/>
      <c r="FZ151" s="28"/>
      <c r="GC151" s="28"/>
    </row>
    <row r="152" spans="1:185" s="25" customFormat="1" x14ac:dyDescent="0.3">
      <c r="A152" s="27"/>
      <c r="B152" s="28"/>
      <c r="C152" s="27"/>
      <c r="D152" s="26"/>
      <c r="E152" s="28"/>
      <c r="H152" s="28"/>
      <c r="K152" s="28"/>
      <c r="N152" s="28"/>
      <c r="Q152" s="28"/>
      <c r="T152" s="28"/>
      <c r="W152" s="28"/>
      <c r="Z152" s="28"/>
      <c r="AC152" s="28"/>
      <c r="AF152" s="28"/>
      <c r="AI152" s="28"/>
      <c r="AL152" s="28"/>
      <c r="AO152" s="28"/>
      <c r="AR152" s="28"/>
      <c r="AU152" s="28"/>
      <c r="AX152" s="28"/>
      <c r="BA152" s="28"/>
      <c r="BD152" s="28"/>
      <c r="BG152" s="28"/>
      <c r="BJ152" s="28"/>
      <c r="BM152" s="28"/>
      <c r="BP152" s="28"/>
      <c r="BS152" s="28"/>
      <c r="BV152" s="28"/>
      <c r="BY152" s="28"/>
      <c r="CB152" s="28"/>
      <c r="CE152" s="28"/>
      <c r="CH152" s="28"/>
      <c r="CK152" s="28"/>
      <c r="CN152" s="28"/>
      <c r="CQ152" s="28"/>
      <c r="CT152" s="28"/>
      <c r="CW152" s="28"/>
      <c r="CZ152" s="28"/>
      <c r="DC152" s="28"/>
      <c r="DF152" s="28"/>
      <c r="DI152" s="28"/>
      <c r="DL152" s="28"/>
      <c r="DO152" s="28"/>
      <c r="DR152" s="28"/>
      <c r="DU152" s="28"/>
      <c r="DX152" s="28"/>
      <c r="EA152" s="28"/>
      <c r="ED152" s="28"/>
      <c r="EG152" s="28"/>
      <c r="EJ152" s="28"/>
      <c r="EM152" s="28"/>
      <c r="EP152" s="28"/>
      <c r="ES152" s="28"/>
      <c r="EV152" s="28"/>
      <c r="EY152" s="28"/>
      <c r="FB152" s="28"/>
      <c r="FE152" s="28"/>
      <c r="FH152" s="28"/>
      <c r="FK152" s="28"/>
      <c r="FN152" s="28"/>
      <c r="FQ152" s="28"/>
      <c r="FT152" s="28"/>
      <c r="FW152" s="28"/>
      <c r="FZ152" s="28"/>
      <c r="GC152" s="28"/>
    </row>
    <row r="153" spans="1:185" s="25" customFormat="1" x14ac:dyDescent="0.3">
      <c r="A153" s="27"/>
      <c r="B153" s="28"/>
      <c r="C153" s="27"/>
      <c r="D153" s="26"/>
      <c r="E153" s="28"/>
      <c r="H153" s="28"/>
      <c r="K153" s="28"/>
      <c r="N153" s="28"/>
      <c r="Q153" s="28"/>
      <c r="T153" s="28"/>
      <c r="W153" s="28"/>
      <c r="Z153" s="28"/>
      <c r="AC153" s="28"/>
      <c r="AF153" s="28"/>
      <c r="AI153" s="28"/>
      <c r="AL153" s="28"/>
      <c r="AO153" s="28"/>
      <c r="AR153" s="28"/>
      <c r="AU153" s="28"/>
      <c r="AX153" s="28"/>
      <c r="BA153" s="28"/>
      <c r="BD153" s="28"/>
      <c r="BG153" s="28"/>
      <c r="BJ153" s="28"/>
      <c r="BM153" s="28"/>
      <c r="BP153" s="28"/>
      <c r="BS153" s="28"/>
      <c r="BV153" s="28"/>
      <c r="BY153" s="28"/>
      <c r="CB153" s="28"/>
      <c r="CE153" s="28"/>
      <c r="CH153" s="28"/>
      <c r="CK153" s="28"/>
      <c r="CN153" s="28"/>
      <c r="CQ153" s="28"/>
      <c r="CT153" s="28"/>
      <c r="CW153" s="28"/>
      <c r="CZ153" s="28"/>
      <c r="DC153" s="28"/>
      <c r="DF153" s="28"/>
      <c r="DI153" s="28"/>
      <c r="DL153" s="28"/>
      <c r="DO153" s="28"/>
      <c r="DR153" s="28"/>
      <c r="DU153" s="28"/>
      <c r="DX153" s="28"/>
      <c r="EA153" s="28"/>
      <c r="ED153" s="28"/>
      <c r="EG153" s="28"/>
      <c r="EJ153" s="28"/>
      <c r="EM153" s="28"/>
      <c r="EP153" s="28"/>
      <c r="ES153" s="28"/>
      <c r="EV153" s="28"/>
      <c r="EY153" s="28"/>
      <c r="FB153" s="28"/>
      <c r="FE153" s="28"/>
      <c r="FH153" s="28"/>
      <c r="FK153" s="28"/>
      <c r="FN153" s="28"/>
      <c r="FQ153" s="28"/>
      <c r="FT153" s="28"/>
      <c r="FW153" s="28"/>
      <c r="FZ153" s="28"/>
      <c r="GC153" s="28"/>
    </row>
    <row r="154" spans="1:185" s="25" customFormat="1" x14ac:dyDescent="0.3">
      <c r="A154" s="27"/>
      <c r="B154" s="28"/>
      <c r="C154" s="27"/>
      <c r="D154" s="26"/>
      <c r="E154" s="28"/>
      <c r="H154" s="28"/>
      <c r="K154" s="28"/>
      <c r="N154" s="28"/>
      <c r="Q154" s="28"/>
      <c r="T154" s="28"/>
      <c r="W154" s="28"/>
      <c r="Z154" s="28"/>
      <c r="AC154" s="28"/>
      <c r="AF154" s="28"/>
      <c r="AI154" s="28"/>
      <c r="AL154" s="28"/>
      <c r="AO154" s="28"/>
      <c r="AR154" s="28"/>
      <c r="AU154" s="28"/>
      <c r="AX154" s="28"/>
      <c r="BA154" s="28"/>
      <c r="BD154" s="28"/>
      <c r="BG154" s="28"/>
      <c r="BJ154" s="28"/>
      <c r="BM154" s="28"/>
      <c r="BP154" s="28"/>
      <c r="BS154" s="28"/>
      <c r="BV154" s="28"/>
      <c r="BY154" s="28"/>
      <c r="CB154" s="28"/>
      <c r="CE154" s="28"/>
      <c r="CH154" s="28"/>
      <c r="CK154" s="28"/>
      <c r="CN154" s="28"/>
      <c r="CQ154" s="28"/>
      <c r="CT154" s="28"/>
      <c r="CW154" s="28"/>
      <c r="CZ154" s="28"/>
      <c r="DC154" s="28"/>
      <c r="DF154" s="28"/>
      <c r="DI154" s="28"/>
      <c r="DL154" s="28"/>
      <c r="DO154" s="28"/>
      <c r="DR154" s="28"/>
      <c r="DU154" s="28"/>
      <c r="DX154" s="28"/>
      <c r="EA154" s="28"/>
      <c r="ED154" s="28"/>
      <c r="EG154" s="28"/>
      <c r="EJ154" s="28"/>
      <c r="EM154" s="28"/>
      <c r="EP154" s="28"/>
      <c r="ES154" s="28"/>
      <c r="EV154" s="28"/>
      <c r="EY154" s="28"/>
      <c r="FB154" s="28"/>
      <c r="FE154" s="28"/>
      <c r="FH154" s="28"/>
      <c r="FK154" s="28"/>
      <c r="FN154" s="28"/>
      <c r="FQ154" s="28"/>
      <c r="FT154" s="28"/>
      <c r="FW154" s="28"/>
      <c r="FZ154" s="28"/>
      <c r="GC154" s="28"/>
    </row>
    <row r="155" spans="1:185" s="25" customFormat="1" x14ac:dyDescent="0.3">
      <c r="A155" s="27"/>
      <c r="B155" s="28"/>
      <c r="C155" s="27"/>
      <c r="D155" s="26"/>
      <c r="E155" s="28"/>
      <c r="H155" s="28"/>
      <c r="K155" s="28"/>
      <c r="N155" s="28"/>
      <c r="Q155" s="28"/>
      <c r="T155" s="28"/>
      <c r="W155" s="28"/>
      <c r="Z155" s="28"/>
      <c r="AC155" s="28"/>
      <c r="AF155" s="28"/>
      <c r="AI155" s="28"/>
      <c r="AL155" s="28"/>
      <c r="AO155" s="28"/>
      <c r="AR155" s="28"/>
      <c r="AU155" s="28"/>
      <c r="AX155" s="28"/>
      <c r="BA155" s="28"/>
      <c r="BD155" s="28"/>
      <c r="BG155" s="28"/>
      <c r="BJ155" s="28"/>
      <c r="BM155" s="28"/>
      <c r="BP155" s="28"/>
      <c r="BS155" s="28"/>
      <c r="BV155" s="28"/>
      <c r="BY155" s="28"/>
      <c r="CB155" s="28"/>
      <c r="CE155" s="28"/>
      <c r="CH155" s="28"/>
      <c r="CK155" s="28"/>
      <c r="CN155" s="28"/>
      <c r="CQ155" s="28"/>
      <c r="CT155" s="28"/>
      <c r="CW155" s="28"/>
      <c r="CZ155" s="28"/>
      <c r="DC155" s="28"/>
      <c r="DF155" s="28"/>
      <c r="DI155" s="28"/>
      <c r="DL155" s="28"/>
      <c r="DO155" s="28"/>
      <c r="DR155" s="28"/>
      <c r="DU155" s="28"/>
      <c r="DX155" s="28"/>
      <c r="EA155" s="28"/>
      <c r="ED155" s="28"/>
      <c r="EG155" s="28"/>
      <c r="EJ155" s="28"/>
      <c r="EM155" s="28"/>
      <c r="EP155" s="28"/>
      <c r="ES155" s="28"/>
      <c r="EV155" s="28"/>
      <c r="EY155" s="28"/>
      <c r="FB155" s="28"/>
      <c r="FE155" s="28"/>
      <c r="FH155" s="28"/>
      <c r="FK155" s="28"/>
      <c r="FN155" s="28"/>
      <c r="FQ155" s="28"/>
      <c r="FT155" s="28"/>
      <c r="FW155" s="28"/>
      <c r="FZ155" s="28"/>
      <c r="GC155" s="28"/>
    </row>
    <row r="156" spans="1:185" s="25" customFormat="1" x14ac:dyDescent="0.3">
      <c r="A156" s="27"/>
      <c r="B156" s="28"/>
      <c r="C156" s="27"/>
      <c r="D156" s="26"/>
      <c r="E156" s="28"/>
      <c r="H156" s="28"/>
      <c r="K156" s="28"/>
      <c r="N156" s="28"/>
      <c r="Q156" s="28"/>
      <c r="T156" s="28"/>
      <c r="W156" s="28"/>
      <c r="Z156" s="28"/>
      <c r="AC156" s="28"/>
      <c r="AF156" s="28"/>
      <c r="AI156" s="28"/>
      <c r="AL156" s="28"/>
      <c r="AO156" s="28"/>
      <c r="AR156" s="28"/>
      <c r="AU156" s="28"/>
      <c r="AX156" s="28"/>
      <c r="BA156" s="28"/>
      <c r="BD156" s="28"/>
      <c r="BG156" s="28"/>
      <c r="BJ156" s="28"/>
      <c r="BM156" s="28"/>
      <c r="BP156" s="28"/>
      <c r="BS156" s="28"/>
      <c r="BV156" s="28"/>
      <c r="BY156" s="28"/>
      <c r="CB156" s="28"/>
      <c r="CE156" s="28"/>
      <c r="CH156" s="28"/>
      <c r="CK156" s="28"/>
      <c r="CN156" s="28"/>
      <c r="CQ156" s="28"/>
      <c r="CT156" s="28"/>
      <c r="CW156" s="28"/>
      <c r="CZ156" s="28"/>
      <c r="DC156" s="28"/>
      <c r="DF156" s="28"/>
      <c r="DI156" s="28"/>
      <c r="DL156" s="28"/>
      <c r="DO156" s="28"/>
      <c r="DR156" s="28"/>
      <c r="DU156" s="28"/>
      <c r="DX156" s="28"/>
      <c r="EA156" s="28"/>
      <c r="ED156" s="28"/>
      <c r="EG156" s="28"/>
      <c r="EJ156" s="28"/>
      <c r="EM156" s="28"/>
      <c r="EP156" s="28"/>
      <c r="ES156" s="28"/>
      <c r="EV156" s="28"/>
      <c r="EY156" s="28"/>
      <c r="FB156" s="28"/>
      <c r="FE156" s="28"/>
      <c r="FH156" s="28"/>
      <c r="FK156" s="28"/>
      <c r="FN156" s="28"/>
      <c r="FQ156" s="28"/>
      <c r="FT156" s="28"/>
      <c r="FW156" s="28"/>
      <c r="FZ156" s="28"/>
      <c r="GC156" s="28"/>
    </row>
    <row r="157" spans="1:185" s="25" customFormat="1" x14ac:dyDescent="0.3">
      <c r="A157" s="27"/>
      <c r="B157" s="28"/>
      <c r="C157" s="27"/>
      <c r="D157" s="26"/>
      <c r="E157" s="28"/>
      <c r="H157" s="28"/>
      <c r="K157" s="28"/>
      <c r="N157" s="28"/>
      <c r="Q157" s="28"/>
      <c r="T157" s="28"/>
      <c r="W157" s="28"/>
      <c r="Z157" s="28"/>
      <c r="AC157" s="28"/>
      <c r="AF157" s="28"/>
      <c r="AI157" s="28"/>
      <c r="AL157" s="28"/>
      <c r="AO157" s="28"/>
      <c r="AR157" s="28"/>
      <c r="AU157" s="28"/>
      <c r="AX157" s="28"/>
      <c r="BA157" s="28"/>
      <c r="BD157" s="28"/>
      <c r="BG157" s="28"/>
      <c r="BJ157" s="28"/>
      <c r="BM157" s="28"/>
      <c r="BP157" s="28"/>
      <c r="BS157" s="28"/>
      <c r="BV157" s="28"/>
      <c r="BY157" s="28"/>
      <c r="CB157" s="28"/>
      <c r="CE157" s="28"/>
      <c r="CH157" s="28"/>
      <c r="CK157" s="28"/>
      <c r="CN157" s="28"/>
      <c r="CQ157" s="28"/>
      <c r="CT157" s="28"/>
      <c r="CW157" s="28"/>
      <c r="CZ157" s="28"/>
      <c r="DC157" s="28"/>
      <c r="DF157" s="28"/>
      <c r="DI157" s="28"/>
      <c r="DL157" s="28"/>
      <c r="DO157" s="28"/>
      <c r="DR157" s="28"/>
      <c r="DU157" s="28"/>
      <c r="DX157" s="28"/>
      <c r="EA157" s="28"/>
      <c r="ED157" s="28"/>
      <c r="EG157" s="28"/>
      <c r="EJ157" s="28"/>
      <c r="EM157" s="28"/>
      <c r="EP157" s="28"/>
      <c r="ES157" s="28"/>
      <c r="EV157" s="28"/>
      <c r="EY157" s="28"/>
      <c r="FB157" s="28"/>
      <c r="FE157" s="28"/>
      <c r="FH157" s="28"/>
      <c r="FK157" s="28"/>
      <c r="FN157" s="28"/>
      <c r="FQ157" s="28"/>
      <c r="FT157" s="28"/>
      <c r="FW157" s="28"/>
      <c r="FZ157" s="28"/>
      <c r="GC157" s="28"/>
    </row>
    <row r="158" spans="1:185" s="25" customFormat="1" x14ac:dyDescent="0.3">
      <c r="A158" s="27"/>
      <c r="B158" s="28"/>
      <c r="C158" s="27"/>
      <c r="D158" s="26"/>
      <c r="E158" s="28"/>
      <c r="H158" s="28"/>
      <c r="K158" s="28"/>
      <c r="N158" s="28"/>
      <c r="Q158" s="28"/>
      <c r="T158" s="28"/>
      <c r="W158" s="28"/>
      <c r="Z158" s="28"/>
      <c r="AC158" s="28"/>
      <c r="AF158" s="28"/>
      <c r="AI158" s="28"/>
      <c r="AL158" s="28"/>
      <c r="AO158" s="28"/>
      <c r="AR158" s="28"/>
      <c r="AU158" s="28"/>
      <c r="AX158" s="28"/>
      <c r="BA158" s="28"/>
      <c r="BD158" s="28"/>
      <c r="BG158" s="28"/>
      <c r="BJ158" s="28"/>
      <c r="BM158" s="28"/>
      <c r="BP158" s="28"/>
      <c r="BS158" s="28"/>
      <c r="BV158" s="28"/>
      <c r="BY158" s="28"/>
      <c r="CB158" s="28"/>
      <c r="CE158" s="28"/>
      <c r="CH158" s="28"/>
      <c r="CK158" s="28"/>
      <c r="CN158" s="28"/>
      <c r="CQ158" s="28"/>
      <c r="CT158" s="28"/>
      <c r="CW158" s="28"/>
      <c r="CZ158" s="28"/>
      <c r="DC158" s="28"/>
      <c r="DF158" s="28"/>
      <c r="DI158" s="28"/>
      <c r="DL158" s="28"/>
      <c r="DO158" s="28"/>
      <c r="DR158" s="28"/>
      <c r="DU158" s="28"/>
      <c r="DX158" s="28"/>
      <c r="EA158" s="28"/>
      <c r="ED158" s="28"/>
      <c r="EG158" s="28"/>
      <c r="EJ158" s="28"/>
      <c r="EM158" s="28"/>
      <c r="EP158" s="28"/>
      <c r="ES158" s="28"/>
      <c r="EV158" s="28"/>
      <c r="EY158" s="28"/>
      <c r="FB158" s="28"/>
      <c r="FE158" s="28"/>
      <c r="FH158" s="28"/>
      <c r="FK158" s="28"/>
      <c r="FN158" s="28"/>
      <c r="FQ158" s="28"/>
      <c r="FT158" s="28"/>
      <c r="FW158" s="28"/>
      <c r="FZ158" s="28"/>
      <c r="GC158" s="28"/>
    </row>
    <row r="159" spans="1:185" s="25" customFormat="1" x14ac:dyDescent="0.3">
      <c r="A159" s="27"/>
      <c r="B159" s="28"/>
      <c r="C159" s="27"/>
      <c r="D159" s="26"/>
      <c r="E159" s="28"/>
      <c r="H159" s="28"/>
      <c r="K159" s="28"/>
      <c r="N159" s="28"/>
      <c r="Q159" s="28"/>
      <c r="T159" s="28"/>
      <c r="W159" s="28"/>
      <c r="Z159" s="28"/>
      <c r="AC159" s="28"/>
      <c r="AF159" s="28"/>
      <c r="AI159" s="28"/>
      <c r="AL159" s="28"/>
      <c r="AO159" s="28"/>
      <c r="AR159" s="28"/>
      <c r="AU159" s="28"/>
      <c r="AX159" s="28"/>
      <c r="BA159" s="28"/>
      <c r="BD159" s="28"/>
      <c r="BG159" s="28"/>
      <c r="BJ159" s="28"/>
      <c r="BM159" s="28"/>
      <c r="BP159" s="28"/>
      <c r="BS159" s="28"/>
      <c r="BV159" s="28"/>
      <c r="BY159" s="28"/>
      <c r="CB159" s="28"/>
      <c r="CE159" s="28"/>
      <c r="CH159" s="28"/>
      <c r="CK159" s="28"/>
      <c r="CN159" s="28"/>
      <c r="CQ159" s="28"/>
      <c r="CT159" s="28"/>
      <c r="CW159" s="28"/>
      <c r="CZ159" s="28"/>
      <c r="DC159" s="28"/>
      <c r="DF159" s="28"/>
      <c r="DI159" s="28"/>
      <c r="DL159" s="28"/>
      <c r="DO159" s="28"/>
      <c r="DR159" s="28"/>
      <c r="DU159" s="28"/>
      <c r="DX159" s="28"/>
      <c r="EA159" s="28"/>
      <c r="ED159" s="28"/>
      <c r="EG159" s="28"/>
      <c r="EJ159" s="28"/>
      <c r="EM159" s="28"/>
      <c r="EP159" s="28"/>
      <c r="ES159" s="28"/>
      <c r="EV159" s="28"/>
      <c r="EY159" s="28"/>
      <c r="FB159" s="28"/>
      <c r="FE159" s="28"/>
      <c r="FH159" s="28"/>
      <c r="FK159" s="28"/>
      <c r="FN159" s="28"/>
      <c r="FQ159" s="28"/>
      <c r="FT159" s="28"/>
      <c r="FW159" s="28"/>
      <c r="FZ159" s="28"/>
      <c r="GC159" s="28"/>
    </row>
    <row r="160" spans="1:185" s="25" customFormat="1" x14ac:dyDescent="0.3">
      <c r="A160" s="27"/>
      <c r="B160" s="28"/>
      <c r="C160" s="27"/>
      <c r="D160" s="26"/>
      <c r="E160" s="28"/>
      <c r="H160" s="28"/>
      <c r="K160" s="28"/>
      <c r="N160" s="28"/>
      <c r="Q160" s="28"/>
      <c r="T160" s="28"/>
      <c r="W160" s="28"/>
      <c r="Z160" s="28"/>
      <c r="AC160" s="28"/>
      <c r="AF160" s="28"/>
      <c r="AI160" s="28"/>
      <c r="AL160" s="28"/>
      <c r="AO160" s="28"/>
      <c r="AR160" s="28"/>
      <c r="AU160" s="28"/>
      <c r="AX160" s="28"/>
      <c r="BA160" s="28"/>
      <c r="BD160" s="28"/>
      <c r="BG160" s="28"/>
      <c r="BJ160" s="28"/>
      <c r="BM160" s="28"/>
      <c r="BP160" s="28"/>
      <c r="BS160" s="28"/>
      <c r="BV160" s="28"/>
      <c r="BY160" s="28"/>
      <c r="CB160" s="28"/>
      <c r="CE160" s="28"/>
      <c r="CH160" s="28"/>
      <c r="CK160" s="28"/>
      <c r="CN160" s="28"/>
      <c r="CQ160" s="28"/>
      <c r="CT160" s="28"/>
      <c r="CW160" s="28"/>
      <c r="CZ160" s="28"/>
      <c r="DC160" s="28"/>
      <c r="DF160" s="28"/>
      <c r="DI160" s="28"/>
      <c r="DL160" s="28"/>
      <c r="DO160" s="28"/>
      <c r="DR160" s="28"/>
      <c r="DU160" s="28"/>
      <c r="DX160" s="28"/>
      <c r="EA160" s="28"/>
      <c r="ED160" s="28"/>
      <c r="EG160" s="28"/>
      <c r="EJ160" s="28"/>
      <c r="EM160" s="28"/>
      <c r="EP160" s="28"/>
      <c r="ES160" s="28"/>
      <c r="EV160" s="28"/>
      <c r="EY160" s="28"/>
      <c r="FB160" s="28"/>
      <c r="FE160" s="28"/>
      <c r="FH160" s="28"/>
      <c r="FK160" s="28"/>
      <c r="FN160" s="28"/>
      <c r="FQ160" s="28"/>
      <c r="FT160" s="28"/>
      <c r="FW160" s="28"/>
      <c r="FZ160" s="28"/>
      <c r="GC160" s="28"/>
    </row>
    <row r="161" spans="1:185" s="25" customFormat="1" x14ac:dyDescent="0.3">
      <c r="A161" s="27"/>
      <c r="B161" s="28"/>
      <c r="C161" s="27"/>
      <c r="D161" s="26"/>
      <c r="E161" s="28"/>
      <c r="H161" s="28"/>
      <c r="K161" s="28"/>
      <c r="N161" s="28"/>
      <c r="Q161" s="28"/>
      <c r="T161" s="28"/>
      <c r="W161" s="28"/>
      <c r="Z161" s="28"/>
      <c r="AC161" s="28"/>
      <c r="AF161" s="28"/>
      <c r="AI161" s="28"/>
      <c r="AL161" s="28"/>
      <c r="AO161" s="28"/>
      <c r="AR161" s="28"/>
      <c r="AU161" s="28"/>
      <c r="AX161" s="28"/>
      <c r="BA161" s="28"/>
      <c r="BD161" s="28"/>
      <c r="BG161" s="28"/>
      <c r="BJ161" s="28"/>
      <c r="BM161" s="28"/>
      <c r="BP161" s="28"/>
      <c r="BS161" s="28"/>
      <c r="BV161" s="28"/>
      <c r="BY161" s="28"/>
      <c r="CB161" s="28"/>
      <c r="CE161" s="28"/>
      <c r="CH161" s="28"/>
      <c r="CK161" s="28"/>
      <c r="CN161" s="28"/>
      <c r="CQ161" s="28"/>
      <c r="CT161" s="28"/>
      <c r="CW161" s="28"/>
      <c r="CZ161" s="28"/>
      <c r="DC161" s="28"/>
      <c r="DF161" s="28"/>
      <c r="DI161" s="28"/>
      <c r="DL161" s="28"/>
      <c r="DO161" s="28"/>
      <c r="DR161" s="28"/>
      <c r="DU161" s="28"/>
      <c r="DX161" s="28"/>
      <c r="EA161" s="28"/>
      <c r="ED161" s="28"/>
      <c r="EG161" s="28"/>
      <c r="EJ161" s="28"/>
      <c r="EM161" s="28"/>
      <c r="EP161" s="28"/>
      <c r="ES161" s="28"/>
      <c r="EV161" s="28"/>
      <c r="EY161" s="28"/>
      <c r="FB161" s="28"/>
      <c r="FE161" s="28"/>
      <c r="FH161" s="28"/>
      <c r="FK161" s="28"/>
      <c r="FN161" s="28"/>
      <c r="FQ161" s="28"/>
      <c r="FT161" s="28"/>
      <c r="FW161" s="28"/>
      <c r="FZ161" s="28"/>
      <c r="GC161" s="28"/>
    </row>
    <row r="162" spans="1:185" s="25" customFormat="1" x14ac:dyDescent="0.3">
      <c r="A162" s="27"/>
      <c r="B162" s="28"/>
      <c r="C162" s="27"/>
      <c r="D162" s="26"/>
      <c r="E162" s="28"/>
      <c r="H162" s="28"/>
      <c r="K162" s="28"/>
      <c r="N162" s="28"/>
      <c r="Q162" s="28"/>
      <c r="T162" s="28"/>
      <c r="W162" s="28"/>
      <c r="Z162" s="28"/>
      <c r="AC162" s="28"/>
      <c r="AF162" s="28"/>
      <c r="AI162" s="28"/>
      <c r="AL162" s="28"/>
      <c r="AO162" s="28"/>
      <c r="AR162" s="28"/>
      <c r="AU162" s="28"/>
      <c r="AX162" s="28"/>
      <c r="BA162" s="28"/>
      <c r="BD162" s="28"/>
      <c r="BG162" s="28"/>
      <c r="BJ162" s="28"/>
      <c r="BM162" s="28"/>
      <c r="BP162" s="28"/>
      <c r="BS162" s="28"/>
      <c r="BV162" s="28"/>
      <c r="BY162" s="28"/>
      <c r="CB162" s="28"/>
      <c r="CE162" s="28"/>
      <c r="CH162" s="28"/>
      <c r="CK162" s="28"/>
      <c r="CN162" s="28"/>
      <c r="CQ162" s="28"/>
      <c r="CT162" s="28"/>
      <c r="CW162" s="28"/>
      <c r="CZ162" s="28"/>
      <c r="DC162" s="28"/>
      <c r="DF162" s="28"/>
      <c r="DI162" s="28"/>
      <c r="DL162" s="28"/>
      <c r="DO162" s="28"/>
      <c r="DR162" s="28"/>
      <c r="DU162" s="28"/>
      <c r="DX162" s="28"/>
      <c r="EA162" s="28"/>
      <c r="ED162" s="28"/>
      <c r="EG162" s="28"/>
      <c r="EJ162" s="28"/>
      <c r="EM162" s="28"/>
      <c r="EP162" s="28"/>
      <c r="ES162" s="28"/>
      <c r="EV162" s="28"/>
      <c r="EY162" s="28"/>
      <c r="FB162" s="28"/>
      <c r="FE162" s="28"/>
      <c r="FH162" s="28"/>
      <c r="FK162" s="28"/>
      <c r="FN162" s="28"/>
      <c r="FQ162" s="28"/>
      <c r="FT162" s="28"/>
      <c r="FW162" s="28"/>
      <c r="FZ162" s="28"/>
      <c r="GC162" s="28"/>
    </row>
    <row r="163" spans="1:185" s="25" customFormat="1" x14ac:dyDescent="0.3">
      <c r="A163" s="27"/>
      <c r="B163" s="28"/>
      <c r="C163" s="27"/>
      <c r="D163" s="26"/>
      <c r="E163" s="28"/>
      <c r="H163" s="28"/>
      <c r="K163" s="28"/>
      <c r="N163" s="28"/>
      <c r="Q163" s="28"/>
      <c r="T163" s="28"/>
      <c r="W163" s="28"/>
      <c r="Z163" s="28"/>
      <c r="AC163" s="28"/>
      <c r="AF163" s="28"/>
      <c r="AI163" s="28"/>
      <c r="AL163" s="28"/>
      <c r="AO163" s="28"/>
      <c r="AR163" s="28"/>
      <c r="AU163" s="28"/>
      <c r="AX163" s="28"/>
      <c r="BA163" s="28"/>
      <c r="BD163" s="28"/>
      <c r="BG163" s="28"/>
      <c r="BJ163" s="28"/>
      <c r="BM163" s="28"/>
      <c r="BP163" s="28"/>
      <c r="BS163" s="28"/>
      <c r="BV163" s="28"/>
      <c r="BY163" s="28"/>
      <c r="CB163" s="28"/>
      <c r="CE163" s="28"/>
      <c r="CH163" s="28"/>
      <c r="CK163" s="28"/>
      <c r="CN163" s="28"/>
      <c r="CQ163" s="28"/>
      <c r="CT163" s="28"/>
      <c r="CW163" s="28"/>
      <c r="CZ163" s="28"/>
      <c r="DC163" s="28"/>
      <c r="DF163" s="28"/>
      <c r="DI163" s="28"/>
      <c r="DL163" s="28"/>
      <c r="DO163" s="28"/>
      <c r="DR163" s="28"/>
      <c r="DU163" s="28"/>
      <c r="DX163" s="28"/>
      <c r="EA163" s="28"/>
      <c r="ED163" s="28"/>
      <c r="EG163" s="28"/>
      <c r="EJ163" s="28"/>
      <c r="EM163" s="28"/>
      <c r="EP163" s="28"/>
      <c r="ES163" s="28"/>
      <c r="EV163" s="28"/>
      <c r="EY163" s="28"/>
      <c r="FB163" s="28"/>
      <c r="FE163" s="28"/>
      <c r="FH163" s="28"/>
      <c r="FK163" s="28"/>
      <c r="FN163" s="28"/>
      <c r="FQ163" s="28"/>
      <c r="FT163" s="28"/>
      <c r="FW163" s="28"/>
      <c r="FZ163" s="28"/>
      <c r="GC163" s="28"/>
    </row>
    <row r="164" spans="1:185" s="25" customFormat="1" x14ac:dyDescent="0.3">
      <c r="A164" s="27"/>
      <c r="B164" s="28"/>
      <c r="C164" s="27"/>
      <c r="D164" s="26"/>
      <c r="E164" s="28"/>
      <c r="H164" s="28"/>
      <c r="K164" s="28"/>
      <c r="N164" s="28"/>
      <c r="Q164" s="28"/>
      <c r="T164" s="28"/>
      <c r="W164" s="28"/>
      <c r="Z164" s="28"/>
      <c r="AC164" s="28"/>
      <c r="AF164" s="28"/>
      <c r="AI164" s="28"/>
      <c r="AL164" s="28"/>
      <c r="AO164" s="28"/>
      <c r="AR164" s="28"/>
      <c r="AU164" s="28"/>
      <c r="AX164" s="28"/>
      <c r="BA164" s="28"/>
      <c r="BD164" s="28"/>
      <c r="BG164" s="28"/>
      <c r="BJ164" s="28"/>
      <c r="BM164" s="28"/>
      <c r="BP164" s="28"/>
      <c r="BS164" s="28"/>
      <c r="BV164" s="28"/>
      <c r="BY164" s="28"/>
      <c r="CB164" s="28"/>
      <c r="CE164" s="28"/>
      <c r="CH164" s="28"/>
      <c r="CK164" s="28"/>
      <c r="CN164" s="28"/>
      <c r="CQ164" s="28"/>
      <c r="CT164" s="28"/>
      <c r="CW164" s="28"/>
      <c r="CZ164" s="28"/>
      <c r="DC164" s="28"/>
      <c r="DF164" s="28"/>
      <c r="DI164" s="28"/>
      <c r="DL164" s="28"/>
      <c r="DO164" s="28"/>
      <c r="DR164" s="28"/>
      <c r="DU164" s="28"/>
      <c r="DX164" s="28"/>
      <c r="EA164" s="28"/>
      <c r="ED164" s="28"/>
      <c r="EG164" s="28"/>
      <c r="EJ164" s="28"/>
      <c r="EM164" s="28"/>
      <c r="EP164" s="28"/>
      <c r="ES164" s="28"/>
      <c r="EV164" s="28"/>
      <c r="EY164" s="28"/>
      <c r="FB164" s="28"/>
      <c r="FE164" s="28"/>
      <c r="FH164" s="28"/>
      <c r="FK164" s="28"/>
      <c r="FN164" s="28"/>
      <c r="FQ164" s="28"/>
      <c r="FT164" s="28"/>
      <c r="FW164" s="28"/>
      <c r="FZ164" s="28"/>
      <c r="GC164" s="28"/>
    </row>
    <row r="165" spans="1:185" s="25" customFormat="1" x14ac:dyDescent="0.3">
      <c r="A165" s="27"/>
      <c r="B165" s="28"/>
      <c r="C165" s="27"/>
      <c r="D165" s="26"/>
      <c r="E165" s="28"/>
      <c r="H165" s="28"/>
      <c r="K165" s="28"/>
      <c r="N165" s="28"/>
      <c r="Q165" s="28"/>
      <c r="T165" s="28"/>
      <c r="W165" s="28"/>
      <c r="Z165" s="28"/>
      <c r="AC165" s="28"/>
      <c r="AF165" s="28"/>
      <c r="AI165" s="28"/>
      <c r="AL165" s="28"/>
      <c r="AO165" s="28"/>
      <c r="AR165" s="28"/>
      <c r="AU165" s="28"/>
      <c r="AX165" s="28"/>
      <c r="BA165" s="28"/>
      <c r="BD165" s="28"/>
      <c r="BG165" s="28"/>
      <c r="BJ165" s="28"/>
      <c r="BM165" s="28"/>
      <c r="BP165" s="28"/>
      <c r="BS165" s="28"/>
      <c r="BV165" s="28"/>
      <c r="BY165" s="28"/>
      <c r="CB165" s="28"/>
      <c r="CE165" s="28"/>
      <c r="CH165" s="28"/>
      <c r="CK165" s="28"/>
      <c r="CN165" s="28"/>
      <c r="CQ165" s="28"/>
      <c r="CT165" s="28"/>
      <c r="CW165" s="28"/>
      <c r="CZ165" s="28"/>
      <c r="DC165" s="28"/>
      <c r="DF165" s="28"/>
      <c r="DI165" s="28"/>
      <c r="DL165" s="28"/>
      <c r="DO165" s="28"/>
      <c r="DR165" s="28"/>
      <c r="DU165" s="28"/>
      <c r="DX165" s="28"/>
      <c r="EA165" s="28"/>
      <c r="ED165" s="28"/>
      <c r="EG165" s="28"/>
      <c r="EJ165" s="28"/>
      <c r="EM165" s="28"/>
      <c r="EP165" s="28"/>
      <c r="ES165" s="28"/>
      <c r="EV165" s="28"/>
      <c r="EY165" s="28"/>
      <c r="FB165" s="28"/>
      <c r="FE165" s="28"/>
      <c r="FH165" s="28"/>
      <c r="FK165" s="28"/>
      <c r="FN165" s="28"/>
      <c r="FQ165" s="28"/>
      <c r="FT165" s="28"/>
      <c r="FW165" s="28"/>
      <c r="FZ165" s="28"/>
      <c r="GC165" s="28"/>
    </row>
    <row r="166" spans="1:185" s="25" customFormat="1" x14ac:dyDescent="0.3">
      <c r="A166" s="27"/>
      <c r="B166" s="28"/>
      <c r="C166" s="27"/>
      <c r="D166" s="26"/>
      <c r="E166" s="28"/>
      <c r="H166" s="28"/>
      <c r="K166" s="28"/>
      <c r="N166" s="28"/>
      <c r="Q166" s="28"/>
      <c r="T166" s="28"/>
      <c r="W166" s="28"/>
      <c r="Z166" s="28"/>
      <c r="AC166" s="28"/>
      <c r="AF166" s="28"/>
      <c r="AI166" s="28"/>
      <c r="AL166" s="28"/>
      <c r="AO166" s="28"/>
      <c r="AR166" s="28"/>
      <c r="AU166" s="28"/>
      <c r="AX166" s="28"/>
      <c r="BA166" s="28"/>
      <c r="BD166" s="28"/>
      <c r="BG166" s="28"/>
      <c r="BJ166" s="28"/>
      <c r="BM166" s="28"/>
      <c r="BP166" s="28"/>
      <c r="BS166" s="28"/>
      <c r="BV166" s="28"/>
      <c r="BY166" s="28"/>
      <c r="CB166" s="28"/>
      <c r="CE166" s="28"/>
      <c r="CH166" s="28"/>
      <c r="CK166" s="28"/>
      <c r="CN166" s="28"/>
      <c r="CQ166" s="28"/>
      <c r="CT166" s="28"/>
      <c r="CW166" s="28"/>
      <c r="CZ166" s="28"/>
      <c r="DC166" s="28"/>
      <c r="DF166" s="28"/>
      <c r="DI166" s="28"/>
      <c r="DL166" s="28"/>
      <c r="DO166" s="28"/>
      <c r="DR166" s="28"/>
      <c r="DU166" s="28"/>
      <c r="DX166" s="28"/>
      <c r="EA166" s="28"/>
      <c r="ED166" s="28"/>
      <c r="EG166" s="28"/>
      <c r="EJ166" s="28"/>
      <c r="EM166" s="28"/>
      <c r="EP166" s="28"/>
      <c r="ES166" s="28"/>
      <c r="EV166" s="28"/>
      <c r="EY166" s="28"/>
      <c r="FB166" s="28"/>
      <c r="FE166" s="28"/>
      <c r="FH166" s="28"/>
      <c r="FK166" s="28"/>
      <c r="FN166" s="28"/>
      <c r="FQ166" s="28"/>
      <c r="FT166" s="28"/>
      <c r="FW166" s="28"/>
      <c r="FZ166" s="28"/>
      <c r="GC166" s="28"/>
    </row>
    <row r="167" spans="1:185" s="25" customFormat="1" x14ac:dyDescent="0.3">
      <c r="A167" s="27"/>
      <c r="B167" s="28"/>
      <c r="C167" s="27"/>
      <c r="D167" s="26"/>
      <c r="E167" s="28"/>
      <c r="H167" s="28"/>
      <c r="K167" s="28"/>
      <c r="N167" s="28"/>
      <c r="Q167" s="28"/>
      <c r="T167" s="28"/>
      <c r="W167" s="28"/>
      <c r="Z167" s="28"/>
      <c r="AC167" s="28"/>
      <c r="AF167" s="28"/>
      <c r="AI167" s="28"/>
      <c r="AL167" s="28"/>
      <c r="AO167" s="28"/>
      <c r="AR167" s="28"/>
      <c r="AU167" s="28"/>
      <c r="AX167" s="28"/>
      <c r="BA167" s="28"/>
      <c r="BD167" s="28"/>
      <c r="BG167" s="28"/>
      <c r="BJ167" s="28"/>
      <c r="BM167" s="28"/>
      <c r="BP167" s="28"/>
      <c r="BS167" s="28"/>
      <c r="BV167" s="28"/>
      <c r="BY167" s="28"/>
      <c r="CB167" s="28"/>
      <c r="CE167" s="28"/>
      <c r="CH167" s="28"/>
      <c r="CK167" s="28"/>
      <c r="CN167" s="28"/>
      <c r="CQ167" s="28"/>
      <c r="CT167" s="28"/>
      <c r="CW167" s="28"/>
      <c r="CZ167" s="28"/>
      <c r="DC167" s="28"/>
      <c r="DF167" s="28"/>
      <c r="DI167" s="28"/>
      <c r="DL167" s="28"/>
      <c r="DO167" s="28"/>
      <c r="DR167" s="28"/>
      <c r="DU167" s="28"/>
      <c r="DX167" s="28"/>
      <c r="EA167" s="28"/>
      <c r="ED167" s="28"/>
      <c r="EG167" s="28"/>
      <c r="EJ167" s="28"/>
      <c r="EM167" s="28"/>
      <c r="EP167" s="28"/>
      <c r="ES167" s="28"/>
      <c r="EV167" s="28"/>
      <c r="EY167" s="28"/>
      <c r="FB167" s="28"/>
      <c r="FE167" s="28"/>
      <c r="FH167" s="28"/>
      <c r="FK167" s="28"/>
      <c r="FN167" s="28"/>
      <c r="FQ167" s="28"/>
      <c r="FT167" s="28"/>
      <c r="FW167" s="28"/>
      <c r="FZ167" s="28"/>
      <c r="GC167" s="28"/>
    </row>
    <row r="168" spans="1:185" s="25" customFormat="1" x14ac:dyDescent="0.3">
      <c r="A168" s="27"/>
      <c r="B168" s="28"/>
      <c r="C168" s="27"/>
      <c r="D168" s="26"/>
      <c r="E168" s="28"/>
      <c r="H168" s="28"/>
      <c r="K168" s="28"/>
      <c r="N168" s="28"/>
      <c r="Q168" s="28"/>
      <c r="T168" s="28"/>
      <c r="W168" s="28"/>
      <c r="Z168" s="28"/>
      <c r="AC168" s="28"/>
      <c r="AF168" s="28"/>
      <c r="AI168" s="28"/>
      <c r="AL168" s="28"/>
      <c r="AO168" s="28"/>
      <c r="AR168" s="28"/>
      <c r="AU168" s="28"/>
      <c r="AX168" s="28"/>
      <c r="BA168" s="28"/>
      <c r="BD168" s="28"/>
      <c r="BG168" s="28"/>
      <c r="BJ168" s="28"/>
      <c r="BM168" s="28"/>
      <c r="BP168" s="28"/>
      <c r="BS168" s="28"/>
      <c r="BV168" s="28"/>
      <c r="BY168" s="28"/>
      <c r="CB168" s="28"/>
      <c r="CE168" s="28"/>
      <c r="CH168" s="28"/>
      <c r="CK168" s="28"/>
      <c r="CN168" s="28"/>
      <c r="CQ168" s="28"/>
      <c r="CT168" s="28"/>
      <c r="CW168" s="28"/>
      <c r="CZ168" s="28"/>
      <c r="DC168" s="28"/>
      <c r="DF168" s="28"/>
      <c r="DI168" s="28"/>
      <c r="DL168" s="28"/>
      <c r="DO168" s="28"/>
      <c r="DR168" s="28"/>
      <c r="DU168" s="28"/>
      <c r="DX168" s="28"/>
      <c r="EA168" s="28"/>
      <c r="ED168" s="28"/>
      <c r="EG168" s="28"/>
      <c r="EJ168" s="28"/>
      <c r="EM168" s="28"/>
      <c r="EP168" s="28"/>
      <c r="ES168" s="28"/>
      <c r="EV168" s="28"/>
      <c r="EY168" s="28"/>
      <c r="FB168" s="28"/>
      <c r="FE168" s="28"/>
      <c r="FH168" s="28"/>
      <c r="FK168" s="28"/>
      <c r="FN168" s="28"/>
      <c r="FQ168" s="28"/>
      <c r="FT168" s="28"/>
      <c r="FW168" s="28"/>
      <c r="FZ168" s="28"/>
      <c r="GC168" s="28"/>
    </row>
    <row r="169" spans="1:185" s="25" customFormat="1" x14ac:dyDescent="0.3">
      <c r="A169" s="27"/>
      <c r="B169" s="28"/>
      <c r="C169" s="27"/>
      <c r="D169" s="26"/>
      <c r="E169" s="28"/>
      <c r="H169" s="28"/>
      <c r="K169" s="28"/>
      <c r="N169" s="28"/>
      <c r="Q169" s="28"/>
      <c r="T169" s="28"/>
      <c r="W169" s="28"/>
      <c r="Z169" s="28"/>
      <c r="AC169" s="28"/>
      <c r="AF169" s="28"/>
      <c r="AI169" s="28"/>
      <c r="AL169" s="28"/>
      <c r="AO169" s="28"/>
      <c r="AR169" s="28"/>
      <c r="AU169" s="28"/>
      <c r="AX169" s="28"/>
      <c r="BA169" s="28"/>
      <c r="BD169" s="28"/>
      <c r="BG169" s="28"/>
      <c r="BJ169" s="28"/>
      <c r="BM169" s="28"/>
      <c r="BP169" s="28"/>
      <c r="BS169" s="28"/>
      <c r="BV169" s="28"/>
      <c r="BY169" s="28"/>
      <c r="CB169" s="28"/>
      <c r="CE169" s="28"/>
      <c r="CH169" s="28"/>
      <c r="CK169" s="28"/>
      <c r="CN169" s="28"/>
      <c r="CQ169" s="28"/>
      <c r="CT169" s="28"/>
      <c r="CW169" s="28"/>
      <c r="CZ169" s="28"/>
      <c r="DC169" s="28"/>
      <c r="DF169" s="28"/>
      <c r="DI169" s="28"/>
      <c r="DL169" s="28"/>
      <c r="DO169" s="28"/>
      <c r="DR169" s="28"/>
      <c r="DU169" s="28"/>
      <c r="DX169" s="28"/>
      <c r="EA169" s="28"/>
      <c r="ED169" s="28"/>
      <c r="EG169" s="28"/>
      <c r="EJ169" s="28"/>
      <c r="EM169" s="28"/>
      <c r="EP169" s="28"/>
      <c r="ES169" s="28"/>
      <c r="EV169" s="28"/>
      <c r="EY169" s="28"/>
      <c r="FB169" s="28"/>
      <c r="FE169" s="28"/>
      <c r="FH169" s="28"/>
      <c r="FK169" s="28"/>
      <c r="FN169" s="28"/>
      <c r="FQ169" s="28"/>
      <c r="FT169" s="28"/>
      <c r="FW169" s="28"/>
      <c r="FZ169" s="28"/>
      <c r="GC169" s="28"/>
    </row>
    <row r="170" spans="1:185" s="25" customFormat="1" x14ac:dyDescent="0.3">
      <c r="A170" s="27"/>
      <c r="B170" s="28"/>
      <c r="C170" s="27"/>
      <c r="D170" s="26"/>
      <c r="E170" s="28"/>
      <c r="H170" s="28"/>
      <c r="K170" s="28"/>
      <c r="N170" s="28"/>
      <c r="Q170" s="28"/>
      <c r="T170" s="28"/>
      <c r="W170" s="28"/>
      <c r="Z170" s="28"/>
      <c r="AC170" s="28"/>
      <c r="AF170" s="28"/>
      <c r="AI170" s="28"/>
      <c r="AL170" s="28"/>
      <c r="AO170" s="28"/>
      <c r="AR170" s="28"/>
      <c r="AU170" s="28"/>
      <c r="AX170" s="28"/>
      <c r="BA170" s="28"/>
      <c r="BD170" s="28"/>
      <c r="BG170" s="28"/>
      <c r="BJ170" s="28"/>
      <c r="BM170" s="28"/>
      <c r="BP170" s="28"/>
      <c r="BS170" s="28"/>
      <c r="BV170" s="28"/>
      <c r="BY170" s="28"/>
      <c r="CB170" s="28"/>
      <c r="CE170" s="28"/>
      <c r="CH170" s="28"/>
      <c r="CK170" s="28"/>
      <c r="CN170" s="28"/>
      <c r="CQ170" s="28"/>
      <c r="CT170" s="28"/>
      <c r="CW170" s="28"/>
      <c r="CZ170" s="28"/>
      <c r="DC170" s="28"/>
      <c r="DF170" s="28"/>
      <c r="DI170" s="28"/>
      <c r="DL170" s="28"/>
      <c r="DO170" s="28"/>
      <c r="DR170" s="28"/>
      <c r="DU170" s="28"/>
      <c r="DX170" s="28"/>
      <c r="EA170" s="28"/>
      <c r="ED170" s="28"/>
      <c r="EG170" s="28"/>
      <c r="EJ170" s="28"/>
      <c r="EM170" s="28"/>
      <c r="EP170" s="28"/>
      <c r="ES170" s="28"/>
      <c r="EV170" s="28"/>
      <c r="EY170" s="28"/>
      <c r="FB170" s="28"/>
      <c r="FE170" s="28"/>
      <c r="FH170" s="28"/>
      <c r="FK170" s="28"/>
      <c r="FN170" s="28"/>
      <c r="FQ170" s="28"/>
      <c r="FT170" s="28"/>
      <c r="FW170" s="28"/>
      <c r="FZ170" s="28"/>
      <c r="GC170" s="28"/>
    </row>
    <row r="171" spans="1:185" s="25" customFormat="1" x14ac:dyDescent="0.3">
      <c r="A171" s="27"/>
      <c r="B171" s="28"/>
      <c r="C171" s="27"/>
      <c r="D171" s="26"/>
      <c r="E171" s="28"/>
      <c r="H171" s="28"/>
      <c r="K171" s="28"/>
      <c r="N171" s="28"/>
      <c r="Q171" s="28"/>
      <c r="T171" s="28"/>
      <c r="W171" s="28"/>
      <c r="Z171" s="28"/>
      <c r="AC171" s="28"/>
      <c r="AF171" s="28"/>
      <c r="AI171" s="28"/>
      <c r="AL171" s="28"/>
      <c r="AO171" s="28"/>
      <c r="AR171" s="28"/>
      <c r="AU171" s="28"/>
      <c r="AX171" s="28"/>
      <c r="BA171" s="28"/>
      <c r="BD171" s="28"/>
      <c r="BG171" s="28"/>
      <c r="BJ171" s="28"/>
      <c r="BM171" s="28"/>
      <c r="BP171" s="28"/>
      <c r="BS171" s="28"/>
      <c r="BV171" s="28"/>
      <c r="BY171" s="28"/>
      <c r="CB171" s="28"/>
      <c r="CE171" s="28"/>
      <c r="CH171" s="28"/>
      <c r="CK171" s="28"/>
      <c r="CN171" s="28"/>
      <c r="CQ171" s="28"/>
      <c r="CT171" s="28"/>
      <c r="CW171" s="28"/>
      <c r="CZ171" s="28"/>
      <c r="DC171" s="28"/>
      <c r="DF171" s="28"/>
      <c r="DI171" s="28"/>
      <c r="DL171" s="28"/>
      <c r="DO171" s="28"/>
      <c r="DR171" s="28"/>
      <c r="DU171" s="28"/>
      <c r="DX171" s="28"/>
      <c r="EA171" s="28"/>
      <c r="ED171" s="28"/>
      <c r="EG171" s="28"/>
      <c r="EJ171" s="28"/>
      <c r="EM171" s="28"/>
      <c r="EP171" s="28"/>
      <c r="ES171" s="28"/>
      <c r="EV171" s="28"/>
      <c r="EY171" s="28"/>
      <c r="FB171" s="28"/>
      <c r="FE171" s="28"/>
      <c r="FH171" s="28"/>
      <c r="FK171" s="28"/>
      <c r="FN171" s="28"/>
      <c r="FQ171" s="28"/>
      <c r="FT171" s="28"/>
      <c r="FW171" s="28"/>
      <c r="FZ171" s="28"/>
      <c r="GC171" s="28"/>
    </row>
    <row r="172" spans="1:185" s="25" customFormat="1" x14ac:dyDescent="0.3">
      <c r="A172" s="27"/>
      <c r="B172" s="28"/>
      <c r="C172" s="27"/>
      <c r="D172" s="26"/>
      <c r="E172" s="28"/>
      <c r="H172" s="28"/>
      <c r="K172" s="28"/>
      <c r="N172" s="28"/>
      <c r="Q172" s="28"/>
      <c r="T172" s="28"/>
      <c r="W172" s="28"/>
      <c r="Z172" s="28"/>
      <c r="AC172" s="28"/>
      <c r="AF172" s="28"/>
      <c r="AI172" s="28"/>
      <c r="AL172" s="28"/>
      <c r="AO172" s="28"/>
      <c r="AR172" s="28"/>
      <c r="AU172" s="28"/>
      <c r="AX172" s="28"/>
      <c r="BA172" s="28"/>
      <c r="BD172" s="28"/>
      <c r="BG172" s="28"/>
      <c r="BJ172" s="28"/>
      <c r="BM172" s="28"/>
      <c r="BP172" s="28"/>
      <c r="BS172" s="28"/>
      <c r="BV172" s="28"/>
      <c r="BY172" s="28"/>
      <c r="CB172" s="28"/>
      <c r="CE172" s="28"/>
      <c r="CH172" s="28"/>
      <c r="CK172" s="28"/>
      <c r="CN172" s="28"/>
      <c r="CQ172" s="28"/>
      <c r="CT172" s="28"/>
      <c r="CW172" s="28"/>
      <c r="CZ172" s="28"/>
      <c r="DC172" s="28"/>
      <c r="DF172" s="28"/>
      <c r="DI172" s="28"/>
      <c r="DL172" s="28"/>
      <c r="DO172" s="28"/>
      <c r="DR172" s="28"/>
      <c r="DU172" s="28"/>
      <c r="DX172" s="28"/>
      <c r="EA172" s="28"/>
      <c r="ED172" s="28"/>
      <c r="EG172" s="28"/>
      <c r="EJ172" s="28"/>
      <c r="EM172" s="28"/>
      <c r="EP172" s="28"/>
      <c r="ES172" s="28"/>
      <c r="EV172" s="28"/>
      <c r="EY172" s="28"/>
      <c r="FB172" s="28"/>
      <c r="FE172" s="28"/>
      <c r="FH172" s="28"/>
      <c r="FK172" s="28"/>
      <c r="FN172" s="28"/>
      <c r="FQ172" s="28"/>
      <c r="FT172" s="28"/>
      <c r="FW172" s="28"/>
      <c r="FZ172" s="28"/>
      <c r="GC172" s="28"/>
    </row>
    <row r="173" spans="1:185" s="25" customFormat="1" x14ac:dyDescent="0.3">
      <c r="A173" s="27"/>
      <c r="B173" s="28"/>
      <c r="C173" s="27"/>
      <c r="D173" s="26"/>
      <c r="E173" s="28"/>
      <c r="H173" s="28"/>
      <c r="K173" s="28"/>
      <c r="N173" s="28"/>
      <c r="Q173" s="28"/>
      <c r="T173" s="28"/>
      <c r="W173" s="28"/>
      <c r="Z173" s="28"/>
      <c r="AC173" s="28"/>
      <c r="AF173" s="28"/>
      <c r="AI173" s="28"/>
      <c r="AL173" s="28"/>
      <c r="AO173" s="28"/>
      <c r="AR173" s="28"/>
      <c r="AU173" s="28"/>
      <c r="AX173" s="28"/>
      <c r="BA173" s="28"/>
      <c r="BD173" s="28"/>
      <c r="BG173" s="28"/>
      <c r="BJ173" s="28"/>
      <c r="BM173" s="28"/>
      <c r="BP173" s="28"/>
      <c r="BS173" s="28"/>
      <c r="BV173" s="28"/>
      <c r="BY173" s="28"/>
      <c r="CB173" s="28"/>
      <c r="CE173" s="28"/>
      <c r="CH173" s="28"/>
      <c r="CK173" s="28"/>
      <c r="CN173" s="28"/>
      <c r="CQ173" s="28"/>
      <c r="CT173" s="28"/>
      <c r="CW173" s="28"/>
      <c r="CZ173" s="28"/>
      <c r="DC173" s="28"/>
      <c r="DF173" s="28"/>
      <c r="DI173" s="28"/>
      <c r="DL173" s="28"/>
      <c r="DO173" s="28"/>
      <c r="DR173" s="28"/>
      <c r="DU173" s="28"/>
      <c r="DX173" s="28"/>
      <c r="EA173" s="28"/>
      <c r="ED173" s="28"/>
      <c r="EG173" s="28"/>
      <c r="EJ173" s="28"/>
      <c r="EM173" s="28"/>
      <c r="EP173" s="28"/>
      <c r="ES173" s="28"/>
      <c r="EV173" s="28"/>
      <c r="EY173" s="28"/>
      <c r="FB173" s="28"/>
      <c r="FE173" s="28"/>
      <c r="FH173" s="28"/>
      <c r="FK173" s="28"/>
      <c r="FN173" s="28"/>
      <c r="FQ173" s="28"/>
      <c r="FT173" s="28"/>
      <c r="FW173" s="28"/>
      <c r="FZ173" s="28"/>
      <c r="GC173" s="28"/>
    </row>
    <row r="174" spans="1:185" s="25" customFormat="1" x14ac:dyDescent="0.3">
      <c r="A174" s="27"/>
      <c r="B174" s="28"/>
      <c r="C174" s="27"/>
      <c r="D174" s="26"/>
      <c r="E174" s="28"/>
      <c r="H174" s="28"/>
      <c r="K174" s="28"/>
      <c r="N174" s="28"/>
      <c r="Q174" s="28"/>
      <c r="T174" s="28"/>
      <c r="W174" s="28"/>
      <c r="Z174" s="28"/>
      <c r="AC174" s="28"/>
      <c r="AF174" s="28"/>
      <c r="AI174" s="28"/>
      <c r="AL174" s="28"/>
      <c r="AO174" s="28"/>
      <c r="AR174" s="28"/>
      <c r="AU174" s="28"/>
      <c r="AX174" s="28"/>
      <c r="BA174" s="28"/>
      <c r="BD174" s="28"/>
      <c r="BG174" s="28"/>
      <c r="BJ174" s="28"/>
      <c r="BM174" s="28"/>
      <c r="BP174" s="28"/>
      <c r="BS174" s="28"/>
      <c r="BV174" s="28"/>
      <c r="BY174" s="28"/>
      <c r="CB174" s="28"/>
      <c r="CE174" s="28"/>
      <c r="CH174" s="28"/>
      <c r="CK174" s="28"/>
      <c r="CN174" s="28"/>
      <c r="CQ174" s="28"/>
      <c r="CT174" s="28"/>
      <c r="CW174" s="28"/>
      <c r="CZ174" s="28"/>
      <c r="DC174" s="28"/>
      <c r="DF174" s="28"/>
      <c r="DI174" s="28"/>
      <c r="DL174" s="28"/>
      <c r="DO174" s="28"/>
      <c r="DR174" s="28"/>
      <c r="DU174" s="28"/>
      <c r="DX174" s="28"/>
      <c r="EA174" s="28"/>
      <c r="ED174" s="28"/>
      <c r="EG174" s="28"/>
      <c r="EJ174" s="28"/>
      <c r="EM174" s="28"/>
      <c r="EP174" s="28"/>
      <c r="ES174" s="28"/>
      <c r="EV174" s="28"/>
      <c r="EY174" s="28"/>
      <c r="FB174" s="28"/>
      <c r="FE174" s="28"/>
      <c r="FH174" s="28"/>
      <c r="FK174" s="28"/>
      <c r="FN174" s="28"/>
      <c r="FQ174" s="28"/>
      <c r="FT174" s="28"/>
      <c r="FW174" s="28"/>
      <c r="FZ174" s="28"/>
      <c r="GC174" s="28"/>
    </row>
    <row r="175" spans="1:185" s="25" customFormat="1" x14ac:dyDescent="0.3">
      <c r="A175" s="27"/>
      <c r="B175" s="28"/>
      <c r="C175" s="27"/>
      <c r="D175" s="26"/>
      <c r="E175" s="28"/>
      <c r="H175" s="28"/>
      <c r="K175" s="28"/>
      <c r="N175" s="28"/>
      <c r="Q175" s="28"/>
      <c r="T175" s="28"/>
      <c r="W175" s="28"/>
      <c r="Z175" s="28"/>
      <c r="AC175" s="28"/>
      <c r="AF175" s="28"/>
      <c r="AI175" s="28"/>
      <c r="AL175" s="28"/>
      <c r="AO175" s="28"/>
      <c r="AR175" s="28"/>
      <c r="AU175" s="28"/>
      <c r="AX175" s="28"/>
      <c r="BA175" s="28"/>
      <c r="BD175" s="28"/>
      <c r="BG175" s="28"/>
      <c r="BJ175" s="28"/>
      <c r="BM175" s="28"/>
      <c r="BP175" s="28"/>
      <c r="BS175" s="28"/>
      <c r="BV175" s="28"/>
      <c r="BY175" s="28"/>
      <c r="CB175" s="28"/>
      <c r="CE175" s="28"/>
      <c r="CH175" s="28"/>
      <c r="CK175" s="28"/>
      <c r="CN175" s="28"/>
      <c r="CQ175" s="28"/>
      <c r="CT175" s="28"/>
      <c r="CW175" s="28"/>
      <c r="CZ175" s="28"/>
      <c r="DC175" s="28"/>
      <c r="DF175" s="28"/>
      <c r="DI175" s="28"/>
      <c r="DL175" s="28"/>
      <c r="DO175" s="28"/>
      <c r="DR175" s="28"/>
      <c r="DU175" s="28"/>
      <c r="DX175" s="28"/>
      <c r="EA175" s="28"/>
      <c r="ED175" s="28"/>
      <c r="EG175" s="28"/>
      <c r="EJ175" s="28"/>
      <c r="EM175" s="28"/>
      <c r="EP175" s="28"/>
      <c r="ES175" s="28"/>
      <c r="EV175" s="28"/>
      <c r="EY175" s="28"/>
      <c r="FB175" s="28"/>
      <c r="FE175" s="28"/>
      <c r="FH175" s="28"/>
      <c r="FK175" s="28"/>
      <c r="FN175" s="28"/>
      <c r="FQ175" s="28"/>
      <c r="FT175" s="28"/>
      <c r="FW175" s="28"/>
      <c r="FZ175" s="28"/>
      <c r="GC175" s="28"/>
    </row>
    <row r="176" spans="1:185" s="25" customFormat="1" x14ac:dyDescent="0.3">
      <c r="A176" s="27"/>
      <c r="B176" s="28"/>
      <c r="C176" s="27"/>
      <c r="D176" s="26"/>
      <c r="E176" s="28"/>
      <c r="H176" s="28"/>
      <c r="K176" s="28"/>
      <c r="N176" s="28"/>
      <c r="Q176" s="28"/>
      <c r="T176" s="28"/>
      <c r="W176" s="28"/>
      <c r="Z176" s="28"/>
      <c r="AC176" s="28"/>
      <c r="AF176" s="28"/>
      <c r="AI176" s="28"/>
      <c r="AL176" s="28"/>
      <c r="AO176" s="28"/>
      <c r="AR176" s="28"/>
      <c r="AU176" s="28"/>
      <c r="AX176" s="28"/>
      <c r="BA176" s="28"/>
      <c r="BD176" s="28"/>
      <c r="BG176" s="28"/>
      <c r="BJ176" s="28"/>
      <c r="BM176" s="28"/>
      <c r="BP176" s="28"/>
      <c r="BS176" s="28"/>
      <c r="BV176" s="28"/>
      <c r="BY176" s="28"/>
      <c r="CB176" s="28"/>
      <c r="CE176" s="28"/>
      <c r="CH176" s="28"/>
      <c r="CK176" s="28"/>
      <c r="CN176" s="28"/>
      <c r="CQ176" s="28"/>
      <c r="CT176" s="28"/>
      <c r="CW176" s="28"/>
      <c r="CZ176" s="28"/>
      <c r="DC176" s="28"/>
      <c r="DF176" s="28"/>
      <c r="DI176" s="28"/>
      <c r="DL176" s="28"/>
      <c r="DO176" s="28"/>
      <c r="DR176" s="28"/>
      <c r="DU176" s="28"/>
      <c r="DX176" s="28"/>
      <c r="EA176" s="28"/>
      <c r="ED176" s="28"/>
      <c r="EG176" s="28"/>
      <c r="EJ176" s="28"/>
      <c r="EM176" s="28"/>
      <c r="EP176" s="28"/>
      <c r="ES176" s="28"/>
      <c r="EV176" s="28"/>
      <c r="EY176" s="28"/>
      <c r="FB176" s="28"/>
      <c r="FE176" s="28"/>
      <c r="FH176" s="28"/>
      <c r="FK176" s="28"/>
      <c r="FN176" s="28"/>
      <c r="FQ176" s="28"/>
      <c r="FT176" s="28"/>
      <c r="FW176" s="28"/>
      <c r="FZ176" s="28"/>
      <c r="GC176" s="28"/>
    </row>
    <row r="177" spans="1:185" s="25" customFormat="1" x14ac:dyDescent="0.3">
      <c r="A177" s="27"/>
      <c r="B177" s="28"/>
      <c r="C177" s="27"/>
      <c r="D177" s="26"/>
      <c r="E177" s="28"/>
      <c r="H177" s="28"/>
      <c r="K177" s="28"/>
      <c r="N177" s="28"/>
      <c r="Q177" s="28"/>
      <c r="T177" s="28"/>
      <c r="W177" s="28"/>
      <c r="Z177" s="28"/>
      <c r="AC177" s="28"/>
      <c r="AF177" s="28"/>
      <c r="AI177" s="28"/>
      <c r="AL177" s="28"/>
      <c r="AO177" s="28"/>
      <c r="AR177" s="28"/>
      <c r="AU177" s="28"/>
      <c r="AX177" s="28"/>
      <c r="BA177" s="28"/>
      <c r="BD177" s="28"/>
      <c r="BG177" s="28"/>
      <c r="BJ177" s="28"/>
      <c r="BM177" s="28"/>
      <c r="BP177" s="28"/>
      <c r="BS177" s="28"/>
      <c r="BV177" s="28"/>
      <c r="BY177" s="28"/>
      <c r="CB177" s="28"/>
      <c r="CE177" s="28"/>
      <c r="CH177" s="28"/>
      <c r="CK177" s="28"/>
      <c r="CN177" s="28"/>
      <c r="CQ177" s="28"/>
      <c r="CT177" s="28"/>
      <c r="CW177" s="28"/>
      <c r="CZ177" s="28"/>
      <c r="DC177" s="28"/>
      <c r="DF177" s="28"/>
      <c r="DI177" s="28"/>
      <c r="DL177" s="28"/>
      <c r="DO177" s="28"/>
      <c r="DR177" s="28"/>
      <c r="DU177" s="28"/>
      <c r="DX177" s="28"/>
      <c r="EA177" s="28"/>
      <c r="ED177" s="28"/>
      <c r="EG177" s="28"/>
      <c r="EJ177" s="28"/>
      <c r="EM177" s="28"/>
      <c r="EP177" s="28"/>
      <c r="ES177" s="28"/>
      <c r="EV177" s="28"/>
      <c r="EY177" s="28"/>
      <c r="FB177" s="28"/>
      <c r="FE177" s="28"/>
      <c r="FH177" s="28"/>
      <c r="FK177" s="28"/>
      <c r="FN177" s="28"/>
      <c r="FQ177" s="28"/>
      <c r="FT177" s="28"/>
      <c r="FW177" s="28"/>
      <c r="FZ177" s="28"/>
      <c r="GC177" s="28"/>
    </row>
    <row r="178" spans="1:185" s="25" customFormat="1" x14ac:dyDescent="0.3">
      <c r="A178" s="27"/>
      <c r="B178" s="28"/>
      <c r="C178" s="27"/>
      <c r="D178" s="26"/>
      <c r="E178" s="28"/>
      <c r="H178" s="28"/>
      <c r="K178" s="28"/>
      <c r="N178" s="28"/>
      <c r="Q178" s="28"/>
      <c r="T178" s="28"/>
      <c r="W178" s="28"/>
      <c r="Z178" s="28"/>
      <c r="AC178" s="28"/>
      <c r="AF178" s="28"/>
      <c r="AI178" s="28"/>
      <c r="AL178" s="28"/>
      <c r="AO178" s="28"/>
      <c r="AR178" s="28"/>
      <c r="AU178" s="28"/>
      <c r="AX178" s="28"/>
      <c r="BA178" s="28"/>
      <c r="BD178" s="28"/>
      <c r="BG178" s="28"/>
      <c r="BJ178" s="28"/>
      <c r="BM178" s="28"/>
      <c r="BP178" s="28"/>
      <c r="BS178" s="28"/>
      <c r="BV178" s="28"/>
      <c r="BY178" s="28"/>
      <c r="CB178" s="28"/>
      <c r="CE178" s="28"/>
      <c r="CH178" s="28"/>
      <c r="CK178" s="28"/>
      <c r="CN178" s="28"/>
      <c r="CQ178" s="28"/>
      <c r="CT178" s="28"/>
      <c r="CW178" s="28"/>
      <c r="CZ178" s="28"/>
      <c r="DC178" s="28"/>
      <c r="DF178" s="28"/>
      <c r="DI178" s="28"/>
      <c r="DL178" s="28"/>
      <c r="DO178" s="28"/>
      <c r="DR178" s="28"/>
      <c r="DU178" s="28"/>
      <c r="DX178" s="28"/>
      <c r="EA178" s="28"/>
      <c r="ED178" s="28"/>
      <c r="EG178" s="28"/>
      <c r="EJ178" s="28"/>
      <c r="EM178" s="28"/>
      <c r="EP178" s="28"/>
      <c r="ES178" s="28"/>
      <c r="EV178" s="28"/>
      <c r="EY178" s="28"/>
      <c r="FB178" s="28"/>
      <c r="FE178" s="28"/>
      <c r="FH178" s="28"/>
      <c r="FK178" s="28"/>
      <c r="FN178" s="28"/>
      <c r="FQ178" s="28"/>
      <c r="FT178" s="28"/>
      <c r="FW178" s="28"/>
      <c r="FZ178" s="28"/>
      <c r="GC178" s="28"/>
    </row>
    <row r="179" spans="1:185" s="25" customFormat="1" x14ac:dyDescent="0.3">
      <c r="A179" s="27"/>
      <c r="B179" s="28"/>
      <c r="C179" s="27"/>
      <c r="D179" s="26"/>
      <c r="E179" s="28"/>
      <c r="H179" s="28"/>
      <c r="K179" s="28"/>
      <c r="N179" s="28"/>
      <c r="Q179" s="28"/>
      <c r="T179" s="28"/>
      <c r="W179" s="28"/>
      <c r="Z179" s="28"/>
      <c r="AC179" s="28"/>
      <c r="AF179" s="28"/>
      <c r="AI179" s="28"/>
      <c r="AL179" s="28"/>
      <c r="AO179" s="28"/>
      <c r="AR179" s="28"/>
      <c r="AU179" s="28"/>
      <c r="AX179" s="28"/>
      <c r="BA179" s="28"/>
      <c r="BD179" s="28"/>
      <c r="BG179" s="28"/>
      <c r="BJ179" s="28"/>
      <c r="BM179" s="28"/>
      <c r="BP179" s="28"/>
      <c r="BS179" s="28"/>
      <c r="BV179" s="28"/>
      <c r="BY179" s="28"/>
      <c r="CB179" s="28"/>
      <c r="CE179" s="28"/>
      <c r="CH179" s="28"/>
      <c r="CK179" s="28"/>
      <c r="CN179" s="28"/>
      <c r="CQ179" s="28"/>
      <c r="CT179" s="28"/>
      <c r="CW179" s="28"/>
      <c r="CZ179" s="28"/>
      <c r="DC179" s="28"/>
      <c r="DF179" s="28"/>
      <c r="DI179" s="28"/>
      <c r="DL179" s="28"/>
      <c r="DO179" s="28"/>
      <c r="DR179" s="28"/>
      <c r="DU179" s="28"/>
      <c r="DX179" s="28"/>
      <c r="EA179" s="28"/>
      <c r="ED179" s="28"/>
      <c r="EG179" s="28"/>
      <c r="EJ179" s="28"/>
      <c r="EM179" s="28"/>
      <c r="EP179" s="28"/>
      <c r="ES179" s="28"/>
      <c r="EV179" s="28"/>
      <c r="EY179" s="28"/>
      <c r="FB179" s="28"/>
      <c r="FE179" s="28"/>
      <c r="FH179" s="28"/>
      <c r="FK179" s="28"/>
      <c r="FN179" s="28"/>
      <c r="FQ179" s="28"/>
      <c r="FT179" s="28"/>
      <c r="FW179" s="28"/>
      <c r="FZ179" s="28"/>
      <c r="GC179" s="28"/>
    </row>
    <row r="180" spans="1:185" s="25" customFormat="1" x14ac:dyDescent="0.3">
      <c r="A180" s="27"/>
      <c r="B180" s="28"/>
      <c r="C180" s="27"/>
      <c r="D180" s="26"/>
      <c r="E180" s="28"/>
      <c r="H180" s="28"/>
      <c r="K180" s="28"/>
      <c r="N180" s="28"/>
      <c r="Q180" s="28"/>
      <c r="T180" s="28"/>
      <c r="W180" s="28"/>
      <c r="Z180" s="28"/>
      <c r="AC180" s="28"/>
      <c r="AF180" s="28"/>
      <c r="AI180" s="28"/>
      <c r="AL180" s="28"/>
      <c r="AO180" s="28"/>
      <c r="AR180" s="28"/>
      <c r="AU180" s="28"/>
      <c r="AX180" s="28"/>
      <c r="BA180" s="28"/>
      <c r="BD180" s="28"/>
      <c r="BG180" s="28"/>
      <c r="BJ180" s="28"/>
      <c r="BM180" s="28"/>
      <c r="BP180" s="28"/>
      <c r="BS180" s="28"/>
      <c r="BV180" s="28"/>
      <c r="BY180" s="28"/>
      <c r="CB180" s="28"/>
      <c r="CE180" s="28"/>
      <c r="CH180" s="28"/>
      <c r="CK180" s="28"/>
      <c r="CN180" s="28"/>
      <c r="CQ180" s="28"/>
      <c r="CT180" s="28"/>
      <c r="CW180" s="28"/>
      <c r="CZ180" s="28"/>
      <c r="DC180" s="28"/>
      <c r="DF180" s="28"/>
      <c r="DI180" s="28"/>
      <c r="DL180" s="28"/>
      <c r="DO180" s="28"/>
      <c r="DR180" s="28"/>
      <c r="DU180" s="28"/>
      <c r="DX180" s="28"/>
      <c r="EA180" s="28"/>
      <c r="ED180" s="28"/>
      <c r="EG180" s="28"/>
      <c r="EJ180" s="28"/>
      <c r="EM180" s="28"/>
      <c r="EP180" s="28"/>
      <c r="ES180" s="28"/>
      <c r="EV180" s="28"/>
      <c r="EY180" s="28"/>
      <c r="FB180" s="28"/>
      <c r="FE180" s="28"/>
      <c r="FH180" s="28"/>
      <c r="FK180" s="28"/>
      <c r="FN180" s="28"/>
      <c r="FQ180" s="28"/>
      <c r="FT180" s="28"/>
      <c r="FW180" s="28"/>
      <c r="FZ180" s="28"/>
      <c r="GC180" s="28"/>
    </row>
    <row r="181" spans="1:185" s="25" customFormat="1" x14ac:dyDescent="0.3">
      <c r="A181" s="27"/>
      <c r="B181" s="28"/>
      <c r="C181" s="27"/>
      <c r="D181" s="26"/>
      <c r="E181" s="28"/>
      <c r="H181" s="28"/>
      <c r="K181" s="28"/>
      <c r="N181" s="28"/>
      <c r="Q181" s="28"/>
      <c r="T181" s="28"/>
      <c r="W181" s="28"/>
      <c r="Z181" s="28"/>
      <c r="AC181" s="28"/>
      <c r="AF181" s="28"/>
      <c r="AI181" s="28"/>
      <c r="AL181" s="28"/>
      <c r="AO181" s="28"/>
      <c r="AR181" s="28"/>
      <c r="AU181" s="28"/>
      <c r="AX181" s="28"/>
      <c r="BA181" s="28"/>
      <c r="BD181" s="28"/>
      <c r="BG181" s="28"/>
      <c r="BJ181" s="28"/>
      <c r="BM181" s="28"/>
      <c r="BP181" s="28"/>
      <c r="BS181" s="28"/>
      <c r="BV181" s="28"/>
      <c r="BY181" s="28"/>
      <c r="CB181" s="28"/>
      <c r="CE181" s="28"/>
      <c r="CH181" s="28"/>
      <c r="CK181" s="28"/>
      <c r="CN181" s="28"/>
      <c r="CQ181" s="28"/>
      <c r="CT181" s="28"/>
      <c r="CW181" s="28"/>
      <c r="CZ181" s="28"/>
      <c r="DC181" s="28"/>
      <c r="DF181" s="28"/>
      <c r="DI181" s="28"/>
      <c r="DL181" s="28"/>
      <c r="DO181" s="28"/>
      <c r="DR181" s="28"/>
      <c r="DU181" s="28"/>
      <c r="DX181" s="28"/>
      <c r="EA181" s="28"/>
      <c r="ED181" s="28"/>
      <c r="EG181" s="28"/>
      <c r="EJ181" s="28"/>
      <c r="EM181" s="28"/>
      <c r="EP181" s="28"/>
      <c r="ES181" s="28"/>
      <c r="EV181" s="28"/>
      <c r="EY181" s="28"/>
      <c r="FB181" s="28"/>
      <c r="FE181" s="28"/>
      <c r="FH181" s="28"/>
      <c r="FK181" s="28"/>
      <c r="FN181" s="28"/>
      <c r="FQ181" s="28"/>
      <c r="FT181" s="28"/>
      <c r="FW181" s="28"/>
      <c r="FZ181" s="28"/>
      <c r="GC181" s="28"/>
    </row>
    <row r="182" spans="1:185" s="25" customFormat="1" x14ac:dyDescent="0.3">
      <c r="A182" s="27"/>
      <c r="B182" s="28"/>
      <c r="C182" s="27"/>
      <c r="D182" s="26"/>
      <c r="E182" s="28"/>
      <c r="H182" s="28"/>
      <c r="K182" s="28"/>
      <c r="N182" s="28"/>
      <c r="Q182" s="28"/>
      <c r="T182" s="28"/>
      <c r="W182" s="28"/>
      <c r="Z182" s="28"/>
      <c r="AC182" s="28"/>
      <c r="AF182" s="28"/>
      <c r="AI182" s="28"/>
      <c r="AL182" s="28"/>
      <c r="AO182" s="28"/>
      <c r="AR182" s="28"/>
      <c r="AU182" s="28"/>
      <c r="AX182" s="28"/>
      <c r="BA182" s="28"/>
      <c r="BD182" s="28"/>
      <c r="BG182" s="28"/>
      <c r="BJ182" s="28"/>
      <c r="BM182" s="28"/>
      <c r="BP182" s="28"/>
      <c r="BS182" s="28"/>
      <c r="BV182" s="28"/>
      <c r="BY182" s="28"/>
      <c r="CB182" s="28"/>
      <c r="CE182" s="28"/>
      <c r="CH182" s="28"/>
      <c r="CK182" s="28"/>
      <c r="CN182" s="28"/>
      <c r="CQ182" s="28"/>
      <c r="CT182" s="28"/>
      <c r="CW182" s="28"/>
      <c r="CZ182" s="28"/>
      <c r="DC182" s="28"/>
      <c r="DF182" s="28"/>
      <c r="DI182" s="28"/>
      <c r="DL182" s="28"/>
      <c r="DO182" s="28"/>
      <c r="DR182" s="28"/>
      <c r="DU182" s="28"/>
      <c r="DX182" s="28"/>
      <c r="EA182" s="28"/>
      <c r="ED182" s="28"/>
      <c r="EG182" s="28"/>
      <c r="EJ182" s="28"/>
      <c r="EM182" s="28"/>
      <c r="EP182" s="28"/>
      <c r="ES182" s="28"/>
      <c r="EV182" s="28"/>
      <c r="EY182" s="28"/>
      <c r="FB182" s="28"/>
      <c r="FE182" s="28"/>
      <c r="FH182" s="28"/>
      <c r="FK182" s="28"/>
      <c r="FN182" s="28"/>
      <c r="FQ182" s="28"/>
      <c r="FT182" s="28"/>
      <c r="FW182" s="28"/>
      <c r="FZ182" s="28"/>
      <c r="GC182" s="28"/>
    </row>
    <row r="183" spans="1:185" s="25" customFormat="1" x14ac:dyDescent="0.3">
      <c r="A183" s="27"/>
      <c r="B183" s="28"/>
      <c r="C183" s="27"/>
      <c r="D183" s="26"/>
      <c r="E183" s="28"/>
      <c r="H183" s="28"/>
      <c r="K183" s="28"/>
      <c r="N183" s="28"/>
      <c r="Q183" s="28"/>
      <c r="T183" s="28"/>
      <c r="W183" s="28"/>
      <c r="Z183" s="28"/>
      <c r="AC183" s="28"/>
      <c r="AF183" s="28"/>
      <c r="AI183" s="28"/>
      <c r="AL183" s="28"/>
      <c r="AO183" s="28"/>
      <c r="AR183" s="28"/>
      <c r="AU183" s="28"/>
      <c r="AX183" s="28"/>
      <c r="BA183" s="28"/>
      <c r="BD183" s="28"/>
      <c r="BG183" s="28"/>
      <c r="BJ183" s="28"/>
      <c r="BM183" s="28"/>
      <c r="BP183" s="28"/>
      <c r="BS183" s="28"/>
      <c r="BV183" s="28"/>
      <c r="BY183" s="28"/>
      <c r="CB183" s="28"/>
      <c r="CE183" s="28"/>
      <c r="CH183" s="28"/>
      <c r="CK183" s="28"/>
      <c r="CN183" s="28"/>
      <c r="CQ183" s="28"/>
      <c r="CT183" s="28"/>
      <c r="CW183" s="28"/>
      <c r="CZ183" s="28"/>
      <c r="DC183" s="28"/>
      <c r="DF183" s="28"/>
      <c r="DI183" s="28"/>
      <c r="DL183" s="28"/>
      <c r="DO183" s="28"/>
      <c r="DR183" s="28"/>
      <c r="DU183" s="28"/>
      <c r="DX183" s="28"/>
      <c r="EA183" s="28"/>
      <c r="ED183" s="28"/>
      <c r="EG183" s="28"/>
      <c r="EJ183" s="28"/>
      <c r="EM183" s="28"/>
      <c r="EP183" s="28"/>
      <c r="ES183" s="28"/>
      <c r="EV183" s="28"/>
      <c r="EY183" s="28"/>
      <c r="FB183" s="28"/>
      <c r="FE183" s="28"/>
      <c r="FH183" s="28"/>
      <c r="FK183" s="28"/>
      <c r="FN183" s="28"/>
      <c r="FQ183" s="28"/>
      <c r="FT183" s="28"/>
      <c r="FW183" s="28"/>
      <c r="FZ183" s="28"/>
      <c r="GC183" s="28"/>
    </row>
    <row r="184" spans="1:185" s="25" customFormat="1" x14ac:dyDescent="0.3">
      <c r="A184" s="27"/>
      <c r="B184" s="28"/>
      <c r="C184" s="27"/>
      <c r="D184" s="26"/>
      <c r="E184" s="28"/>
      <c r="H184" s="28"/>
      <c r="K184" s="28"/>
      <c r="N184" s="28"/>
      <c r="Q184" s="28"/>
      <c r="T184" s="28"/>
      <c r="W184" s="28"/>
      <c r="Z184" s="28"/>
      <c r="AC184" s="28"/>
      <c r="AF184" s="28"/>
      <c r="AI184" s="28"/>
      <c r="AL184" s="28"/>
      <c r="AO184" s="28"/>
      <c r="AR184" s="28"/>
      <c r="AU184" s="28"/>
      <c r="AX184" s="28"/>
      <c r="BA184" s="28"/>
      <c r="BD184" s="28"/>
      <c r="BG184" s="28"/>
      <c r="BJ184" s="28"/>
      <c r="BM184" s="28"/>
      <c r="BP184" s="28"/>
      <c r="BS184" s="28"/>
      <c r="BV184" s="28"/>
      <c r="BY184" s="28"/>
      <c r="CB184" s="28"/>
      <c r="CE184" s="28"/>
      <c r="CH184" s="28"/>
      <c r="CK184" s="28"/>
      <c r="CN184" s="28"/>
      <c r="CQ184" s="28"/>
      <c r="CT184" s="28"/>
      <c r="CW184" s="28"/>
      <c r="CZ184" s="28"/>
      <c r="DC184" s="28"/>
      <c r="DF184" s="28"/>
      <c r="DI184" s="28"/>
      <c r="DL184" s="28"/>
      <c r="DO184" s="28"/>
      <c r="DR184" s="28"/>
      <c r="DU184" s="28"/>
      <c r="DX184" s="28"/>
      <c r="EA184" s="28"/>
      <c r="ED184" s="28"/>
      <c r="EG184" s="28"/>
      <c r="EJ184" s="28"/>
      <c r="EM184" s="28"/>
      <c r="EP184" s="28"/>
      <c r="ES184" s="28"/>
      <c r="EV184" s="28"/>
      <c r="EY184" s="28"/>
      <c r="FB184" s="28"/>
      <c r="FE184" s="28"/>
      <c r="FH184" s="28"/>
      <c r="FK184" s="28"/>
      <c r="FN184" s="28"/>
      <c r="FQ184" s="28"/>
      <c r="FT184" s="28"/>
      <c r="FW184" s="28"/>
      <c r="FZ184" s="28"/>
      <c r="GC184" s="28"/>
    </row>
    <row r="185" spans="1:185" s="25" customFormat="1" x14ac:dyDescent="0.3">
      <c r="A185" s="27"/>
      <c r="B185" s="28"/>
      <c r="C185" s="27"/>
      <c r="D185" s="26"/>
      <c r="E185" s="28"/>
      <c r="H185" s="28"/>
      <c r="K185" s="28"/>
      <c r="N185" s="28"/>
      <c r="Q185" s="28"/>
      <c r="T185" s="28"/>
      <c r="W185" s="28"/>
      <c r="Z185" s="28"/>
      <c r="AC185" s="28"/>
      <c r="AF185" s="28"/>
      <c r="AI185" s="28"/>
      <c r="AL185" s="28"/>
      <c r="AO185" s="28"/>
      <c r="AR185" s="28"/>
      <c r="AU185" s="28"/>
      <c r="AX185" s="28"/>
      <c r="BA185" s="28"/>
      <c r="BD185" s="28"/>
      <c r="BG185" s="28"/>
      <c r="BJ185" s="28"/>
      <c r="BM185" s="28"/>
      <c r="BP185" s="28"/>
      <c r="BS185" s="28"/>
      <c r="BV185" s="28"/>
      <c r="BY185" s="28"/>
      <c r="CB185" s="28"/>
      <c r="CE185" s="28"/>
      <c r="CH185" s="28"/>
      <c r="CK185" s="28"/>
      <c r="CN185" s="28"/>
      <c r="CQ185" s="28"/>
      <c r="CT185" s="28"/>
      <c r="CW185" s="28"/>
      <c r="CZ185" s="28"/>
      <c r="DC185" s="28"/>
      <c r="DF185" s="28"/>
      <c r="DI185" s="28"/>
      <c r="DL185" s="28"/>
      <c r="DO185" s="28"/>
      <c r="DR185" s="28"/>
      <c r="DU185" s="28"/>
      <c r="DX185" s="28"/>
      <c r="EA185" s="28"/>
      <c r="ED185" s="28"/>
      <c r="EG185" s="28"/>
      <c r="EJ185" s="28"/>
      <c r="EM185" s="28"/>
      <c r="EP185" s="28"/>
      <c r="ES185" s="28"/>
      <c r="EV185" s="28"/>
      <c r="EY185" s="28"/>
      <c r="FB185" s="28"/>
      <c r="FE185" s="28"/>
      <c r="FH185" s="28"/>
      <c r="FK185" s="28"/>
      <c r="FN185" s="28"/>
      <c r="FQ185" s="28"/>
      <c r="FT185" s="28"/>
      <c r="FW185" s="28"/>
      <c r="FZ185" s="28"/>
      <c r="GC185" s="28"/>
    </row>
    <row r="186" spans="1:185" s="25" customFormat="1" x14ac:dyDescent="0.3">
      <c r="A186" s="27"/>
      <c r="B186" s="28"/>
      <c r="C186" s="27"/>
      <c r="D186" s="26"/>
      <c r="E186" s="28"/>
      <c r="H186" s="28"/>
      <c r="K186" s="28"/>
      <c r="N186" s="28"/>
      <c r="Q186" s="28"/>
      <c r="T186" s="28"/>
      <c r="W186" s="28"/>
      <c r="Z186" s="28"/>
      <c r="AC186" s="28"/>
      <c r="AF186" s="28"/>
      <c r="AI186" s="28"/>
      <c r="AL186" s="28"/>
      <c r="AO186" s="28"/>
      <c r="AR186" s="28"/>
      <c r="AU186" s="28"/>
      <c r="AX186" s="28"/>
      <c r="BA186" s="28"/>
      <c r="BD186" s="28"/>
      <c r="BG186" s="28"/>
      <c r="BJ186" s="28"/>
      <c r="BM186" s="28"/>
      <c r="BP186" s="28"/>
      <c r="BS186" s="28"/>
      <c r="BV186" s="28"/>
      <c r="BY186" s="28"/>
      <c r="CB186" s="28"/>
      <c r="CE186" s="28"/>
      <c r="CH186" s="28"/>
      <c r="CK186" s="28"/>
      <c r="CN186" s="28"/>
      <c r="CQ186" s="28"/>
      <c r="CT186" s="28"/>
      <c r="CW186" s="28"/>
      <c r="CZ186" s="28"/>
      <c r="DC186" s="28"/>
      <c r="DF186" s="28"/>
      <c r="DI186" s="28"/>
      <c r="DL186" s="28"/>
      <c r="DO186" s="28"/>
      <c r="DR186" s="28"/>
      <c r="DU186" s="28"/>
      <c r="DX186" s="28"/>
      <c r="EA186" s="28"/>
      <c r="ED186" s="28"/>
      <c r="EG186" s="28"/>
      <c r="EJ186" s="28"/>
      <c r="EM186" s="28"/>
      <c r="EP186" s="28"/>
      <c r="ES186" s="28"/>
      <c r="EV186" s="28"/>
      <c r="EY186" s="28"/>
      <c r="FB186" s="28"/>
      <c r="FE186" s="28"/>
      <c r="FH186" s="28"/>
      <c r="FK186" s="28"/>
      <c r="FN186" s="28"/>
      <c r="FQ186" s="28"/>
      <c r="FT186" s="28"/>
      <c r="FW186" s="28"/>
      <c r="FZ186" s="28"/>
      <c r="GC186" s="28"/>
    </row>
    <row r="187" spans="1:185" s="25" customFormat="1" x14ac:dyDescent="0.3">
      <c r="A187" s="27"/>
      <c r="B187" s="28"/>
      <c r="C187" s="27"/>
      <c r="D187" s="26"/>
      <c r="E187" s="28"/>
      <c r="H187" s="28"/>
      <c r="K187" s="28"/>
      <c r="N187" s="28"/>
      <c r="Q187" s="28"/>
      <c r="T187" s="28"/>
      <c r="W187" s="28"/>
      <c r="Z187" s="28"/>
      <c r="AC187" s="28"/>
      <c r="AF187" s="28"/>
      <c r="AI187" s="28"/>
      <c r="AL187" s="28"/>
      <c r="AO187" s="28"/>
      <c r="AR187" s="28"/>
      <c r="AU187" s="28"/>
      <c r="AX187" s="28"/>
      <c r="BA187" s="28"/>
      <c r="BD187" s="28"/>
      <c r="BG187" s="28"/>
      <c r="BJ187" s="28"/>
      <c r="BM187" s="28"/>
      <c r="BP187" s="28"/>
      <c r="BS187" s="28"/>
      <c r="BV187" s="28"/>
      <c r="BY187" s="28"/>
      <c r="CB187" s="28"/>
      <c r="CE187" s="28"/>
      <c r="CH187" s="28"/>
      <c r="CK187" s="28"/>
      <c r="CN187" s="28"/>
      <c r="CQ187" s="28"/>
      <c r="CT187" s="28"/>
      <c r="CW187" s="28"/>
      <c r="CZ187" s="28"/>
      <c r="DC187" s="28"/>
      <c r="DF187" s="28"/>
      <c r="DI187" s="28"/>
      <c r="DL187" s="28"/>
      <c r="DO187" s="28"/>
      <c r="DR187" s="28"/>
      <c r="DU187" s="28"/>
      <c r="DX187" s="28"/>
      <c r="EA187" s="28"/>
      <c r="ED187" s="28"/>
      <c r="EG187" s="28"/>
      <c r="EJ187" s="28"/>
      <c r="EM187" s="28"/>
      <c r="EP187" s="28"/>
      <c r="ES187" s="28"/>
      <c r="EV187" s="28"/>
      <c r="EY187" s="28"/>
      <c r="FB187" s="28"/>
      <c r="FE187" s="28"/>
      <c r="FH187" s="28"/>
      <c r="FK187" s="28"/>
      <c r="FN187" s="28"/>
      <c r="FQ187" s="28"/>
      <c r="FT187" s="28"/>
      <c r="FW187" s="28"/>
      <c r="FZ187" s="28"/>
      <c r="GC187" s="28"/>
    </row>
    <row r="188" spans="1:185" s="25" customFormat="1" x14ac:dyDescent="0.3">
      <c r="A188" s="27"/>
      <c r="B188" s="28"/>
      <c r="C188" s="27"/>
      <c r="D188" s="26"/>
      <c r="E188" s="28"/>
      <c r="H188" s="28"/>
      <c r="K188" s="28"/>
      <c r="N188" s="28"/>
      <c r="Q188" s="28"/>
      <c r="T188" s="28"/>
      <c r="W188" s="28"/>
      <c r="Z188" s="28"/>
      <c r="AC188" s="28"/>
      <c r="AF188" s="28"/>
      <c r="AI188" s="28"/>
      <c r="AL188" s="28"/>
      <c r="AO188" s="28"/>
      <c r="AR188" s="28"/>
      <c r="AU188" s="28"/>
      <c r="AX188" s="28"/>
      <c r="BA188" s="28"/>
      <c r="BD188" s="28"/>
      <c r="BG188" s="28"/>
      <c r="BJ188" s="28"/>
      <c r="BM188" s="28"/>
      <c r="BP188" s="28"/>
      <c r="BS188" s="28"/>
      <c r="BV188" s="28"/>
      <c r="BY188" s="28"/>
      <c r="CB188" s="28"/>
      <c r="CE188" s="28"/>
      <c r="CH188" s="28"/>
      <c r="CK188" s="28"/>
      <c r="CN188" s="28"/>
      <c r="CQ188" s="28"/>
      <c r="CT188" s="28"/>
      <c r="CW188" s="28"/>
      <c r="CZ188" s="28"/>
      <c r="DC188" s="28"/>
      <c r="DF188" s="28"/>
      <c r="DI188" s="28"/>
      <c r="DL188" s="28"/>
      <c r="DO188" s="28"/>
      <c r="DR188" s="28"/>
      <c r="DU188" s="28"/>
      <c r="DX188" s="28"/>
      <c r="EA188" s="28"/>
      <c r="ED188" s="28"/>
      <c r="EG188" s="28"/>
      <c r="EJ188" s="28"/>
      <c r="EM188" s="28"/>
      <c r="EP188" s="28"/>
      <c r="ES188" s="28"/>
      <c r="EV188" s="28"/>
      <c r="EY188" s="28"/>
      <c r="FB188" s="28"/>
      <c r="FE188" s="28"/>
      <c r="FH188" s="28"/>
      <c r="FK188" s="28"/>
      <c r="FN188" s="28"/>
      <c r="FQ188" s="28"/>
      <c r="FT188" s="28"/>
      <c r="FW188" s="28"/>
      <c r="FZ188" s="28"/>
      <c r="GC188" s="28"/>
    </row>
    <row r="189" spans="1:185" s="25" customFormat="1" x14ac:dyDescent="0.3">
      <c r="A189" s="27"/>
      <c r="B189" s="28"/>
      <c r="C189" s="27"/>
      <c r="D189" s="26"/>
      <c r="E189" s="28"/>
      <c r="H189" s="28"/>
      <c r="K189" s="28"/>
      <c r="N189" s="28"/>
      <c r="Q189" s="28"/>
      <c r="T189" s="28"/>
      <c r="W189" s="28"/>
      <c r="Z189" s="28"/>
      <c r="AC189" s="28"/>
      <c r="AF189" s="28"/>
      <c r="AI189" s="28"/>
      <c r="AL189" s="28"/>
      <c r="AO189" s="28"/>
      <c r="AR189" s="28"/>
      <c r="AU189" s="28"/>
      <c r="AX189" s="28"/>
      <c r="BA189" s="28"/>
      <c r="BD189" s="28"/>
      <c r="BG189" s="28"/>
      <c r="BJ189" s="28"/>
      <c r="BM189" s="28"/>
      <c r="BP189" s="28"/>
      <c r="BS189" s="28"/>
      <c r="BV189" s="28"/>
      <c r="BY189" s="28"/>
      <c r="CB189" s="28"/>
      <c r="CE189" s="28"/>
      <c r="CH189" s="28"/>
      <c r="CK189" s="28"/>
      <c r="CN189" s="28"/>
      <c r="CQ189" s="28"/>
      <c r="CT189" s="28"/>
      <c r="CW189" s="28"/>
      <c r="CZ189" s="28"/>
      <c r="DC189" s="28"/>
      <c r="DF189" s="28"/>
      <c r="DI189" s="28"/>
      <c r="DL189" s="28"/>
      <c r="DO189" s="28"/>
      <c r="DR189" s="28"/>
      <c r="DU189" s="28"/>
      <c r="DX189" s="28"/>
      <c r="EA189" s="28"/>
      <c r="ED189" s="28"/>
      <c r="EG189" s="28"/>
      <c r="EJ189" s="28"/>
      <c r="EM189" s="28"/>
      <c r="EP189" s="28"/>
      <c r="ES189" s="28"/>
      <c r="EV189" s="28"/>
      <c r="EY189" s="28"/>
      <c r="FB189" s="28"/>
      <c r="FE189" s="28"/>
      <c r="FH189" s="28"/>
      <c r="FK189" s="28"/>
      <c r="FN189" s="28"/>
      <c r="FQ189" s="28"/>
      <c r="FT189" s="28"/>
      <c r="FW189" s="28"/>
      <c r="FZ189" s="28"/>
      <c r="GC189" s="28"/>
    </row>
    <row r="190" spans="1:185" s="25" customFormat="1" x14ac:dyDescent="0.3">
      <c r="A190" s="27"/>
      <c r="B190" s="28"/>
      <c r="C190" s="27"/>
      <c r="D190" s="26"/>
      <c r="E190" s="28"/>
      <c r="H190" s="28"/>
      <c r="K190" s="28"/>
      <c r="N190" s="28"/>
      <c r="Q190" s="28"/>
      <c r="T190" s="28"/>
      <c r="W190" s="28"/>
      <c r="Z190" s="28"/>
      <c r="AC190" s="28"/>
      <c r="AF190" s="28"/>
      <c r="AI190" s="28"/>
      <c r="AL190" s="28"/>
      <c r="AO190" s="28"/>
      <c r="AR190" s="28"/>
      <c r="AU190" s="28"/>
      <c r="AX190" s="28"/>
      <c r="BA190" s="28"/>
      <c r="BD190" s="28"/>
      <c r="BG190" s="28"/>
      <c r="BJ190" s="28"/>
      <c r="BM190" s="28"/>
      <c r="BP190" s="28"/>
      <c r="BS190" s="28"/>
      <c r="BV190" s="28"/>
      <c r="BY190" s="28"/>
      <c r="CB190" s="28"/>
      <c r="CE190" s="28"/>
      <c r="CH190" s="28"/>
      <c r="CK190" s="28"/>
      <c r="CN190" s="28"/>
      <c r="CQ190" s="28"/>
      <c r="CT190" s="28"/>
      <c r="CW190" s="28"/>
      <c r="CZ190" s="28"/>
      <c r="DC190" s="28"/>
      <c r="DF190" s="28"/>
      <c r="DI190" s="28"/>
      <c r="DL190" s="28"/>
      <c r="DO190" s="28"/>
      <c r="DR190" s="28"/>
      <c r="DU190" s="28"/>
      <c r="DX190" s="28"/>
      <c r="EA190" s="28"/>
      <c r="ED190" s="28"/>
      <c r="EG190" s="28"/>
      <c r="EJ190" s="28"/>
      <c r="EM190" s="28"/>
      <c r="EP190" s="28"/>
      <c r="ES190" s="28"/>
      <c r="EV190" s="28"/>
      <c r="EY190" s="28"/>
      <c r="FB190" s="28"/>
      <c r="FE190" s="28"/>
      <c r="FH190" s="28"/>
      <c r="FK190" s="28"/>
      <c r="FN190" s="28"/>
      <c r="FQ190" s="28"/>
      <c r="FT190" s="28"/>
      <c r="FW190" s="28"/>
      <c r="FZ190" s="28"/>
      <c r="GC190" s="28"/>
    </row>
    <row r="191" spans="1:185" s="25" customFormat="1" x14ac:dyDescent="0.3">
      <c r="A191" s="27"/>
      <c r="B191" s="28"/>
      <c r="C191" s="27"/>
      <c r="D191" s="26"/>
      <c r="E191" s="28"/>
      <c r="H191" s="28"/>
      <c r="K191" s="28"/>
      <c r="N191" s="28"/>
      <c r="Q191" s="28"/>
      <c r="T191" s="28"/>
      <c r="W191" s="28"/>
      <c r="Z191" s="28"/>
      <c r="AC191" s="28"/>
      <c r="AF191" s="28"/>
      <c r="AI191" s="28"/>
      <c r="AL191" s="28"/>
      <c r="AO191" s="28"/>
      <c r="AR191" s="28"/>
      <c r="AU191" s="28"/>
      <c r="AX191" s="28"/>
      <c r="BA191" s="28"/>
      <c r="BD191" s="28"/>
      <c r="BG191" s="28"/>
      <c r="BJ191" s="28"/>
      <c r="BM191" s="28"/>
      <c r="BP191" s="28"/>
      <c r="BS191" s="28"/>
      <c r="BV191" s="28"/>
      <c r="BY191" s="28"/>
      <c r="CB191" s="28"/>
      <c r="CE191" s="28"/>
      <c r="CH191" s="28"/>
      <c r="CK191" s="28"/>
      <c r="CN191" s="28"/>
      <c r="CQ191" s="28"/>
      <c r="CT191" s="28"/>
      <c r="CW191" s="28"/>
      <c r="CZ191" s="28"/>
      <c r="DC191" s="28"/>
      <c r="DF191" s="28"/>
      <c r="DI191" s="28"/>
      <c r="DL191" s="28"/>
      <c r="DO191" s="28"/>
      <c r="DR191" s="28"/>
      <c r="DU191" s="28"/>
      <c r="DX191" s="28"/>
      <c r="EA191" s="28"/>
      <c r="ED191" s="28"/>
      <c r="EG191" s="28"/>
      <c r="EJ191" s="28"/>
      <c r="EM191" s="28"/>
      <c r="EP191" s="28"/>
      <c r="ES191" s="28"/>
      <c r="EV191" s="28"/>
      <c r="EY191" s="28"/>
      <c r="FB191" s="28"/>
      <c r="FE191" s="28"/>
      <c r="FH191" s="28"/>
      <c r="FK191" s="28"/>
      <c r="FN191" s="28"/>
      <c r="FQ191" s="28"/>
      <c r="FT191" s="28"/>
      <c r="FW191" s="28"/>
      <c r="FZ191" s="28"/>
      <c r="GC191" s="28"/>
    </row>
    <row r="192" spans="1:185" s="25" customFormat="1" x14ac:dyDescent="0.3">
      <c r="A192" s="27"/>
      <c r="B192" s="28"/>
      <c r="C192" s="27"/>
      <c r="D192" s="26"/>
      <c r="E192" s="28"/>
      <c r="H192" s="28"/>
      <c r="K192" s="28"/>
      <c r="N192" s="28"/>
      <c r="Q192" s="28"/>
      <c r="T192" s="28"/>
      <c r="W192" s="28"/>
      <c r="Z192" s="28"/>
      <c r="AC192" s="28"/>
      <c r="AF192" s="28"/>
      <c r="AI192" s="28"/>
      <c r="AL192" s="28"/>
      <c r="AO192" s="28"/>
      <c r="AR192" s="28"/>
      <c r="AU192" s="28"/>
      <c r="AX192" s="28"/>
      <c r="BA192" s="28"/>
      <c r="BD192" s="28"/>
      <c r="BG192" s="28"/>
      <c r="BJ192" s="28"/>
      <c r="BM192" s="28"/>
      <c r="BP192" s="28"/>
      <c r="BS192" s="28"/>
      <c r="BV192" s="28"/>
      <c r="BY192" s="28"/>
      <c r="CB192" s="28"/>
      <c r="CE192" s="28"/>
      <c r="CH192" s="28"/>
      <c r="CK192" s="28"/>
      <c r="CN192" s="28"/>
      <c r="CQ192" s="28"/>
      <c r="CT192" s="28"/>
      <c r="CW192" s="28"/>
      <c r="CZ192" s="28"/>
      <c r="DC192" s="28"/>
      <c r="DF192" s="28"/>
      <c r="DI192" s="28"/>
      <c r="DL192" s="28"/>
      <c r="DO192" s="28"/>
      <c r="DR192" s="28"/>
      <c r="DU192" s="28"/>
      <c r="DX192" s="28"/>
      <c r="EA192" s="28"/>
      <c r="ED192" s="28"/>
      <c r="EG192" s="28"/>
      <c r="EJ192" s="28"/>
      <c r="EM192" s="28"/>
      <c r="EP192" s="28"/>
      <c r="ES192" s="28"/>
      <c r="EV192" s="28"/>
      <c r="EY192" s="28"/>
      <c r="FB192" s="28"/>
      <c r="FE192" s="28"/>
      <c r="FH192" s="28"/>
      <c r="FK192" s="28"/>
      <c r="FN192" s="28"/>
      <c r="FQ192" s="28"/>
      <c r="FT192" s="28"/>
      <c r="FW192" s="28"/>
      <c r="FZ192" s="28"/>
      <c r="GC192" s="28"/>
    </row>
    <row r="193" spans="1:185" s="25" customFormat="1" x14ac:dyDescent="0.3">
      <c r="A193" s="27"/>
      <c r="B193" s="28"/>
      <c r="C193" s="27"/>
      <c r="D193" s="26"/>
      <c r="E193" s="28"/>
      <c r="H193" s="28"/>
      <c r="K193" s="28"/>
      <c r="N193" s="28"/>
      <c r="Q193" s="28"/>
      <c r="T193" s="28"/>
      <c r="W193" s="28"/>
      <c r="Z193" s="28"/>
      <c r="AC193" s="28"/>
      <c r="AF193" s="28"/>
      <c r="AI193" s="28"/>
      <c r="AL193" s="28"/>
      <c r="AO193" s="28"/>
      <c r="AR193" s="28"/>
      <c r="AU193" s="28"/>
      <c r="AX193" s="28"/>
      <c r="BA193" s="28"/>
      <c r="BD193" s="28"/>
      <c r="BG193" s="28"/>
      <c r="BJ193" s="28"/>
      <c r="BM193" s="28"/>
      <c r="BP193" s="28"/>
      <c r="BS193" s="28"/>
      <c r="BV193" s="28"/>
      <c r="BY193" s="28"/>
      <c r="CB193" s="28"/>
      <c r="CE193" s="28"/>
      <c r="CH193" s="28"/>
      <c r="CK193" s="28"/>
      <c r="CN193" s="28"/>
      <c r="CQ193" s="28"/>
      <c r="CT193" s="28"/>
      <c r="CW193" s="28"/>
      <c r="CZ193" s="28"/>
      <c r="DC193" s="28"/>
      <c r="DF193" s="28"/>
      <c r="DI193" s="28"/>
      <c r="DL193" s="28"/>
      <c r="DO193" s="28"/>
      <c r="DR193" s="28"/>
      <c r="DU193" s="28"/>
      <c r="DX193" s="28"/>
      <c r="EA193" s="28"/>
      <c r="ED193" s="28"/>
      <c r="EG193" s="28"/>
      <c r="EJ193" s="28"/>
      <c r="EM193" s="28"/>
      <c r="EP193" s="28"/>
      <c r="ES193" s="28"/>
      <c r="EV193" s="28"/>
      <c r="EY193" s="28"/>
      <c r="FB193" s="28"/>
      <c r="FE193" s="28"/>
      <c r="FH193" s="28"/>
      <c r="FK193" s="28"/>
      <c r="FN193" s="28"/>
      <c r="FQ193" s="28"/>
      <c r="FT193" s="28"/>
      <c r="FW193" s="28"/>
      <c r="FZ193" s="28"/>
      <c r="GC193" s="28"/>
    </row>
    <row r="194" spans="1:185" s="25" customFormat="1" x14ac:dyDescent="0.3">
      <c r="A194" s="27"/>
      <c r="B194" s="28"/>
      <c r="C194" s="27"/>
      <c r="D194" s="26"/>
      <c r="E194" s="28"/>
      <c r="H194" s="28"/>
      <c r="K194" s="28"/>
      <c r="N194" s="28"/>
      <c r="Q194" s="28"/>
      <c r="T194" s="28"/>
      <c r="W194" s="28"/>
      <c r="Z194" s="28"/>
      <c r="AC194" s="28"/>
      <c r="AF194" s="28"/>
      <c r="AI194" s="28"/>
      <c r="AL194" s="28"/>
      <c r="AO194" s="28"/>
      <c r="AR194" s="28"/>
      <c r="AU194" s="28"/>
      <c r="AX194" s="28"/>
      <c r="BA194" s="28"/>
      <c r="BD194" s="28"/>
      <c r="BG194" s="28"/>
      <c r="BJ194" s="28"/>
      <c r="BM194" s="28"/>
      <c r="BP194" s="28"/>
      <c r="BS194" s="28"/>
      <c r="BV194" s="28"/>
      <c r="BY194" s="28"/>
      <c r="CB194" s="28"/>
      <c r="CE194" s="28"/>
      <c r="CH194" s="28"/>
      <c r="CK194" s="28"/>
      <c r="CN194" s="28"/>
      <c r="CQ194" s="28"/>
      <c r="CT194" s="28"/>
      <c r="CW194" s="28"/>
      <c r="CZ194" s="28"/>
      <c r="DC194" s="28"/>
      <c r="DF194" s="28"/>
      <c r="DI194" s="28"/>
      <c r="DL194" s="28"/>
      <c r="DO194" s="28"/>
      <c r="DR194" s="28"/>
      <c r="DU194" s="28"/>
      <c r="DX194" s="28"/>
      <c r="EA194" s="28"/>
      <c r="ED194" s="28"/>
      <c r="EG194" s="28"/>
      <c r="EJ194" s="28"/>
      <c r="EM194" s="28"/>
      <c r="EP194" s="28"/>
      <c r="ES194" s="28"/>
      <c r="EV194" s="28"/>
      <c r="EY194" s="28"/>
      <c r="FB194" s="28"/>
      <c r="FE194" s="28"/>
      <c r="FH194" s="28"/>
      <c r="FK194" s="28"/>
      <c r="FN194" s="28"/>
      <c r="FQ194" s="28"/>
      <c r="FT194" s="28"/>
      <c r="FW194" s="28"/>
      <c r="FZ194" s="28"/>
      <c r="GC194" s="28"/>
    </row>
    <row r="195" spans="1:185" s="25" customFormat="1" x14ac:dyDescent="0.3">
      <c r="A195" s="27"/>
      <c r="B195" s="28"/>
      <c r="C195" s="27"/>
      <c r="D195" s="26"/>
      <c r="E195" s="28"/>
      <c r="H195" s="28"/>
      <c r="K195" s="28"/>
      <c r="N195" s="28"/>
      <c r="Q195" s="28"/>
      <c r="T195" s="28"/>
      <c r="W195" s="28"/>
      <c r="Z195" s="28"/>
      <c r="AC195" s="28"/>
      <c r="AF195" s="28"/>
      <c r="AI195" s="28"/>
      <c r="AL195" s="28"/>
      <c r="AO195" s="28"/>
      <c r="AR195" s="28"/>
      <c r="AU195" s="28"/>
      <c r="AX195" s="28"/>
      <c r="BA195" s="28"/>
      <c r="BD195" s="28"/>
      <c r="BG195" s="28"/>
      <c r="BJ195" s="28"/>
      <c r="BM195" s="28"/>
      <c r="BP195" s="28"/>
      <c r="BS195" s="28"/>
      <c r="BV195" s="28"/>
      <c r="BY195" s="28"/>
      <c r="CB195" s="28"/>
      <c r="CE195" s="28"/>
      <c r="CH195" s="28"/>
      <c r="CK195" s="28"/>
      <c r="CN195" s="28"/>
      <c r="CQ195" s="28"/>
      <c r="CT195" s="28"/>
      <c r="CW195" s="28"/>
      <c r="CZ195" s="28"/>
      <c r="DC195" s="28"/>
      <c r="DF195" s="28"/>
      <c r="DI195" s="28"/>
      <c r="DL195" s="28"/>
      <c r="DO195" s="28"/>
      <c r="DR195" s="28"/>
      <c r="DU195" s="28"/>
      <c r="DX195" s="28"/>
      <c r="EA195" s="28"/>
      <c r="ED195" s="28"/>
      <c r="EG195" s="28"/>
      <c r="EJ195" s="28"/>
      <c r="EM195" s="28"/>
      <c r="EP195" s="28"/>
      <c r="ES195" s="28"/>
      <c r="EV195" s="28"/>
      <c r="EY195" s="28"/>
      <c r="FB195" s="28"/>
      <c r="FE195" s="28"/>
      <c r="FH195" s="28"/>
      <c r="FK195" s="28"/>
      <c r="FN195" s="28"/>
      <c r="FQ195" s="28"/>
      <c r="FT195" s="28"/>
      <c r="FW195" s="28"/>
      <c r="FZ195" s="28"/>
      <c r="GC195" s="28"/>
    </row>
    <row r="196" spans="1:185" s="25" customFormat="1" x14ac:dyDescent="0.3">
      <c r="A196" s="27"/>
      <c r="B196" s="28"/>
      <c r="C196" s="27"/>
      <c r="D196" s="26"/>
      <c r="E196" s="28"/>
      <c r="H196" s="28"/>
      <c r="K196" s="28"/>
      <c r="N196" s="28"/>
      <c r="Q196" s="28"/>
      <c r="T196" s="28"/>
      <c r="W196" s="28"/>
      <c r="Z196" s="28"/>
      <c r="AC196" s="28"/>
      <c r="AF196" s="28"/>
      <c r="AI196" s="28"/>
      <c r="AL196" s="28"/>
      <c r="AO196" s="28"/>
      <c r="AR196" s="28"/>
      <c r="AU196" s="28"/>
      <c r="AX196" s="28"/>
      <c r="BA196" s="28"/>
      <c r="BD196" s="28"/>
      <c r="BG196" s="28"/>
      <c r="BJ196" s="28"/>
      <c r="BM196" s="28"/>
      <c r="BP196" s="28"/>
      <c r="BS196" s="28"/>
      <c r="BV196" s="28"/>
      <c r="BY196" s="28"/>
      <c r="CB196" s="28"/>
      <c r="CE196" s="28"/>
      <c r="CH196" s="28"/>
      <c r="CK196" s="28"/>
      <c r="CN196" s="28"/>
      <c r="CQ196" s="28"/>
      <c r="CT196" s="28"/>
      <c r="CW196" s="28"/>
      <c r="CZ196" s="28"/>
      <c r="DC196" s="28"/>
      <c r="DF196" s="28"/>
      <c r="DI196" s="28"/>
      <c r="DL196" s="28"/>
      <c r="DO196" s="28"/>
      <c r="DR196" s="28"/>
      <c r="DU196" s="28"/>
      <c r="DX196" s="28"/>
      <c r="EA196" s="28"/>
      <c r="ED196" s="28"/>
      <c r="EG196" s="28"/>
      <c r="EJ196" s="28"/>
      <c r="EM196" s="28"/>
      <c r="EP196" s="28"/>
      <c r="ES196" s="28"/>
      <c r="EV196" s="28"/>
      <c r="EY196" s="28"/>
      <c r="FB196" s="28"/>
      <c r="FE196" s="28"/>
      <c r="FH196" s="28"/>
      <c r="FK196" s="28"/>
      <c r="FN196" s="28"/>
      <c r="FQ196" s="28"/>
      <c r="FT196" s="28"/>
      <c r="FW196" s="28"/>
      <c r="FZ196" s="28"/>
      <c r="GC196" s="28"/>
    </row>
    <row r="197" spans="1:185" s="25" customFormat="1" x14ac:dyDescent="0.3">
      <c r="A197" s="27"/>
      <c r="B197" s="28"/>
      <c r="C197" s="27"/>
      <c r="D197" s="26"/>
      <c r="E197" s="28"/>
      <c r="H197" s="28"/>
      <c r="K197" s="28"/>
      <c r="N197" s="28"/>
      <c r="Q197" s="28"/>
      <c r="T197" s="28"/>
      <c r="W197" s="28"/>
      <c r="Z197" s="28"/>
      <c r="AC197" s="28"/>
      <c r="AF197" s="28"/>
      <c r="AI197" s="28"/>
      <c r="AL197" s="28"/>
      <c r="AO197" s="28"/>
      <c r="AR197" s="28"/>
      <c r="AU197" s="28"/>
      <c r="AX197" s="28"/>
      <c r="BA197" s="28"/>
      <c r="BD197" s="28"/>
      <c r="BG197" s="28"/>
      <c r="BJ197" s="28"/>
      <c r="BM197" s="28"/>
      <c r="BP197" s="28"/>
      <c r="BS197" s="28"/>
      <c r="BV197" s="28"/>
      <c r="BY197" s="28"/>
      <c r="CB197" s="28"/>
      <c r="CE197" s="28"/>
      <c r="CH197" s="28"/>
      <c r="CK197" s="28"/>
      <c r="CN197" s="28"/>
      <c r="CQ197" s="28"/>
      <c r="CT197" s="28"/>
      <c r="CW197" s="28"/>
      <c r="CZ197" s="28"/>
      <c r="DC197" s="28"/>
      <c r="DF197" s="28"/>
      <c r="DI197" s="28"/>
      <c r="DL197" s="28"/>
      <c r="DO197" s="28"/>
      <c r="DR197" s="28"/>
      <c r="DU197" s="28"/>
      <c r="DX197" s="28"/>
      <c r="EA197" s="28"/>
      <c r="ED197" s="28"/>
      <c r="EG197" s="28"/>
      <c r="EJ197" s="28"/>
      <c r="EM197" s="28"/>
      <c r="EP197" s="28"/>
      <c r="ES197" s="28"/>
      <c r="EV197" s="28"/>
      <c r="EY197" s="28"/>
      <c r="FB197" s="28"/>
      <c r="FE197" s="28"/>
      <c r="FH197" s="28"/>
      <c r="FK197" s="28"/>
      <c r="FN197" s="28"/>
      <c r="FQ197" s="28"/>
      <c r="FT197" s="28"/>
      <c r="FW197" s="28"/>
      <c r="FZ197" s="28"/>
      <c r="GC197" s="28"/>
    </row>
    <row r="198" spans="1:185" s="25" customFormat="1" x14ac:dyDescent="0.3">
      <c r="A198" s="27"/>
      <c r="B198" s="28"/>
      <c r="C198" s="27"/>
      <c r="D198" s="26"/>
      <c r="E198" s="28"/>
      <c r="H198" s="28"/>
      <c r="K198" s="28"/>
      <c r="N198" s="28"/>
      <c r="Q198" s="28"/>
      <c r="T198" s="28"/>
      <c r="W198" s="28"/>
      <c r="Z198" s="28"/>
      <c r="AC198" s="28"/>
      <c r="AF198" s="28"/>
      <c r="AI198" s="28"/>
      <c r="AL198" s="28"/>
      <c r="AO198" s="28"/>
      <c r="AR198" s="28"/>
      <c r="AU198" s="28"/>
      <c r="AX198" s="28"/>
      <c r="BA198" s="28"/>
      <c r="BD198" s="28"/>
      <c r="BG198" s="28"/>
      <c r="BJ198" s="28"/>
      <c r="BM198" s="28"/>
      <c r="BP198" s="28"/>
      <c r="BS198" s="28"/>
      <c r="BV198" s="28"/>
      <c r="BY198" s="28"/>
      <c r="CB198" s="28"/>
      <c r="CE198" s="28"/>
      <c r="CH198" s="28"/>
      <c r="CK198" s="28"/>
      <c r="CN198" s="28"/>
      <c r="CQ198" s="28"/>
      <c r="CT198" s="28"/>
      <c r="CW198" s="28"/>
      <c r="CZ198" s="28"/>
      <c r="DC198" s="28"/>
      <c r="DF198" s="28"/>
      <c r="DI198" s="28"/>
      <c r="DL198" s="28"/>
      <c r="DO198" s="28"/>
      <c r="DR198" s="28"/>
      <c r="DU198" s="28"/>
      <c r="DX198" s="28"/>
      <c r="EA198" s="28"/>
      <c r="ED198" s="28"/>
      <c r="EG198" s="28"/>
      <c r="EJ198" s="28"/>
      <c r="EM198" s="28"/>
      <c r="EP198" s="28"/>
      <c r="ES198" s="28"/>
      <c r="EV198" s="28"/>
      <c r="EY198" s="28"/>
      <c r="FB198" s="28"/>
      <c r="FE198" s="28"/>
      <c r="FH198" s="28"/>
      <c r="FK198" s="28"/>
      <c r="FN198" s="28"/>
      <c r="FQ198" s="28"/>
      <c r="FT198" s="28"/>
      <c r="FW198" s="28"/>
      <c r="FZ198" s="28"/>
      <c r="GC198" s="28"/>
    </row>
    <row r="199" spans="1:185" s="25" customFormat="1" x14ac:dyDescent="0.3">
      <c r="A199" s="27"/>
      <c r="B199" s="28"/>
      <c r="C199" s="27"/>
      <c r="D199" s="26"/>
      <c r="E199" s="28"/>
      <c r="H199" s="28"/>
      <c r="K199" s="28"/>
      <c r="N199" s="28"/>
      <c r="Q199" s="28"/>
      <c r="T199" s="28"/>
      <c r="W199" s="28"/>
      <c r="Z199" s="28"/>
      <c r="AC199" s="28"/>
      <c r="AF199" s="28"/>
      <c r="AI199" s="28"/>
      <c r="AL199" s="28"/>
      <c r="AO199" s="28"/>
      <c r="AR199" s="28"/>
      <c r="AU199" s="28"/>
      <c r="AX199" s="28"/>
      <c r="BA199" s="28"/>
      <c r="BD199" s="28"/>
      <c r="BG199" s="28"/>
      <c r="BJ199" s="28"/>
      <c r="BM199" s="28"/>
      <c r="BP199" s="28"/>
      <c r="BS199" s="28"/>
      <c r="BV199" s="28"/>
      <c r="BY199" s="28"/>
      <c r="CB199" s="28"/>
      <c r="CE199" s="28"/>
      <c r="CH199" s="28"/>
      <c r="CK199" s="28"/>
      <c r="CN199" s="28"/>
      <c r="CQ199" s="28"/>
      <c r="CT199" s="28"/>
      <c r="CW199" s="28"/>
      <c r="CZ199" s="28"/>
      <c r="DC199" s="28"/>
      <c r="DF199" s="28"/>
      <c r="DI199" s="28"/>
      <c r="DL199" s="28"/>
      <c r="DO199" s="28"/>
      <c r="DR199" s="28"/>
      <c r="DU199" s="28"/>
      <c r="DX199" s="28"/>
      <c r="EA199" s="28"/>
      <c r="ED199" s="28"/>
      <c r="EG199" s="28"/>
      <c r="EJ199" s="28"/>
      <c r="EM199" s="28"/>
      <c r="EP199" s="28"/>
      <c r="ES199" s="28"/>
      <c r="EV199" s="28"/>
      <c r="EY199" s="28"/>
      <c r="FB199" s="28"/>
      <c r="FE199" s="28"/>
      <c r="FH199" s="28"/>
      <c r="FK199" s="28"/>
      <c r="FN199" s="28"/>
      <c r="FQ199" s="28"/>
      <c r="FT199" s="28"/>
      <c r="FW199" s="28"/>
      <c r="FZ199" s="28"/>
      <c r="GC199" s="28"/>
    </row>
    <row r="200" spans="1:185" s="25" customFormat="1" x14ac:dyDescent="0.3">
      <c r="A200" s="27"/>
      <c r="B200" s="28"/>
      <c r="C200" s="27"/>
      <c r="D200" s="26"/>
      <c r="E200" s="28"/>
      <c r="H200" s="28"/>
      <c r="K200" s="28"/>
      <c r="N200" s="28"/>
      <c r="Q200" s="28"/>
      <c r="T200" s="28"/>
      <c r="W200" s="28"/>
      <c r="Z200" s="28"/>
      <c r="AC200" s="28"/>
      <c r="AF200" s="28"/>
      <c r="AI200" s="28"/>
      <c r="AL200" s="28"/>
      <c r="AO200" s="28"/>
      <c r="AR200" s="28"/>
      <c r="AU200" s="28"/>
      <c r="AX200" s="28"/>
      <c r="BA200" s="28"/>
      <c r="BD200" s="28"/>
      <c r="BG200" s="28"/>
      <c r="BJ200" s="28"/>
      <c r="BM200" s="28"/>
      <c r="BP200" s="28"/>
      <c r="BS200" s="28"/>
      <c r="BV200" s="28"/>
      <c r="BY200" s="28"/>
      <c r="CB200" s="28"/>
      <c r="CE200" s="28"/>
      <c r="CH200" s="28"/>
      <c r="CK200" s="28"/>
      <c r="CN200" s="28"/>
      <c r="CQ200" s="28"/>
      <c r="CT200" s="28"/>
      <c r="CW200" s="28"/>
      <c r="CZ200" s="28"/>
      <c r="DC200" s="28"/>
      <c r="DF200" s="28"/>
      <c r="DI200" s="28"/>
      <c r="DL200" s="28"/>
      <c r="DO200" s="28"/>
      <c r="DR200" s="28"/>
      <c r="DU200" s="28"/>
      <c r="DX200" s="28"/>
      <c r="EA200" s="28"/>
      <c r="ED200" s="28"/>
      <c r="EG200" s="28"/>
      <c r="EJ200" s="28"/>
      <c r="EM200" s="28"/>
      <c r="EP200" s="28"/>
      <c r="ES200" s="28"/>
      <c r="EV200" s="28"/>
      <c r="EY200" s="28"/>
      <c r="FB200" s="28"/>
      <c r="FE200" s="28"/>
      <c r="FH200" s="28"/>
      <c r="FK200" s="28"/>
      <c r="FN200" s="28"/>
      <c r="FQ200" s="28"/>
      <c r="FT200" s="28"/>
      <c r="FW200" s="28"/>
      <c r="FZ200" s="28"/>
      <c r="GC200" s="28"/>
    </row>
    <row r="201" spans="1:185" s="25" customFormat="1" x14ac:dyDescent="0.3">
      <c r="A201" s="27"/>
      <c r="B201" s="28"/>
      <c r="C201" s="27"/>
      <c r="D201" s="26"/>
      <c r="E201" s="28"/>
      <c r="H201" s="28"/>
      <c r="K201" s="28"/>
      <c r="N201" s="28"/>
      <c r="Q201" s="28"/>
      <c r="T201" s="28"/>
      <c r="W201" s="28"/>
      <c r="Z201" s="28"/>
      <c r="AC201" s="28"/>
      <c r="AF201" s="28"/>
      <c r="AI201" s="28"/>
      <c r="AL201" s="28"/>
      <c r="AO201" s="28"/>
      <c r="AR201" s="28"/>
      <c r="AU201" s="28"/>
      <c r="AX201" s="28"/>
      <c r="BA201" s="28"/>
      <c r="BD201" s="28"/>
      <c r="BG201" s="28"/>
      <c r="BJ201" s="28"/>
      <c r="BM201" s="28"/>
      <c r="BP201" s="28"/>
      <c r="BS201" s="28"/>
      <c r="BV201" s="28"/>
      <c r="BY201" s="28"/>
      <c r="CB201" s="28"/>
      <c r="CE201" s="28"/>
      <c r="CH201" s="28"/>
      <c r="CK201" s="28"/>
      <c r="CN201" s="28"/>
      <c r="CQ201" s="28"/>
      <c r="CT201" s="28"/>
      <c r="CW201" s="28"/>
      <c r="CZ201" s="28"/>
      <c r="DC201" s="28"/>
      <c r="DF201" s="28"/>
      <c r="DI201" s="28"/>
      <c r="DL201" s="28"/>
      <c r="DO201" s="28"/>
      <c r="DR201" s="28"/>
      <c r="DU201" s="28"/>
      <c r="DX201" s="28"/>
      <c r="EA201" s="28"/>
      <c r="ED201" s="28"/>
      <c r="EG201" s="28"/>
      <c r="EJ201" s="28"/>
      <c r="EM201" s="28"/>
      <c r="EP201" s="28"/>
      <c r="ES201" s="28"/>
      <c r="EV201" s="28"/>
      <c r="EY201" s="28"/>
      <c r="FB201" s="28"/>
      <c r="FE201" s="28"/>
      <c r="FH201" s="28"/>
      <c r="FK201" s="28"/>
      <c r="FN201" s="28"/>
      <c r="FQ201" s="28"/>
      <c r="FT201" s="28"/>
      <c r="FW201" s="28"/>
      <c r="FZ201" s="28"/>
      <c r="GC201" s="28"/>
    </row>
    <row r="202" spans="1:185" s="25" customFormat="1" x14ac:dyDescent="0.3">
      <c r="A202" s="27"/>
      <c r="B202" s="28"/>
      <c r="C202" s="27"/>
      <c r="D202" s="26"/>
      <c r="E202" s="28"/>
      <c r="H202" s="28"/>
      <c r="K202" s="28"/>
      <c r="N202" s="28"/>
      <c r="Q202" s="28"/>
      <c r="T202" s="28"/>
      <c r="W202" s="28"/>
      <c r="Z202" s="28"/>
      <c r="AC202" s="28"/>
      <c r="AF202" s="28"/>
      <c r="AI202" s="28"/>
      <c r="AL202" s="28"/>
      <c r="AO202" s="28"/>
      <c r="AR202" s="28"/>
      <c r="AU202" s="28"/>
      <c r="AX202" s="28"/>
      <c r="BA202" s="28"/>
      <c r="BD202" s="28"/>
      <c r="BG202" s="28"/>
      <c r="BJ202" s="28"/>
      <c r="BM202" s="28"/>
      <c r="BP202" s="28"/>
      <c r="BS202" s="28"/>
      <c r="BV202" s="28"/>
      <c r="BY202" s="28"/>
      <c r="CB202" s="28"/>
      <c r="CE202" s="28"/>
      <c r="CH202" s="28"/>
      <c r="CK202" s="28"/>
      <c r="CN202" s="28"/>
      <c r="CQ202" s="28"/>
      <c r="CT202" s="28"/>
      <c r="CW202" s="28"/>
      <c r="CZ202" s="28"/>
      <c r="DC202" s="28"/>
      <c r="DF202" s="28"/>
      <c r="DI202" s="28"/>
      <c r="DL202" s="28"/>
      <c r="DO202" s="28"/>
      <c r="DR202" s="28"/>
      <c r="DU202" s="28"/>
      <c r="DX202" s="28"/>
      <c r="EA202" s="28"/>
      <c r="ED202" s="28"/>
      <c r="EG202" s="28"/>
      <c r="EJ202" s="28"/>
      <c r="EM202" s="28"/>
      <c r="EP202" s="28"/>
      <c r="ES202" s="28"/>
      <c r="EV202" s="28"/>
      <c r="EY202" s="28"/>
      <c r="FB202" s="28"/>
      <c r="FE202" s="28"/>
      <c r="FH202" s="28"/>
      <c r="FK202" s="28"/>
      <c r="FN202" s="28"/>
      <c r="FQ202" s="28"/>
      <c r="FT202" s="28"/>
      <c r="FW202" s="28"/>
      <c r="FZ202" s="28"/>
      <c r="GC202" s="28"/>
    </row>
    <row r="203" spans="1:185" s="25" customFormat="1" x14ac:dyDescent="0.3">
      <c r="A203" s="27"/>
      <c r="B203" s="28"/>
      <c r="C203" s="27"/>
      <c r="D203" s="26"/>
      <c r="E203" s="28"/>
      <c r="H203" s="28"/>
      <c r="K203" s="28"/>
      <c r="N203" s="28"/>
      <c r="Q203" s="28"/>
      <c r="T203" s="28"/>
      <c r="W203" s="28"/>
      <c r="Z203" s="28"/>
      <c r="AC203" s="28"/>
      <c r="AF203" s="28"/>
      <c r="AI203" s="28"/>
      <c r="AL203" s="28"/>
      <c r="AO203" s="28"/>
      <c r="AR203" s="28"/>
      <c r="AU203" s="28"/>
      <c r="AX203" s="28"/>
      <c r="BA203" s="28"/>
      <c r="BD203" s="28"/>
      <c r="BG203" s="28"/>
      <c r="BJ203" s="28"/>
      <c r="BM203" s="28"/>
      <c r="BP203" s="28"/>
      <c r="BS203" s="28"/>
      <c r="BV203" s="28"/>
      <c r="BY203" s="28"/>
      <c r="CB203" s="28"/>
      <c r="CE203" s="28"/>
      <c r="CH203" s="28"/>
      <c r="CK203" s="28"/>
      <c r="CN203" s="28"/>
      <c r="CQ203" s="28"/>
      <c r="CT203" s="28"/>
      <c r="CW203" s="28"/>
      <c r="CZ203" s="28"/>
      <c r="DC203" s="28"/>
      <c r="DF203" s="28"/>
      <c r="DI203" s="28"/>
      <c r="DL203" s="28"/>
      <c r="DO203" s="28"/>
      <c r="DR203" s="28"/>
      <c r="DU203" s="28"/>
      <c r="DX203" s="28"/>
      <c r="EA203" s="28"/>
      <c r="ED203" s="28"/>
      <c r="EG203" s="28"/>
      <c r="EJ203" s="28"/>
      <c r="EM203" s="28"/>
      <c r="EP203" s="28"/>
      <c r="ES203" s="28"/>
      <c r="EV203" s="28"/>
      <c r="EY203" s="28"/>
      <c r="FB203" s="28"/>
      <c r="FE203" s="28"/>
      <c r="FH203" s="28"/>
      <c r="FK203" s="28"/>
      <c r="FN203" s="28"/>
      <c r="FQ203" s="28"/>
      <c r="FT203" s="28"/>
      <c r="FW203" s="28"/>
      <c r="FZ203" s="28"/>
      <c r="GC203" s="28"/>
    </row>
    <row r="204" spans="1:185" s="25" customFormat="1" x14ac:dyDescent="0.3">
      <c r="A204" s="27"/>
      <c r="B204" s="28"/>
      <c r="C204" s="27"/>
      <c r="D204" s="26"/>
      <c r="E204" s="28"/>
      <c r="H204" s="28"/>
      <c r="K204" s="28"/>
      <c r="N204" s="28"/>
      <c r="Q204" s="28"/>
      <c r="T204" s="28"/>
      <c r="W204" s="28"/>
      <c r="Z204" s="28"/>
      <c r="AC204" s="28"/>
      <c r="AF204" s="28"/>
      <c r="AI204" s="28"/>
      <c r="AL204" s="28"/>
      <c r="AO204" s="28"/>
      <c r="AR204" s="28"/>
      <c r="AU204" s="28"/>
      <c r="AX204" s="28"/>
      <c r="BA204" s="28"/>
      <c r="BD204" s="28"/>
      <c r="BG204" s="28"/>
      <c r="BJ204" s="28"/>
      <c r="BM204" s="28"/>
      <c r="BP204" s="28"/>
      <c r="BS204" s="28"/>
      <c r="BV204" s="28"/>
      <c r="BY204" s="28"/>
      <c r="CB204" s="28"/>
      <c r="CE204" s="28"/>
      <c r="CH204" s="28"/>
      <c r="CK204" s="28"/>
      <c r="CN204" s="28"/>
      <c r="CQ204" s="28"/>
      <c r="CT204" s="28"/>
      <c r="CW204" s="28"/>
      <c r="CZ204" s="28"/>
      <c r="DC204" s="28"/>
      <c r="DF204" s="28"/>
      <c r="DI204" s="28"/>
      <c r="DL204" s="28"/>
      <c r="DO204" s="28"/>
      <c r="DR204" s="28"/>
      <c r="DU204" s="28"/>
      <c r="DX204" s="28"/>
      <c r="EA204" s="28"/>
      <c r="ED204" s="28"/>
      <c r="EG204" s="28"/>
      <c r="EJ204" s="28"/>
      <c r="EM204" s="28"/>
      <c r="EP204" s="28"/>
      <c r="ES204" s="28"/>
      <c r="EV204" s="28"/>
      <c r="EY204" s="28"/>
      <c r="FB204" s="28"/>
      <c r="FE204" s="28"/>
      <c r="FH204" s="28"/>
      <c r="FK204" s="28"/>
      <c r="FN204" s="28"/>
      <c r="FQ204" s="28"/>
      <c r="FT204" s="28"/>
      <c r="FW204" s="28"/>
      <c r="FZ204" s="28"/>
      <c r="GC204" s="28"/>
    </row>
    <row r="205" spans="1:185" s="25" customFormat="1" x14ac:dyDescent="0.3">
      <c r="A205" s="27"/>
      <c r="B205" s="28"/>
      <c r="C205" s="27"/>
      <c r="D205" s="26"/>
      <c r="E205" s="28"/>
      <c r="H205" s="28"/>
      <c r="K205" s="28"/>
      <c r="N205" s="28"/>
      <c r="Q205" s="28"/>
      <c r="T205" s="28"/>
      <c r="W205" s="28"/>
      <c r="Z205" s="28"/>
      <c r="AC205" s="28"/>
      <c r="AF205" s="28"/>
      <c r="AI205" s="28"/>
      <c r="AL205" s="28"/>
      <c r="AO205" s="28"/>
      <c r="AR205" s="28"/>
      <c r="AU205" s="28"/>
      <c r="AX205" s="28"/>
      <c r="BA205" s="28"/>
      <c r="BD205" s="28"/>
      <c r="BG205" s="28"/>
      <c r="BJ205" s="28"/>
      <c r="BM205" s="28"/>
      <c r="BP205" s="28"/>
      <c r="BS205" s="28"/>
      <c r="BV205" s="28"/>
      <c r="BY205" s="28"/>
      <c r="CB205" s="28"/>
      <c r="CE205" s="28"/>
      <c r="CH205" s="28"/>
      <c r="CK205" s="28"/>
      <c r="CN205" s="28"/>
      <c r="CQ205" s="28"/>
      <c r="CT205" s="28"/>
      <c r="CW205" s="28"/>
      <c r="CZ205" s="28"/>
      <c r="DC205" s="28"/>
      <c r="DF205" s="28"/>
      <c r="DI205" s="28"/>
      <c r="DL205" s="28"/>
      <c r="DO205" s="28"/>
      <c r="DR205" s="28"/>
      <c r="DU205" s="28"/>
      <c r="DX205" s="28"/>
      <c r="EA205" s="28"/>
      <c r="ED205" s="28"/>
      <c r="EG205" s="28"/>
      <c r="EJ205" s="28"/>
      <c r="EM205" s="28"/>
      <c r="EP205" s="28"/>
      <c r="ES205" s="28"/>
      <c r="EV205" s="28"/>
      <c r="EY205" s="28"/>
      <c r="FB205" s="28"/>
      <c r="FE205" s="28"/>
      <c r="FH205" s="28"/>
      <c r="FK205" s="28"/>
      <c r="FN205" s="28"/>
      <c r="FQ205" s="28"/>
      <c r="FT205" s="28"/>
      <c r="FW205" s="28"/>
      <c r="FZ205" s="28"/>
      <c r="GC205" s="28"/>
    </row>
    <row r="206" spans="1:185" s="25" customFormat="1" x14ac:dyDescent="0.3">
      <c r="A206" s="27"/>
      <c r="B206" s="28"/>
      <c r="C206" s="27"/>
      <c r="D206" s="26"/>
      <c r="E206" s="28"/>
      <c r="H206" s="28"/>
      <c r="K206" s="28"/>
      <c r="N206" s="28"/>
      <c r="Q206" s="28"/>
      <c r="T206" s="28"/>
      <c r="W206" s="28"/>
      <c r="Z206" s="28"/>
      <c r="AC206" s="28"/>
      <c r="AF206" s="28"/>
      <c r="AI206" s="28"/>
      <c r="AL206" s="28"/>
      <c r="AO206" s="28"/>
      <c r="AR206" s="28"/>
      <c r="AU206" s="28"/>
      <c r="AX206" s="28"/>
      <c r="BA206" s="28"/>
      <c r="BD206" s="28"/>
      <c r="BG206" s="28"/>
      <c r="BJ206" s="28"/>
      <c r="BM206" s="28"/>
      <c r="BP206" s="28"/>
      <c r="BS206" s="28"/>
      <c r="BV206" s="28"/>
      <c r="BY206" s="28"/>
      <c r="CB206" s="28"/>
      <c r="CE206" s="28"/>
      <c r="CH206" s="28"/>
      <c r="CK206" s="28"/>
      <c r="CN206" s="28"/>
      <c r="CQ206" s="28"/>
      <c r="CT206" s="28"/>
      <c r="CW206" s="28"/>
      <c r="CZ206" s="28"/>
      <c r="DC206" s="28"/>
      <c r="DF206" s="28"/>
      <c r="DI206" s="28"/>
      <c r="DL206" s="28"/>
      <c r="DO206" s="28"/>
      <c r="DR206" s="28"/>
      <c r="DU206" s="28"/>
      <c r="DX206" s="28"/>
      <c r="EA206" s="28"/>
      <c r="ED206" s="28"/>
      <c r="EG206" s="28"/>
      <c r="EJ206" s="28"/>
      <c r="EM206" s="28"/>
      <c r="EP206" s="28"/>
      <c r="ES206" s="28"/>
      <c r="EV206" s="28"/>
      <c r="EY206" s="28"/>
      <c r="FB206" s="28"/>
      <c r="FE206" s="28"/>
      <c r="FH206" s="28"/>
      <c r="FK206" s="28"/>
      <c r="FN206" s="28"/>
      <c r="FQ206" s="28"/>
      <c r="FT206" s="28"/>
      <c r="FW206" s="28"/>
      <c r="FZ206" s="28"/>
      <c r="GC206" s="28"/>
    </row>
    <row r="207" spans="1:185" s="25" customFormat="1" x14ac:dyDescent="0.3">
      <c r="A207" s="27"/>
      <c r="B207" s="28"/>
      <c r="C207" s="27"/>
      <c r="D207" s="26"/>
      <c r="E207" s="28"/>
      <c r="H207" s="28"/>
      <c r="K207" s="28"/>
      <c r="N207" s="28"/>
      <c r="Q207" s="28"/>
      <c r="T207" s="28"/>
      <c r="W207" s="28"/>
      <c r="Z207" s="28"/>
      <c r="AC207" s="28"/>
      <c r="AF207" s="28"/>
      <c r="AI207" s="28"/>
      <c r="AL207" s="28"/>
      <c r="AO207" s="28"/>
      <c r="AR207" s="28"/>
      <c r="AU207" s="28"/>
      <c r="AX207" s="28"/>
      <c r="BA207" s="28"/>
      <c r="BD207" s="28"/>
      <c r="BG207" s="28"/>
      <c r="BJ207" s="28"/>
      <c r="BM207" s="28"/>
      <c r="BP207" s="28"/>
      <c r="BS207" s="28"/>
      <c r="BV207" s="28"/>
      <c r="BY207" s="28"/>
      <c r="CB207" s="28"/>
      <c r="CE207" s="28"/>
      <c r="CH207" s="28"/>
      <c r="CK207" s="28"/>
      <c r="CN207" s="28"/>
      <c r="CQ207" s="28"/>
      <c r="CT207" s="28"/>
      <c r="CW207" s="28"/>
      <c r="CZ207" s="28"/>
      <c r="DC207" s="28"/>
      <c r="DF207" s="28"/>
      <c r="DI207" s="28"/>
      <c r="DL207" s="28"/>
      <c r="DO207" s="28"/>
      <c r="DR207" s="28"/>
      <c r="DU207" s="28"/>
      <c r="DX207" s="28"/>
      <c r="EA207" s="28"/>
      <c r="ED207" s="28"/>
      <c r="EG207" s="28"/>
      <c r="EJ207" s="28"/>
      <c r="EM207" s="28"/>
      <c r="EP207" s="28"/>
      <c r="ES207" s="28"/>
      <c r="EV207" s="28"/>
      <c r="EY207" s="28"/>
      <c r="FB207" s="28"/>
      <c r="FE207" s="28"/>
      <c r="FH207" s="28"/>
      <c r="FK207" s="28"/>
      <c r="FN207" s="28"/>
      <c r="FQ207" s="28"/>
      <c r="FT207" s="28"/>
      <c r="FW207" s="28"/>
      <c r="FZ207" s="28"/>
      <c r="GC207" s="28"/>
    </row>
    <row r="208" spans="1:185" s="25" customFormat="1" x14ac:dyDescent="0.3">
      <c r="A208" s="27"/>
      <c r="B208" s="28"/>
      <c r="C208" s="27"/>
      <c r="D208" s="26"/>
      <c r="E208" s="28"/>
      <c r="H208" s="28"/>
      <c r="K208" s="28"/>
      <c r="N208" s="28"/>
      <c r="Q208" s="28"/>
      <c r="T208" s="28"/>
      <c r="W208" s="28"/>
      <c r="Z208" s="28"/>
      <c r="AC208" s="28"/>
      <c r="AF208" s="28"/>
      <c r="AI208" s="28"/>
      <c r="AL208" s="28"/>
      <c r="AO208" s="28"/>
      <c r="AR208" s="28"/>
      <c r="AU208" s="28"/>
      <c r="AX208" s="28"/>
      <c r="BA208" s="28"/>
      <c r="BD208" s="28"/>
      <c r="BG208" s="28"/>
      <c r="BJ208" s="28"/>
      <c r="BM208" s="28"/>
      <c r="BP208" s="28"/>
      <c r="BS208" s="28"/>
      <c r="BV208" s="28"/>
      <c r="BY208" s="28"/>
      <c r="CB208" s="28"/>
      <c r="CE208" s="28"/>
      <c r="CH208" s="28"/>
      <c r="CK208" s="28"/>
      <c r="CN208" s="28"/>
      <c r="CQ208" s="28"/>
      <c r="CT208" s="28"/>
      <c r="CW208" s="28"/>
      <c r="CZ208" s="28"/>
      <c r="DC208" s="28"/>
      <c r="DF208" s="28"/>
      <c r="DI208" s="28"/>
      <c r="DL208" s="28"/>
      <c r="DO208" s="28"/>
      <c r="DR208" s="28"/>
      <c r="DU208" s="28"/>
      <c r="DX208" s="28"/>
      <c r="EA208" s="28"/>
      <c r="ED208" s="28"/>
      <c r="EG208" s="28"/>
      <c r="EJ208" s="28"/>
      <c r="EM208" s="28"/>
      <c r="EP208" s="28"/>
      <c r="ES208" s="28"/>
      <c r="EV208" s="28"/>
      <c r="EY208" s="28"/>
      <c r="FB208" s="28"/>
      <c r="FE208" s="28"/>
      <c r="FH208" s="28"/>
      <c r="FK208" s="28"/>
      <c r="FN208" s="28"/>
      <c r="FQ208" s="28"/>
      <c r="FT208" s="28"/>
      <c r="FW208" s="28"/>
      <c r="FZ208" s="28"/>
      <c r="GC208" s="28"/>
    </row>
    <row r="209" spans="1:185" s="25" customFormat="1" x14ac:dyDescent="0.3">
      <c r="A209" s="27"/>
      <c r="B209" s="28"/>
      <c r="C209" s="27"/>
      <c r="D209" s="26"/>
      <c r="E209" s="28"/>
      <c r="H209" s="28"/>
      <c r="K209" s="28"/>
      <c r="N209" s="28"/>
      <c r="Q209" s="28"/>
      <c r="T209" s="28"/>
      <c r="W209" s="28"/>
      <c r="Z209" s="28"/>
      <c r="AC209" s="28"/>
      <c r="AF209" s="28"/>
      <c r="AI209" s="28"/>
      <c r="AL209" s="28"/>
      <c r="AO209" s="28"/>
      <c r="AR209" s="28"/>
      <c r="AU209" s="28"/>
      <c r="AX209" s="28"/>
      <c r="BA209" s="28"/>
      <c r="BD209" s="28"/>
      <c r="BG209" s="28"/>
      <c r="BJ209" s="28"/>
      <c r="BM209" s="28"/>
      <c r="BP209" s="28"/>
      <c r="BS209" s="28"/>
      <c r="BV209" s="28"/>
      <c r="BY209" s="28"/>
      <c r="CB209" s="28"/>
      <c r="CE209" s="28"/>
      <c r="CH209" s="28"/>
      <c r="CK209" s="28"/>
      <c r="CN209" s="28"/>
      <c r="CQ209" s="28"/>
      <c r="CT209" s="28"/>
      <c r="CW209" s="28"/>
      <c r="CZ209" s="28"/>
      <c r="DC209" s="28"/>
      <c r="DF209" s="28"/>
      <c r="DI209" s="28"/>
      <c r="DL209" s="28"/>
      <c r="DO209" s="28"/>
      <c r="DR209" s="28"/>
      <c r="DU209" s="28"/>
      <c r="DX209" s="28"/>
      <c r="EA209" s="28"/>
      <c r="ED209" s="28"/>
      <c r="EG209" s="28"/>
      <c r="EJ209" s="28"/>
      <c r="EM209" s="28"/>
      <c r="EP209" s="28"/>
      <c r="ES209" s="28"/>
      <c r="EV209" s="28"/>
      <c r="EY209" s="28"/>
      <c r="FB209" s="28"/>
      <c r="FE209" s="28"/>
      <c r="FH209" s="28"/>
      <c r="FK209" s="28"/>
      <c r="FN209" s="28"/>
      <c r="FQ209" s="28"/>
      <c r="FT209" s="28"/>
      <c r="FW209" s="28"/>
      <c r="FZ209" s="28"/>
      <c r="GC209" s="28"/>
    </row>
    <row r="210" spans="1:185" s="25" customFormat="1" x14ac:dyDescent="0.3">
      <c r="A210" s="27"/>
      <c r="B210" s="28"/>
      <c r="C210" s="27"/>
      <c r="D210" s="26"/>
      <c r="E210" s="28"/>
      <c r="H210" s="28"/>
      <c r="K210" s="28"/>
      <c r="N210" s="28"/>
      <c r="Q210" s="28"/>
      <c r="T210" s="28"/>
      <c r="W210" s="28"/>
      <c r="Z210" s="28"/>
      <c r="AC210" s="28"/>
      <c r="AF210" s="28"/>
      <c r="AI210" s="28"/>
      <c r="AL210" s="28"/>
      <c r="AO210" s="28"/>
      <c r="AR210" s="28"/>
      <c r="AU210" s="28"/>
      <c r="AX210" s="28"/>
      <c r="BA210" s="28"/>
      <c r="BD210" s="28"/>
      <c r="BG210" s="28"/>
      <c r="BJ210" s="28"/>
      <c r="BM210" s="28"/>
      <c r="BP210" s="28"/>
      <c r="BS210" s="28"/>
      <c r="BV210" s="28"/>
      <c r="BY210" s="28"/>
      <c r="CB210" s="28"/>
      <c r="CE210" s="28"/>
      <c r="CH210" s="28"/>
      <c r="CK210" s="28"/>
      <c r="CN210" s="28"/>
      <c r="CQ210" s="28"/>
      <c r="CT210" s="28"/>
      <c r="CW210" s="28"/>
      <c r="CZ210" s="28"/>
      <c r="DC210" s="28"/>
      <c r="DF210" s="28"/>
      <c r="DI210" s="28"/>
      <c r="DL210" s="28"/>
      <c r="DO210" s="28"/>
      <c r="DR210" s="28"/>
      <c r="DU210" s="28"/>
      <c r="DX210" s="28"/>
      <c r="EA210" s="28"/>
      <c r="ED210" s="28"/>
      <c r="EG210" s="28"/>
      <c r="EJ210" s="28"/>
      <c r="EM210" s="28"/>
      <c r="EP210" s="28"/>
      <c r="ES210" s="28"/>
      <c r="EV210" s="28"/>
      <c r="EY210" s="28"/>
      <c r="FB210" s="28"/>
      <c r="FE210" s="28"/>
      <c r="FH210" s="28"/>
      <c r="FK210" s="28"/>
      <c r="FN210" s="28"/>
      <c r="FQ210" s="28"/>
      <c r="FT210" s="28"/>
      <c r="FW210" s="28"/>
      <c r="FZ210" s="28"/>
      <c r="GC210" s="28"/>
    </row>
    <row r="211" spans="1:185" s="25" customFormat="1" x14ac:dyDescent="0.3">
      <c r="A211" s="27"/>
      <c r="B211" s="28"/>
      <c r="C211" s="27"/>
      <c r="D211" s="26"/>
      <c r="E211" s="28"/>
      <c r="H211" s="28"/>
      <c r="K211" s="28"/>
      <c r="N211" s="28"/>
      <c r="Q211" s="28"/>
      <c r="T211" s="28"/>
      <c r="W211" s="28"/>
      <c r="Z211" s="28"/>
      <c r="AC211" s="28"/>
      <c r="AF211" s="28"/>
      <c r="AI211" s="28"/>
      <c r="AL211" s="28"/>
      <c r="AO211" s="28"/>
      <c r="AR211" s="28"/>
      <c r="AU211" s="28"/>
      <c r="AX211" s="28"/>
      <c r="BA211" s="28"/>
      <c r="BD211" s="28"/>
      <c r="BG211" s="28"/>
      <c r="BJ211" s="28"/>
      <c r="BM211" s="28"/>
      <c r="BP211" s="28"/>
      <c r="BS211" s="28"/>
      <c r="BV211" s="28"/>
      <c r="BY211" s="28"/>
      <c r="CB211" s="28"/>
      <c r="CE211" s="28"/>
      <c r="CH211" s="28"/>
      <c r="CK211" s="28"/>
      <c r="CN211" s="28"/>
      <c r="CQ211" s="28"/>
      <c r="CT211" s="28"/>
      <c r="CW211" s="28"/>
      <c r="CZ211" s="28"/>
      <c r="DC211" s="28"/>
      <c r="DF211" s="28"/>
      <c r="DI211" s="28"/>
      <c r="DL211" s="28"/>
      <c r="DO211" s="28"/>
      <c r="DR211" s="28"/>
      <c r="DU211" s="28"/>
      <c r="DX211" s="28"/>
      <c r="EA211" s="28"/>
      <c r="ED211" s="28"/>
      <c r="EG211" s="28"/>
      <c r="EJ211" s="28"/>
      <c r="EM211" s="28"/>
      <c r="EP211" s="28"/>
      <c r="ES211" s="28"/>
      <c r="EV211" s="28"/>
      <c r="EY211" s="28"/>
      <c r="FB211" s="28"/>
      <c r="FE211" s="28"/>
      <c r="FH211" s="28"/>
      <c r="FK211" s="28"/>
      <c r="FN211" s="28"/>
      <c r="FQ211" s="28"/>
      <c r="FT211" s="28"/>
      <c r="FW211" s="28"/>
      <c r="FZ211" s="28"/>
      <c r="GC211" s="28"/>
    </row>
    <row r="212" spans="1:185" s="25" customFormat="1" x14ac:dyDescent="0.3">
      <c r="A212" s="27"/>
      <c r="B212" s="28"/>
      <c r="C212" s="27"/>
      <c r="D212" s="26"/>
      <c r="E212" s="28"/>
      <c r="H212" s="28"/>
      <c r="K212" s="28"/>
      <c r="N212" s="28"/>
      <c r="Q212" s="28"/>
      <c r="T212" s="28"/>
      <c r="W212" s="28"/>
      <c r="Z212" s="28"/>
      <c r="AC212" s="28"/>
      <c r="AF212" s="28"/>
      <c r="AI212" s="28"/>
      <c r="AL212" s="28"/>
      <c r="AO212" s="28"/>
      <c r="AR212" s="28"/>
      <c r="AU212" s="28"/>
      <c r="AX212" s="28"/>
      <c r="BA212" s="28"/>
      <c r="BD212" s="28"/>
      <c r="BG212" s="28"/>
      <c r="BJ212" s="28"/>
      <c r="BM212" s="28"/>
      <c r="BP212" s="28"/>
      <c r="BS212" s="28"/>
      <c r="BV212" s="28"/>
      <c r="BY212" s="28"/>
      <c r="CB212" s="28"/>
      <c r="CE212" s="28"/>
      <c r="CH212" s="28"/>
      <c r="CK212" s="28"/>
      <c r="CN212" s="28"/>
      <c r="CQ212" s="28"/>
      <c r="CT212" s="28"/>
      <c r="CW212" s="28"/>
      <c r="CZ212" s="28"/>
      <c r="DC212" s="28"/>
      <c r="DF212" s="28"/>
      <c r="DI212" s="28"/>
      <c r="DL212" s="28"/>
      <c r="DO212" s="28"/>
      <c r="DR212" s="28"/>
      <c r="DU212" s="28"/>
      <c r="DX212" s="28"/>
      <c r="EA212" s="28"/>
      <c r="ED212" s="28"/>
      <c r="EG212" s="28"/>
      <c r="EJ212" s="28"/>
      <c r="EM212" s="28"/>
      <c r="EP212" s="28"/>
      <c r="ES212" s="28"/>
      <c r="EV212" s="28"/>
      <c r="EY212" s="28"/>
      <c r="FB212" s="28"/>
      <c r="FE212" s="28"/>
      <c r="FH212" s="28"/>
      <c r="FK212" s="28"/>
      <c r="FN212" s="28"/>
      <c r="FQ212" s="28"/>
      <c r="FT212" s="28"/>
      <c r="FW212" s="28"/>
      <c r="FZ212" s="28"/>
      <c r="GC212" s="28"/>
    </row>
    <row r="213" spans="1:185" s="25" customFormat="1" x14ac:dyDescent="0.3">
      <c r="A213" s="27"/>
      <c r="B213" s="28"/>
      <c r="C213" s="27"/>
      <c r="D213" s="26"/>
      <c r="E213" s="28"/>
      <c r="H213" s="28"/>
      <c r="K213" s="28"/>
      <c r="N213" s="28"/>
      <c r="Q213" s="28"/>
      <c r="T213" s="28"/>
      <c r="W213" s="28"/>
      <c r="Z213" s="28"/>
      <c r="AC213" s="28"/>
      <c r="AF213" s="28"/>
      <c r="AI213" s="28"/>
      <c r="AL213" s="28"/>
      <c r="AO213" s="28"/>
      <c r="AR213" s="28"/>
      <c r="AU213" s="28"/>
      <c r="AX213" s="28"/>
      <c r="BA213" s="28"/>
      <c r="BD213" s="28"/>
      <c r="BG213" s="28"/>
      <c r="BJ213" s="28"/>
      <c r="BM213" s="28"/>
      <c r="BP213" s="28"/>
      <c r="BS213" s="28"/>
      <c r="BV213" s="28"/>
      <c r="BY213" s="28"/>
      <c r="CB213" s="28"/>
      <c r="CE213" s="28"/>
      <c r="CH213" s="28"/>
      <c r="CK213" s="28"/>
      <c r="CN213" s="28"/>
      <c r="CQ213" s="28"/>
      <c r="CT213" s="28"/>
      <c r="CW213" s="28"/>
      <c r="CZ213" s="28"/>
      <c r="DC213" s="28"/>
      <c r="DF213" s="28"/>
      <c r="DI213" s="28"/>
      <c r="DL213" s="28"/>
      <c r="DO213" s="28"/>
      <c r="DR213" s="28"/>
      <c r="DU213" s="28"/>
      <c r="DX213" s="28"/>
      <c r="EA213" s="28"/>
      <c r="ED213" s="28"/>
      <c r="EG213" s="28"/>
      <c r="EJ213" s="28"/>
      <c r="EM213" s="28"/>
      <c r="EP213" s="28"/>
      <c r="ES213" s="28"/>
      <c r="EV213" s="28"/>
      <c r="EY213" s="28"/>
      <c r="FB213" s="28"/>
      <c r="FE213" s="28"/>
      <c r="FH213" s="28"/>
      <c r="FK213" s="28"/>
      <c r="FN213" s="28"/>
      <c r="FQ213" s="28"/>
      <c r="FT213" s="28"/>
      <c r="FW213" s="28"/>
      <c r="FZ213" s="28"/>
      <c r="GC213" s="28"/>
    </row>
    <row r="214" spans="1:185" s="25" customFormat="1" x14ac:dyDescent="0.3">
      <c r="A214" s="27"/>
      <c r="B214" s="28"/>
      <c r="C214" s="27"/>
      <c r="D214" s="26"/>
      <c r="E214" s="28"/>
      <c r="H214" s="28"/>
      <c r="K214" s="28"/>
      <c r="N214" s="28"/>
      <c r="Q214" s="28"/>
      <c r="T214" s="28"/>
      <c r="W214" s="28"/>
      <c r="Z214" s="28"/>
      <c r="AC214" s="28"/>
      <c r="AF214" s="28"/>
      <c r="AI214" s="28"/>
      <c r="AL214" s="28"/>
      <c r="AO214" s="28"/>
      <c r="AR214" s="28"/>
      <c r="AU214" s="28"/>
      <c r="AX214" s="28"/>
      <c r="BA214" s="28"/>
      <c r="BD214" s="28"/>
      <c r="BG214" s="28"/>
      <c r="BJ214" s="28"/>
      <c r="BM214" s="28"/>
      <c r="BP214" s="28"/>
      <c r="BS214" s="28"/>
      <c r="BV214" s="28"/>
      <c r="BY214" s="28"/>
      <c r="CB214" s="28"/>
      <c r="CE214" s="28"/>
      <c r="CH214" s="28"/>
      <c r="CK214" s="28"/>
      <c r="CN214" s="28"/>
      <c r="CQ214" s="28"/>
      <c r="CT214" s="28"/>
      <c r="CW214" s="28"/>
      <c r="CZ214" s="28"/>
      <c r="DC214" s="28"/>
      <c r="DF214" s="28"/>
      <c r="DI214" s="28"/>
      <c r="DL214" s="28"/>
      <c r="DO214" s="28"/>
      <c r="DR214" s="28"/>
      <c r="DU214" s="28"/>
      <c r="DX214" s="28"/>
      <c r="EA214" s="28"/>
      <c r="ED214" s="28"/>
      <c r="EG214" s="28"/>
      <c r="EJ214" s="28"/>
      <c r="EM214" s="28"/>
      <c r="EP214" s="28"/>
      <c r="ES214" s="28"/>
      <c r="EV214" s="28"/>
      <c r="EY214" s="28"/>
      <c r="FB214" s="28"/>
      <c r="FE214" s="28"/>
      <c r="FH214" s="28"/>
      <c r="FK214" s="28"/>
      <c r="FN214" s="28"/>
      <c r="FQ214" s="28"/>
      <c r="FT214" s="28"/>
      <c r="FW214" s="28"/>
      <c r="FZ214" s="28"/>
      <c r="GC214" s="28"/>
    </row>
    <row r="215" spans="1:185" s="25" customFormat="1" x14ac:dyDescent="0.3">
      <c r="A215" s="27"/>
      <c r="B215" s="28"/>
      <c r="C215" s="27"/>
      <c r="D215" s="26"/>
      <c r="E215" s="28"/>
      <c r="H215" s="28"/>
      <c r="K215" s="28"/>
      <c r="N215" s="28"/>
      <c r="Q215" s="28"/>
      <c r="T215" s="28"/>
      <c r="W215" s="28"/>
      <c r="Z215" s="28"/>
      <c r="AC215" s="28"/>
      <c r="AF215" s="28"/>
      <c r="AI215" s="28"/>
      <c r="AL215" s="28"/>
      <c r="AO215" s="28"/>
      <c r="AR215" s="28"/>
      <c r="AU215" s="28"/>
      <c r="AX215" s="28"/>
      <c r="BA215" s="28"/>
      <c r="BD215" s="28"/>
      <c r="BG215" s="28"/>
      <c r="BJ215" s="28"/>
      <c r="BM215" s="28"/>
      <c r="BP215" s="28"/>
      <c r="BS215" s="28"/>
      <c r="BV215" s="28"/>
      <c r="BY215" s="28"/>
      <c r="CB215" s="28"/>
      <c r="CE215" s="28"/>
      <c r="CH215" s="28"/>
      <c r="CK215" s="28"/>
      <c r="CN215" s="28"/>
      <c r="CQ215" s="28"/>
      <c r="CT215" s="28"/>
      <c r="CW215" s="28"/>
      <c r="CZ215" s="28"/>
      <c r="DC215" s="28"/>
      <c r="DF215" s="28"/>
      <c r="DI215" s="28"/>
      <c r="DL215" s="28"/>
      <c r="DO215" s="28"/>
      <c r="DR215" s="28"/>
      <c r="DU215" s="28"/>
      <c r="DX215" s="28"/>
      <c r="EA215" s="28"/>
      <c r="ED215" s="28"/>
      <c r="EG215" s="28"/>
      <c r="EJ215" s="28"/>
      <c r="EM215" s="28"/>
      <c r="EP215" s="28"/>
      <c r="ES215" s="28"/>
      <c r="EV215" s="28"/>
      <c r="EY215" s="28"/>
      <c r="FB215" s="28"/>
      <c r="FE215" s="28"/>
      <c r="FH215" s="28"/>
      <c r="FK215" s="28"/>
      <c r="FN215" s="28"/>
      <c r="FQ215" s="28"/>
      <c r="FT215" s="28"/>
      <c r="FW215" s="28"/>
      <c r="FZ215" s="28"/>
      <c r="GC215" s="28"/>
    </row>
    <row r="216" spans="1:185" s="25" customFormat="1" x14ac:dyDescent="0.3">
      <c r="A216" s="27"/>
      <c r="B216" s="28"/>
      <c r="C216" s="27"/>
      <c r="D216" s="26"/>
      <c r="E216" s="28"/>
      <c r="H216" s="28"/>
      <c r="K216" s="28"/>
      <c r="N216" s="28"/>
      <c r="Q216" s="28"/>
      <c r="T216" s="28"/>
      <c r="W216" s="28"/>
      <c r="Z216" s="28"/>
      <c r="AC216" s="28"/>
      <c r="AF216" s="28"/>
      <c r="AI216" s="28"/>
      <c r="AL216" s="28"/>
      <c r="AO216" s="28"/>
      <c r="AR216" s="28"/>
      <c r="AU216" s="28"/>
      <c r="AX216" s="28"/>
      <c r="BA216" s="28"/>
      <c r="BD216" s="28"/>
      <c r="BG216" s="28"/>
      <c r="BJ216" s="28"/>
      <c r="BM216" s="28"/>
      <c r="BP216" s="28"/>
      <c r="BS216" s="28"/>
      <c r="BV216" s="28"/>
      <c r="BY216" s="28"/>
      <c r="CB216" s="28"/>
      <c r="CE216" s="28"/>
      <c r="CH216" s="28"/>
      <c r="CK216" s="28"/>
      <c r="CN216" s="28"/>
      <c r="CQ216" s="28"/>
      <c r="CT216" s="28"/>
      <c r="CW216" s="28"/>
      <c r="CZ216" s="28"/>
      <c r="DC216" s="28"/>
      <c r="DF216" s="28"/>
      <c r="DI216" s="28"/>
      <c r="DL216" s="28"/>
      <c r="DO216" s="28"/>
      <c r="DR216" s="28"/>
      <c r="DU216" s="28"/>
      <c r="DX216" s="28"/>
      <c r="EA216" s="28"/>
      <c r="ED216" s="28"/>
      <c r="EG216" s="28"/>
      <c r="EJ216" s="28"/>
      <c r="EM216" s="28"/>
      <c r="EP216" s="28"/>
      <c r="ES216" s="28"/>
      <c r="EV216" s="28"/>
      <c r="EY216" s="28"/>
      <c r="FB216" s="28"/>
      <c r="FE216" s="28"/>
      <c r="FH216" s="28"/>
      <c r="FK216" s="28"/>
      <c r="FN216" s="28"/>
      <c r="FQ216" s="28"/>
      <c r="FT216" s="28"/>
      <c r="FW216" s="28"/>
      <c r="FZ216" s="28"/>
      <c r="GC216" s="28"/>
    </row>
    <row r="217" spans="1:185" s="25" customFormat="1" x14ac:dyDescent="0.3">
      <c r="A217" s="27"/>
      <c r="B217" s="28"/>
      <c r="C217" s="27"/>
      <c r="D217" s="26"/>
      <c r="E217" s="28"/>
      <c r="H217" s="28"/>
      <c r="K217" s="28"/>
      <c r="N217" s="28"/>
      <c r="Q217" s="28"/>
      <c r="T217" s="28"/>
      <c r="W217" s="28"/>
      <c r="Z217" s="28"/>
      <c r="AC217" s="28"/>
      <c r="AF217" s="28"/>
      <c r="AI217" s="28"/>
      <c r="AL217" s="28"/>
      <c r="AO217" s="28"/>
      <c r="AR217" s="28"/>
      <c r="AU217" s="28"/>
      <c r="AX217" s="28"/>
      <c r="BA217" s="28"/>
      <c r="BD217" s="28"/>
      <c r="BG217" s="28"/>
      <c r="BJ217" s="28"/>
      <c r="BM217" s="28"/>
      <c r="BP217" s="28"/>
      <c r="BS217" s="28"/>
      <c r="BV217" s="28"/>
      <c r="BY217" s="28"/>
      <c r="CB217" s="28"/>
      <c r="CE217" s="28"/>
      <c r="CH217" s="28"/>
      <c r="CK217" s="28"/>
      <c r="CN217" s="28"/>
      <c r="CQ217" s="28"/>
      <c r="CT217" s="28"/>
      <c r="CW217" s="28"/>
      <c r="CZ217" s="28"/>
      <c r="DC217" s="28"/>
      <c r="DF217" s="28"/>
      <c r="DI217" s="28"/>
      <c r="DL217" s="28"/>
      <c r="DO217" s="28"/>
      <c r="DR217" s="28"/>
      <c r="DU217" s="28"/>
      <c r="DX217" s="28"/>
      <c r="EA217" s="28"/>
      <c r="ED217" s="28"/>
      <c r="EG217" s="28"/>
      <c r="EJ217" s="28"/>
      <c r="EM217" s="28"/>
      <c r="EP217" s="28"/>
      <c r="ES217" s="28"/>
      <c r="EV217" s="28"/>
      <c r="EY217" s="28"/>
      <c r="FB217" s="28"/>
      <c r="FE217" s="28"/>
      <c r="FH217" s="28"/>
      <c r="FK217" s="28"/>
      <c r="FN217" s="28"/>
      <c r="FQ217" s="28"/>
      <c r="FT217" s="28"/>
      <c r="FW217" s="28"/>
      <c r="FZ217" s="28"/>
      <c r="GC217" s="28"/>
    </row>
    <row r="218" spans="1:185" s="25" customFormat="1" x14ac:dyDescent="0.3">
      <c r="A218" s="27"/>
      <c r="B218" s="28"/>
      <c r="C218" s="27"/>
      <c r="D218" s="26"/>
      <c r="E218" s="28"/>
      <c r="H218" s="28"/>
      <c r="K218" s="28"/>
      <c r="N218" s="28"/>
      <c r="Q218" s="28"/>
      <c r="T218" s="28"/>
      <c r="W218" s="28"/>
      <c r="Z218" s="28"/>
      <c r="AC218" s="28"/>
      <c r="AF218" s="28"/>
      <c r="AI218" s="28"/>
      <c r="AL218" s="28"/>
      <c r="AO218" s="28"/>
      <c r="AR218" s="28"/>
      <c r="AU218" s="28"/>
      <c r="AX218" s="28"/>
      <c r="BA218" s="28"/>
      <c r="BD218" s="28"/>
      <c r="BG218" s="28"/>
      <c r="BJ218" s="28"/>
      <c r="BM218" s="28"/>
      <c r="BP218" s="28"/>
      <c r="BS218" s="28"/>
      <c r="BV218" s="28"/>
      <c r="BY218" s="28"/>
      <c r="CB218" s="28"/>
      <c r="CE218" s="28"/>
      <c r="CH218" s="28"/>
      <c r="CK218" s="28"/>
      <c r="CN218" s="28"/>
      <c r="CQ218" s="28"/>
      <c r="CT218" s="28"/>
      <c r="CW218" s="28"/>
      <c r="CZ218" s="28"/>
      <c r="DC218" s="28"/>
      <c r="DF218" s="28"/>
      <c r="DI218" s="28"/>
      <c r="DL218" s="28"/>
      <c r="DO218" s="28"/>
      <c r="DR218" s="28"/>
      <c r="DU218" s="28"/>
      <c r="DX218" s="28"/>
      <c r="EA218" s="28"/>
      <c r="ED218" s="28"/>
      <c r="EG218" s="28"/>
      <c r="EJ218" s="28"/>
      <c r="EM218" s="28"/>
      <c r="EP218" s="28"/>
      <c r="ES218" s="28"/>
      <c r="EV218" s="28"/>
      <c r="EY218" s="28"/>
      <c r="FB218" s="28"/>
      <c r="FE218" s="28"/>
      <c r="FH218" s="28"/>
      <c r="FK218" s="28"/>
      <c r="FN218" s="28"/>
      <c r="FQ218" s="28"/>
      <c r="FT218" s="28"/>
      <c r="FW218" s="28"/>
      <c r="FZ218" s="28"/>
      <c r="GC218" s="28"/>
    </row>
    <row r="219" spans="1:185" s="25" customFormat="1" x14ac:dyDescent="0.3">
      <c r="A219" s="27"/>
      <c r="B219" s="28"/>
      <c r="C219" s="27"/>
      <c r="D219" s="26"/>
      <c r="E219" s="28"/>
      <c r="H219" s="28"/>
      <c r="K219" s="28"/>
      <c r="N219" s="28"/>
      <c r="Q219" s="28"/>
      <c r="T219" s="28"/>
      <c r="W219" s="28"/>
      <c r="Z219" s="28"/>
      <c r="AC219" s="28"/>
      <c r="AF219" s="28"/>
      <c r="AI219" s="28"/>
      <c r="AL219" s="28"/>
      <c r="AO219" s="28"/>
      <c r="AR219" s="28"/>
      <c r="AU219" s="28"/>
      <c r="AX219" s="28"/>
      <c r="BA219" s="28"/>
      <c r="BD219" s="28"/>
      <c r="BG219" s="28"/>
      <c r="BJ219" s="28"/>
      <c r="BM219" s="28"/>
      <c r="BP219" s="28"/>
      <c r="BS219" s="28"/>
      <c r="BV219" s="28"/>
      <c r="BY219" s="28"/>
      <c r="CB219" s="28"/>
      <c r="CE219" s="28"/>
      <c r="CH219" s="28"/>
      <c r="CK219" s="28"/>
      <c r="CN219" s="28"/>
      <c r="CQ219" s="28"/>
      <c r="CT219" s="28"/>
      <c r="CW219" s="28"/>
      <c r="CZ219" s="28"/>
      <c r="DC219" s="28"/>
      <c r="DF219" s="28"/>
      <c r="DI219" s="28"/>
      <c r="DL219" s="28"/>
      <c r="DO219" s="28"/>
      <c r="DR219" s="28"/>
      <c r="DU219" s="28"/>
      <c r="DX219" s="28"/>
      <c r="EA219" s="28"/>
      <c r="ED219" s="28"/>
      <c r="EG219" s="28"/>
      <c r="EJ219" s="28"/>
      <c r="EM219" s="28"/>
      <c r="EP219" s="28"/>
      <c r="ES219" s="28"/>
      <c r="EV219" s="28"/>
      <c r="EY219" s="28"/>
      <c r="FB219" s="28"/>
      <c r="FE219" s="28"/>
      <c r="FH219" s="28"/>
      <c r="FK219" s="28"/>
      <c r="FN219" s="28"/>
      <c r="FQ219" s="28"/>
      <c r="FT219" s="28"/>
      <c r="FW219" s="28"/>
      <c r="FZ219" s="28"/>
      <c r="GC219" s="28"/>
    </row>
    <row r="220" spans="1:185" s="25" customFormat="1" x14ac:dyDescent="0.3">
      <c r="A220" s="27"/>
      <c r="B220" s="28"/>
      <c r="C220" s="27"/>
      <c r="D220" s="26"/>
      <c r="E220" s="28"/>
      <c r="H220" s="28"/>
      <c r="K220" s="28"/>
      <c r="N220" s="28"/>
      <c r="Q220" s="28"/>
      <c r="T220" s="28"/>
      <c r="W220" s="28"/>
      <c r="Z220" s="28"/>
      <c r="AC220" s="28"/>
      <c r="AF220" s="28"/>
      <c r="AI220" s="28"/>
      <c r="AL220" s="28"/>
      <c r="AO220" s="28"/>
      <c r="AR220" s="28"/>
      <c r="AU220" s="28"/>
      <c r="AX220" s="28"/>
      <c r="BA220" s="28"/>
      <c r="BD220" s="28"/>
      <c r="BG220" s="28"/>
      <c r="BJ220" s="28"/>
      <c r="BM220" s="28"/>
      <c r="BP220" s="28"/>
      <c r="BS220" s="28"/>
      <c r="BV220" s="28"/>
      <c r="BY220" s="28"/>
      <c r="CB220" s="28"/>
      <c r="CE220" s="28"/>
      <c r="CH220" s="28"/>
      <c r="CK220" s="28"/>
      <c r="CN220" s="28"/>
      <c r="CQ220" s="28"/>
      <c r="CT220" s="28"/>
      <c r="CW220" s="28"/>
      <c r="CZ220" s="28"/>
      <c r="DC220" s="28"/>
      <c r="DF220" s="28"/>
      <c r="DI220" s="28"/>
      <c r="DL220" s="28"/>
      <c r="DO220" s="28"/>
      <c r="DR220" s="28"/>
      <c r="DU220" s="28"/>
      <c r="DX220" s="28"/>
      <c r="EA220" s="28"/>
      <c r="ED220" s="28"/>
      <c r="EG220" s="28"/>
      <c r="EJ220" s="28"/>
      <c r="EM220" s="28"/>
      <c r="EP220" s="28"/>
      <c r="ES220" s="28"/>
      <c r="EV220" s="28"/>
      <c r="EY220" s="28"/>
      <c r="FB220" s="28"/>
      <c r="FE220" s="28"/>
      <c r="FH220" s="28"/>
      <c r="FK220" s="28"/>
      <c r="FN220" s="28"/>
      <c r="FQ220" s="28"/>
      <c r="FT220" s="28"/>
      <c r="FW220" s="28"/>
      <c r="FZ220" s="28"/>
      <c r="GC220" s="28"/>
    </row>
    <row r="221" spans="1:185" s="25" customFormat="1" x14ac:dyDescent="0.3">
      <c r="A221" s="27"/>
      <c r="B221" s="28"/>
      <c r="C221" s="27"/>
      <c r="D221" s="26"/>
      <c r="E221" s="28"/>
      <c r="H221" s="28"/>
      <c r="K221" s="28"/>
      <c r="N221" s="28"/>
      <c r="Q221" s="28"/>
      <c r="T221" s="28"/>
      <c r="W221" s="28"/>
      <c r="Z221" s="28"/>
      <c r="AC221" s="28"/>
      <c r="AF221" s="28"/>
      <c r="AI221" s="28"/>
      <c r="AL221" s="28"/>
      <c r="AO221" s="28"/>
      <c r="AR221" s="28"/>
      <c r="AU221" s="28"/>
      <c r="AX221" s="28"/>
      <c r="BA221" s="28"/>
      <c r="BD221" s="28"/>
      <c r="BG221" s="28"/>
      <c r="BJ221" s="28"/>
      <c r="BM221" s="28"/>
      <c r="BP221" s="28"/>
      <c r="BS221" s="28"/>
      <c r="BV221" s="28"/>
      <c r="BY221" s="28"/>
      <c r="CB221" s="28"/>
      <c r="CE221" s="28"/>
      <c r="CH221" s="28"/>
      <c r="CK221" s="28"/>
      <c r="CN221" s="28"/>
      <c r="CQ221" s="28"/>
      <c r="CT221" s="28"/>
      <c r="CW221" s="28"/>
      <c r="CZ221" s="28"/>
      <c r="DC221" s="28"/>
      <c r="DF221" s="28"/>
      <c r="DI221" s="28"/>
      <c r="DL221" s="28"/>
      <c r="DO221" s="28"/>
      <c r="DR221" s="28"/>
      <c r="DU221" s="28"/>
      <c r="DX221" s="28"/>
      <c r="EA221" s="28"/>
      <c r="ED221" s="28"/>
      <c r="EG221" s="28"/>
      <c r="EJ221" s="28"/>
      <c r="EM221" s="28"/>
      <c r="EP221" s="28"/>
      <c r="ES221" s="28"/>
      <c r="EV221" s="28"/>
      <c r="EY221" s="28"/>
      <c r="FB221" s="28"/>
      <c r="FE221" s="28"/>
      <c r="FH221" s="28"/>
      <c r="FK221" s="28"/>
      <c r="FN221" s="28"/>
      <c r="FQ221" s="28"/>
      <c r="FT221" s="28"/>
      <c r="FW221" s="28"/>
      <c r="FZ221" s="28"/>
      <c r="GC221" s="28"/>
    </row>
    <row r="222" spans="1:185" s="25" customFormat="1" x14ac:dyDescent="0.3">
      <c r="A222" s="27"/>
      <c r="B222" s="28"/>
      <c r="C222" s="27"/>
      <c r="D222" s="26"/>
      <c r="E222" s="28"/>
      <c r="H222" s="28"/>
      <c r="K222" s="28"/>
      <c r="N222" s="28"/>
      <c r="Q222" s="28"/>
      <c r="T222" s="28"/>
      <c r="W222" s="28"/>
      <c r="Z222" s="28"/>
      <c r="AC222" s="28"/>
      <c r="AF222" s="28"/>
      <c r="AI222" s="28"/>
      <c r="AL222" s="28"/>
      <c r="AO222" s="28"/>
      <c r="AR222" s="28"/>
      <c r="AU222" s="28"/>
      <c r="AX222" s="28"/>
      <c r="BA222" s="28"/>
      <c r="BD222" s="28"/>
      <c r="BG222" s="28"/>
      <c r="BJ222" s="28"/>
      <c r="BM222" s="28"/>
      <c r="BP222" s="28"/>
      <c r="BS222" s="28"/>
      <c r="BV222" s="28"/>
      <c r="BY222" s="28"/>
      <c r="CB222" s="28"/>
      <c r="CE222" s="28"/>
      <c r="CH222" s="28"/>
      <c r="CK222" s="28"/>
      <c r="CN222" s="28"/>
      <c r="CQ222" s="28"/>
      <c r="CT222" s="28"/>
      <c r="CW222" s="28"/>
      <c r="CZ222" s="28"/>
      <c r="DC222" s="28"/>
      <c r="DF222" s="28"/>
      <c r="DI222" s="28"/>
      <c r="DL222" s="28"/>
      <c r="DO222" s="28"/>
      <c r="DR222" s="28"/>
      <c r="DU222" s="28"/>
      <c r="DX222" s="28"/>
      <c r="EA222" s="28"/>
      <c r="ED222" s="28"/>
      <c r="EG222" s="28"/>
      <c r="EJ222" s="28"/>
      <c r="EM222" s="28"/>
      <c r="EP222" s="28"/>
      <c r="ES222" s="28"/>
      <c r="EV222" s="28"/>
      <c r="EY222" s="28"/>
      <c r="FB222" s="28"/>
      <c r="FE222" s="28"/>
      <c r="FH222" s="28"/>
      <c r="FK222" s="28"/>
      <c r="FN222" s="28"/>
      <c r="FQ222" s="28"/>
      <c r="FT222" s="28"/>
      <c r="FW222" s="28"/>
      <c r="FZ222" s="28"/>
      <c r="GC222" s="28"/>
    </row>
    <row r="223" spans="1:185" s="25" customFormat="1" x14ac:dyDescent="0.3">
      <c r="A223" s="27"/>
      <c r="B223" s="28"/>
      <c r="C223" s="27"/>
      <c r="D223" s="26"/>
      <c r="E223" s="28"/>
      <c r="H223" s="28"/>
      <c r="K223" s="28"/>
      <c r="N223" s="28"/>
      <c r="Q223" s="28"/>
      <c r="T223" s="28"/>
      <c r="W223" s="28"/>
      <c r="Z223" s="28"/>
      <c r="AC223" s="28"/>
      <c r="AF223" s="28"/>
      <c r="AI223" s="28"/>
      <c r="AL223" s="28"/>
      <c r="AO223" s="28"/>
      <c r="AR223" s="28"/>
      <c r="AU223" s="28"/>
      <c r="AX223" s="28"/>
      <c r="BA223" s="28"/>
      <c r="BD223" s="28"/>
      <c r="BG223" s="28"/>
      <c r="BJ223" s="28"/>
      <c r="BM223" s="28"/>
      <c r="BP223" s="28"/>
      <c r="BS223" s="28"/>
      <c r="BV223" s="28"/>
      <c r="BY223" s="28"/>
      <c r="CB223" s="28"/>
      <c r="CE223" s="28"/>
      <c r="CH223" s="28"/>
      <c r="CK223" s="28"/>
      <c r="CN223" s="28"/>
      <c r="CQ223" s="28"/>
      <c r="CT223" s="28"/>
      <c r="CW223" s="28"/>
      <c r="CZ223" s="28"/>
      <c r="DC223" s="28"/>
      <c r="DF223" s="28"/>
      <c r="DI223" s="28"/>
      <c r="DL223" s="28"/>
      <c r="DO223" s="28"/>
      <c r="DR223" s="28"/>
      <c r="DU223" s="28"/>
      <c r="DX223" s="28"/>
      <c r="EA223" s="28"/>
      <c r="ED223" s="28"/>
      <c r="EG223" s="28"/>
      <c r="EJ223" s="28"/>
      <c r="EM223" s="28"/>
      <c r="EP223" s="28"/>
      <c r="ES223" s="28"/>
      <c r="EV223" s="28"/>
      <c r="EY223" s="28"/>
      <c r="FB223" s="28"/>
      <c r="FE223" s="28"/>
      <c r="FH223" s="28"/>
      <c r="FK223" s="28"/>
      <c r="FN223" s="28"/>
      <c r="FQ223" s="28"/>
      <c r="FT223" s="28"/>
      <c r="FW223" s="28"/>
      <c r="FZ223" s="28"/>
      <c r="GC223" s="28"/>
    </row>
    <row r="224" spans="1:185" s="25" customFormat="1" x14ac:dyDescent="0.3">
      <c r="A224" s="27"/>
      <c r="B224" s="28"/>
      <c r="C224" s="27"/>
      <c r="D224" s="26"/>
      <c r="E224" s="28"/>
      <c r="H224" s="28"/>
      <c r="K224" s="28"/>
      <c r="N224" s="28"/>
      <c r="Q224" s="28"/>
      <c r="T224" s="28"/>
      <c r="W224" s="28"/>
      <c r="Z224" s="28"/>
      <c r="AC224" s="28"/>
      <c r="AF224" s="28"/>
      <c r="AI224" s="28"/>
      <c r="AL224" s="28"/>
      <c r="AO224" s="28"/>
      <c r="AR224" s="28"/>
      <c r="AU224" s="28"/>
      <c r="AX224" s="28"/>
      <c r="BA224" s="28"/>
      <c r="BD224" s="28"/>
      <c r="BG224" s="28"/>
      <c r="BJ224" s="28"/>
      <c r="BM224" s="28"/>
      <c r="BP224" s="28"/>
      <c r="BS224" s="28"/>
      <c r="BV224" s="28"/>
      <c r="BY224" s="28"/>
      <c r="CB224" s="28"/>
      <c r="CE224" s="28"/>
      <c r="CH224" s="28"/>
      <c r="CK224" s="28"/>
      <c r="CN224" s="28"/>
      <c r="CQ224" s="28"/>
      <c r="CT224" s="28"/>
      <c r="CW224" s="28"/>
      <c r="CZ224" s="28"/>
      <c r="DC224" s="28"/>
      <c r="DF224" s="28"/>
      <c r="DI224" s="28"/>
      <c r="DL224" s="28"/>
      <c r="DO224" s="28"/>
      <c r="DR224" s="28"/>
      <c r="DU224" s="28"/>
      <c r="DX224" s="28"/>
      <c r="EA224" s="28"/>
      <c r="ED224" s="28"/>
      <c r="EG224" s="28"/>
      <c r="EJ224" s="28"/>
      <c r="EM224" s="28"/>
      <c r="EP224" s="28"/>
      <c r="ES224" s="28"/>
      <c r="EV224" s="28"/>
      <c r="EY224" s="28"/>
      <c r="FB224" s="28"/>
      <c r="FE224" s="28"/>
      <c r="FH224" s="28"/>
      <c r="FK224" s="28"/>
      <c r="FN224" s="28"/>
      <c r="FQ224" s="28"/>
      <c r="FT224" s="28"/>
      <c r="FW224" s="28"/>
      <c r="FZ224" s="28"/>
      <c r="GC224" s="28"/>
    </row>
    <row r="225" spans="1:185" s="25" customFormat="1" x14ac:dyDescent="0.3">
      <c r="A225" s="27"/>
      <c r="B225" s="28"/>
      <c r="C225" s="27"/>
      <c r="D225" s="26"/>
      <c r="E225" s="28"/>
      <c r="H225" s="28"/>
      <c r="K225" s="28"/>
      <c r="N225" s="28"/>
      <c r="Q225" s="28"/>
      <c r="T225" s="28"/>
      <c r="W225" s="28"/>
      <c r="Z225" s="28"/>
      <c r="AC225" s="28"/>
      <c r="AF225" s="28"/>
      <c r="AI225" s="28"/>
      <c r="AL225" s="28"/>
      <c r="AO225" s="28"/>
      <c r="AR225" s="28"/>
      <c r="AU225" s="28"/>
      <c r="AX225" s="28"/>
      <c r="BA225" s="28"/>
      <c r="BD225" s="28"/>
      <c r="BG225" s="28"/>
      <c r="BJ225" s="28"/>
      <c r="BM225" s="28"/>
      <c r="BP225" s="28"/>
      <c r="BS225" s="28"/>
      <c r="BV225" s="28"/>
      <c r="BY225" s="28"/>
      <c r="CB225" s="28"/>
      <c r="CE225" s="28"/>
      <c r="CH225" s="28"/>
      <c r="CK225" s="28"/>
      <c r="CN225" s="28"/>
      <c r="CQ225" s="28"/>
      <c r="CT225" s="28"/>
      <c r="CW225" s="28"/>
      <c r="CZ225" s="28"/>
      <c r="DC225" s="28"/>
      <c r="DF225" s="28"/>
      <c r="DI225" s="28"/>
      <c r="DL225" s="28"/>
      <c r="DO225" s="28"/>
      <c r="DR225" s="28"/>
      <c r="DU225" s="28"/>
      <c r="DX225" s="28"/>
      <c r="EA225" s="28"/>
      <c r="ED225" s="28"/>
      <c r="EG225" s="28"/>
      <c r="EJ225" s="28"/>
      <c r="EM225" s="28"/>
      <c r="EP225" s="28"/>
      <c r="ES225" s="28"/>
      <c r="EV225" s="28"/>
      <c r="EY225" s="28"/>
      <c r="FB225" s="28"/>
      <c r="FE225" s="28"/>
      <c r="FH225" s="28"/>
      <c r="FK225" s="28"/>
      <c r="FN225" s="28"/>
      <c r="FQ225" s="28"/>
      <c r="FT225" s="28"/>
      <c r="FW225" s="28"/>
      <c r="FZ225" s="28"/>
      <c r="GC225" s="28"/>
    </row>
    <row r="226" spans="1:185" s="25" customFormat="1" x14ac:dyDescent="0.3">
      <c r="A226" s="27"/>
      <c r="B226" s="28"/>
      <c r="C226" s="27"/>
      <c r="D226" s="26"/>
      <c r="E226" s="28"/>
      <c r="H226" s="28"/>
      <c r="K226" s="28"/>
      <c r="N226" s="28"/>
      <c r="Q226" s="28"/>
      <c r="T226" s="28"/>
      <c r="W226" s="28"/>
      <c r="Z226" s="28"/>
      <c r="AC226" s="28"/>
      <c r="AF226" s="28"/>
      <c r="AI226" s="28"/>
      <c r="AL226" s="28"/>
      <c r="AO226" s="28"/>
      <c r="AR226" s="28"/>
      <c r="AU226" s="28"/>
      <c r="AX226" s="28"/>
      <c r="BA226" s="28"/>
      <c r="BD226" s="28"/>
      <c r="BG226" s="28"/>
      <c r="BJ226" s="28"/>
      <c r="BM226" s="28"/>
      <c r="BP226" s="28"/>
      <c r="BS226" s="28"/>
      <c r="BV226" s="28"/>
      <c r="BY226" s="28"/>
      <c r="CB226" s="28"/>
      <c r="CE226" s="28"/>
      <c r="CH226" s="28"/>
      <c r="CK226" s="28"/>
      <c r="CN226" s="28"/>
      <c r="CQ226" s="28"/>
      <c r="CT226" s="28"/>
      <c r="CW226" s="28"/>
      <c r="CZ226" s="28"/>
      <c r="DC226" s="28"/>
      <c r="DF226" s="28"/>
      <c r="DI226" s="28"/>
      <c r="DL226" s="28"/>
      <c r="DO226" s="28"/>
      <c r="DR226" s="28"/>
      <c r="DU226" s="28"/>
      <c r="DX226" s="28"/>
      <c r="EA226" s="28"/>
      <c r="ED226" s="28"/>
      <c r="EG226" s="28"/>
      <c r="EJ226" s="28"/>
      <c r="EM226" s="28"/>
      <c r="EP226" s="28"/>
      <c r="ES226" s="28"/>
      <c r="EV226" s="28"/>
      <c r="EY226" s="28"/>
      <c r="FB226" s="28"/>
      <c r="FE226" s="28"/>
      <c r="FH226" s="28"/>
      <c r="FK226" s="28"/>
      <c r="FN226" s="28"/>
      <c r="FQ226" s="28"/>
      <c r="FT226" s="28"/>
      <c r="FW226" s="28"/>
      <c r="FZ226" s="28"/>
      <c r="GC226" s="28"/>
    </row>
    <row r="227" spans="1:185" s="25" customFormat="1" x14ac:dyDescent="0.3">
      <c r="A227" s="27"/>
      <c r="B227" s="28"/>
      <c r="C227" s="27"/>
      <c r="D227" s="26"/>
      <c r="E227" s="28"/>
      <c r="H227" s="28"/>
      <c r="K227" s="28"/>
      <c r="N227" s="28"/>
      <c r="Q227" s="28"/>
      <c r="T227" s="28"/>
      <c r="W227" s="28"/>
      <c r="Z227" s="28"/>
      <c r="AC227" s="28"/>
      <c r="AF227" s="28"/>
      <c r="AI227" s="28"/>
      <c r="AL227" s="28"/>
      <c r="AO227" s="28"/>
      <c r="AR227" s="28"/>
      <c r="AU227" s="28"/>
      <c r="AX227" s="28"/>
      <c r="BA227" s="28"/>
      <c r="BD227" s="28"/>
      <c r="BG227" s="28"/>
      <c r="BJ227" s="28"/>
      <c r="BM227" s="28"/>
      <c r="BP227" s="28"/>
      <c r="BS227" s="28"/>
      <c r="BV227" s="28"/>
      <c r="BY227" s="28"/>
      <c r="CB227" s="28"/>
      <c r="CE227" s="28"/>
      <c r="CH227" s="28"/>
      <c r="CK227" s="28"/>
      <c r="CN227" s="28"/>
      <c r="CQ227" s="28"/>
      <c r="CT227" s="28"/>
      <c r="CW227" s="28"/>
      <c r="CZ227" s="28"/>
      <c r="DC227" s="28"/>
      <c r="DF227" s="28"/>
      <c r="DI227" s="28"/>
      <c r="DL227" s="28"/>
      <c r="DO227" s="28"/>
      <c r="DR227" s="28"/>
      <c r="DU227" s="28"/>
      <c r="DX227" s="28"/>
      <c r="EA227" s="28"/>
      <c r="ED227" s="28"/>
      <c r="EG227" s="28"/>
      <c r="EJ227" s="28"/>
      <c r="EM227" s="28"/>
      <c r="EP227" s="28"/>
      <c r="ES227" s="28"/>
      <c r="EV227" s="28"/>
      <c r="EY227" s="28"/>
      <c r="FB227" s="28"/>
      <c r="FE227" s="28"/>
      <c r="FH227" s="28"/>
      <c r="FK227" s="28"/>
      <c r="FN227" s="28"/>
      <c r="FQ227" s="28"/>
      <c r="FT227" s="28"/>
      <c r="FW227" s="28"/>
      <c r="FZ227" s="28"/>
      <c r="GC227" s="28"/>
    </row>
    <row r="228" spans="1:185" s="25" customFormat="1" x14ac:dyDescent="0.3">
      <c r="A228" s="27"/>
      <c r="B228" s="28"/>
      <c r="C228" s="27"/>
      <c r="D228" s="26"/>
      <c r="E228" s="28"/>
      <c r="H228" s="28"/>
      <c r="K228" s="28"/>
      <c r="N228" s="28"/>
      <c r="Q228" s="28"/>
      <c r="T228" s="28"/>
      <c r="W228" s="28"/>
      <c r="Z228" s="28"/>
      <c r="AC228" s="28"/>
      <c r="AF228" s="28"/>
      <c r="AI228" s="28"/>
      <c r="AL228" s="28"/>
      <c r="AO228" s="28"/>
      <c r="AR228" s="28"/>
      <c r="AU228" s="28"/>
      <c r="AX228" s="28"/>
      <c r="BA228" s="28"/>
      <c r="BD228" s="28"/>
      <c r="BG228" s="28"/>
      <c r="BJ228" s="28"/>
      <c r="BM228" s="28"/>
      <c r="BP228" s="28"/>
      <c r="BS228" s="28"/>
      <c r="BV228" s="28"/>
      <c r="BY228" s="28"/>
      <c r="CB228" s="28"/>
      <c r="CE228" s="28"/>
      <c r="CH228" s="28"/>
      <c r="CK228" s="28"/>
      <c r="CN228" s="28"/>
      <c r="CQ228" s="28"/>
      <c r="CT228" s="28"/>
      <c r="CW228" s="28"/>
      <c r="CZ228" s="28"/>
      <c r="DC228" s="28"/>
      <c r="DF228" s="28"/>
      <c r="DI228" s="28"/>
      <c r="DL228" s="28"/>
      <c r="DO228" s="28"/>
      <c r="DR228" s="28"/>
      <c r="DU228" s="28"/>
      <c r="DX228" s="28"/>
      <c r="EA228" s="28"/>
      <c r="ED228" s="28"/>
      <c r="EG228" s="28"/>
      <c r="EJ228" s="28"/>
      <c r="EM228" s="28"/>
      <c r="EP228" s="28"/>
      <c r="ES228" s="28"/>
      <c r="EV228" s="28"/>
      <c r="EY228" s="28"/>
      <c r="FB228" s="28"/>
      <c r="FE228" s="28"/>
      <c r="FH228" s="28"/>
      <c r="FK228" s="28"/>
      <c r="FN228" s="28"/>
      <c r="FQ228" s="28"/>
      <c r="FT228" s="28"/>
      <c r="FW228" s="28"/>
      <c r="FZ228" s="28"/>
      <c r="GC228" s="28"/>
    </row>
    <row r="229" spans="1:185" s="25" customFormat="1" x14ac:dyDescent="0.3">
      <c r="A229" s="27"/>
      <c r="B229" s="28"/>
      <c r="C229" s="27"/>
      <c r="D229" s="26"/>
      <c r="E229" s="28"/>
      <c r="H229" s="28"/>
      <c r="K229" s="28"/>
      <c r="N229" s="28"/>
      <c r="Q229" s="28"/>
      <c r="T229" s="28"/>
      <c r="W229" s="28"/>
      <c r="Z229" s="28"/>
      <c r="AC229" s="28"/>
      <c r="AF229" s="28"/>
      <c r="AI229" s="28"/>
      <c r="AL229" s="28"/>
      <c r="AO229" s="28"/>
      <c r="AR229" s="28"/>
      <c r="AU229" s="28"/>
      <c r="AX229" s="28"/>
      <c r="BA229" s="28"/>
      <c r="BD229" s="28"/>
      <c r="BG229" s="28"/>
      <c r="BJ229" s="28"/>
      <c r="BM229" s="28"/>
      <c r="BP229" s="28"/>
      <c r="BS229" s="28"/>
      <c r="BV229" s="28"/>
      <c r="BY229" s="28"/>
      <c r="CB229" s="28"/>
      <c r="CE229" s="28"/>
      <c r="CH229" s="28"/>
      <c r="CK229" s="28"/>
      <c r="CN229" s="28"/>
      <c r="CQ229" s="28"/>
      <c r="CT229" s="28"/>
      <c r="CW229" s="28"/>
      <c r="CZ229" s="28"/>
      <c r="DC229" s="28"/>
      <c r="DF229" s="28"/>
      <c r="DI229" s="28"/>
      <c r="DL229" s="28"/>
      <c r="DO229" s="28"/>
      <c r="DR229" s="28"/>
      <c r="DU229" s="28"/>
      <c r="DX229" s="28"/>
      <c r="EA229" s="28"/>
      <c r="ED229" s="28"/>
      <c r="EG229" s="28"/>
      <c r="EJ229" s="28"/>
      <c r="EM229" s="28"/>
      <c r="EP229" s="28"/>
      <c r="ES229" s="28"/>
      <c r="EV229" s="28"/>
      <c r="EY229" s="28"/>
      <c r="FB229" s="28"/>
      <c r="FE229" s="28"/>
      <c r="FH229" s="28"/>
      <c r="FK229" s="28"/>
      <c r="FN229" s="28"/>
      <c r="FQ229" s="28"/>
      <c r="FT229" s="28"/>
      <c r="FW229" s="28"/>
      <c r="FZ229" s="28"/>
      <c r="GC229" s="28"/>
    </row>
    <row r="230" spans="1:185" s="25" customFormat="1" x14ac:dyDescent="0.3">
      <c r="A230" s="27"/>
      <c r="B230" s="28"/>
      <c r="C230" s="27"/>
      <c r="D230" s="26"/>
      <c r="E230" s="28"/>
      <c r="H230" s="28"/>
      <c r="K230" s="28"/>
      <c r="N230" s="28"/>
      <c r="Q230" s="28"/>
      <c r="T230" s="28"/>
      <c r="W230" s="28"/>
      <c r="Z230" s="28"/>
      <c r="AC230" s="28"/>
      <c r="AF230" s="28"/>
      <c r="AI230" s="28"/>
      <c r="AL230" s="28"/>
      <c r="AO230" s="28"/>
      <c r="AR230" s="28"/>
      <c r="AU230" s="28"/>
      <c r="AX230" s="28"/>
      <c r="BA230" s="28"/>
      <c r="BD230" s="28"/>
      <c r="BG230" s="28"/>
      <c r="BJ230" s="28"/>
      <c r="BM230" s="28"/>
      <c r="BP230" s="28"/>
      <c r="BS230" s="28"/>
      <c r="BV230" s="28"/>
      <c r="BY230" s="28"/>
      <c r="CB230" s="28"/>
      <c r="CE230" s="28"/>
      <c r="CH230" s="28"/>
      <c r="CK230" s="28"/>
      <c r="CN230" s="28"/>
      <c r="CQ230" s="28"/>
      <c r="CT230" s="28"/>
      <c r="CW230" s="28"/>
      <c r="CZ230" s="28"/>
      <c r="DC230" s="28"/>
      <c r="DF230" s="28"/>
      <c r="DI230" s="28"/>
      <c r="DL230" s="28"/>
      <c r="DO230" s="28"/>
      <c r="DR230" s="28"/>
      <c r="DU230" s="28"/>
      <c r="DX230" s="28"/>
      <c r="EA230" s="28"/>
      <c r="ED230" s="28"/>
      <c r="EG230" s="28"/>
      <c r="EJ230" s="28"/>
      <c r="EM230" s="28"/>
      <c r="EP230" s="28"/>
      <c r="ES230" s="28"/>
      <c r="EV230" s="28"/>
      <c r="EY230" s="28"/>
      <c r="FB230" s="28"/>
      <c r="FE230" s="28"/>
      <c r="FH230" s="28"/>
      <c r="FK230" s="28"/>
      <c r="FN230" s="28"/>
      <c r="FQ230" s="28"/>
      <c r="FT230" s="28"/>
      <c r="FW230" s="28"/>
      <c r="FZ230" s="28"/>
      <c r="GC230" s="28"/>
    </row>
    <row r="231" spans="1:185" s="25" customFormat="1" x14ac:dyDescent="0.3">
      <c r="A231" s="27"/>
      <c r="B231" s="28"/>
      <c r="C231" s="27"/>
      <c r="D231" s="26"/>
      <c r="E231" s="28"/>
      <c r="H231" s="28"/>
      <c r="K231" s="28"/>
      <c r="N231" s="28"/>
      <c r="Q231" s="28"/>
      <c r="T231" s="28"/>
      <c r="W231" s="28"/>
      <c r="Z231" s="28"/>
      <c r="AC231" s="28"/>
      <c r="AF231" s="28"/>
      <c r="AI231" s="28"/>
      <c r="AL231" s="28"/>
      <c r="AO231" s="28"/>
      <c r="AR231" s="28"/>
      <c r="AU231" s="28"/>
      <c r="AX231" s="28"/>
      <c r="BA231" s="28"/>
      <c r="BD231" s="28"/>
      <c r="BG231" s="28"/>
      <c r="BJ231" s="28"/>
      <c r="BM231" s="28"/>
      <c r="BP231" s="28"/>
      <c r="BS231" s="28"/>
      <c r="BV231" s="28"/>
      <c r="BY231" s="28"/>
      <c r="CB231" s="28"/>
      <c r="CE231" s="28"/>
      <c r="CH231" s="28"/>
      <c r="CK231" s="28"/>
      <c r="CN231" s="28"/>
      <c r="CQ231" s="28"/>
      <c r="CT231" s="28"/>
      <c r="CW231" s="28"/>
      <c r="CZ231" s="28"/>
      <c r="DC231" s="28"/>
      <c r="DF231" s="28"/>
      <c r="DI231" s="28"/>
      <c r="DL231" s="28"/>
      <c r="DO231" s="28"/>
      <c r="DR231" s="28"/>
      <c r="DU231" s="28"/>
      <c r="DX231" s="28"/>
      <c r="EA231" s="28"/>
      <c r="ED231" s="28"/>
      <c r="EG231" s="28"/>
      <c r="EJ231" s="28"/>
      <c r="EM231" s="28"/>
      <c r="EP231" s="28"/>
      <c r="ES231" s="28"/>
      <c r="EV231" s="28"/>
      <c r="EY231" s="28"/>
      <c r="FB231" s="28"/>
      <c r="FE231" s="28"/>
      <c r="FH231" s="28"/>
      <c r="FK231" s="28"/>
      <c r="FN231" s="28"/>
      <c r="FQ231" s="28"/>
      <c r="FT231" s="28"/>
      <c r="FW231" s="28"/>
      <c r="FZ231" s="28"/>
      <c r="GC231" s="28"/>
    </row>
    <row r="232" spans="1:185" s="25" customFormat="1" x14ac:dyDescent="0.3">
      <c r="A232" s="27"/>
      <c r="B232" s="28"/>
      <c r="C232" s="27"/>
      <c r="D232" s="26"/>
      <c r="E232" s="28"/>
      <c r="H232" s="28"/>
      <c r="K232" s="28"/>
      <c r="N232" s="28"/>
      <c r="Q232" s="28"/>
      <c r="T232" s="28"/>
      <c r="W232" s="28"/>
      <c r="Z232" s="28"/>
      <c r="AC232" s="28"/>
      <c r="AF232" s="28"/>
      <c r="AI232" s="28"/>
      <c r="AL232" s="28"/>
      <c r="AO232" s="28"/>
      <c r="AR232" s="28"/>
      <c r="AU232" s="28"/>
      <c r="AX232" s="28"/>
      <c r="BA232" s="28"/>
      <c r="BD232" s="28"/>
      <c r="BG232" s="28"/>
      <c r="BJ232" s="28"/>
      <c r="BM232" s="28"/>
      <c r="BP232" s="28"/>
      <c r="BS232" s="28"/>
      <c r="BV232" s="28"/>
      <c r="BY232" s="28"/>
      <c r="CB232" s="28"/>
      <c r="CE232" s="28"/>
      <c r="CH232" s="28"/>
      <c r="CK232" s="28"/>
      <c r="CN232" s="28"/>
      <c r="CQ232" s="28"/>
      <c r="CT232" s="28"/>
      <c r="CW232" s="28"/>
      <c r="CZ232" s="28"/>
      <c r="DC232" s="28"/>
      <c r="DF232" s="28"/>
      <c r="DI232" s="28"/>
      <c r="DL232" s="28"/>
      <c r="DO232" s="28"/>
      <c r="DR232" s="28"/>
      <c r="DU232" s="28"/>
      <c r="DX232" s="28"/>
      <c r="EA232" s="28"/>
      <c r="ED232" s="28"/>
      <c r="EG232" s="28"/>
      <c r="EJ232" s="28"/>
      <c r="EM232" s="28"/>
      <c r="EP232" s="28"/>
      <c r="ES232" s="28"/>
      <c r="EV232" s="28"/>
      <c r="EY232" s="28"/>
      <c r="FB232" s="28"/>
      <c r="FE232" s="28"/>
      <c r="FH232" s="28"/>
      <c r="FK232" s="28"/>
      <c r="FN232" s="28"/>
      <c r="FQ232" s="28"/>
      <c r="FT232" s="28"/>
      <c r="FW232" s="28"/>
      <c r="FZ232" s="28"/>
      <c r="GC232" s="28"/>
    </row>
    <row r="233" spans="1:185" s="25" customFormat="1" x14ac:dyDescent="0.3">
      <c r="A233" s="27"/>
      <c r="B233" s="28"/>
      <c r="C233" s="27"/>
      <c r="D233" s="26"/>
      <c r="E233" s="28"/>
      <c r="H233" s="28"/>
      <c r="K233" s="28"/>
      <c r="N233" s="28"/>
      <c r="Q233" s="28"/>
      <c r="T233" s="28"/>
      <c r="W233" s="28"/>
      <c r="Z233" s="28"/>
      <c r="AC233" s="28"/>
      <c r="AF233" s="28"/>
      <c r="AI233" s="28"/>
      <c r="AL233" s="28"/>
      <c r="AO233" s="28"/>
      <c r="AR233" s="28"/>
      <c r="AU233" s="28"/>
      <c r="AX233" s="28"/>
      <c r="BA233" s="28"/>
      <c r="BD233" s="28"/>
      <c r="BG233" s="28"/>
      <c r="BJ233" s="28"/>
      <c r="BM233" s="28"/>
      <c r="BP233" s="28"/>
      <c r="BS233" s="28"/>
      <c r="BV233" s="28"/>
      <c r="BY233" s="28"/>
      <c r="CB233" s="28"/>
      <c r="CE233" s="28"/>
      <c r="CH233" s="28"/>
      <c r="CK233" s="28"/>
      <c r="CN233" s="28"/>
      <c r="CQ233" s="28"/>
      <c r="CT233" s="28"/>
      <c r="CW233" s="28"/>
      <c r="CZ233" s="28"/>
      <c r="DC233" s="28"/>
      <c r="DF233" s="28"/>
      <c r="DI233" s="28"/>
      <c r="DL233" s="28"/>
      <c r="DO233" s="28"/>
      <c r="DR233" s="28"/>
      <c r="DU233" s="28"/>
      <c r="DX233" s="28"/>
      <c r="EA233" s="28"/>
      <c r="ED233" s="28"/>
      <c r="EG233" s="28"/>
      <c r="EJ233" s="28"/>
      <c r="EM233" s="28"/>
      <c r="EP233" s="28"/>
      <c r="ES233" s="28"/>
      <c r="EV233" s="28"/>
      <c r="EY233" s="28"/>
      <c r="FB233" s="28"/>
      <c r="FE233" s="28"/>
      <c r="FH233" s="28"/>
      <c r="FK233" s="28"/>
      <c r="FN233" s="28"/>
      <c r="FQ233" s="28"/>
      <c r="FT233" s="28"/>
      <c r="FW233" s="28"/>
      <c r="FZ233" s="28"/>
      <c r="GC233" s="28"/>
    </row>
    <row r="234" spans="1:185" s="25" customFormat="1" x14ac:dyDescent="0.3">
      <c r="A234" s="27"/>
      <c r="B234" s="28"/>
      <c r="C234" s="27"/>
      <c r="D234" s="26"/>
      <c r="E234" s="28"/>
      <c r="H234" s="28"/>
      <c r="K234" s="28"/>
      <c r="N234" s="28"/>
      <c r="Q234" s="28"/>
      <c r="T234" s="28"/>
      <c r="W234" s="28"/>
      <c r="Z234" s="28"/>
      <c r="AC234" s="28"/>
      <c r="AF234" s="28"/>
      <c r="AI234" s="28"/>
      <c r="AL234" s="28"/>
      <c r="AO234" s="28"/>
      <c r="AR234" s="28"/>
      <c r="AU234" s="28"/>
      <c r="AX234" s="28"/>
      <c r="BA234" s="28"/>
      <c r="BD234" s="28"/>
      <c r="BG234" s="28"/>
      <c r="BJ234" s="28"/>
      <c r="BM234" s="28"/>
      <c r="BP234" s="28"/>
      <c r="BS234" s="28"/>
      <c r="BV234" s="28"/>
      <c r="BY234" s="28"/>
      <c r="CB234" s="28"/>
      <c r="CE234" s="28"/>
      <c r="CH234" s="28"/>
      <c r="CK234" s="28"/>
      <c r="CN234" s="28"/>
      <c r="CQ234" s="28"/>
      <c r="CT234" s="28"/>
      <c r="CW234" s="28"/>
      <c r="CZ234" s="28"/>
      <c r="DC234" s="28"/>
      <c r="DF234" s="28"/>
      <c r="DI234" s="28"/>
      <c r="DL234" s="28"/>
      <c r="DO234" s="28"/>
      <c r="DR234" s="28"/>
      <c r="DU234" s="28"/>
      <c r="DX234" s="28"/>
      <c r="EA234" s="28"/>
      <c r="ED234" s="28"/>
      <c r="EG234" s="28"/>
      <c r="EJ234" s="28"/>
      <c r="EM234" s="28"/>
      <c r="EP234" s="28"/>
      <c r="ES234" s="28"/>
      <c r="EV234" s="28"/>
      <c r="EY234" s="28"/>
      <c r="FB234" s="28"/>
      <c r="FE234" s="28"/>
      <c r="FH234" s="28"/>
      <c r="FK234" s="28"/>
      <c r="FN234" s="28"/>
      <c r="FQ234" s="28"/>
      <c r="FT234" s="28"/>
      <c r="FW234" s="28"/>
      <c r="FZ234" s="28"/>
      <c r="GC234" s="28"/>
    </row>
    <row r="235" spans="1:185" s="25" customFormat="1" x14ac:dyDescent="0.3">
      <c r="A235" s="27"/>
      <c r="B235" s="28"/>
      <c r="C235" s="27"/>
      <c r="D235" s="26"/>
      <c r="E235" s="28"/>
      <c r="H235" s="28"/>
      <c r="K235" s="28"/>
      <c r="N235" s="28"/>
      <c r="Q235" s="28"/>
      <c r="T235" s="28"/>
      <c r="W235" s="28"/>
      <c r="Z235" s="28"/>
      <c r="AC235" s="28"/>
      <c r="AF235" s="28"/>
      <c r="AI235" s="28"/>
      <c r="AL235" s="28"/>
      <c r="AO235" s="28"/>
      <c r="AR235" s="28"/>
      <c r="AU235" s="28"/>
      <c r="AX235" s="28"/>
      <c r="BA235" s="28"/>
      <c r="BD235" s="28"/>
      <c r="BG235" s="28"/>
      <c r="BJ235" s="28"/>
      <c r="BM235" s="28"/>
      <c r="BP235" s="28"/>
      <c r="BS235" s="28"/>
      <c r="BV235" s="28"/>
      <c r="BY235" s="28"/>
      <c r="CB235" s="28"/>
      <c r="CE235" s="28"/>
      <c r="CH235" s="28"/>
      <c r="CK235" s="28"/>
      <c r="CN235" s="28"/>
      <c r="CQ235" s="28"/>
      <c r="CT235" s="28"/>
      <c r="CW235" s="28"/>
      <c r="CZ235" s="28"/>
      <c r="DC235" s="28"/>
      <c r="DF235" s="28"/>
      <c r="DI235" s="28"/>
      <c r="DL235" s="28"/>
      <c r="DO235" s="28"/>
      <c r="DR235" s="28"/>
      <c r="DU235" s="28"/>
      <c r="DX235" s="28"/>
      <c r="EA235" s="28"/>
      <c r="ED235" s="28"/>
      <c r="EG235" s="28"/>
      <c r="EJ235" s="28"/>
      <c r="EM235" s="28"/>
      <c r="EP235" s="28"/>
      <c r="ES235" s="28"/>
      <c r="EV235" s="28"/>
      <c r="EY235" s="28"/>
      <c r="FB235" s="28"/>
      <c r="FE235" s="28"/>
      <c r="FH235" s="28"/>
      <c r="FK235" s="28"/>
      <c r="FN235" s="28"/>
      <c r="FQ235" s="28"/>
      <c r="FT235" s="28"/>
      <c r="FW235" s="28"/>
      <c r="FZ235" s="28"/>
      <c r="GC235" s="28"/>
    </row>
    <row r="236" spans="1:185" s="25" customFormat="1" x14ac:dyDescent="0.3">
      <c r="A236" s="27"/>
      <c r="B236" s="28"/>
      <c r="C236" s="27"/>
      <c r="D236" s="26"/>
      <c r="E236" s="28"/>
      <c r="H236" s="28"/>
      <c r="K236" s="28"/>
      <c r="N236" s="28"/>
      <c r="Q236" s="28"/>
      <c r="T236" s="28"/>
      <c r="W236" s="28"/>
      <c r="Z236" s="28"/>
      <c r="AC236" s="28"/>
      <c r="AF236" s="28"/>
      <c r="AI236" s="28"/>
      <c r="AL236" s="28"/>
      <c r="AO236" s="28"/>
      <c r="AR236" s="28"/>
      <c r="AU236" s="28"/>
      <c r="AX236" s="28"/>
      <c r="BA236" s="28"/>
      <c r="BD236" s="28"/>
      <c r="BG236" s="28"/>
      <c r="BJ236" s="28"/>
      <c r="BM236" s="28"/>
      <c r="BP236" s="28"/>
      <c r="BS236" s="28"/>
      <c r="BV236" s="28"/>
      <c r="BY236" s="28"/>
      <c r="CB236" s="28"/>
      <c r="CE236" s="28"/>
      <c r="CH236" s="28"/>
      <c r="CK236" s="28"/>
      <c r="CN236" s="28"/>
      <c r="CQ236" s="28"/>
      <c r="CT236" s="28"/>
      <c r="CW236" s="28"/>
      <c r="CZ236" s="28"/>
      <c r="DC236" s="28"/>
      <c r="DF236" s="28"/>
      <c r="DI236" s="28"/>
      <c r="DL236" s="28"/>
      <c r="DO236" s="28"/>
      <c r="DR236" s="28"/>
      <c r="DU236" s="28"/>
      <c r="DX236" s="28"/>
      <c r="EA236" s="28"/>
      <c r="ED236" s="28"/>
      <c r="EG236" s="28"/>
      <c r="EJ236" s="28"/>
      <c r="EM236" s="28"/>
      <c r="EP236" s="28"/>
      <c r="ES236" s="28"/>
      <c r="EV236" s="28"/>
      <c r="EY236" s="28"/>
      <c r="FB236" s="28"/>
      <c r="FE236" s="28"/>
      <c r="FH236" s="28"/>
      <c r="FK236" s="28"/>
      <c r="FN236" s="28"/>
      <c r="FQ236" s="28"/>
      <c r="FT236" s="28"/>
      <c r="FW236" s="28"/>
      <c r="FZ236" s="28"/>
      <c r="GC236" s="28"/>
    </row>
    <row r="237" spans="1:185" s="25" customFormat="1" x14ac:dyDescent="0.3">
      <c r="A237" s="27"/>
      <c r="B237" s="28"/>
      <c r="C237" s="27"/>
      <c r="D237" s="26"/>
      <c r="E237" s="28"/>
      <c r="H237" s="28"/>
      <c r="K237" s="28"/>
      <c r="N237" s="28"/>
      <c r="Q237" s="28"/>
      <c r="T237" s="28"/>
      <c r="W237" s="28"/>
      <c r="Z237" s="28"/>
      <c r="AC237" s="28"/>
      <c r="AF237" s="28"/>
      <c r="AI237" s="28"/>
      <c r="AL237" s="28"/>
      <c r="AO237" s="28"/>
      <c r="AR237" s="28"/>
      <c r="AU237" s="28"/>
      <c r="AX237" s="28"/>
      <c r="BA237" s="28"/>
      <c r="BD237" s="28"/>
      <c r="BG237" s="28"/>
      <c r="BJ237" s="28"/>
      <c r="BM237" s="28"/>
      <c r="BP237" s="28"/>
      <c r="BS237" s="28"/>
      <c r="BV237" s="28"/>
      <c r="BY237" s="28"/>
      <c r="CB237" s="28"/>
      <c r="CE237" s="28"/>
      <c r="CH237" s="28"/>
      <c r="CK237" s="28"/>
      <c r="CN237" s="28"/>
      <c r="CQ237" s="28"/>
      <c r="CT237" s="28"/>
      <c r="CW237" s="28"/>
      <c r="CZ237" s="28"/>
      <c r="DC237" s="28"/>
      <c r="DF237" s="28"/>
      <c r="DI237" s="28"/>
      <c r="DL237" s="28"/>
      <c r="DO237" s="28"/>
      <c r="DR237" s="28"/>
      <c r="DU237" s="28"/>
      <c r="DX237" s="28"/>
      <c r="EA237" s="28"/>
      <c r="ED237" s="28"/>
      <c r="EG237" s="28"/>
      <c r="EJ237" s="28"/>
      <c r="EM237" s="28"/>
      <c r="EP237" s="28"/>
      <c r="ES237" s="28"/>
      <c r="EV237" s="28"/>
      <c r="EY237" s="28"/>
      <c r="FB237" s="28"/>
      <c r="FE237" s="28"/>
      <c r="FH237" s="28"/>
      <c r="FK237" s="28"/>
      <c r="FN237" s="28"/>
      <c r="FQ237" s="28"/>
      <c r="FT237" s="28"/>
      <c r="FW237" s="28"/>
      <c r="FZ237" s="28"/>
      <c r="GC237" s="28"/>
    </row>
    <row r="238" spans="1:185" s="25" customFormat="1" x14ac:dyDescent="0.3">
      <c r="A238" s="27"/>
      <c r="B238" s="28"/>
      <c r="C238" s="27"/>
      <c r="D238" s="26"/>
      <c r="E238" s="28"/>
      <c r="H238" s="28"/>
      <c r="K238" s="28"/>
      <c r="N238" s="28"/>
      <c r="Q238" s="28"/>
      <c r="T238" s="28"/>
      <c r="W238" s="28"/>
      <c r="Z238" s="28"/>
      <c r="AC238" s="28"/>
      <c r="AF238" s="28"/>
      <c r="AI238" s="28"/>
      <c r="AL238" s="28"/>
      <c r="AO238" s="28"/>
      <c r="AR238" s="28"/>
      <c r="AU238" s="28"/>
      <c r="AX238" s="28"/>
      <c r="BA238" s="28"/>
      <c r="BD238" s="28"/>
      <c r="BG238" s="28"/>
      <c r="BJ238" s="28"/>
      <c r="BM238" s="28"/>
      <c r="BP238" s="28"/>
      <c r="BS238" s="28"/>
      <c r="BV238" s="28"/>
      <c r="BY238" s="28"/>
      <c r="CB238" s="28"/>
      <c r="CE238" s="28"/>
      <c r="CH238" s="28"/>
      <c r="CK238" s="28"/>
      <c r="CN238" s="28"/>
      <c r="CQ238" s="28"/>
      <c r="CT238" s="28"/>
      <c r="CW238" s="28"/>
      <c r="CZ238" s="28"/>
      <c r="DC238" s="28"/>
      <c r="DF238" s="28"/>
      <c r="DI238" s="28"/>
      <c r="DL238" s="28"/>
      <c r="DO238" s="28"/>
      <c r="DR238" s="28"/>
      <c r="DU238" s="28"/>
      <c r="DX238" s="28"/>
      <c r="EA238" s="28"/>
      <c r="ED238" s="28"/>
      <c r="EG238" s="28"/>
      <c r="EJ238" s="28"/>
      <c r="EM238" s="28"/>
      <c r="EP238" s="28"/>
      <c r="ES238" s="28"/>
      <c r="EV238" s="28"/>
      <c r="EY238" s="28"/>
      <c r="FB238" s="28"/>
      <c r="FE238" s="28"/>
      <c r="FH238" s="28"/>
      <c r="FK238" s="28"/>
      <c r="FN238" s="28"/>
      <c r="FQ238" s="28"/>
      <c r="FT238" s="28"/>
      <c r="FW238" s="28"/>
      <c r="FZ238" s="28"/>
      <c r="GC238" s="28"/>
    </row>
    <row r="239" spans="1:185" s="25" customFormat="1" x14ac:dyDescent="0.3">
      <c r="A239" s="27"/>
      <c r="B239" s="28"/>
      <c r="C239" s="27"/>
      <c r="D239" s="26"/>
      <c r="E239" s="28"/>
      <c r="H239" s="28"/>
      <c r="K239" s="28"/>
      <c r="N239" s="28"/>
      <c r="Q239" s="28"/>
      <c r="T239" s="28"/>
      <c r="W239" s="28"/>
      <c r="Z239" s="28"/>
      <c r="AC239" s="28"/>
      <c r="AF239" s="28"/>
      <c r="AI239" s="28"/>
      <c r="AL239" s="28"/>
      <c r="AO239" s="28"/>
      <c r="AR239" s="28"/>
      <c r="AU239" s="28"/>
      <c r="AX239" s="28"/>
      <c r="BA239" s="28"/>
      <c r="BD239" s="28"/>
      <c r="BG239" s="28"/>
      <c r="BJ239" s="28"/>
      <c r="BM239" s="28"/>
      <c r="BP239" s="28"/>
      <c r="BS239" s="28"/>
      <c r="BV239" s="28"/>
      <c r="BY239" s="28"/>
      <c r="CB239" s="28"/>
      <c r="CE239" s="28"/>
      <c r="CH239" s="28"/>
      <c r="CK239" s="28"/>
      <c r="CN239" s="28"/>
      <c r="CQ239" s="28"/>
      <c r="CT239" s="28"/>
      <c r="CW239" s="28"/>
      <c r="CZ239" s="28"/>
      <c r="DC239" s="28"/>
      <c r="DF239" s="28"/>
      <c r="DI239" s="28"/>
      <c r="DL239" s="28"/>
      <c r="DO239" s="28"/>
      <c r="DR239" s="28"/>
      <c r="DU239" s="28"/>
      <c r="DX239" s="28"/>
      <c r="EA239" s="28"/>
      <c r="ED239" s="28"/>
      <c r="EG239" s="28"/>
      <c r="EJ239" s="28"/>
      <c r="EM239" s="28"/>
      <c r="EP239" s="28"/>
      <c r="ES239" s="28"/>
      <c r="EV239" s="28"/>
      <c r="EY239" s="28"/>
      <c r="FB239" s="28"/>
      <c r="FE239" s="28"/>
      <c r="FH239" s="28"/>
      <c r="FK239" s="28"/>
      <c r="FN239" s="28"/>
      <c r="FQ239" s="28"/>
      <c r="FT239" s="28"/>
      <c r="FW239" s="28"/>
      <c r="FZ239" s="28"/>
      <c r="GC239" s="28"/>
    </row>
    <row r="240" spans="1:185" s="25" customFormat="1" x14ac:dyDescent="0.3">
      <c r="A240" s="27"/>
      <c r="B240" s="28"/>
      <c r="C240" s="27"/>
      <c r="D240" s="26"/>
      <c r="E240" s="28"/>
      <c r="H240" s="28"/>
      <c r="K240" s="28"/>
      <c r="N240" s="28"/>
      <c r="Q240" s="28"/>
      <c r="T240" s="28"/>
      <c r="W240" s="28"/>
      <c r="Z240" s="28"/>
      <c r="AC240" s="28"/>
      <c r="AF240" s="28"/>
      <c r="AI240" s="28"/>
      <c r="AL240" s="28"/>
      <c r="AO240" s="28"/>
      <c r="AR240" s="28"/>
      <c r="AU240" s="28"/>
      <c r="AX240" s="28"/>
      <c r="BA240" s="28"/>
      <c r="BD240" s="28"/>
      <c r="BG240" s="28"/>
      <c r="BJ240" s="28"/>
      <c r="BM240" s="28"/>
      <c r="BP240" s="28"/>
      <c r="BS240" s="28"/>
      <c r="BV240" s="28"/>
      <c r="BY240" s="28"/>
      <c r="CB240" s="28"/>
      <c r="CE240" s="28"/>
      <c r="CH240" s="28"/>
      <c r="CK240" s="28"/>
      <c r="CN240" s="28"/>
      <c r="CQ240" s="28"/>
      <c r="CT240" s="28"/>
      <c r="CW240" s="28"/>
      <c r="CZ240" s="28"/>
      <c r="DC240" s="28"/>
      <c r="DF240" s="28"/>
      <c r="DI240" s="28"/>
      <c r="DL240" s="28"/>
      <c r="DO240" s="28"/>
      <c r="DR240" s="28"/>
      <c r="DU240" s="28"/>
      <c r="DX240" s="28"/>
      <c r="EA240" s="28"/>
      <c r="ED240" s="28"/>
      <c r="EG240" s="28"/>
      <c r="EJ240" s="28"/>
      <c r="EM240" s="28"/>
      <c r="EP240" s="28"/>
      <c r="ES240" s="28"/>
      <c r="EV240" s="28"/>
      <c r="EY240" s="28"/>
      <c r="FB240" s="28"/>
      <c r="FE240" s="28"/>
      <c r="FH240" s="28"/>
      <c r="FK240" s="28"/>
      <c r="FN240" s="28"/>
      <c r="FQ240" s="28"/>
      <c r="FT240" s="28"/>
      <c r="FW240" s="28"/>
      <c r="FZ240" s="28"/>
      <c r="GC240" s="28"/>
    </row>
    <row r="241" spans="1:185" s="25" customFormat="1" x14ac:dyDescent="0.3">
      <c r="A241" s="27"/>
      <c r="B241" s="28"/>
      <c r="C241" s="27"/>
      <c r="D241" s="26"/>
      <c r="E241" s="28"/>
      <c r="H241" s="28"/>
      <c r="K241" s="28"/>
      <c r="N241" s="28"/>
      <c r="Q241" s="28"/>
      <c r="T241" s="28"/>
      <c r="W241" s="28"/>
      <c r="Z241" s="28"/>
      <c r="AC241" s="28"/>
      <c r="AF241" s="28"/>
      <c r="AI241" s="28"/>
      <c r="AL241" s="28"/>
      <c r="AO241" s="28"/>
      <c r="AR241" s="28"/>
      <c r="AU241" s="28"/>
      <c r="AX241" s="28"/>
      <c r="BA241" s="28"/>
      <c r="BD241" s="28"/>
      <c r="BG241" s="28"/>
      <c r="BJ241" s="28"/>
      <c r="BM241" s="28"/>
      <c r="BP241" s="28"/>
      <c r="BS241" s="28"/>
      <c r="BV241" s="28"/>
      <c r="BY241" s="28"/>
      <c r="CB241" s="28"/>
      <c r="CE241" s="28"/>
      <c r="CH241" s="28"/>
      <c r="CK241" s="28"/>
      <c r="CN241" s="28"/>
      <c r="CQ241" s="28"/>
      <c r="CT241" s="28"/>
      <c r="CW241" s="28"/>
      <c r="CZ241" s="28"/>
      <c r="DC241" s="28"/>
      <c r="DF241" s="28"/>
      <c r="DI241" s="28"/>
      <c r="DL241" s="28"/>
      <c r="DO241" s="28"/>
      <c r="DR241" s="28"/>
      <c r="DU241" s="28"/>
      <c r="DX241" s="28"/>
      <c r="EA241" s="28"/>
      <c r="ED241" s="28"/>
      <c r="EG241" s="28"/>
      <c r="EJ241" s="28"/>
      <c r="EM241" s="28"/>
      <c r="EP241" s="28"/>
      <c r="ES241" s="28"/>
      <c r="EV241" s="28"/>
      <c r="EY241" s="28"/>
      <c r="FB241" s="28"/>
      <c r="FE241" s="28"/>
      <c r="FH241" s="28"/>
      <c r="FK241" s="28"/>
      <c r="FN241" s="28"/>
      <c r="FQ241" s="28"/>
      <c r="FT241" s="28"/>
      <c r="FW241" s="28"/>
      <c r="FZ241" s="28"/>
      <c r="GC241" s="28"/>
    </row>
    <row r="242" spans="1:185" s="25" customFormat="1" x14ac:dyDescent="0.3">
      <c r="A242" s="27"/>
      <c r="B242" s="28"/>
      <c r="C242" s="27"/>
      <c r="D242" s="26"/>
      <c r="E242" s="28"/>
      <c r="H242" s="28"/>
      <c r="K242" s="28"/>
      <c r="N242" s="28"/>
      <c r="Q242" s="28"/>
      <c r="T242" s="28"/>
      <c r="W242" s="28"/>
      <c r="Z242" s="28"/>
      <c r="AC242" s="28"/>
      <c r="AF242" s="28"/>
      <c r="AI242" s="28"/>
      <c r="AL242" s="28"/>
      <c r="AO242" s="28"/>
      <c r="AR242" s="28"/>
      <c r="AU242" s="28"/>
      <c r="AX242" s="28"/>
      <c r="BA242" s="28"/>
      <c r="BD242" s="28"/>
      <c r="BG242" s="28"/>
      <c r="BJ242" s="28"/>
      <c r="BM242" s="28"/>
      <c r="BP242" s="28"/>
      <c r="BS242" s="28"/>
      <c r="BV242" s="28"/>
      <c r="BY242" s="28"/>
      <c r="CB242" s="28"/>
      <c r="CE242" s="28"/>
      <c r="CH242" s="28"/>
      <c r="CK242" s="28"/>
      <c r="CN242" s="28"/>
      <c r="CQ242" s="28"/>
      <c r="CT242" s="28"/>
      <c r="CW242" s="28"/>
      <c r="CZ242" s="28"/>
      <c r="DC242" s="28"/>
      <c r="DF242" s="28"/>
      <c r="DI242" s="28"/>
      <c r="DL242" s="28"/>
      <c r="DO242" s="28"/>
      <c r="DR242" s="28"/>
      <c r="DU242" s="28"/>
      <c r="DX242" s="28"/>
      <c r="EA242" s="28"/>
      <c r="ED242" s="28"/>
      <c r="EG242" s="28"/>
      <c r="EJ242" s="28"/>
      <c r="EM242" s="28"/>
      <c r="EP242" s="28"/>
      <c r="ES242" s="28"/>
      <c r="EV242" s="28"/>
      <c r="EY242" s="28"/>
      <c r="FB242" s="28"/>
      <c r="FE242" s="28"/>
      <c r="FH242" s="28"/>
      <c r="FK242" s="28"/>
      <c r="FN242" s="28"/>
      <c r="FQ242" s="28"/>
      <c r="FT242" s="28"/>
      <c r="FW242" s="28"/>
      <c r="FZ242" s="28"/>
      <c r="GC242" s="28"/>
    </row>
    <row r="243" spans="1:185" s="25" customFormat="1" x14ac:dyDescent="0.3">
      <c r="A243" s="27"/>
      <c r="B243" s="28"/>
      <c r="C243" s="27"/>
      <c r="D243" s="26"/>
      <c r="E243" s="28"/>
      <c r="H243" s="28"/>
      <c r="K243" s="28"/>
      <c r="N243" s="28"/>
      <c r="Q243" s="28"/>
      <c r="T243" s="28"/>
      <c r="W243" s="28"/>
      <c r="Z243" s="28"/>
      <c r="AC243" s="28"/>
      <c r="AF243" s="28"/>
      <c r="AI243" s="28"/>
      <c r="AL243" s="28"/>
      <c r="AO243" s="28"/>
      <c r="AR243" s="28"/>
      <c r="AU243" s="28"/>
      <c r="AX243" s="28"/>
      <c r="BA243" s="28"/>
      <c r="BD243" s="28"/>
      <c r="BG243" s="28"/>
      <c r="BJ243" s="28"/>
      <c r="BM243" s="28"/>
      <c r="BP243" s="28"/>
      <c r="BS243" s="28"/>
      <c r="BV243" s="28"/>
      <c r="BY243" s="28"/>
      <c r="CB243" s="28"/>
      <c r="CE243" s="28"/>
      <c r="CH243" s="28"/>
      <c r="CK243" s="28"/>
      <c r="CN243" s="28"/>
      <c r="CQ243" s="28"/>
      <c r="CT243" s="28"/>
      <c r="CW243" s="28"/>
      <c r="CZ243" s="28"/>
      <c r="DC243" s="28"/>
      <c r="DF243" s="28"/>
      <c r="DI243" s="28"/>
      <c r="DL243" s="28"/>
      <c r="DO243" s="28"/>
      <c r="DR243" s="28"/>
      <c r="DU243" s="28"/>
      <c r="DX243" s="28"/>
      <c r="EA243" s="28"/>
      <c r="ED243" s="28"/>
      <c r="EG243" s="28"/>
      <c r="EJ243" s="28"/>
      <c r="EM243" s="28"/>
      <c r="EP243" s="28"/>
      <c r="ES243" s="28"/>
      <c r="EV243" s="28"/>
      <c r="EY243" s="28"/>
      <c r="FB243" s="28"/>
      <c r="FE243" s="28"/>
      <c r="FH243" s="28"/>
      <c r="FK243" s="28"/>
      <c r="FN243" s="28"/>
      <c r="FQ243" s="28"/>
      <c r="FT243" s="28"/>
      <c r="FW243" s="28"/>
      <c r="FZ243" s="28"/>
      <c r="GC243" s="28"/>
    </row>
    <row r="244" spans="1:185" s="25" customFormat="1" x14ac:dyDescent="0.3">
      <c r="A244" s="27"/>
      <c r="B244" s="28"/>
      <c r="C244" s="27"/>
      <c r="D244" s="26"/>
      <c r="E244" s="28"/>
      <c r="H244" s="28"/>
      <c r="K244" s="28"/>
      <c r="N244" s="28"/>
      <c r="Q244" s="28"/>
      <c r="T244" s="28"/>
      <c r="W244" s="28"/>
      <c r="Z244" s="28"/>
      <c r="AC244" s="28"/>
      <c r="AF244" s="28"/>
      <c r="AI244" s="28"/>
      <c r="AL244" s="28"/>
      <c r="AO244" s="28"/>
      <c r="AR244" s="28"/>
      <c r="AU244" s="28"/>
      <c r="AX244" s="28"/>
      <c r="BA244" s="28"/>
      <c r="BD244" s="28"/>
      <c r="BG244" s="28"/>
      <c r="BJ244" s="28"/>
      <c r="BM244" s="28"/>
      <c r="BP244" s="28"/>
      <c r="BS244" s="28"/>
      <c r="BV244" s="28"/>
      <c r="BY244" s="28"/>
      <c r="CB244" s="28"/>
      <c r="CE244" s="28"/>
      <c r="CH244" s="28"/>
      <c r="CK244" s="28"/>
      <c r="CN244" s="28"/>
      <c r="CQ244" s="28"/>
      <c r="CT244" s="28"/>
      <c r="CW244" s="28"/>
      <c r="CZ244" s="28"/>
      <c r="DC244" s="28"/>
      <c r="DF244" s="28"/>
      <c r="DI244" s="28"/>
      <c r="DL244" s="28"/>
      <c r="DO244" s="28"/>
      <c r="DR244" s="28"/>
      <c r="DU244" s="28"/>
      <c r="DX244" s="28"/>
      <c r="EA244" s="28"/>
      <c r="ED244" s="28"/>
      <c r="EG244" s="28"/>
      <c r="EJ244" s="28"/>
      <c r="EM244" s="28"/>
      <c r="EP244" s="28"/>
      <c r="ES244" s="28"/>
      <c r="EV244" s="28"/>
      <c r="EY244" s="28"/>
      <c r="FB244" s="28"/>
      <c r="FE244" s="28"/>
      <c r="FH244" s="28"/>
      <c r="FK244" s="28"/>
      <c r="FN244" s="28"/>
      <c r="FQ244" s="28"/>
      <c r="FT244" s="28"/>
      <c r="FW244" s="28"/>
      <c r="FZ244" s="28"/>
      <c r="GC244" s="28"/>
    </row>
    <row r="245" spans="1:185" s="25" customFormat="1" x14ac:dyDescent="0.3">
      <c r="A245" s="27"/>
      <c r="B245" s="28"/>
      <c r="C245" s="27"/>
      <c r="D245" s="26"/>
      <c r="E245" s="28"/>
      <c r="H245" s="28"/>
      <c r="K245" s="28"/>
      <c r="N245" s="28"/>
      <c r="Q245" s="28"/>
      <c r="T245" s="28"/>
      <c r="W245" s="28"/>
      <c r="Z245" s="28"/>
      <c r="AC245" s="28"/>
      <c r="AF245" s="28"/>
      <c r="AI245" s="28"/>
      <c r="AL245" s="28"/>
      <c r="AO245" s="28"/>
      <c r="AR245" s="28"/>
      <c r="AU245" s="28"/>
      <c r="AX245" s="28"/>
      <c r="BA245" s="28"/>
      <c r="BD245" s="28"/>
      <c r="BG245" s="28"/>
      <c r="BJ245" s="28"/>
      <c r="BM245" s="28"/>
      <c r="BP245" s="28"/>
      <c r="BS245" s="28"/>
      <c r="BV245" s="28"/>
      <c r="BY245" s="28"/>
      <c r="CB245" s="28"/>
      <c r="CE245" s="28"/>
      <c r="CH245" s="28"/>
      <c r="CK245" s="28"/>
      <c r="CN245" s="28"/>
      <c r="CQ245" s="28"/>
      <c r="CT245" s="28"/>
      <c r="CW245" s="28"/>
      <c r="CZ245" s="28"/>
      <c r="DC245" s="28"/>
      <c r="DF245" s="28"/>
      <c r="DI245" s="28"/>
      <c r="DL245" s="28"/>
      <c r="DO245" s="28"/>
      <c r="DR245" s="28"/>
      <c r="DU245" s="28"/>
      <c r="DX245" s="28"/>
      <c r="EA245" s="28"/>
      <c r="ED245" s="28"/>
      <c r="EG245" s="28"/>
      <c r="EJ245" s="28"/>
      <c r="EM245" s="28"/>
      <c r="EP245" s="28"/>
      <c r="ES245" s="28"/>
      <c r="EV245" s="28"/>
      <c r="EY245" s="28"/>
      <c r="FB245" s="28"/>
      <c r="FE245" s="28"/>
      <c r="FH245" s="28"/>
      <c r="FK245" s="28"/>
      <c r="FN245" s="28"/>
      <c r="FQ245" s="28"/>
      <c r="FT245" s="28"/>
      <c r="FW245" s="28"/>
      <c r="FZ245" s="28"/>
      <c r="GC245" s="28"/>
    </row>
    <row r="246" spans="1:185" s="25" customFormat="1" x14ac:dyDescent="0.3">
      <c r="A246" s="27"/>
      <c r="B246" s="28"/>
      <c r="C246" s="27"/>
      <c r="D246" s="26"/>
      <c r="E246" s="28"/>
      <c r="H246" s="28"/>
      <c r="K246" s="28"/>
      <c r="N246" s="28"/>
      <c r="Q246" s="28"/>
      <c r="T246" s="28"/>
      <c r="W246" s="28"/>
      <c r="Z246" s="28"/>
      <c r="AC246" s="28"/>
      <c r="AF246" s="28"/>
      <c r="AI246" s="28"/>
      <c r="AL246" s="28"/>
      <c r="AO246" s="28"/>
      <c r="AR246" s="28"/>
      <c r="AU246" s="28"/>
      <c r="AX246" s="28"/>
      <c r="BA246" s="28"/>
      <c r="BD246" s="28"/>
      <c r="BG246" s="28"/>
      <c r="BJ246" s="28"/>
      <c r="BM246" s="28"/>
      <c r="BP246" s="28"/>
      <c r="BS246" s="28"/>
      <c r="BV246" s="28"/>
      <c r="BY246" s="28"/>
      <c r="CB246" s="28"/>
      <c r="CE246" s="28"/>
      <c r="CH246" s="28"/>
      <c r="CK246" s="28"/>
      <c r="CN246" s="28"/>
      <c r="CQ246" s="28"/>
      <c r="CT246" s="28"/>
      <c r="CW246" s="28"/>
      <c r="CZ246" s="28"/>
      <c r="DC246" s="28"/>
      <c r="DF246" s="28"/>
      <c r="DI246" s="28"/>
      <c r="DL246" s="28"/>
      <c r="DO246" s="28"/>
      <c r="DR246" s="28"/>
      <c r="DU246" s="28"/>
      <c r="DX246" s="28"/>
      <c r="EA246" s="28"/>
      <c r="ED246" s="28"/>
      <c r="EG246" s="28"/>
      <c r="EJ246" s="28"/>
      <c r="EM246" s="28"/>
      <c r="EP246" s="28"/>
      <c r="ES246" s="28"/>
      <c r="EV246" s="28"/>
      <c r="EY246" s="28"/>
      <c r="FB246" s="28"/>
      <c r="FE246" s="28"/>
      <c r="FH246" s="28"/>
      <c r="FK246" s="28"/>
      <c r="FN246" s="28"/>
      <c r="FQ246" s="28"/>
      <c r="FT246" s="28"/>
      <c r="FW246" s="28"/>
      <c r="FZ246" s="28"/>
      <c r="GC246" s="28"/>
    </row>
    <row r="247" spans="1:185" s="25" customFormat="1" x14ac:dyDescent="0.3">
      <c r="A247" s="27"/>
      <c r="B247" s="28"/>
      <c r="C247" s="27"/>
      <c r="D247" s="26"/>
      <c r="E247" s="28"/>
      <c r="H247" s="28"/>
      <c r="K247" s="28"/>
      <c r="N247" s="28"/>
      <c r="Q247" s="28"/>
      <c r="T247" s="28"/>
      <c r="W247" s="28"/>
      <c r="Z247" s="28"/>
      <c r="AC247" s="28"/>
      <c r="AF247" s="28"/>
      <c r="AI247" s="28"/>
      <c r="AL247" s="28"/>
      <c r="AO247" s="28"/>
      <c r="AR247" s="28"/>
      <c r="AU247" s="28"/>
      <c r="AX247" s="28"/>
      <c r="BA247" s="28"/>
      <c r="BD247" s="28"/>
      <c r="BG247" s="28"/>
      <c r="BJ247" s="28"/>
      <c r="BM247" s="28"/>
      <c r="BP247" s="28"/>
      <c r="BS247" s="28"/>
      <c r="BV247" s="28"/>
      <c r="BY247" s="28"/>
      <c r="CB247" s="28"/>
      <c r="CE247" s="28"/>
      <c r="CH247" s="28"/>
      <c r="CK247" s="28"/>
      <c r="CN247" s="28"/>
      <c r="CQ247" s="28"/>
      <c r="CT247" s="28"/>
      <c r="CW247" s="28"/>
      <c r="CZ247" s="28"/>
      <c r="DC247" s="28"/>
      <c r="DF247" s="28"/>
      <c r="DI247" s="28"/>
      <c r="DL247" s="28"/>
      <c r="DO247" s="28"/>
      <c r="DR247" s="28"/>
      <c r="DU247" s="28"/>
      <c r="DX247" s="28"/>
      <c r="EA247" s="28"/>
      <c r="ED247" s="28"/>
      <c r="EG247" s="28"/>
      <c r="EJ247" s="28"/>
      <c r="EM247" s="28"/>
      <c r="EP247" s="28"/>
      <c r="ES247" s="28"/>
      <c r="EV247" s="28"/>
      <c r="EY247" s="28"/>
      <c r="FB247" s="28"/>
      <c r="FE247" s="28"/>
      <c r="FH247" s="28"/>
      <c r="FK247" s="28"/>
      <c r="FN247" s="28"/>
      <c r="FQ247" s="28"/>
      <c r="FT247" s="28"/>
      <c r="FW247" s="28"/>
      <c r="FZ247" s="28"/>
      <c r="GC247" s="28"/>
    </row>
    <row r="248" spans="1:185" s="25" customFormat="1" x14ac:dyDescent="0.3">
      <c r="A248" s="27"/>
      <c r="B248" s="28"/>
      <c r="C248" s="27"/>
      <c r="D248" s="26"/>
      <c r="E248" s="28"/>
      <c r="H248" s="28"/>
      <c r="K248" s="28"/>
      <c r="N248" s="28"/>
      <c r="Q248" s="28"/>
      <c r="T248" s="28"/>
      <c r="W248" s="28"/>
      <c r="Z248" s="28"/>
      <c r="AC248" s="28"/>
      <c r="AF248" s="28"/>
      <c r="AI248" s="28"/>
      <c r="AL248" s="28"/>
      <c r="AO248" s="28"/>
      <c r="AR248" s="28"/>
      <c r="AU248" s="28"/>
      <c r="AX248" s="28"/>
      <c r="BA248" s="28"/>
      <c r="BD248" s="28"/>
      <c r="BG248" s="28"/>
      <c r="BJ248" s="28"/>
      <c r="BM248" s="28"/>
      <c r="BP248" s="28"/>
      <c r="BS248" s="28"/>
      <c r="BV248" s="28"/>
      <c r="BY248" s="28"/>
      <c r="CB248" s="28"/>
      <c r="CE248" s="28"/>
      <c r="CH248" s="28"/>
      <c r="CK248" s="28"/>
      <c r="CN248" s="28"/>
      <c r="CQ248" s="28"/>
      <c r="CT248" s="28"/>
      <c r="CW248" s="28"/>
      <c r="CZ248" s="28"/>
      <c r="DC248" s="28"/>
      <c r="DF248" s="28"/>
      <c r="DI248" s="28"/>
      <c r="DL248" s="28"/>
      <c r="DO248" s="28"/>
      <c r="DR248" s="28"/>
      <c r="DU248" s="28"/>
      <c r="DX248" s="28"/>
      <c r="EA248" s="28"/>
      <c r="ED248" s="28"/>
      <c r="EG248" s="28"/>
      <c r="EJ248" s="28"/>
      <c r="EM248" s="28"/>
      <c r="EP248" s="28"/>
      <c r="ES248" s="28"/>
      <c r="EV248" s="28"/>
      <c r="EY248" s="28"/>
      <c r="FB248" s="28"/>
      <c r="FE248" s="28"/>
      <c r="FH248" s="28"/>
      <c r="FK248" s="28"/>
      <c r="FN248" s="28"/>
      <c r="FQ248" s="28"/>
      <c r="FT248" s="28"/>
      <c r="FW248" s="28"/>
      <c r="FZ248" s="28"/>
      <c r="GC248" s="28"/>
    </row>
    <row r="249" spans="1:185" s="25" customFormat="1" x14ac:dyDescent="0.3">
      <c r="A249" s="27"/>
      <c r="B249" s="28"/>
      <c r="C249" s="27"/>
      <c r="D249" s="26"/>
      <c r="E249" s="28"/>
      <c r="H249" s="28"/>
      <c r="K249" s="28"/>
      <c r="N249" s="28"/>
      <c r="Q249" s="28"/>
      <c r="T249" s="28"/>
      <c r="W249" s="28"/>
      <c r="Z249" s="28"/>
      <c r="AC249" s="28"/>
      <c r="AF249" s="28"/>
      <c r="AI249" s="28"/>
      <c r="AL249" s="28"/>
      <c r="AO249" s="28"/>
      <c r="AR249" s="28"/>
      <c r="AU249" s="28"/>
      <c r="AX249" s="28"/>
      <c r="BA249" s="28"/>
      <c r="BD249" s="28"/>
      <c r="BG249" s="28"/>
      <c r="BJ249" s="28"/>
      <c r="BM249" s="28"/>
      <c r="BP249" s="28"/>
      <c r="BS249" s="28"/>
      <c r="BV249" s="28"/>
      <c r="BY249" s="28"/>
      <c r="CB249" s="28"/>
      <c r="CE249" s="28"/>
      <c r="CH249" s="28"/>
      <c r="CK249" s="28"/>
      <c r="CN249" s="28"/>
      <c r="CQ249" s="28"/>
      <c r="CT249" s="28"/>
      <c r="CW249" s="28"/>
      <c r="CZ249" s="28"/>
      <c r="DC249" s="28"/>
      <c r="DF249" s="28"/>
      <c r="DI249" s="28"/>
      <c r="DL249" s="28"/>
      <c r="DO249" s="28"/>
      <c r="DR249" s="28"/>
      <c r="DU249" s="28"/>
      <c r="DX249" s="28"/>
      <c r="EA249" s="28"/>
      <c r="ED249" s="28"/>
      <c r="EG249" s="28"/>
      <c r="EJ249" s="28"/>
      <c r="EM249" s="28"/>
      <c r="EP249" s="28"/>
      <c r="ES249" s="28"/>
      <c r="EV249" s="28"/>
      <c r="EY249" s="28"/>
      <c r="FB249" s="28"/>
      <c r="FE249" s="28"/>
      <c r="FH249" s="28"/>
      <c r="FK249" s="28"/>
      <c r="FN249" s="28"/>
      <c r="FQ249" s="28"/>
      <c r="FT249" s="28"/>
      <c r="FW249" s="28"/>
      <c r="FZ249" s="28"/>
      <c r="GC249" s="28"/>
    </row>
    <row r="250" spans="1:185" s="25" customFormat="1" x14ac:dyDescent="0.3">
      <c r="A250" s="27"/>
      <c r="B250" s="28"/>
      <c r="C250" s="27"/>
      <c r="D250" s="26"/>
      <c r="E250" s="28"/>
      <c r="H250" s="28"/>
      <c r="K250" s="28"/>
      <c r="N250" s="28"/>
      <c r="Q250" s="28"/>
      <c r="T250" s="28"/>
      <c r="W250" s="28"/>
      <c r="Z250" s="28"/>
      <c r="AC250" s="28"/>
      <c r="AF250" s="28"/>
      <c r="AI250" s="28"/>
      <c r="AL250" s="28"/>
      <c r="AO250" s="28"/>
      <c r="AR250" s="28"/>
      <c r="AU250" s="28"/>
      <c r="AX250" s="28"/>
      <c r="BA250" s="28"/>
      <c r="BD250" s="28"/>
      <c r="BG250" s="28"/>
      <c r="BJ250" s="28"/>
      <c r="BM250" s="28"/>
      <c r="BP250" s="28"/>
      <c r="BS250" s="28"/>
      <c r="BV250" s="28"/>
      <c r="BY250" s="28"/>
      <c r="CB250" s="28"/>
      <c r="CE250" s="28"/>
      <c r="CH250" s="28"/>
      <c r="CK250" s="28"/>
      <c r="CN250" s="28"/>
      <c r="CQ250" s="28"/>
      <c r="CT250" s="28"/>
      <c r="CW250" s="28"/>
      <c r="CZ250" s="28"/>
      <c r="DC250" s="28"/>
      <c r="DF250" s="28"/>
      <c r="DI250" s="28"/>
      <c r="DL250" s="28"/>
      <c r="DO250" s="28"/>
      <c r="DR250" s="28"/>
      <c r="DU250" s="28"/>
      <c r="DX250" s="28"/>
      <c r="EA250" s="28"/>
      <c r="ED250" s="28"/>
      <c r="EG250" s="28"/>
      <c r="EJ250" s="28"/>
      <c r="EM250" s="28"/>
      <c r="EP250" s="28"/>
      <c r="ES250" s="28"/>
      <c r="EV250" s="28"/>
      <c r="EY250" s="28"/>
      <c r="FB250" s="28"/>
      <c r="FE250" s="28"/>
      <c r="FH250" s="28"/>
      <c r="FK250" s="28"/>
      <c r="FN250" s="28"/>
      <c r="FQ250" s="28"/>
      <c r="FT250" s="28"/>
      <c r="FW250" s="28"/>
      <c r="FZ250" s="28"/>
      <c r="GC250" s="28"/>
    </row>
    <row r="251" spans="1:185" s="25" customFormat="1" x14ac:dyDescent="0.3">
      <c r="A251" s="27"/>
      <c r="B251" s="28"/>
      <c r="C251" s="27"/>
      <c r="D251" s="26"/>
      <c r="E251" s="28"/>
      <c r="H251" s="28"/>
      <c r="K251" s="28"/>
      <c r="N251" s="28"/>
      <c r="Q251" s="28"/>
      <c r="T251" s="28"/>
      <c r="W251" s="28"/>
      <c r="Z251" s="28"/>
      <c r="AC251" s="28"/>
      <c r="AF251" s="28"/>
      <c r="AI251" s="28"/>
      <c r="AL251" s="28"/>
      <c r="AO251" s="28"/>
      <c r="AR251" s="28"/>
      <c r="AU251" s="28"/>
      <c r="AX251" s="28"/>
      <c r="BA251" s="28"/>
      <c r="BD251" s="28"/>
      <c r="BG251" s="28"/>
      <c r="BJ251" s="28"/>
      <c r="BM251" s="28"/>
      <c r="BP251" s="28"/>
      <c r="BS251" s="28"/>
      <c r="BV251" s="28"/>
      <c r="BY251" s="28"/>
      <c r="CB251" s="28"/>
      <c r="CE251" s="28"/>
      <c r="CH251" s="28"/>
      <c r="CK251" s="28"/>
      <c r="CN251" s="28"/>
      <c r="CQ251" s="28"/>
      <c r="CT251" s="28"/>
      <c r="CW251" s="28"/>
      <c r="CZ251" s="28"/>
      <c r="DC251" s="28"/>
      <c r="DF251" s="28"/>
      <c r="DI251" s="28"/>
      <c r="DL251" s="28"/>
      <c r="DO251" s="28"/>
      <c r="DR251" s="28"/>
      <c r="DU251" s="28"/>
      <c r="DX251" s="28"/>
      <c r="EA251" s="28"/>
      <c r="ED251" s="28"/>
      <c r="EG251" s="28"/>
      <c r="EJ251" s="28"/>
      <c r="EM251" s="28"/>
      <c r="EP251" s="28"/>
      <c r="ES251" s="28"/>
      <c r="EV251" s="28"/>
      <c r="EY251" s="28"/>
      <c r="FB251" s="28"/>
      <c r="FE251" s="28"/>
      <c r="FH251" s="28"/>
      <c r="FK251" s="28"/>
      <c r="FN251" s="28"/>
      <c r="FQ251" s="28"/>
      <c r="FT251" s="28"/>
      <c r="FW251" s="28"/>
      <c r="FZ251" s="28"/>
      <c r="GC251" s="28"/>
    </row>
    <row r="252" spans="1:185" s="25" customFormat="1" x14ac:dyDescent="0.3">
      <c r="A252" s="27"/>
      <c r="B252" s="28"/>
      <c r="C252" s="27"/>
      <c r="D252" s="26"/>
      <c r="E252" s="28"/>
      <c r="H252" s="28"/>
      <c r="K252" s="28"/>
      <c r="N252" s="28"/>
      <c r="Q252" s="28"/>
      <c r="T252" s="28"/>
      <c r="W252" s="28"/>
      <c r="Z252" s="28"/>
      <c r="AC252" s="28"/>
      <c r="AF252" s="28"/>
      <c r="AI252" s="28"/>
      <c r="AL252" s="28"/>
      <c r="AO252" s="28"/>
      <c r="AR252" s="28"/>
      <c r="AU252" s="28"/>
      <c r="AX252" s="28"/>
      <c r="BA252" s="28"/>
      <c r="BD252" s="28"/>
      <c r="BG252" s="28"/>
      <c r="BJ252" s="28"/>
      <c r="BM252" s="28"/>
      <c r="BP252" s="28"/>
      <c r="BS252" s="28"/>
      <c r="BV252" s="28"/>
      <c r="BY252" s="28"/>
      <c r="CB252" s="28"/>
      <c r="CE252" s="28"/>
      <c r="CH252" s="28"/>
      <c r="CK252" s="28"/>
      <c r="CN252" s="28"/>
      <c r="CQ252" s="28"/>
      <c r="CT252" s="28"/>
      <c r="CW252" s="28"/>
      <c r="CZ252" s="28"/>
      <c r="DC252" s="28"/>
      <c r="DF252" s="28"/>
      <c r="DI252" s="28"/>
      <c r="DL252" s="28"/>
      <c r="DO252" s="28"/>
      <c r="DR252" s="28"/>
      <c r="DU252" s="28"/>
      <c r="DX252" s="28"/>
      <c r="EA252" s="28"/>
      <c r="ED252" s="28"/>
      <c r="EG252" s="28"/>
      <c r="EJ252" s="28"/>
      <c r="EM252" s="28"/>
      <c r="EP252" s="28"/>
      <c r="ES252" s="28"/>
      <c r="EV252" s="28"/>
      <c r="EY252" s="28"/>
      <c r="FB252" s="28"/>
      <c r="FE252" s="28"/>
      <c r="FH252" s="28"/>
      <c r="FK252" s="28"/>
      <c r="FN252" s="28"/>
      <c r="FQ252" s="28"/>
      <c r="FT252" s="28"/>
      <c r="FW252" s="28"/>
      <c r="FZ252" s="28"/>
      <c r="GC252" s="28"/>
    </row>
    <row r="253" spans="1:185" s="25" customFormat="1" x14ac:dyDescent="0.3">
      <c r="A253" s="27"/>
      <c r="B253" s="28"/>
      <c r="C253" s="27"/>
      <c r="D253" s="26"/>
      <c r="E253" s="28"/>
      <c r="H253" s="28"/>
      <c r="K253" s="28"/>
      <c r="N253" s="28"/>
      <c r="Q253" s="28"/>
      <c r="T253" s="28"/>
      <c r="W253" s="28"/>
      <c r="Z253" s="28"/>
      <c r="AC253" s="28"/>
      <c r="AF253" s="28"/>
      <c r="AI253" s="28"/>
      <c r="AL253" s="28"/>
      <c r="AO253" s="28"/>
      <c r="AR253" s="28"/>
      <c r="AU253" s="28"/>
      <c r="AX253" s="28"/>
      <c r="BA253" s="28"/>
      <c r="BD253" s="28"/>
      <c r="BG253" s="28"/>
      <c r="BJ253" s="28"/>
      <c r="BM253" s="28"/>
      <c r="BP253" s="28"/>
      <c r="BS253" s="28"/>
      <c r="BV253" s="28"/>
      <c r="BY253" s="28"/>
      <c r="CB253" s="28"/>
      <c r="CE253" s="28"/>
      <c r="CH253" s="28"/>
      <c r="CK253" s="28"/>
      <c r="CN253" s="28"/>
      <c r="CQ253" s="28"/>
      <c r="CT253" s="28"/>
      <c r="CW253" s="28"/>
      <c r="CZ253" s="28"/>
      <c r="DC253" s="28"/>
      <c r="DF253" s="28"/>
      <c r="DI253" s="28"/>
      <c r="DL253" s="28"/>
      <c r="DO253" s="28"/>
      <c r="DR253" s="28"/>
      <c r="DU253" s="28"/>
      <c r="DX253" s="28"/>
      <c r="EA253" s="28"/>
      <c r="ED253" s="28"/>
      <c r="EG253" s="28"/>
      <c r="EJ253" s="28"/>
      <c r="EM253" s="28"/>
      <c r="EP253" s="28"/>
      <c r="ES253" s="28"/>
      <c r="EV253" s="28"/>
      <c r="EY253" s="28"/>
      <c r="FB253" s="28"/>
      <c r="FE253" s="28"/>
      <c r="FH253" s="28"/>
      <c r="FK253" s="28"/>
      <c r="FN253" s="28"/>
      <c r="FQ253" s="28"/>
      <c r="FT253" s="28"/>
      <c r="FW253" s="28"/>
      <c r="FZ253" s="28"/>
      <c r="GC253" s="28"/>
    </row>
    <row r="254" spans="1:185" s="25" customFormat="1" x14ac:dyDescent="0.3">
      <c r="A254" s="27"/>
      <c r="B254" s="28"/>
      <c r="C254" s="27"/>
      <c r="D254" s="26"/>
      <c r="E254" s="28"/>
      <c r="H254" s="28"/>
      <c r="K254" s="28"/>
      <c r="N254" s="28"/>
      <c r="Q254" s="28"/>
      <c r="T254" s="28"/>
      <c r="W254" s="28"/>
      <c r="Z254" s="28"/>
      <c r="AC254" s="28"/>
      <c r="AF254" s="28"/>
      <c r="AI254" s="28"/>
      <c r="AL254" s="28"/>
      <c r="AO254" s="28"/>
      <c r="AR254" s="28"/>
      <c r="AU254" s="28"/>
      <c r="AX254" s="28"/>
      <c r="BA254" s="28"/>
      <c r="BD254" s="28"/>
      <c r="BG254" s="28"/>
      <c r="BJ254" s="28"/>
      <c r="BM254" s="28"/>
      <c r="BP254" s="28"/>
      <c r="BS254" s="28"/>
      <c r="BV254" s="28"/>
      <c r="BY254" s="28"/>
      <c r="CB254" s="28"/>
      <c r="CE254" s="28"/>
      <c r="CH254" s="28"/>
      <c r="CK254" s="28"/>
      <c r="CN254" s="28"/>
      <c r="CQ254" s="28"/>
      <c r="CT254" s="28"/>
      <c r="CW254" s="28"/>
      <c r="CZ254" s="28"/>
      <c r="DC254" s="28"/>
      <c r="DF254" s="28"/>
      <c r="DI254" s="28"/>
      <c r="DL254" s="28"/>
      <c r="DO254" s="28"/>
      <c r="DR254" s="28"/>
      <c r="DU254" s="28"/>
      <c r="DX254" s="28"/>
      <c r="EA254" s="28"/>
      <c r="ED254" s="28"/>
      <c r="EG254" s="28"/>
      <c r="EJ254" s="28"/>
      <c r="EM254" s="28"/>
      <c r="EP254" s="28"/>
      <c r="ES254" s="28"/>
      <c r="EV254" s="28"/>
      <c r="EY254" s="28"/>
      <c r="FB254" s="28"/>
      <c r="FE254" s="28"/>
      <c r="FH254" s="28"/>
      <c r="FK254" s="28"/>
      <c r="FN254" s="28"/>
      <c r="FQ254" s="28"/>
      <c r="FT254" s="28"/>
      <c r="FW254" s="28"/>
      <c r="FZ254" s="28"/>
      <c r="GC254" s="28"/>
    </row>
    <row r="255" spans="1:185" s="25" customFormat="1" x14ac:dyDescent="0.3">
      <c r="A255" s="27"/>
      <c r="B255" s="28"/>
      <c r="C255" s="27"/>
      <c r="D255" s="26"/>
      <c r="E255" s="28"/>
      <c r="H255" s="28"/>
      <c r="K255" s="28"/>
      <c r="N255" s="28"/>
      <c r="Q255" s="28"/>
      <c r="T255" s="28"/>
      <c r="W255" s="28"/>
      <c r="Z255" s="28"/>
      <c r="AC255" s="28"/>
      <c r="AF255" s="28"/>
      <c r="AI255" s="28"/>
      <c r="AL255" s="28"/>
      <c r="AO255" s="28"/>
      <c r="AR255" s="28"/>
      <c r="AU255" s="28"/>
      <c r="AX255" s="28"/>
      <c r="BA255" s="28"/>
      <c r="BD255" s="28"/>
      <c r="BG255" s="28"/>
      <c r="BJ255" s="28"/>
      <c r="BM255" s="28"/>
      <c r="BP255" s="28"/>
      <c r="BS255" s="28"/>
      <c r="BV255" s="28"/>
      <c r="BY255" s="28"/>
      <c r="CB255" s="28"/>
      <c r="CE255" s="28"/>
      <c r="CH255" s="28"/>
      <c r="CK255" s="28"/>
      <c r="CN255" s="28"/>
      <c r="CQ255" s="28"/>
      <c r="CT255" s="28"/>
      <c r="CW255" s="28"/>
      <c r="CZ255" s="28"/>
      <c r="DC255" s="28"/>
      <c r="DF255" s="28"/>
      <c r="DI255" s="28"/>
      <c r="DL255" s="28"/>
      <c r="DO255" s="28"/>
      <c r="DR255" s="28"/>
      <c r="DU255" s="28"/>
      <c r="DX255" s="28"/>
      <c r="EA255" s="28"/>
      <c r="ED255" s="28"/>
      <c r="EG255" s="28"/>
      <c r="EJ255" s="28"/>
      <c r="EM255" s="28"/>
      <c r="EP255" s="28"/>
      <c r="ES255" s="28"/>
      <c r="EV255" s="28"/>
      <c r="EY255" s="28"/>
      <c r="FB255" s="28"/>
      <c r="FE255" s="28"/>
      <c r="FH255" s="28"/>
      <c r="FK255" s="28"/>
      <c r="FN255" s="28"/>
      <c r="FQ255" s="28"/>
      <c r="FT255" s="28"/>
      <c r="FW255" s="28"/>
      <c r="FZ255" s="28"/>
      <c r="GC255" s="28"/>
    </row>
    <row r="256" spans="1:185" s="25" customFormat="1" x14ac:dyDescent="0.3">
      <c r="A256" s="27"/>
      <c r="B256" s="28"/>
      <c r="C256" s="27"/>
      <c r="D256" s="26"/>
      <c r="E256" s="28"/>
      <c r="H256" s="28"/>
      <c r="K256" s="28"/>
      <c r="N256" s="28"/>
      <c r="Q256" s="28"/>
      <c r="T256" s="28"/>
      <c r="W256" s="28"/>
      <c r="Z256" s="28"/>
      <c r="AC256" s="28"/>
      <c r="AF256" s="28"/>
      <c r="AI256" s="28"/>
      <c r="AL256" s="28"/>
      <c r="AO256" s="28"/>
      <c r="AR256" s="28"/>
      <c r="AU256" s="28"/>
      <c r="AX256" s="28"/>
      <c r="BA256" s="28"/>
      <c r="BD256" s="28"/>
      <c r="BG256" s="28"/>
      <c r="BJ256" s="28"/>
      <c r="BM256" s="28"/>
      <c r="BP256" s="28"/>
      <c r="BS256" s="28"/>
      <c r="BV256" s="28"/>
      <c r="BY256" s="28"/>
      <c r="CB256" s="28"/>
      <c r="CE256" s="28"/>
      <c r="CH256" s="28"/>
      <c r="CK256" s="28"/>
      <c r="CN256" s="28"/>
      <c r="CQ256" s="28"/>
      <c r="CT256" s="28"/>
      <c r="CW256" s="28"/>
      <c r="CZ256" s="28"/>
      <c r="DC256" s="28"/>
      <c r="DF256" s="28"/>
      <c r="DI256" s="28"/>
      <c r="DL256" s="28"/>
      <c r="DO256" s="28"/>
      <c r="DR256" s="28"/>
      <c r="DU256" s="28"/>
      <c r="DX256" s="28"/>
      <c r="EA256" s="28"/>
      <c r="ED256" s="28"/>
      <c r="EG256" s="28"/>
      <c r="EJ256" s="28"/>
      <c r="EM256" s="28"/>
      <c r="EP256" s="28"/>
      <c r="ES256" s="28"/>
      <c r="EV256" s="28"/>
      <c r="EY256" s="28"/>
      <c r="FB256" s="28"/>
      <c r="FE256" s="28"/>
      <c r="FH256" s="28"/>
      <c r="FK256" s="28"/>
      <c r="FN256" s="28"/>
      <c r="FQ256" s="28"/>
      <c r="FT256" s="28"/>
      <c r="FW256" s="28"/>
      <c r="FZ256" s="28"/>
      <c r="GC256" s="28"/>
    </row>
    <row r="257" spans="1:185" s="25" customFormat="1" x14ac:dyDescent="0.3">
      <c r="A257" s="27"/>
      <c r="B257" s="28"/>
      <c r="C257" s="27"/>
      <c r="D257" s="26"/>
      <c r="E257" s="28"/>
      <c r="H257" s="28"/>
      <c r="K257" s="28"/>
      <c r="N257" s="28"/>
      <c r="Q257" s="28"/>
      <c r="T257" s="28"/>
      <c r="W257" s="28"/>
      <c r="Z257" s="28"/>
      <c r="AC257" s="28"/>
      <c r="AF257" s="28"/>
      <c r="AI257" s="28"/>
      <c r="AL257" s="28"/>
      <c r="AO257" s="28"/>
      <c r="AR257" s="28"/>
      <c r="AU257" s="28"/>
      <c r="AX257" s="28"/>
      <c r="BA257" s="28"/>
      <c r="BD257" s="28"/>
      <c r="BG257" s="28"/>
      <c r="BJ257" s="28"/>
      <c r="BM257" s="28"/>
      <c r="BP257" s="28"/>
      <c r="BS257" s="28"/>
      <c r="BV257" s="28"/>
      <c r="BY257" s="28"/>
      <c r="CB257" s="28"/>
      <c r="CE257" s="28"/>
      <c r="CH257" s="28"/>
      <c r="CK257" s="28"/>
      <c r="CN257" s="28"/>
      <c r="CQ257" s="28"/>
      <c r="CT257" s="28"/>
      <c r="CW257" s="28"/>
      <c r="CZ257" s="28"/>
      <c r="DC257" s="28"/>
      <c r="DF257" s="28"/>
      <c r="DI257" s="28"/>
      <c r="DL257" s="28"/>
      <c r="DO257" s="28"/>
      <c r="DR257" s="28"/>
      <c r="DU257" s="28"/>
      <c r="DX257" s="28"/>
      <c r="EA257" s="28"/>
      <c r="ED257" s="28"/>
      <c r="EG257" s="28"/>
      <c r="EJ257" s="28"/>
      <c r="EM257" s="28"/>
      <c r="EP257" s="28"/>
      <c r="ES257" s="28"/>
      <c r="EV257" s="28"/>
      <c r="EY257" s="28"/>
      <c r="FB257" s="28"/>
      <c r="FE257" s="28"/>
      <c r="FH257" s="28"/>
      <c r="FK257" s="28"/>
      <c r="FN257" s="28"/>
      <c r="FQ257" s="28"/>
      <c r="FT257" s="28"/>
      <c r="FW257" s="28"/>
      <c r="FZ257" s="28"/>
      <c r="GC257" s="28"/>
    </row>
    <row r="258" spans="1:185" s="25" customFormat="1" x14ac:dyDescent="0.3">
      <c r="A258" s="27"/>
      <c r="B258" s="28"/>
      <c r="C258" s="27"/>
      <c r="D258" s="26"/>
      <c r="E258" s="28"/>
      <c r="H258" s="28"/>
      <c r="K258" s="28"/>
      <c r="N258" s="28"/>
      <c r="Q258" s="28"/>
      <c r="T258" s="28"/>
      <c r="W258" s="28"/>
      <c r="Z258" s="28"/>
      <c r="AC258" s="28"/>
      <c r="AF258" s="28"/>
      <c r="AI258" s="28"/>
      <c r="AL258" s="28"/>
      <c r="AO258" s="28"/>
      <c r="AR258" s="28"/>
      <c r="AU258" s="28"/>
      <c r="AX258" s="28"/>
      <c r="BA258" s="28"/>
      <c r="BD258" s="28"/>
      <c r="BG258" s="28"/>
      <c r="BJ258" s="28"/>
      <c r="BM258" s="28"/>
      <c r="BP258" s="28"/>
      <c r="BS258" s="28"/>
      <c r="BV258" s="28"/>
      <c r="BY258" s="28"/>
      <c r="CB258" s="28"/>
      <c r="CE258" s="28"/>
      <c r="CH258" s="28"/>
      <c r="CK258" s="28"/>
      <c r="CN258" s="28"/>
      <c r="CQ258" s="28"/>
      <c r="CT258" s="28"/>
      <c r="CW258" s="28"/>
      <c r="CZ258" s="28"/>
      <c r="DC258" s="28"/>
      <c r="DF258" s="28"/>
      <c r="DI258" s="28"/>
      <c r="DL258" s="28"/>
      <c r="DO258" s="28"/>
      <c r="DR258" s="28"/>
      <c r="DU258" s="28"/>
      <c r="DX258" s="28"/>
      <c r="EA258" s="28"/>
      <c r="ED258" s="28"/>
      <c r="EG258" s="28"/>
      <c r="EJ258" s="28"/>
      <c r="EM258" s="28"/>
      <c r="EP258" s="28"/>
      <c r="ES258" s="28"/>
      <c r="EV258" s="28"/>
      <c r="EY258" s="28"/>
      <c r="FB258" s="28"/>
      <c r="FE258" s="28"/>
      <c r="FH258" s="28"/>
      <c r="FK258" s="28"/>
      <c r="FN258" s="28"/>
      <c r="FQ258" s="28"/>
      <c r="FT258" s="28"/>
      <c r="FW258" s="28"/>
      <c r="FZ258" s="28"/>
      <c r="GC258" s="28"/>
    </row>
    <row r="259" spans="1:185" s="25" customFormat="1" x14ac:dyDescent="0.3">
      <c r="A259" s="27"/>
      <c r="B259" s="28"/>
      <c r="C259" s="27"/>
      <c r="D259" s="26"/>
      <c r="E259" s="28"/>
      <c r="H259" s="28"/>
      <c r="K259" s="28"/>
      <c r="N259" s="28"/>
      <c r="Q259" s="28"/>
      <c r="T259" s="28"/>
      <c r="W259" s="28"/>
      <c r="Z259" s="28"/>
      <c r="AC259" s="28"/>
      <c r="AF259" s="28"/>
      <c r="AI259" s="28"/>
      <c r="AL259" s="28"/>
      <c r="AO259" s="28"/>
      <c r="AR259" s="28"/>
      <c r="AU259" s="28"/>
      <c r="AX259" s="28"/>
      <c r="BA259" s="28"/>
      <c r="BD259" s="28"/>
      <c r="BG259" s="28"/>
      <c r="BJ259" s="28"/>
      <c r="BM259" s="28"/>
      <c r="BP259" s="28"/>
      <c r="BS259" s="28"/>
      <c r="BV259" s="28"/>
      <c r="BY259" s="28"/>
      <c r="CB259" s="28"/>
      <c r="CE259" s="28"/>
      <c r="CH259" s="28"/>
      <c r="CK259" s="28"/>
      <c r="CN259" s="28"/>
      <c r="CQ259" s="28"/>
      <c r="CT259" s="28"/>
      <c r="CW259" s="28"/>
      <c r="CZ259" s="28"/>
      <c r="DC259" s="28"/>
      <c r="DF259" s="28"/>
      <c r="DI259" s="28"/>
      <c r="DL259" s="28"/>
      <c r="DO259" s="28"/>
      <c r="DR259" s="28"/>
      <c r="DU259" s="28"/>
      <c r="DX259" s="28"/>
      <c r="EA259" s="28"/>
      <c r="ED259" s="28"/>
      <c r="EG259" s="28"/>
      <c r="EJ259" s="28"/>
      <c r="EM259" s="28"/>
      <c r="EP259" s="28"/>
      <c r="ES259" s="28"/>
      <c r="EV259" s="28"/>
      <c r="EY259" s="28"/>
      <c r="FB259" s="28"/>
      <c r="FE259" s="28"/>
      <c r="FH259" s="28"/>
      <c r="FK259" s="28"/>
      <c r="FN259" s="28"/>
      <c r="FQ259" s="28"/>
      <c r="FT259" s="28"/>
      <c r="FW259" s="28"/>
      <c r="FZ259" s="28"/>
      <c r="GC259" s="28"/>
    </row>
    <row r="260" spans="1:185" s="25" customFormat="1" x14ac:dyDescent="0.3">
      <c r="A260" s="27"/>
      <c r="B260" s="28"/>
      <c r="C260" s="27"/>
      <c r="D260" s="26"/>
      <c r="E260" s="28"/>
      <c r="H260" s="28"/>
      <c r="K260" s="28"/>
      <c r="N260" s="28"/>
      <c r="Q260" s="28"/>
      <c r="T260" s="28"/>
      <c r="W260" s="28"/>
      <c r="Z260" s="28"/>
      <c r="AC260" s="28"/>
      <c r="AF260" s="28"/>
      <c r="AI260" s="28"/>
      <c r="AL260" s="28"/>
      <c r="AO260" s="28"/>
      <c r="AR260" s="28"/>
      <c r="AU260" s="28"/>
      <c r="AX260" s="28"/>
      <c r="BA260" s="28"/>
      <c r="BD260" s="28"/>
      <c r="BG260" s="28"/>
      <c r="BJ260" s="28"/>
      <c r="BM260" s="28"/>
      <c r="BP260" s="28"/>
      <c r="BS260" s="28"/>
      <c r="BV260" s="28"/>
      <c r="BY260" s="28"/>
      <c r="CB260" s="28"/>
      <c r="CE260" s="28"/>
      <c r="CH260" s="28"/>
      <c r="CK260" s="28"/>
      <c r="CN260" s="28"/>
      <c r="CQ260" s="28"/>
      <c r="CT260" s="28"/>
      <c r="CW260" s="28"/>
      <c r="CZ260" s="28"/>
      <c r="DC260" s="28"/>
      <c r="DF260" s="28"/>
      <c r="DI260" s="28"/>
      <c r="DL260" s="28"/>
      <c r="DO260" s="28"/>
      <c r="DR260" s="28"/>
      <c r="DU260" s="28"/>
      <c r="DX260" s="28"/>
      <c r="EA260" s="28"/>
      <c r="ED260" s="28"/>
      <c r="EG260" s="28"/>
      <c r="EJ260" s="28"/>
      <c r="EM260" s="28"/>
      <c r="EP260" s="28"/>
      <c r="ES260" s="28"/>
      <c r="EV260" s="28"/>
      <c r="EY260" s="28"/>
      <c r="FB260" s="28"/>
      <c r="FE260" s="28"/>
      <c r="FH260" s="28"/>
      <c r="FK260" s="28"/>
      <c r="FN260" s="28"/>
      <c r="FQ260" s="28"/>
      <c r="FT260" s="28"/>
      <c r="FW260" s="28"/>
      <c r="FZ260" s="28"/>
      <c r="GC260" s="28"/>
    </row>
    <row r="261" spans="1:185" s="25" customFormat="1" x14ac:dyDescent="0.3">
      <c r="A261" s="27"/>
      <c r="B261" s="28"/>
      <c r="C261" s="27"/>
      <c r="D261" s="26"/>
      <c r="E261" s="28"/>
      <c r="H261" s="28"/>
      <c r="K261" s="28"/>
      <c r="N261" s="28"/>
      <c r="Q261" s="28"/>
      <c r="T261" s="28"/>
      <c r="W261" s="28"/>
      <c r="Z261" s="28"/>
      <c r="AC261" s="28"/>
      <c r="AF261" s="28"/>
      <c r="AI261" s="28"/>
      <c r="AL261" s="28"/>
      <c r="AO261" s="28"/>
      <c r="AR261" s="28"/>
      <c r="AU261" s="28"/>
      <c r="AX261" s="28"/>
      <c r="BA261" s="28"/>
      <c r="BD261" s="28"/>
      <c r="BG261" s="28"/>
      <c r="BJ261" s="28"/>
      <c r="BM261" s="28"/>
      <c r="BP261" s="28"/>
      <c r="BS261" s="28"/>
      <c r="BV261" s="28"/>
      <c r="BY261" s="28"/>
      <c r="CB261" s="28"/>
      <c r="CE261" s="28"/>
      <c r="CH261" s="28"/>
      <c r="CK261" s="28"/>
      <c r="CN261" s="28"/>
      <c r="CQ261" s="28"/>
      <c r="CT261" s="28"/>
      <c r="CW261" s="28"/>
      <c r="CZ261" s="28"/>
      <c r="DC261" s="28"/>
      <c r="DF261" s="28"/>
      <c r="DI261" s="28"/>
      <c r="DL261" s="28"/>
      <c r="DO261" s="28"/>
      <c r="DR261" s="28"/>
      <c r="DU261" s="28"/>
      <c r="DX261" s="28"/>
      <c r="EA261" s="28"/>
      <c r="ED261" s="28"/>
      <c r="EG261" s="28"/>
      <c r="EJ261" s="28"/>
      <c r="EM261" s="28"/>
      <c r="EP261" s="28"/>
      <c r="ES261" s="28"/>
      <c r="EV261" s="28"/>
      <c r="EY261" s="28"/>
      <c r="FB261" s="28"/>
      <c r="FE261" s="28"/>
      <c r="FH261" s="28"/>
      <c r="FK261" s="28"/>
      <c r="FN261" s="28"/>
      <c r="FQ261" s="28"/>
      <c r="FT261" s="28"/>
      <c r="FW261" s="28"/>
      <c r="FZ261" s="28"/>
      <c r="GC261" s="28"/>
    </row>
    <row r="262" spans="1:185" s="25" customFormat="1" x14ac:dyDescent="0.3">
      <c r="A262" s="27"/>
      <c r="B262" s="28"/>
      <c r="C262" s="27"/>
      <c r="D262" s="26"/>
      <c r="E262" s="28"/>
      <c r="H262" s="28"/>
      <c r="K262" s="28"/>
      <c r="N262" s="28"/>
      <c r="Q262" s="28"/>
      <c r="T262" s="28"/>
      <c r="W262" s="28"/>
      <c r="Z262" s="28"/>
      <c r="AC262" s="28"/>
      <c r="AF262" s="28"/>
      <c r="AI262" s="28"/>
      <c r="AL262" s="28"/>
      <c r="AO262" s="28"/>
      <c r="AR262" s="28"/>
      <c r="AU262" s="28"/>
      <c r="AX262" s="28"/>
      <c r="BA262" s="28"/>
      <c r="BD262" s="28"/>
      <c r="BG262" s="28"/>
      <c r="BJ262" s="28"/>
      <c r="BM262" s="28"/>
      <c r="BP262" s="28"/>
      <c r="BS262" s="28"/>
      <c r="BV262" s="28"/>
      <c r="BY262" s="28"/>
      <c r="CB262" s="28"/>
      <c r="CE262" s="28"/>
      <c r="CH262" s="28"/>
      <c r="CK262" s="28"/>
      <c r="CN262" s="28"/>
      <c r="CQ262" s="28"/>
      <c r="CT262" s="28"/>
      <c r="CW262" s="28"/>
      <c r="CZ262" s="28"/>
      <c r="DC262" s="28"/>
      <c r="DF262" s="28"/>
      <c r="DI262" s="28"/>
      <c r="DL262" s="28"/>
      <c r="DO262" s="28"/>
      <c r="DR262" s="28"/>
      <c r="DU262" s="28"/>
      <c r="DX262" s="28"/>
      <c r="EA262" s="28"/>
      <c r="ED262" s="28"/>
      <c r="EG262" s="28"/>
      <c r="EJ262" s="28"/>
      <c r="EM262" s="28"/>
      <c r="EP262" s="28"/>
      <c r="ES262" s="28"/>
      <c r="EV262" s="28"/>
      <c r="EY262" s="28"/>
      <c r="FB262" s="28"/>
      <c r="FE262" s="28"/>
      <c r="FH262" s="28"/>
      <c r="FK262" s="28"/>
      <c r="FN262" s="28"/>
      <c r="FQ262" s="28"/>
      <c r="FT262" s="28"/>
      <c r="FW262" s="28"/>
      <c r="FZ262" s="28"/>
      <c r="GC262" s="28"/>
    </row>
    <row r="263" spans="1:185" s="25" customFormat="1" x14ac:dyDescent="0.3">
      <c r="A263" s="27"/>
      <c r="B263" s="28"/>
      <c r="C263" s="27"/>
      <c r="D263" s="26"/>
      <c r="E263" s="28"/>
      <c r="H263" s="28"/>
      <c r="K263" s="28"/>
      <c r="N263" s="28"/>
      <c r="Q263" s="28"/>
      <c r="T263" s="28"/>
      <c r="W263" s="28"/>
      <c r="Z263" s="28"/>
      <c r="AC263" s="28"/>
      <c r="AF263" s="28"/>
      <c r="AI263" s="28"/>
      <c r="AL263" s="28"/>
      <c r="AO263" s="28"/>
      <c r="AR263" s="28"/>
      <c r="AU263" s="28"/>
      <c r="AX263" s="28"/>
      <c r="BA263" s="28"/>
      <c r="BD263" s="28"/>
      <c r="BG263" s="28"/>
      <c r="BJ263" s="28"/>
      <c r="BM263" s="28"/>
      <c r="BP263" s="28"/>
      <c r="BS263" s="28"/>
      <c r="BV263" s="28"/>
      <c r="BY263" s="28"/>
      <c r="CB263" s="28"/>
      <c r="CE263" s="28"/>
      <c r="CH263" s="28"/>
      <c r="CK263" s="28"/>
      <c r="CN263" s="28"/>
      <c r="CQ263" s="28"/>
      <c r="CT263" s="28"/>
      <c r="CW263" s="28"/>
      <c r="CZ263" s="28"/>
      <c r="DC263" s="28"/>
      <c r="DF263" s="28"/>
      <c r="DI263" s="28"/>
      <c r="DL263" s="28"/>
      <c r="DO263" s="28"/>
      <c r="DR263" s="28"/>
      <c r="DU263" s="28"/>
      <c r="DX263" s="28"/>
      <c r="EA263" s="28"/>
      <c r="ED263" s="28"/>
      <c r="EG263" s="28"/>
      <c r="EJ263" s="28"/>
      <c r="EM263" s="28"/>
      <c r="EP263" s="28"/>
      <c r="ES263" s="28"/>
      <c r="EV263" s="28"/>
      <c r="EY263" s="28"/>
      <c r="FB263" s="28"/>
      <c r="FE263" s="28"/>
      <c r="FH263" s="28"/>
      <c r="FK263" s="28"/>
      <c r="FN263" s="28"/>
      <c r="FQ263" s="28"/>
      <c r="FT263" s="28"/>
      <c r="FW263" s="28"/>
      <c r="FZ263" s="28"/>
      <c r="GC263" s="28"/>
    </row>
    <row r="264" spans="1:185" s="25" customFormat="1" x14ac:dyDescent="0.3">
      <c r="A264" s="27"/>
      <c r="B264" s="28"/>
      <c r="C264" s="27"/>
      <c r="D264" s="26"/>
      <c r="E264" s="28"/>
      <c r="H264" s="28"/>
      <c r="K264" s="28"/>
      <c r="N264" s="28"/>
      <c r="Q264" s="28"/>
      <c r="T264" s="28"/>
      <c r="W264" s="28"/>
      <c r="Z264" s="28"/>
      <c r="AC264" s="28"/>
      <c r="AF264" s="28"/>
      <c r="AI264" s="28"/>
      <c r="AL264" s="28"/>
      <c r="AO264" s="28"/>
      <c r="AR264" s="28"/>
      <c r="AU264" s="28"/>
      <c r="AX264" s="28"/>
      <c r="BA264" s="28"/>
      <c r="BD264" s="28"/>
      <c r="BG264" s="28"/>
      <c r="BJ264" s="28"/>
      <c r="BM264" s="28"/>
      <c r="BP264" s="28"/>
      <c r="BS264" s="28"/>
      <c r="BV264" s="28"/>
      <c r="BY264" s="28"/>
      <c r="CB264" s="28"/>
      <c r="CE264" s="28"/>
      <c r="CH264" s="28"/>
      <c r="CK264" s="28"/>
      <c r="CN264" s="28"/>
      <c r="CQ264" s="28"/>
      <c r="CT264" s="28"/>
      <c r="CW264" s="28"/>
      <c r="CZ264" s="28"/>
      <c r="DC264" s="28"/>
      <c r="DF264" s="28"/>
      <c r="DI264" s="28"/>
      <c r="DL264" s="28"/>
      <c r="DO264" s="28"/>
      <c r="DR264" s="28"/>
      <c r="DU264" s="28"/>
      <c r="DX264" s="28"/>
      <c r="EA264" s="28"/>
      <c r="ED264" s="28"/>
      <c r="EG264" s="28"/>
      <c r="EJ264" s="28"/>
      <c r="EM264" s="28"/>
      <c r="EP264" s="28"/>
      <c r="ES264" s="28"/>
      <c r="EV264" s="28"/>
      <c r="EY264" s="28"/>
      <c r="FB264" s="28"/>
      <c r="FE264" s="28"/>
      <c r="FH264" s="28"/>
      <c r="FK264" s="28"/>
      <c r="FN264" s="28"/>
      <c r="FQ264" s="28"/>
      <c r="FT264" s="28"/>
      <c r="FW264" s="28"/>
      <c r="FZ264" s="28"/>
      <c r="GC264" s="28"/>
    </row>
    <row r="265" spans="1:185" s="25" customFormat="1" x14ac:dyDescent="0.3">
      <c r="A265" s="27"/>
      <c r="B265" s="28"/>
      <c r="C265" s="27"/>
      <c r="D265" s="26"/>
      <c r="E265" s="28"/>
      <c r="H265" s="28"/>
      <c r="K265" s="28"/>
      <c r="N265" s="28"/>
      <c r="Q265" s="28"/>
      <c r="T265" s="28"/>
      <c r="W265" s="28"/>
      <c r="Z265" s="28"/>
      <c r="AC265" s="28"/>
      <c r="AF265" s="28"/>
      <c r="AI265" s="28"/>
      <c r="AL265" s="28"/>
      <c r="AO265" s="28"/>
      <c r="AR265" s="28"/>
      <c r="AU265" s="28"/>
      <c r="AX265" s="28"/>
      <c r="BA265" s="28"/>
      <c r="BD265" s="28"/>
      <c r="BG265" s="28"/>
      <c r="BJ265" s="28"/>
      <c r="BM265" s="28"/>
      <c r="BP265" s="28"/>
      <c r="BS265" s="28"/>
      <c r="BV265" s="28"/>
      <c r="BY265" s="28"/>
      <c r="CB265" s="28"/>
      <c r="CE265" s="28"/>
      <c r="CH265" s="28"/>
      <c r="CK265" s="28"/>
      <c r="CN265" s="28"/>
      <c r="CQ265" s="28"/>
      <c r="CT265" s="28"/>
      <c r="CW265" s="28"/>
      <c r="CZ265" s="28"/>
      <c r="DC265" s="28"/>
      <c r="DF265" s="28"/>
      <c r="DI265" s="28"/>
      <c r="DL265" s="28"/>
      <c r="DO265" s="28"/>
      <c r="DR265" s="28"/>
      <c r="DU265" s="28"/>
      <c r="DX265" s="28"/>
      <c r="EA265" s="28"/>
      <c r="ED265" s="28"/>
      <c r="EG265" s="28"/>
      <c r="EJ265" s="28"/>
      <c r="EM265" s="28"/>
      <c r="EP265" s="28"/>
      <c r="ES265" s="28"/>
      <c r="EV265" s="28"/>
      <c r="EY265" s="28"/>
      <c r="FB265" s="28"/>
      <c r="FE265" s="28"/>
      <c r="FH265" s="28"/>
      <c r="FK265" s="28"/>
      <c r="FN265" s="28"/>
      <c r="FQ265" s="28"/>
      <c r="FT265" s="28"/>
      <c r="FW265" s="28"/>
      <c r="FZ265" s="28"/>
      <c r="GC265" s="28"/>
    </row>
    <row r="266" spans="1:185" s="25" customFormat="1" x14ac:dyDescent="0.3">
      <c r="A266" s="27"/>
      <c r="B266" s="28"/>
      <c r="C266" s="27"/>
      <c r="D266" s="26"/>
      <c r="E266" s="28"/>
      <c r="H266" s="28"/>
      <c r="K266" s="28"/>
      <c r="N266" s="28"/>
      <c r="Q266" s="28"/>
      <c r="T266" s="28"/>
      <c r="W266" s="28"/>
      <c r="Z266" s="28"/>
      <c r="AC266" s="28"/>
      <c r="AF266" s="28"/>
      <c r="AI266" s="28"/>
      <c r="AL266" s="28"/>
      <c r="AO266" s="28"/>
      <c r="AR266" s="28"/>
      <c r="AU266" s="28"/>
      <c r="AX266" s="28"/>
      <c r="BA266" s="28"/>
      <c r="BD266" s="28"/>
      <c r="BG266" s="28"/>
      <c r="BJ266" s="28"/>
      <c r="BM266" s="28"/>
      <c r="BP266" s="28"/>
      <c r="BS266" s="28"/>
      <c r="BV266" s="28"/>
      <c r="BY266" s="28"/>
      <c r="CB266" s="28"/>
      <c r="CE266" s="28"/>
      <c r="CH266" s="28"/>
      <c r="CK266" s="28"/>
      <c r="CN266" s="28"/>
      <c r="CQ266" s="28"/>
      <c r="CT266" s="28"/>
      <c r="CW266" s="28"/>
      <c r="CZ266" s="28"/>
      <c r="DC266" s="28"/>
      <c r="DF266" s="28"/>
      <c r="DI266" s="28"/>
      <c r="DL266" s="28"/>
      <c r="DO266" s="28"/>
      <c r="DR266" s="28"/>
      <c r="DU266" s="28"/>
      <c r="DX266" s="28"/>
      <c r="EA266" s="28"/>
      <c r="ED266" s="28"/>
      <c r="EG266" s="28"/>
      <c r="EJ266" s="28"/>
      <c r="EM266" s="28"/>
      <c r="EP266" s="28"/>
      <c r="ES266" s="28"/>
      <c r="EV266" s="28"/>
      <c r="EY266" s="28"/>
      <c r="FB266" s="28"/>
      <c r="FE266" s="28"/>
      <c r="FH266" s="28"/>
      <c r="FK266" s="28"/>
      <c r="FN266" s="28"/>
      <c r="FQ266" s="28"/>
      <c r="FT266" s="28"/>
      <c r="FW266" s="28"/>
      <c r="FZ266" s="28"/>
      <c r="GC266" s="28"/>
    </row>
    <row r="267" spans="1:185" s="25" customFormat="1" x14ac:dyDescent="0.3">
      <c r="A267" s="27"/>
      <c r="B267" s="28"/>
      <c r="C267" s="27"/>
      <c r="D267" s="26"/>
      <c r="E267" s="28"/>
      <c r="H267" s="28"/>
      <c r="K267" s="28"/>
      <c r="N267" s="28"/>
      <c r="Q267" s="28"/>
      <c r="T267" s="28"/>
      <c r="W267" s="28"/>
      <c r="Z267" s="28"/>
      <c r="AC267" s="28"/>
      <c r="AF267" s="28"/>
      <c r="AI267" s="28"/>
      <c r="AL267" s="28"/>
      <c r="AO267" s="28"/>
      <c r="AR267" s="28"/>
      <c r="AU267" s="28"/>
      <c r="AX267" s="28"/>
      <c r="BA267" s="28"/>
      <c r="BD267" s="28"/>
      <c r="BG267" s="28"/>
      <c r="BJ267" s="28"/>
      <c r="BM267" s="28"/>
      <c r="BP267" s="28"/>
      <c r="BS267" s="28"/>
      <c r="BV267" s="28"/>
      <c r="BY267" s="28"/>
      <c r="CB267" s="28"/>
      <c r="CE267" s="28"/>
      <c r="CH267" s="28"/>
      <c r="CK267" s="28"/>
      <c r="CN267" s="28"/>
      <c r="CQ267" s="28"/>
      <c r="CT267" s="28"/>
      <c r="CW267" s="28"/>
      <c r="CZ267" s="28"/>
      <c r="DC267" s="28"/>
      <c r="DF267" s="28"/>
      <c r="DI267" s="28"/>
      <c r="DL267" s="28"/>
      <c r="DO267" s="28"/>
      <c r="DR267" s="28"/>
      <c r="DU267" s="28"/>
      <c r="DX267" s="28"/>
      <c r="EA267" s="28"/>
      <c r="ED267" s="28"/>
      <c r="EG267" s="28"/>
      <c r="EJ267" s="28"/>
      <c r="EM267" s="28"/>
      <c r="EP267" s="28"/>
      <c r="ES267" s="28"/>
      <c r="EV267" s="28"/>
      <c r="EY267" s="28"/>
      <c r="FB267" s="28"/>
      <c r="FE267" s="28"/>
      <c r="FH267" s="28"/>
      <c r="FK267" s="28"/>
      <c r="FN267" s="28"/>
      <c r="FQ267" s="28"/>
      <c r="FT267" s="28"/>
      <c r="FW267" s="28"/>
      <c r="FZ267" s="28"/>
      <c r="GC267" s="28"/>
    </row>
    <row r="268" spans="1:185" s="25" customFormat="1" x14ac:dyDescent="0.3">
      <c r="A268" s="27"/>
      <c r="B268" s="28"/>
      <c r="C268" s="27"/>
      <c r="D268" s="26"/>
      <c r="E268" s="28"/>
      <c r="H268" s="28"/>
      <c r="K268" s="28"/>
      <c r="N268" s="28"/>
      <c r="Q268" s="28"/>
      <c r="T268" s="28"/>
      <c r="W268" s="28"/>
      <c r="Z268" s="28"/>
      <c r="AC268" s="28"/>
      <c r="AF268" s="28"/>
      <c r="AI268" s="28"/>
      <c r="AL268" s="28"/>
      <c r="AO268" s="28"/>
      <c r="AR268" s="28"/>
      <c r="AU268" s="28"/>
      <c r="AX268" s="28"/>
      <c r="BA268" s="28"/>
      <c r="BD268" s="28"/>
      <c r="BG268" s="28"/>
      <c r="BJ268" s="28"/>
      <c r="BM268" s="28"/>
      <c r="BP268" s="28"/>
      <c r="BS268" s="28"/>
      <c r="BV268" s="28"/>
      <c r="BY268" s="28"/>
      <c r="CB268" s="28"/>
      <c r="CE268" s="28"/>
      <c r="CH268" s="28"/>
      <c r="CK268" s="28"/>
      <c r="CN268" s="28"/>
      <c r="CQ268" s="28"/>
      <c r="CT268" s="28"/>
      <c r="CW268" s="28"/>
      <c r="CZ268" s="28"/>
      <c r="DC268" s="28"/>
      <c r="DF268" s="28"/>
      <c r="DI268" s="28"/>
      <c r="DL268" s="28"/>
      <c r="DO268" s="28"/>
      <c r="DR268" s="28"/>
      <c r="DU268" s="28"/>
      <c r="DX268" s="28"/>
      <c r="EA268" s="28"/>
      <c r="ED268" s="28"/>
      <c r="EG268" s="28"/>
      <c r="EJ268" s="28"/>
      <c r="EM268" s="28"/>
      <c r="EP268" s="28"/>
      <c r="ES268" s="28"/>
      <c r="EV268" s="28"/>
      <c r="EY268" s="28"/>
      <c r="FB268" s="28"/>
      <c r="FE268" s="28"/>
      <c r="FH268" s="28"/>
      <c r="FK268" s="28"/>
      <c r="FN268" s="28"/>
      <c r="FQ268" s="28"/>
      <c r="FT268" s="28"/>
      <c r="FW268" s="28"/>
      <c r="FZ268" s="28"/>
      <c r="GC268" s="28"/>
    </row>
    <row r="269" spans="1:185" s="25" customFormat="1" x14ac:dyDescent="0.3">
      <c r="A269" s="27"/>
      <c r="B269" s="28"/>
      <c r="C269" s="27"/>
      <c r="D269" s="26"/>
      <c r="E269" s="28"/>
      <c r="H269" s="28"/>
      <c r="K269" s="28"/>
      <c r="N269" s="28"/>
      <c r="Q269" s="28"/>
      <c r="T269" s="28"/>
      <c r="W269" s="28"/>
      <c r="Z269" s="28"/>
      <c r="AC269" s="28"/>
      <c r="AF269" s="28"/>
      <c r="AI269" s="28"/>
      <c r="AL269" s="28"/>
      <c r="AO269" s="28"/>
      <c r="AR269" s="28"/>
      <c r="AU269" s="28"/>
      <c r="AX269" s="28"/>
      <c r="BA269" s="28"/>
      <c r="BD269" s="28"/>
      <c r="BG269" s="28"/>
      <c r="BJ269" s="28"/>
      <c r="BM269" s="28"/>
      <c r="BP269" s="28"/>
      <c r="BS269" s="28"/>
      <c r="BV269" s="28"/>
      <c r="BY269" s="28"/>
      <c r="CB269" s="28"/>
      <c r="CE269" s="28"/>
      <c r="CH269" s="28"/>
      <c r="CK269" s="28"/>
      <c r="CN269" s="28"/>
      <c r="CQ269" s="28"/>
      <c r="CT269" s="28"/>
      <c r="CW269" s="28"/>
      <c r="CZ269" s="28"/>
      <c r="DC269" s="28"/>
      <c r="DF269" s="28"/>
      <c r="DI269" s="28"/>
      <c r="DL269" s="28"/>
      <c r="DO269" s="28"/>
      <c r="DR269" s="28"/>
      <c r="DU269" s="28"/>
      <c r="DX269" s="28"/>
      <c r="EA269" s="28"/>
      <c r="ED269" s="28"/>
      <c r="EG269" s="28"/>
      <c r="EJ269" s="28"/>
      <c r="EM269" s="28"/>
      <c r="EP269" s="28"/>
      <c r="ES269" s="28"/>
      <c r="EV269" s="28"/>
      <c r="EY269" s="28"/>
      <c r="FB269" s="28"/>
      <c r="FE269" s="28"/>
      <c r="FH269" s="28"/>
      <c r="FK269" s="28"/>
      <c r="FN269" s="28"/>
      <c r="FQ269" s="28"/>
      <c r="FT269" s="28"/>
      <c r="FW269" s="28"/>
      <c r="FZ269" s="28"/>
      <c r="GC269" s="28"/>
    </row>
    <row r="270" spans="1:185" s="25" customFormat="1" x14ac:dyDescent="0.3">
      <c r="A270" s="27"/>
      <c r="B270" s="28"/>
      <c r="C270" s="27"/>
      <c r="D270" s="26"/>
      <c r="E270" s="28"/>
      <c r="H270" s="28"/>
      <c r="K270" s="28"/>
      <c r="N270" s="28"/>
      <c r="Q270" s="28"/>
      <c r="T270" s="28"/>
      <c r="W270" s="28"/>
      <c r="Z270" s="28"/>
      <c r="AC270" s="28"/>
      <c r="AF270" s="28"/>
      <c r="AI270" s="28"/>
      <c r="AL270" s="28"/>
      <c r="AO270" s="28"/>
      <c r="AR270" s="28"/>
      <c r="AU270" s="28"/>
      <c r="AX270" s="28"/>
      <c r="BA270" s="28"/>
      <c r="BD270" s="28"/>
      <c r="BG270" s="28"/>
      <c r="BJ270" s="28"/>
      <c r="BM270" s="28"/>
      <c r="BP270" s="28"/>
      <c r="BS270" s="28"/>
      <c r="BV270" s="28"/>
      <c r="BY270" s="28"/>
      <c r="CB270" s="28"/>
      <c r="CE270" s="28"/>
      <c r="CH270" s="28"/>
      <c r="CK270" s="28"/>
      <c r="CN270" s="28"/>
      <c r="CQ270" s="28"/>
      <c r="CT270" s="28"/>
      <c r="CW270" s="28"/>
      <c r="CZ270" s="28"/>
      <c r="DC270" s="28"/>
      <c r="DF270" s="28"/>
      <c r="DI270" s="28"/>
      <c r="DL270" s="28"/>
      <c r="DO270" s="28"/>
      <c r="DR270" s="28"/>
      <c r="DU270" s="28"/>
      <c r="DX270" s="28"/>
      <c r="EA270" s="28"/>
      <c r="ED270" s="28"/>
      <c r="EG270" s="28"/>
      <c r="EJ270" s="28"/>
      <c r="EM270" s="28"/>
      <c r="EP270" s="28"/>
      <c r="ES270" s="28"/>
      <c r="EV270" s="28"/>
      <c r="EY270" s="28"/>
      <c r="FB270" s="28"/>
      <c r="FE270" s="28"/>
      <c r="FH270" s="28"/>
      <c r="FK270" s="28"/>
      <c r="FN270" s="28"/>
      <c r="FQ270" s="28"/>
      <c r="FT270" s="28"/>
      <c r="FW270" s="28"/>
      <c r="FZ270" s="28"/>
      <c r="GC270" s="28"/>
    </row>
    <row r="271" spans="1:185" s="25" customFormat="1" x14ac:dyDescent="0.3">
      <c r="A271" s="27"/>
      <c r="B271" s="28"/>
      <c r="C271" s="27"/>
      <c r="D271" s="26"/>
      <c r="E271" s="28"/>
      <c r="H271" s="28"/>
      <c r="K271" s="28"/>
      <c r="N271" s="28"/>
      <c r="Q271" s="28"/>
      <c r="T271" s="28"/>
      <c r="W271" s="28"/>
      <c r="Z271" s="28"/>
      <c r="AC271" s="28"/>
      <c r="AF271" s="28"/>
      <c r="AI271" s="28"/>
      <c r="AL271" s="28"/>
      <c r="AO271" s="28"/>
      <c r="AR271" s="28"/>
      <c r="AU271" s="28"/>
      <c r="AX271" s="28"/>
      <c r="BA271" s="28"/>
      <c r="BD271" s="28"/>
      <c r="BG271" s="28"/>
      <c r="BJ271" s="28"/>
      <c r="BM271" s="28"/>
      <c r="BP271" s="28"/>
      <c r="BS271" s="28"/>
      <c r="BV271" s="28"/>
      <c r="BY271" s="28"/>
      <c r="CB271" s="28"/>
      <c r="CE271" s="28"/>
      <c r="CH271" s="28"/>
      <c r="CK271" s="28"/>
      <c r="CN271" s="28"/>
      <c r="CQ271" s="28"/>
      <c r="CT271" s="28"/>
      <c r="CW271" s="28"/>
      <c r="CZ271" s="28"/>
      <c r="DC271" s="28"/>
      <c r="DF271" s="28"/>
      <c r="DI271" s="28"/>
      <c r="DL271" s="28"/>
      <c r="DO271" s="28"/>
      <c r="DR271" s="28"/>
      <c r="DU271" s="28"/>
      <c r="DX271" s="28"/>
      <c r="EA271" s="28"/>
      <c r="ED271" s="28"/>
      <c r="EG271" s="28"/>
      <c r="EJ271" s="28"/>
      <c r="EM271" s="28"/>
      <c r="EP271" s="28"/>
      <c r="ES271" s="28"/>
      <c r="EV271" s="28"/>
      <c r="EY271" s="28"/>
      <c r="FB271" s="28"/>
      <c r="FE271" s="28"/>
      <c r="FH271" s="28"/>
      <c r="FK271" s="28"/>
      <c r="FN271" s="28"/>
      <c r="FQ271" s="28"/>
      <c r="FT271" s="28"/>
      <c r="FW271" s="28"/>
      <c r="FZ271" s="28"/>
      <c r="GC271" s="28"/>
    </row>
    <row r="272" spans="1:185" s="25" customFormat="1" x14ac:dyDescent="0.3">
      <c r="A272" s="27"/>
      <c r="B272" s="28"/>
      <c r="C272" s="27"/>
      <c r="D272" s="26"/>
      <c r="E272" s="28"/>
      <c r="H272" s="28"/>
      <c r="K272" s="28"/>
      <c r="N272" s="28"/>
      <c r="Q272" s="28"/>
      <c r="T272" s="28"/>
      <c r="W272" s="28"/>
      <c r="Z272" s="28"/>
      <c r="AC272" s="28"/>
      <c r="AF272" s="28"/>
      <c r="AI272" s="28"/>
      <c r="AL272" s="28"/>
      <c r="AO272" s="28"/>
      <c r="AR272" s="28"/>
      <c r="AU272" s="28"/>
      <c r="AX272" s="28"/>
      <c r="BA272" s="28"/>
      <c r="BD272" s="28"/>
      <c r="BG272" s="28"/>
      <c r="BJ272" s="28"/>
      <c r="BM272" s="28"/>
      <c r="BP272" s="28"/>
      <c r="BS272" s="28"/>
      <c r="BV272" s="28"/>
      <c r="BY272" s="28"/>
      <c r="CB272" s="28"/>
      <c r="CE272" s="28"/>
      <c r="CH272" s="28"/>
      <c r="CK272" s="28"/>
      <c r="CN272" s="28"/>
      <c r="CQ272" s="28"/>
      <c r="CT272" s="28"/>
      <c r="CW272" s="28"/>
      <c r="CZ272" s="28"/>
      <c r="DC272" s="28"/>
      <c r="DF272" s="28"/>
      <c r="DI272" s="28"/>
      <c r="DL272" s="28"/>
      <c r="DO272" s="28"/>
      <c r="DR272" s="28"/>
      <c r="DU272" s="28"/>
      <c r="DX272" s="28"/>
      <c r="EA272" s="28"/>
      <c r="ED272" s="28"/>
      <c r="EG272" s="28"/>
      <c r="EJ272" s="28"/>
      <c r="EM272" s="28"/>
      <c r="EP272" s="28"/>
      <c r="ES272" s="28"/>
      <c r="EV272" s="28"/>
      <c r="EY272" s="28"/>
      <c r="FB272" s="28"/>
      <c r="FE272" s="28"/>
      <c r="FH272" s="28"/>
      <c r="FK272" s="28"/>
      <c r="FN272" s="28"/>
      <c r="FQ272" s="28"/>
      <c r="FT272" s="28"/>
      <c r="FW272" s="28"/>
      <c r="FZ272" s="28"/>
      <c r="GC272" s="28"/>
    </row>
    <row r="273" spans="1:185" s="25" customFormat="1" x14ac:dyDescent="0.3">
      <c r="A273" s="27"/>
      <c r="B273" s="28"/>
      <c r="C273" s="27"/>
      <c r="D273" s="26"/>
      <c r="E273" s="28"/>
      <c r="H273" s="28"/>
      <c r="K273" s="28"/>
      <c r="N273" s="28"/>
      <c r="Q273" s="28"/>
      <c r="T273" s="28"/>
      <c r="W273" s="28"/>
      <c r="Z273" s="28"/>
      <c r="AC273" s="28"/>
      <c r="AF273" s="28"/>
      <c r="AI273" s="28"/>
      <c r="AL273" s="28"/>
      <c r="AO273" s="28"/>
      <c r="AR273" s="28"/>
      <c r="AU273" s="28"/>
      <c r="AX273" s="28"/>
      <c r="BA273" s="28"/>
      <c r="BD273" s="28"/>
      <c r="BG273" s="28"/>
      <c r="BJ273" s="28"/>
      <c r="BM273" s="28"/>
      <c r="BP273" s="28"/>
      <c r="BS273" s="28"/>
      <c r="BV273" s="28"/>
      <c r="BY273" s="28"/>
      <c r="CB273" s="28"/>
      <c r="CE273" s="28"/>
      <c r="CH273" s="28"/>
      <c r="CK273" s="28"/>
      <c r="CN273" s="28"/>
      <c r="CQ273" s="28"/>
      <c r="CT273" s="28"/>
      <c r="CW273" s="28"/>
      <c r="CZ273" s="28"/>
      <c r="DC273" s="28"/>
      <c r="DF273" s="28"/>
      <c r="DI273" s="28"/>
      <c r="DL273" s="28"/>
      <c r="DO273" s="28"/>
      <c r="DR273" s="28"/>
      <c r="DU273" s="28"/>
      <c r="DX273" s="28"/>
      <c r="EA273" s="28"/>
      <c r="ED273" s="28"/>
      <c r="EG273" s="28"/>
      <c r="EJ273" s="28"/>
      <c r="EM273" s="28"/>
      <c r="EP273" s="28"/>
      <c r="ES273" s="28"/>
      <c r="EV273" s="28"/>
      <c r="EY273" s="28"/>
      <c r="FB273" s="28"/>
      <c r="FE273" s="28"/>
      <c r="FH273" s="28"/>
      <c r="FK273" s="28"/>
      <c r="FN273" s="28"/>
      <c r="FQ273" s="28"/>
      <c r="FT273" s="28"/>
      <c r="FW273" s="28"/>
      <c r="FZ273" s="28"/>
      <c r="GC273" s="28"/>
    </row>
    <row r="274" spans="1:185" s="25" customFormat="1" x14ac:dyDescent="0.3">
      <c r="A274" s="27"/>
      <c r="B274" s="28"/>
      <c r="C274" s="27"/>
      <c r="D274" s="26"/>
      <c r="E274" s="28"/>
      <c r="H274" s="28"/>
      <c r="K274" s="28"/>
      <c r="N274" s="28"/>
      <c r="Q274" s="28"/>
      <c r="T274" s="28"/>
      <c r="W274" s="28"/>
      <c r="Z274" s="28"/>
      <c r="AC274" s="28"/>
      <c r="AF274" s="28"/>
      <c r="AI274" s="28"/>
      <c r="AL274" s="28"/>
      <c r="AO274" s="28"/>
      <c r="AR274" s="28"/>
      <c r="AU274" s="28"/>
      <c r="AX274" s="28"/>
      <c r="BA274" s="28"/>
      <c r="BD274" s="28"/>
      <c r="BG274" s="28"/>
      <c r="BJ274" s="28"/>
      <c r="BM274" s="28"/>
      <c r="BP274" s="28"/>
      <c r="BS274" s="28"/>
      <c r="BV274" s="28"/>
      <c r="BY274" s="28"/>
      <c r="CB274" s="28"/>
      <c r="CE274" s="28"/>
      <c r="CH274" s="28"/>
      <c r="CK274" s="28"/>
      <c r="CN274" s="28"/>
      <c r="CQ274" s="28"/>
      <c r="CT274" s="28"/>
      <c r="CW274" s="28"/>
      <c r="CZ274" s="28"/>
      <c r="DC274" s="28"/>
      <c r="DF274" s="28"/>
      <c r="DI274" s="28"/>
      <c r="DL274" s="28"/>
      <c r="DO274" s="28"/>
      <c r="DR274" s="28"/>
      <c r="DU274" s="28"/>
      <c r="DX274" s="28"/>
      <c r="EA274" s="28"/>
      <c r="ED274" s="28"/>
      <c r="EG274" s="28"/>
      <c r="EJ274" s="28"/>
      <c r="EM274" s="28"/>
      <c r="EP274" s="28"/>
      <c r="ES274" s="28"/>
      <c r="EV274" s="28"/>
      <c r="EY274" s="28"/>
      <c r="FB274" s="28"/>
      <c r="FE274" s="28"/>
      <c r="FH274" s="28"/>
      <c r="FK274" s="28"/>
      <c r="FN274" s="28"/>
      <c r="FQ274" s="28"/>
      <c r="FT274" s="28"/>
      <c r="FW274" s="28"/>
      <c r="FZ274" s="28"/>
      <c r="GC274" s="28"/>
    </row>
    <row r="275" spans="1:185" s="25" customFormat="1" x14ac:dyDescent="0.3">
      <c r="A275" s="27"/>
      <c r="B275" s="28"/>
      <c r="C275" s="27"/>
      <c r="D275" s="26"/>
      <c r="E275" s="28"/>
      <c r="H275" s="28"/>
      <c r="K275" s="28"/>
      <c r="N275" s="28"/>
      <c r="Q275" s="28"/>
      <c r="T275" s="28"/>
      <c r="W275" s="28"/>
      <c r="Z275" s="28"/>
      <c r="AC275" s="28"/>
      <c r="AF275" s="28"/>
      <c r="AI275" s="28"/>
      <c r="AL275" s="28"/>
      <c r="AO275" s="28"/>
      <c r="AR275" s="28"/>
      <c r="AU275" s="28"/>
      <c r="AX275" s="28"/>
      <c r="BA275" s="28"/>
      <c r="BD275" s="28"/>
      <c r="BG275" s="28"/>
      <c r="BJ275" s="28"/>
      <c r="BM275" s="28"/>
      <c r="BP275" s="28"/>
      <c r="BS275" s="28"/>
      <c r="BV275" s="28"/>
      <c r="BY275" s="28"/>
      <c r="CB275" s="28"/>
      <c r="CE275" s="28"/>
      <c r="CH275" s="28"/>
      <c r="CK275" s="28"/>
      <c r="CN275" s="28"/>
      <c r="CQ275" s="28"/>
      <c r="CT275" s="28"/>
      <c r="CW275" s="28"/>
      <c r="CZ275" s="28"/>
      <c r="DC275" s="28"/>
      <c r="DF275" s="28"/>
      <c r="DI275" s="28"/>
      <c r="DL275" s="28"/>
      <c r="DO275" s="28"/>
      <c r="DR275" s="28"/>
      <c r="DU275" s="28"/>
      <c r="DX275" s="28"/>
      <c r="EA275" s="28"/>
      <c r="ED275" s="28"/>
      <c r="EG275" s="28"/>
      <c r="EJ275" s="28"/>
      <c r="EM275" s="28"/>
      <c r="EP275" s="28"/>
      <c r="ES275" s="28"/>
      <c r="EV275" s="28"/>
      <c r="EY275" s="28"/>
      <c r="FB275" s="28"/>
      <c r="FE275" s="28"/>
      <c r="FH275" s="28"/>
      <c r="FK275" s="28"/>
      <c r="FN275" s="28"/>
      <c r="FQ275" s="28"/>
      <c r="FT275" s="28"/>
      <c r="FW275" s="28"/>
      <c r="FZ275" s="28"/>
      <c r="GC275" s="28"/>
    </row>
    <row r="276" spans="1:185" s="25" customFormat="1" x14ac:dyDescent="0.3">
      <c r="A276" s="27"/>
      <c r="B276" s="28"/>
      <c r="C276" s="27"/>
      <c r="D276" s="26"/>
      <c r="E276" s="28"/>
      <c r="H276" s="28"/>
      <c r="K276" s="28"/>
      <c r="N276" s="28"/>
      <c r="Q276" s="28"/>
      <c r="T276" s="28"/>
      <c r="W276" s="28"/>
      <c r="Z276" s="28"/>
      <c r="AC276" s="28"/>
      <c r="AF276" s="28"/>
      <c r="AI276" s="28"/>
      <c r="AL276" s="28"/>
      <c r="AO276" s="28"/>
      <c r="AR276" s="28"/>
      <c r="AU276" s="28"/>
      <c r="AX276" s="28"/>
      <c r="BA276" s="28"/>
      <c r="BD276" s="28"/>
      <c r="BG276" s="28"/>
      <c r="BJ276" s="28"/>
      <c r="BM276" s="28"/>
      <c r="BP276" s="28"/>
      <c r="BS276" s="28"/>
      <c r="BV276" s="28"/>
      <c r="BY276" s="28"/>
      <c r="CB276" s="28"/>
      <c r="CE276" s="28"/>
      <c r="CH276" s="28"/>
      <c r="CK276" s="28"/>
      <c r="CN276" s="28"/>
      <c r="CQ276" s="28"/>
      <c r="CT276" s="28"/>
      <c r="CW276" s="28"/>
      <c r="CZ276" s="28"/>
      <c r="DC276" s="28"/>
      <c r="DF276" s="28"/>
      <c r="DI276" s="28"/>
      <c r="DL276" s="28"/>
      <c r="DO276" s="28"/>
      <c r="DR276" s="28"/>
      <c r="DU276" s="28"/>
      <c r="DX276" s="28"/>
      <c r="EA276" s="28"/>
      <c r="ED276" s="28"/>
      <c r="EG276" s="28"/>
      <c r="EJ276" s="28"/>
      <c r="EM276" s="28"/>
      <c r="EP276" s="28"/>
      <c r="ES276" s="28"/>
      <c r="EV276" s="28"/>
      <c r="EY276" s="28"/>
      <c r="FB276" s="28"/>
      <c r="FE276" s="28"/>
      <c r="FH276" s="28"/>
      <c r="FK276" s="28"/>
      <c r="FN276" s="28"/>
      <c r="FQ276" s="28"/>
      <c r="FT276" s="28"/>
      <c r="FW276" s="28"/>
      <c r="FZ276" s="28"/>
      <c r="GC276" s="28"/>
    </row>
    <row r="277" spans="1:185" s="25" customFormat="1" x14ac:dyDescent="0.3">
      <c r="A277" s="27"/>
      <c r="B277" s="28"/>
      <c r="C277" s="27"/>
      <c r="D277" s="26"/>
      <c r="E277" s="28"/>
      <c r="H277" s="28"/>
      <c r="K277" s="28"/>
      <c r="N277" s="28"/>
      <c r="Q277" s="28"/>
      <c r="T277" s="28"/>
      <c r="W277" s="28"/>
      <c r="Z277" s="28"/>
      <c r="AC277" s="28"/>
      <c r="AF277" s="28"/>
      <c r="AI277" s="28"/>
      <c r="AL277" s="28"/>
      <c r="AO277" s="28"/>
      <c r="AR277" s="28"/>
      <c r="AU277" s="28"/>
      <c r="AX277" s="28"/>
      <c r="BA277" s="28"/>
      <c r="BD277" s="28"/>
      <c r="BG277" s="28"/>
      <c r="BJ277" s="28"/>
      <c r="BM277" s="28"/>
      <c r="BP277" s="28"/>
      <c r="BS277" s="28"/>
      <c r="BV277" s="28"/>
      <c r="BY277" s="28"/>
      <c r="CB277" s="28"/>
      <c r="CE277" s="28"/>
      <c r="CH277" s="28"/>
      <c r="CK277" s="28"/>
      <c r="CN277" s="28"/>
      <c r="CQ277" s="28"/>
      <c r="CT277" s="28"/>
      <c r="CW277" s="28"/>
      <c r="CZ277" s="28"/>
      <c r="DC277" s="28"/>
      <c r="DF277" s="28"/>
      <c r="DI277" s="28"/>
      <c r="DL277" s="28"/>
      <c r="DO277" s="28"/>
      <c r="DR277" s="28"/>
      <c r="DU277" s="28"/>
      <c r="DX277" s="28"/>
      <c r="EA277" s="28"/>
      <c r="ED277" s="28"/>
      <c r="EG277" s="28"/>
      <c r="EJ277" s="28"/>
      <c r="EM277" s="28"/>
      <c r="EP277" s="28"/>
      <c r="ES277" s="28"/>
      <c r="EV277" s="28"/>
      <c r="EY277" s="28"/>
      <c r="FB277" s="28"/>
      <c r="FE277" s="28"/>
      <c r="FH277" s="28"/>
      <c r="FK277" s="28"/>
      <c r="FN277" s="28"/>
      <c r="FQ277" s="28"/>
      <c r="FT277" s="28"/>
      <c r="FW277" s="28"/>
      <c r="FZ277" s="28"/>
      <c r="GC277" s="28"/>
    </row>
    <row r="278" spans="1:185" s="25" customFormat="1" x14ac:dyDescent="0.3">
      <c r="A278" s="27"/>
      <c r="B278" s="28"/>
      <c r="C278" s="27"/>
      <c r="D278" s="26"/>
      <c r="E278" s="28"/>
      <c r="H278" s="28"/>
      <c r="K278" s="28"/>
      <c r="N278" s="28"/>
      <c r="Q278" s="28"/>
      <c r="T278" s="28"/>
      <c r="W278" s="28"/>
      <c r="Z278" s="28"/>
      <c r="AC278" s="28"/>
      <c r="AF278" s="28"/>
      <c r="AI278" s="28"/>
      <c r="AL278" s="28"/>
      <c r="AO278" s="28"/>
      <c r="AR278" s="28"/>
      <c r="AU278" s="28"/>
      <c r="AX278" s="28"/>
      <c r="BA278" s="28"/>
      <c r="BD278" s="28"/>
      <c r="BG278" s="28"/>
      <c r="BJ278" s="28"/>
      <c r="BM278" s="28"/>
      <c r="BP278" s="28"/>
      <c r="BS278" s="28"/>
      <c r="BV278" s="28"/>
      <c r="BY278" s="28"/>
      <c r="CB278" s="28"/>
      <c r="CE278" s="28"/>
      <c r="CH278" s="28"/>
      <c r="CK278" s="28"/>
      <c r="CN278" s="28"/>
      <c r="CQ278" s="28"/>
      <c r="CT278" s="28"/>
      <c r="CW278" s="28"/>
      <c r="CZ278" s="28"/>
      <c r="DC278" s="28"/>
      <c r="DF278" s="28"/>
      <c r="DI278" s="28"/>
      <c r="DL278" s="28"/>
      <c r="DO278" s="28"/>
      <c r="DR278" s="28"/>
      <c r="DU278" s="28"/>
      <c r="DX278" s="28"/>
      <c r="EA278" s="28"/>
      <c r="ED278" s="28"/>
      <c r="EG278" s="28"/>
      <c r="EJ278" s="28"/>
      <c r="EM278" s="28"/>
      <c r="EP278" s="28"/>
      <c r="ES278" s="28"/>
      <c r="EV278" s="28"/>
      <c r="EY278" s="28"/>
      <c r="FB278" s="28"/>
      <c r="FE278" s="28"/>
      <c r="FH278" s="28"/>
      <c r="FK278" s="28"/>
      <c r="FN278" s="28"/>
      <c r="FQ278" s="28"/>
      <c r="FT278" s="28"/>
      <c r="FW278" s="28"/>
      <c r="FZ278" s="28"/>
      <c r="GC278" s="28"/>
    </row>
    <row r="279" spans="1:185" s="25" customFormat="1" x14ac:dyDescent="0.3">
      <c r="A279" s="27"/>
      <c r="B279" s="28"/>
      <c r="C279" s="27"/>
      <c r="D279" s="26"/>
      <c r="E279" s="28"/>
      <c r="H279" s="28"/>
      <c r="K279" s="28"/>
      <c r="N279" s="28"/>
      <c r="Q279" s="28"/>
      <c r="T279" s="28"/>
      <c r="W279" s="28"/>
      <c r="Z279" s="28"/>
      <c r="AC279" s="28"/>
      <c r="AF279" s="28"/>
      <c r="AI279" s="28"/>
      <c r="AL279" s="28"/>
      <c r="AO279" s="28"/>
      <c r="AR279" s="28"/>
      <c r="AU279" s="28"/>
      <c r="AX279" s="28"/>
      <c r="BA279" s="28"/>
      <c r="BD279" s="28"/>
      <c r="BG279" s="28"/>
      <c r="BJ279" s="28"/>
      <c r="BM279" s="28"/>
      <c r="BP279" s="28"/>
      <c r="BS279" s="28"/>
      <c r="BV279" s="28"/>
      <c r="BY279" s="28"/>
      <c r="CB279" s="28"/>
      <c r="CE279" s="28"/>
      <c r="CH279" s="28"/>
      <c r="CK279" s="28"/>
      <c r="CN279" s="28"/>
      <c r="CQ279" s="28"/>
      <c r="CT279" s="28"/>
      <c r="CW279" s="28"/>
      <c r="CZ279" s="28"/>
      <c r="DC279" s="28"/>
      <c r="DF279" s="28"/>
      <c r="DI279" s="28"/>
      <c r="DL279" s="28"/>
      <c r="DO279" s="28"/>
      <c r="DR279" s="28"/>
      <c r="DU279" s="28"/>
      <c r="DX279" s="28"/>
      <c r="EA279" s="28"/>
      <c r="ED279" s="28"/>
      <c r="EG279" s="28"/>
      <c r="EJ279" s="28"/>
      <c r="EM279" s="28"/>
      <c r="EP279" s="28"/>
      <c r="ES279" s="28"/>
      <c r="EV279" s="28"/>
      <c r="EY279" s="28"/>
      <c r="FB279" s="28"/>
      <c r="FE279" s="28"/>
      <c r="FH279" s="28"/>
      <c r="FK279" s="28"/>
      <c r="FN279" s="28"/>
      <c r="FQ279" s="28"/>
      <c r="FT279" s="28"/>
      <c r="FW279" s="28"/>
      <c r="FZ279" s="28"/>
      <c r="GC279" s="28"/>
    </row>
    <row r="280" spans="1:185" s="25" customFormat="1" x14ac:dyDescent="0.3">
      <c r="A280" s="27"/>
      <c r="B280" s="28"/>
      <c r="C280" s="27"/>
      <c r="D280" s="26"/>
      <c r="E280" s="28"/>
      <c r="H280" s="28"/>
      <c r="K280" s="28"/>
      <c r="N280" s="28"/>
      <c r="Q280" s="28"/>
      <c r="T280" s="28"/>
      <c r="W280" s="28"/>
      <c r="Z280" s="28"/>
      <c r="AC280" s="28"/>
      <c r="AF280" s="28"/>
      <c r="AI280" s="28"/>
      <c r="AL280" s="28"/>
      <c r="AO280" s="28"/>
      <c r="AR280" s="28"/>
      <c r="AU280" s="28"/>
      <c r="AX280" s="28"/>
      <c r="BA280" s="28"/>
      <c r="BD280" s="28"/>
      <c r="BG280" s="28"/>
      <c r="BJ280" s="28"/>
      <c r="BM280" s="28"/>
      <c r="BP280" s="28"/>
      <c r="BS280" s="28"/>
      <c r="BV280" s="28"/>
      <c r="BY280" s="28"/>
      <c r="CB280" s="28"/>
      <c r="CE280" s="28"/>
      <c r="CH280" s="28"/>
      <c r="CK280" s="28"/>
      <c r="CN280" s="28"/>
      <c r="CQ280" s="28"/>
      <c r="CT280" s="28"/>
      <c r="CW280" s="28"/>
      <c r="CZ280" s="28"/>
      <c r="DC280" s="28"/>
      <c r="DF280" s="28"/>
      <c r="DI280" s="28"/>
      <c r="DL280" s="28"/>
      <c r="DO280" s="28"/>
      <c r="DR280" s="28"/>
      <c r="DU280" s="28"/>
      <c r="DX280" s="28"/>
      <c r="EA280" s="28"/>
      <c r="ED280" s="28"/>
      <c r="EG280" s="28"/>
      <c r="EJ280" s="28"/>
      <c r="EM280" s="28"/>
      <c r="EP280" s="28"/>
      <c r="ES280" s="28"/>
      <c r="EV280" s="28"/>
      <c r="EY280" s="28"/>
      <c r="FB280" s="28"/>
      <c r="FE280" s="28"/>
      <c r="FH280" s="28"/>
      <c r="FK280" s="28"/>
      <c r="FN280" s="28"/>
      <c r="FQ280" s="28"/>
      <c r="FT280" s="28"/>
      <c r="FW280" s="28"/>
      <c r="FZ280" s="28"/>
      <c r="GC280" s="28"/>
    </row>
    <row r="281" spans="1:185" s="25" customFormat="1" x14ac:dyDescent="0.3">
      <c r="A281" s="27"/>
      <c r="B281" s="28"/>
      <c r="C281" s="27"/>
      <c r="D281" s="26"/>
      <c r="E281" s="28"/>
      <c r="H281" s="28"/>
      <c r="K281" s="28"/>
      <c r="N281" s="28"/>
      <c r="Q281" s="28"/>
      <c r="T281" s="28"/>
      <c r="W281" s="28"/>
      <c r="Z281" s="28"/>
      <c r="AC281" s="28"/>
      <c r="AF281" s="28"/>
      <c r="AI281" s="28"/>
      <c r="AL281" s="28"/>
      <c r="AO281" s="28"/>
      <c r="AR281" s="28"/>
      <c r="AU281" s="28"/>
      <c r="AX281" s="28"/>
      <c r="BA281" s="28"/>
      <c r="BD281" s="28"/>
      <c r="BG281" s="28"/>
      <c r="BJ281" s="28"/>
      <c r="BM281" s="28"/>
      <c r="BP281" s="28"/>
      <c r="BS281" s="28"/>
      <c r="BV281" s="28"/>
      <c r="BY281" s="28"/>
      <c r="CB281" s="28"/>
      <c r="CE281" s="28"/>
      <c r="CH281" s="28"/>
      <c r="CK281" s="28"/>
      <c r="CN281" s="28"/>
      <c r="CQ281" s="28"/>
      <c r="CT281" s="28"/>
      <c r="CW281" s="28"/>
      <c r="CZ281" s="28"/>
      <c r="DC281" s="28"/>
      <c r="DF281" s="28"/>
      <c r="DI281" s="28"/>
      <c r="DL281" s="28"/>
      <c r="DO281" s="28"/>
      <c r="DR281" s="28"/>
      <c r="DU281" s="28"/>
      <c r="DX281" s="28"/>
      <c r="EA281" s="28"/>
      <c r="ED281" s="28"/>
      <c r="EG281" s="28"/>
      <c r="EJ281" s="28"/>
      <c r="EM281" s="28"/>
      <c r="EP281" s="28"/>
      <c r="ES281" s="28"/>
      <c r="EV281" s="28"/>
      <c r="EY281" s="28"/>
      <c r="FB281" s="28"/>
      <c r="FE281" s="28"/>
      <c r="FH281" s="28"/>
      <c r="FK281" s="28"/>
      <c r="FN281" s="28"/>
      <c r="FQ281" s="28"/>
      <c r="FT281" s="28"/>
      <c r="FW281" s="28"/>
      <c r="FZ281" s="28"/>
      <c r="GC281" s="28"/>
    </row>
    <row r="282" spans="1:185" s="25" customFormat="1" x14ac:dyDescent="0.3">
      <c r="A282" s="27"/>
      <c r="B282" s="28"/>
      <c r="C282" s="27"/>
      <c r="D282" s="26"/>
      <c r="E282" s="28"/>
      <c r="H282" s="28"/>
      <c r="K282" s="28"/>
      <c r="N282" s="28"/>
      <c r="Q282" s="28"/>
      <c r="T282" s="28"/>
      <c r="W282" s="28"/>
      <c r="Z282" s="28"/>
      <c r="AC282" s="28"/>
      <c r="AF282" s="28"/>
      <c r="AI282" s="28"/>
      <c r="AL282" s="28"/>
      <c r="AO282" s="28"/>
      <c r="AR282" s="28"/>
      <c r="AU282" s="28"/>
      <c r="AX282" s="28"/>
      <c r="BA282" s="28"/>
      <c r="BD282" s="28"/>
      <c r="BG282" s="28"/>
      <c r="BJ282" s="28"/>
      <c r="BM282" s="28"/>
      <c r="BP282" s="28"/>
      <c r="BS282" s="28"/>
      <c r="BV282" s="28"/>
      <c r="BY282" s="28"/>
      <c r="CB282" s="28"/>
      <c r="CE282" s="28"/>
      <c r="CH282" s="28"/>
      <c r="CK282" s="28"/>
      <c r="CN282" s="28"/>
      <c r="CQ282" s="28"/>
      <c r="CT282" s="28"/>
      <c r="CW282" s="28"/>
      <c r="CZ282" s="28"/>
      <c r="DC282" s="28"/>
      <c r="DF282" s="28"/>
      <c r="DI282" s="28"/>
      <c r="DL282" s="28"/>
      <c r="DO282" s="28"/>
      <c r="DR282" s="28"/>
      <c r="DU282" s="28"/>
      <c r="DX282" s="28"/>
      <c r="EA282" s="28"/>
      <c r="ED282" s="28"/>
      <c r="EG282" s="28"/>
      <c r="EJ282" s="28"/>
      <c r="EM282" s="28"/>
      <c r="EP282" s="28"/>
      <c r="ES282" s="28"/>
      <c r="EV282" s="28"/>
      <c r="EY282" s="28"/>
      <c r="FB282" s="28"/>
      <c r="FE282" s="28"/>
      <c r="FH282" s="28"/>
      <c r="FK282" s="28"/>
      <c r="FN282" s="28"/>
      <c r="FQ282" s="28"/>
      <c r="FT282" s="28"/>
      <c r="FW282" s="28"/>
      <c r="FZ282" s="28"/>
      <c r="GC282" s="28"/>
    </row>
    <row r="283" spans="1:185" s="25" customFormat="1" x14ac:dyDescent="0.3">
      <c r="A283" s="27"/>
      <c r="B283" s="28"/>
      <c r="C283" s="27"/>
      <c r="D283" s="26"/>
      <c r="E283" s="28"/>
      <c r="H283" s="28"/>
      <c r="K283" s="28"/>
      <c r="N283" s="28"/>
      <c r="Q283" s="28"/>
      <c r="T283" s="28"/>
      <c r="W283" s="28"/>
      <c r="Z283" s="28"/>
      <c r="AC283" s="28"/>
      <c r="AF283" s="28"/>
      <c r="AI283" s="28"/>
      <c r="AL283" s="28"/>
      <c r="AO283" s="28"/>
      <c r="AR283" s="28"/>
      <c r="AU283" s="28"/>
      <c r="AX283" s="28"/>
      <c r="BA283" s="28"/>
      <c r="BD283" s="28"/>
      <c r="BG283" s="28"/>
      <c r="BJ283" s="28"/>
      <c r="BM283" s="28"/>
      <c r="BP283" s="28"/>
      <c r="BS283" s="28"/>
      <c r="BV283" s="28"/>
      <c r="BY283" s="28"/>
      <c r="CB283" s="28"/>
      <c r="CE283" s="28"/>
      <c r="CH283" s="28"/>
      <c r="CK283" s="28"/>
      <c r="CN283" s="28"/>
      <c r="CQ283" s="28"/>
      <c r="CT283" s="28"/>
      <c r="CW283" s="28"/>
      <c r="CZ283" s="28"/>
      <c r="DC283" s="28"/>
      <c r="DF283" s="28"/>
      <c r="DI283" s="28"/>
      <c r="DL283" s="28"/>
      <c r="DO283" s="28"/>
      <c r="DR283" s="28"/>
      <c r="DU283" s="28"/>
      <c r="DX283" s="28"/>
      <c r="EA283" s="28"/>
      <c r="ED283" s="28"/>
      <c r="EG283" s="28"/>
      <c r="EJ283" s="28"/>
      <c r="EM283" s="28"/>
      <c r="EP283" s="28"/>
      <c r="ES283" s="28"/>
      <c r="EV283" s="28"/>
      <c r="EY283" s="28"/>
      <c r="FB283" s="28"/>
      <c r="FE283" s="28"/>
      <c r="FH283" s="28"/>
      <c r="FK283" s="28"/>
      <c r="FN283" s="28"/>
      <c r="FQ283" s="28"/>
      <c r="FT283" s="28"/>
      <c r="FW283" s="28"/>
      <c r="FZ283" s="28"/>
      <c r="GC283" s="28"/>
    </row>
    <row r="284" spans="1:185" s="25" customFormat="1" x14ac:dyDescent="0.3">
      <c r="A284" s="27"/>
      <c r="B284" s="28"/>
      <c r="C284" s="27"/>
      <c r="D284" s="26"/>
      <c r="E284" s="28"/>
      <c r="H284" s="28"/>
      <c r="K284" s="28"/>
      <c r="N284" s="28"/>
      <c r="Q284" s="28"/>
      <c r="T284" s="28"/>
      <c r="W284" s="28"/>
      <c r="Z284" s="28"/>
      <c r="AC284" s="28"/>
      <c r="AF284" s="28"/>
      <c r="AI284" s="28"/>
      <c r="AL284" s="28"/>
      <c r="AO284" s="28"/>
      <c r="AR284" s="28"/>
      <c r="AU284" s="28"/>
      <c r="AX284" s="28"/>
      <c r="BA284" s="28"/>
      <c r="BD284" s="28"/>
      <c r="BG284" s="28"/>
      <c r="BJ284" s="28"/>
      <c r="BM284" s="28"/>
      <c r="BP284" s="28"/>
      <c r="BS284" s="28"/>
      <c r="BV284" s="28"/>
      <c r="BY284" s="28"/>
      <c r="CB284" s="28"/>
      <c r="CE284" s="28"/>
      <c r="CH284" s="28"/>
      <c r="CK284" s="28"/>
      <c r="CN284" s="28"/>
      <c r="CQ284" s="28"/>
      <c r="CT284" s="28"/>
      <c r="CW284" s="28"/>
      <c r="CZ284" s="28"/>
      <c r="DC284" s="28"/>
      <c r="DF284" s="28"/>
      <c r="DI284" s="28"/>
      <c r="DL284" s="28"/>
      <c r="DO284" s="28"/>
      <c r="DR284" s="28"/>
      <c r="DU284" s="28"/>
      <c r="DX284" s="28"/>
      <c r="EA284" s="28"/>
      <c r="ED284" s="28"/>
      <c r="EG284" s="28"/>
      <c r="EJ284" s="28"/>
      <c r="EM284" s="28"/>
      <c r="EP284" s="28"/>
      <c r="ES284" s="28"/>
      <c r="EV284" s="28"/>
      <c r="EY284" s="28"/>
      <c r="FB284" s="28"/>
      <c r="FE284" s="28"/>
      <c r="FH284" s="28"/>
      <c r="FK284" s="28"/>
      <c r="FN284" s="28"/>
      <c r="FQ284" s="28"/>
      <c r="FT284" s="28"/>
      <c r="FW284" s="28"/>
      <c r="FZ284" s="28"/>
      <c r="GC284" s="28"/>
    </row>
    <row r="285" spans="1:185" s="25" customFormat="1" x14ac:dyDescent="0.3">
      <c r="A285" s="27"/>
      <c r="B285" s="28"/>
      <c r="C285" s="27"/>
      <c r="D285" s="26"/>
      <c r="E285" s="28"/>
      <c r="H285" s="28"/>
      <c r="K285" s="28"/>
      <c r="N285" s="28"/>
      <c r="Q285" s="28"/>
      <c r="T285" s="28"/>
      <c r="W285" s="28"/>
      <c r="Z285" s="28"/>
      <c r="AC285" s="28"/>
      <c r="AF285" s="28"/>
      <c r="AI285" s="28"/>
      <c r="AL285" s="28"/>
      <c r="AO285" s="28"/>
      <c r="AR285" s="28"/>
      <c r="AU285" s="28"/>
      <c r="AX285" s="28"/>
      <c r="BA285" s="28"/>
      <c r="BD285" s="28"/>
      <c r="BG285" s="28"/>
      <c r="BJ285" s="28"/>
      <c r="BM285" s="28"/>
      <c r="BP285" s="28"/>
      <c r="BS285" s="28"/>
      <c r="BV285" s="28"/>
      <c r="BY285" s="28"/>
      <c r="CB285" s="28"/>
      <c r="CE285" s="28"/>
      <c r="CH285" s="28"/>
      <c r="CK285" s="28"/>
      <c r="CN285" s="28"/>
      <c r="CQ285" s="28"/>
      <c r="CT285" s="28"/>
      <c r="CW285" s="28"/>
      <c r="CZ285" s="28"/>
      <c r="DC285" s="28"/>
      <c r="DF285" s="28"/>
      <c r="DI285" s="28"/>
      <c r="DL285" s="28"/>
      <c r="DO285" s="28"/>
      <c r="DR285" s="28"/>
      <c r="DU285" s="28"/>
      <c r="DX285" s="28"/>
      <c r="EA285" s="28"/>
      <c r="ED285" s="28"/>
      <c r="EG285" s="28"/>
      <c r="EJ285" s="28"/>
      <c r="EM285" s="28"/>
      <c r="EP285" s="28"/>
      <c r="ES285" s="28"/>
      <c r="EV285" s="28"/>
      <c r="EY285" s="28"/>
      <c r="FB285" s="28"/>
      <c r="FE285" s="28"/>
      <c r="FH285" s="28"/>
      <c r="FK285" s="28"/>
      <c r="FN285" s="28"/>
      <c r="FQ285" s="28"/>
      <c r="FT285" s="28"/>
      <c r="FW285" s="28"/>
      <c r="FZ285" s="28"/>
      <c r="GC285" s="28"/>
    </row>
    <row r="286" spans="1:185" s="25" customFormat="1" x14ac:dyDescent="0.3">
      <c r="A286" s="27"/>
      <c r="B286" s="28"/>
      <c r="C286" s="27"/>
      <c r="D286" s="26"/>
      <c r="E286" s="28"/>
      <c r="H286" s="28"/>
      <c r="K286" s="28"/>
      <c r="N286" s="28"/>
      <c r="Q286" s="28"/>
      <c r="T286" s="28"/>
      <c r="W286" s="28"/>
      <c r="Z286" s="28"/>
      <c r="AC286" s="28"/>
      <c r="AF286" s="28"/>
      <c r="AI286" s="28"/>
      <c r="AL286" s="28"/>
      <c r="AO286" s="28"/>
      <c r="AR286" s="28"/>
      <c r="AU286" s="28"/>
      <c r="AX286" s="28"/>
      <c r="BA286" s="28"/>
      <c r="BD286" s="28"/>
      <c r="BG286" s="28"/>
      <c r="BJ286" s="28"/>
      <c r="BM286" s="28"/>
      <c r="BP286" s="28"/>
      <c r="BS286" s="28"/>
      <c r="BV286" s="28"/>
      <c r="BY286" s="28"/>
      <c r="CB286" s="28"/>
      <c r="CE286" s="28"/>
      <c r="CH286" s="28"/>
      <c r="CK286" s="28"/>
      <c r="CN286" s="28"/>
      <c r="CQ286" s="28"/>
      <c r="CT286" s="28"/>
      <c r="CW286" s="28"/>
      <c r="CZ286" s="28"/>
      <c r="DC286" s="28"/>
      <c r="DF286" s="28"/>
      <c r="DI286" s="28"/>
      <c r="DL286" s="28"/>
      <c r="DO286" s="28"/>
      <c r="DR286" s="28"/>
      <c r="DU286" s="28"/>
      <c r="DX286" s="28"/>
      <c r="EA286" s="28"/>
      <c r="ED286" s="28"/>
      <c r="EG286" s="28"/>
      <c r="EJ286" s="28"/>
      <c r="EM286" s="28"/>
      <c r="EP286" s="28"/>
      <c r="ES286" s="28"/>
      <c r="EV286" s="28"/>
      <c r="EY286" s="28"/>
      <c r="FB286" s="28"/>
      <c r="FE286" s="28"/>
      <c r="FH286" s="28"/>
      <c r="FK286" s="28"/>
      <c r="FN286" s="28"/>
      <c r="FQ286" s="28"/>
      <c r="FT286" s="28"/>
      <c r="FW286" s="28"/>
      <c r="FZ286" s="28"/>
      <c r="GC286" s="28"/>
    </row>
    <row r="287" spans="1:185" s="25" customFormat="1" x14ac:dyDescent="0.3">
      <c r="A287" s="27"/>
      <c r="B287" s="28"/>
      <c r="C287" s="27"/>
      <c r="D287" s="26"/>
      <c r="E287" s="28"/>
      <c r="H287" s="28"/>
      <c r="K287" s="28"/>
      <c r="N287" s="28"/>
      <c r="Q287" s="28"/>
      <c r="T287" s="28"/>
      <c r="W287" s="28"/>
      <c r="Z287" s="28"/>
      <c r="AC287" s="28"/>
      <c r="AF287" s="28"/>
      <c r="AI287" s="28"/>
      <c r="AL287" s="28"/>
      <c r="AO287" s="28"/>
      <c r="AR287" s="28"/>
      <c r="AU287" s="28"/>
      <c r="AX287" s="28"/>
      <c r="BA287" s="28"/>
      <c r="BD287" s="28"/>
      <c r="BG287" s="28"/>
      <c r="BJ287" s="28"/>
      <c r="BM287" s="28"/>
      <c r="BP287" s="28"/>
      <c r="BS287" s="28"/>
      <c r="BV287" s="28"/>
      <c r="BY287" s="28"/>
      <c r="CB287" s="28"/>
      <c r="CE287" s="28"/>
      <c r="CH287" s="28"/>
      <c r="CK287" s="28"/>
      <c r="CN287" s="28"/>
      <c r="CQ287" s="28"/>
      <c r="CT287" s="28"/>
      <c r="CW287" s="28"/>
      <c r="CZ287" s="28"/>
      <c r="DC287" s="28"/>
      <c r="DF287" s="28"/>
      <c r="DI287" s="28"/>
      <c r="DL287" s="28"/>
      <c r="DO287" s="28"/>
      <c r="DR287" s="28"/>
      <c r="DU287" s="28"/>
      <c r="DX287" s="28"/>
      <c r="EA287" s="28"/>
      <c r="ED287" s="28"/>
      <c r="EG287" s="28"/>
      <c r="EJ287" s="28"/>
      <c r="EM287" s="28"/>
      <c r="EP287" s="28"/>
      <c r="ES287" s="28"/>
      <c r="EV287" s="28"/>
      <c r="EY287" s="28"/>
      <c r="FB287" s="28"/>
      <c r="FE287" s="28"/>
      <c r="FH287" s="28"/>
      <c r="FK287" s="28"/>
      <c r="FN287" s="28"/>
      <c r="FQ287" s="28"/>
      <c r="FT287" s="28"/>
      <c r="FW287" s="28"/>
      <c r="FZ287" s="28"/>
      <c r="GC287" s="28"/>
    </row>
    <row r="288" spans="1:185" s="25" customFormat="1" x14ac:dyDescent="0.3">
      <c r="A288" s="27"/>
      <c r="B288" s="28"/>
      <c r="C288" s="27"/>
      <c r="D288" s="26"/>
      <c r="E288" s="28"/>
      <c r="H288" s="28"/>
      <c r="K288" s="28"/>
      <c r="N288" s="28"/>
      <c r="Q288" s="28"/>
      <c r="T288" s="28"/>
      <c r="W288" s="28"/>
      <c r="Z288" s="28"/>
      <c r="AC288" s="28"/>
      <c r="AF288" s="28"/>
      <c r="AI288" s="28"/>
      <c r="AL288" s="28"/>
      <c r="AO288" s="28"/>
      <c r="AR288" s="28"/>
      <c r="AU288" s="28"/>
      <c r="AX288" s="28"/>
      <c r="BA288" s="28"/>
      <c r="BD288" s="28"/>
      <c r="BG288" s="28"/>
      <c r="BJ288" s="28"/>
      <c r="BM288" s="28"/>
      <c r="BP288" s="28"/>
      <c r="BS288" s="28"/>
      <c r="BV288" s="28"/>
      <c r="BY288" s="28"/>
      <c r="CB288" s="28"/>
      <c r="CE288" s="28"/>
      <c r="CH288" s="28"/>
      <c r="CK288" s="28"/>
      <c r="CN288" s="28"/>
      <c r="CQ288" s="28"/>
      <c r="CT288" s="28"/>
      <c r="CW288" s="28"/>
      <c r="CZ288" s="28"/>
      <c r="DC288" s="28"/>
      <c r="DF288" s="28"/>
      <c r="DI288" s="28"/>
      <c r="DL288" s="28"/>
      <c r="DO288" s="28"/>
      <c r="DR288" s="28"/>
      <c r="DU288" s="28"/>
      <c r="DX288" s="28"/>
      <c r="EA288" s="28"/>
      <c r="ED288" s="28"/>
      <c r="EG288" s="28"/>
      <c r="EJ288" s="28"/>
      <c r="EM288" s="28"/>
      <c r="EP288" s="28"/>
      <c r="ES288" s="28"/>
      <c r="EV288" s="28"/>
      <c r="EY288" s="28"/>
      <c r="FB288" s="28"/>
      <c r="FE288" s="28"/>
      <c r="FH288" s="28"/>
      <c r="FK288" s="28"/>
      <c r="FN288" s="28"/>
      <c r="FQ288" s="28"/>
      <c r="FT288" s="28"/>
      <c r="FW288" s="28"/>
      <c r="FZ288" s="28"/>
      <c r="GC288" s="28"/>
    </row>
    <row r="289" spans="1:185" s="25" customFormat="1" x14ac:dyDescent="0.3">
      <c r="A289" s="27"/>
      <c r="B289" s="28"/>
      <c r="C289" s="27"/>
      <c r="D289" s="26"/>
      <c r="E289" s="28"/>
      <c r="H289" s="28"/>
      <c r="K289" s="28"/>
      <c r="N289" s="28"/>
      <c r="Q289" s="28"/>
      <c r="T289" s="28"/>
      <c r="W289" s="28"/>
      <c r="Z289" s="28"/>
      <c r="AC289" s="28"/>
      <c r="AF289" s="28"/>
      <c r="AI289" s="28"/>
      <c r="AL289" s="28"/>
      <c r="AO289" s="28"/>
      <c r="AR289" s="28"/>
      <c r="AU289" s="28"/>
      <c r="AX289" s="28"/>
      <c r="BA289" s="28"/>
      <c r="BD289" s="28"/>
      <c r="BG289" s="28"/>
      <c r="BJ289" s="28"/>
      <c r="BM289" s="28"/>
      <c r="BP289" s="28"/>
      <c r="BS289" s="28"/>
      <c r="BV289" s="28"/>
      <c r="BY289" s="28"/>
      <c r="CB289" s="28"/>
      <c r="CE289" s="28"/>
      <c r="CH289" s="28"/>
      <c r="CK289" s="28"/>
      <c r="CN289" s="28"/>
      <c r="CQ289" s="28"/>
      <c r="CT289" s="28"/>
      <c r="CW289" s="28"/>
      <c r="CZ289" s="28"/>
      <c r="DC289" s="28"/>
      <c r="DF289" s="28"/>
      <c r="DI289" s="28"/>
      <c r="DL289" s="28"/>
      <c r="DO289" s="28"/>
      <c r="DR289" s="28"/>
      <c r="DU289" s="28"/>
      <c r="DX289" s="28"/>
      <c r="EA289" s="28"/>
      <c r="ED289" s="28"/>
      <c r="EG289" s="28"/>
      <c r="EJ289" s="28"/>
      <c r="EM289" s="28"/>
      <c r="EP289" s="28"/>
      <c r="ES289" s="28"/>
      <c r="EV289" s="28"/>
      <c r="EY289" s="28"/>
      <c r="FB289" s="28"/>
      <c r="FE289" s="28"/>
      <c r="FH289" s="28"/>
      <c r="FK289" s="28"/>
      <c r="FN289" s="28"/>
      <c r="FQ289" s="28"/>
      <c r="FT289" s="28"/>
      <c r="FW289" s="28"/>
      <c r="FZ289" s="28"/>
      <c r="GC289" s="28"/>
    </row>
    <row r="290" spans="1:185" s="25" customFormat="1" x14ac:dyDescent="0.3">
      <c r="A290" s="27"/>
      <c r="B290" s="28"/>
      <c r="C290" s="27"/>
      <c r="D290" s="26"/>
      <c r="E290" s="28"/>
      <c r="H290" s="28"/>
      <c r="K290" s="28"/>
      <c r="N290" s="28"/>
      <c r="Q290" s="28"/>
      <c r="T290" s="28"/>
      <c r="W290" s="28"/>
      <c r="Z290" s="28"/>
      <c r="AC290" s="28"/>
      <c r="AF290" s="28"/>
      <c r="AI290" s="28"/>
      <c r="AL290" s="28"/>
      <c r="AO290" s="28"/>
      <c r="AR290" s="28"/>
      <c r="AU290" s="28"/>
      <c r="AX290" s="28"/>
      <c r="BA290" s="28"/>
      <c r="BD290" s="28"/>
      <c r="BG290" s="28"/>
      <c r="BJ290" s="28"/>
      <c r="BM290" s="28"/>
      <c r="BP290" s="28"/>
      <c r="BS290" s="28"/>
      <c r="BV290" s="28"/>
      <c r="BY290" s="28"/>
      <c r="CB290" s="28"/>
      <c r="CE290" s="28"/>
      <c r="CH290" s="28"/>
      <c r="CK290" s="28"/>
      <c r="CN290" s="28"/>
      <c r="CQ290" s="28"/>
      <c r="CT290" s="28"/>
      <c r="CW290" s="28"/>
      <c r="CZ290" s="28"/>
      <c r="DC290" s="28"/>
      <c r="DF290" s="28"/>
      <c r="DI290" s="28"/>
      <c r="DL290" s="28"/>
      <c r="DO290" s="28"/>
      <c r="DR290" s="28"/>
      <c r="DU290" s="28"/>
      <c r="DX290" s="28"/>
      <c r="EA290" s="28"/>
      <c r="ED290" s="28"/>
      <c r="EG290" s="28"/>
      <c r="EJ290" s="28"/>
      <c r="EM290" s="28"/>
      <c r="EP290" s="28"/>
      <c r="ES290" s="28"/>
      <c r="EV290" s="28"/>
      <c r="EY290" s="28"/>
      <c r="FB290" s="28"/>
      <c r="FE290" s="28"/>
      <c r="FH290" s="28"/>
      <c r="FK290" s="28"/>
      <c r="FN290" s="28"/>
      <c r="FQ290" s="28"/>
      <c r="FT290" s="28"/>
      <c r="FW290" s="28"/>
      <c r="FZ290" s="28"/>
      <c r="GC290" s="28"/>
    </row>
    <row r="291" spans="1:185" s="25" customFormat="1" x14ac:dyDescent="0.3">
      <c r="A291" s="27"/>
      <c r="B291" s="28"/>
      <c r="C291" s="27"/>
      <c r="D291" s="26"/>
      <c r="E291" s="28"/>
      <c r="H291" s="28"/>
      <c r="K291" s="28"/>
      <c r="N291" s="28"/>
      <c r="Q291" s="28"/>
      <c r="T291" s="28"/>
      <c r="W291" s="28"/>
      <c r="Z291" s="28"/>
      <c r="AC291" s="28"/>
      <c r="AF291" s="28"/>
      <c r="AI291" s="28"/>
      <c r="AL291" s="28"/>
      <c r="AO291" s="28"/>
      <c r="AR291" s="28"/>
      <c r="AU291" s="28"/>
      <c r="AX291" s="28"/>
      <c r="BA291" s="28"/>
      <c r="BD291" s="28"/>
      <c r="BG291" s="28"/>
      <c r="BJ291" s="28"/>
      <c r="BM291" s="28"/>
      <c r="BP291" s="28"/>
      <c r="BS291" s="28"/>
      <c r="BV291" s="28"/>
      <c r="BY291" s="28"/>
      <c r="CB291" s="28"/>
      <c r="CE291" s="28"/>
      <c r="CH291" s="28"/>
      <c r="CK291" s="28"/>
      <c r="CN291" s="28"/>
      <c r="CQ291" s="28"/>
      <c r="CT291" s="28"/>
      <c r="CW291" s="28"/>
      <c r="CZ291" s="28"/>
      <c r="DC291" s="28"/>
      <c r="DF291" s="28"/>
      <c r="DI291" s="28"/>
      <c r="DL291" s="28"/>
      <c r="DO291" s="28"/>
      <c r="DR291" s="28"/>
      <c r="DU291" s="28"/>
      <c r="DX291" s="28"/>
      <c r="EA291" s="28"/>
      <c r="ED291" s="28"/>
      <c r="EG291" s="28"/>
      <c r="EJ291" s="28"/>
      <c r="EM291" s="28"/>
      <c r="EP291" s="28"/>
      <c r="ES291" s="28"/>
      <c r="EV291" s="28"/>
      <c r="EY291" s="28"/>
      <c r="FB291" s="28"/>
      <c r="FE291" s="28"/>
      <c r="FH291" s="28"/>
      <c r="FK291" s="28"/>
      <c r="FN291" s="28"/>
      <c r="FQ291" s="28"/>
      <c r="FT291" s="28"/>
      <c r="FW291" s="28"/>
      <c r="FZ291" s="28"/>
      <c r="GC291" s="28"/>
    </row>
    <row r="292" spans="1:185" s="25" customFormat="1" x14ac:dyDescent="0.3">
      <c r="A292" s="27"/>
      <c r="B292" s="28"/>
      <c r="C292" s="27"/>
      <c r="D292" s="26"/>
      <c r="E292" s="28"/>
      <c r="H292" s="28"/>
      <c r="K292" s="28"/>
      <c r="N292" s="28"/>
      <c r="Q292" s="28"/>
      <c r="T292" s="28"/>
      <c r="W292" s="28"/>
      <c r="Z292" s="28"/>
      <c r="AC292" s="28"/>
      <c r="AF292" s="28"/>
      <c r="AI292" s="28"/>
      <c r="AL292" s="28"/>
      <c r="AO292" s="28"/>
      <c r="AR292" s="28"/>
      <c r="AU292" s="28"/>
      <c r="AX292" s="28"/>
      <c r="BA292" s="28"/>
      <c r="BD292" s="28"/>
      <c r="BG292" s="28"/>
      <c r="BJ292" s="28"/>
      <c r="BM292" s="28"/>
      <c r="BP292" s="28"/>
      <c r="BS292" s="28"/>
      <c r="BV292" s="28"/>
      <c r="BY292" s="28"/>
      <c r="CB292" s="28"/>
      <c r="CE292" s="28"/>
      <c r="CH292" s="28"/>
      <c r="CK292" s="28"/>
      <c r="CN292" s="28"/>
      <c r="CQ292" s="28"/>
      <c r="CT292" s="28"/>
      <c r="CW292" s="28"/>
      <c r="CZ292" s="28"/>
      <c r="DC292" s="28"/>
      <c r="DF292" s="28"/>
      <c r="DI292" s="28"/>
      <c r="DL292" s="28"/>
      <c r="DO292" s="28"/>
      <c r="DR292" s="28"/>
      <c r="DU292" s="28"/>
      <c r="DX292" s="28"/>
      <c r="EA292" s="28"/>
      <c r="ED292" s="28"/>
      <c r="EG292" s="28"/>
      <c r="EJ292" s="28"/>
      <c r="EM292" s="28"/>
      <c r="EP292" s="28"/>
      <c r="ES292" s="28"/>
      <c r="EV292" s="28"/>
      <c r="EY292" s="28"/>
      <c r="FB292" s="28"/>
      <c r="FE292" s="28"/>
      <c r="FH292" s="28"/>
      <c r="FK292" s="28"/>
      <c r="FN292" s="28"/>
      <c r="FQ292" s="28"/>
      <c r="FT292" s="28"/>
      <c r="FW292" s="28"/>
      <c r="FZ292" s="28"/>
      <c r="GC292" s="28"/>
    </row>
    <row r="293" spans="1:185" s="25" customFormat="1" x14ac:dyDescent="0.3">
      <c r="A293" s="27"/>
      <c r="B293" s="28"/>
      <c r="C293" s="27"/>
      <c r="D293" s="26"/>
      <c r="E293" s="28"/>
      <c r="H293" s="28"/>
      <c r="K293" s="28"/>
      <c r="N293" s="28"/>
      <c r="Q293" s="28"/>
      <c r="T293" s="28"/>
      <c r="W293" s="28"/>
      <c r="Z293" s="28"/>
      <c r="AC293" s="28"/>
      <c r="AF293" s="28"/>
      <c r="AI293" s="28"/>
      <c r="AL293" s="28"/>
      <c r="AO293" s="28"/>
      <c r="AR293" s="28"/>
      <c r="AU293" s="28"/>
      <c r="AX293" s="28"/>
      <c r="BA293" s="28"/>
      <c r="BD293" s="28"/>
      <c r="BG293" s="28"/>
      <c r="BJ293" s="28"/>
      <c r="BM293" s="28"/>
      <c r="BP293" s="28"/>
      <c r="BS293" s="28"/>
      <c r="BV293" s="28"/>
      <c r="BY293" s="28"/>
      <c r="CB293" s="28"/>
      <c r="CE293" s="28"/>
      <c r="CH293" s="28"/>
      <c r="CK293" s="28"/>
      <c r="CN293" s="28"/>
      <c r="CQ293" s="28"/>
      <c r="CT293" s="28"/>
      <c r="CW293" s="28"/>
      <c r="CZ293" s="28"/>
      <c r="DC293" s="28"/>
      <c r="DF293" s="28"/>
      <c r="DI293" s="28"/>
      <c r="DL293" s="28"/>
      <c r="DO293" s="28"/>
      <c r="DR293" s="28"/>
      <c r="DU293" s="28"/>
      <c r="DX293" s="28"/>
      <c r="EA293" s="28"/>
      <c r="ED293" s="28"/>
      <c r="EG293" s="28"/>
      <c r="EJ293" s="28"/>
      <c r="EM293" s="28"/>
      <c r="EP293" s="28"/>
      <c r="ES293" s="28"/>
      <c r="EV293" s="28"/>
      <c r="EY293" s="28"/>
      <c r="FB293" s="28"/>
      <c r="FE293" s="28"/>
      <c r="FH293" s="28"/>
      <c r="FK293" s="28"/>
      <c r="FN293" s="28"/>
      <c r="FQ293" s="28"/>
      <c r="FT293" s="28"/>
      <c r="FW293" s="28"/>
      <c r="FZ293" s="28"/>
      <c r="GC293" s="28"/>
    </row>
    <row r="294" spans="1:185" s="25" customFormat="1" x14ac:dyDescent="0.3">
      <c r="A294" s="27"/>
      <c r="B294" s="28"/>
      <c r="C294" s="27"/>
      <c r="D294" s="26"/>
      <c r="E294" s="28"/>
      <c r="H294" s="28"/>
      <c r="K294" s="28"/>
      <c r="N294" s="28"/>
      <c r="Q294" s="28"/>
      <c r="T294" s="28"/>
      <c r="W294" s="28"/>
      <c r="Z294" s="28"/>
      <c r="AC294" s="28"/>
      <c r="AF294" s="28"/>
      <c r="AI294" s="28"/>
      <c r="AL294" s="28"/>
      <c r="AO294" s="28"/>
      <c r="AR294" s="28"/>
      <c r="AU294" s="28"/>
      <c r="AX294" s="28"/>
      <c r="BA294" s="28"/>
      <c r="BD294" s="28"/>
      <c r="BG294" s="28"/>
      <c r="BJ294" s="28"/>
      <c r="BM294" s="28"/>
      <c r="BP294" s="28"/>
      <c r="BS294" s="28"/>
      <c r="BV294" s="28"/>
      <c r="BY294" s="28"/>
      <c r="CB294" s="28"/>
      <c r="CE294" s="28"/>
      <c r="CH294" s="28"/>
      <c r="CK294" s="28"/>
      <c r="CN294" s="28"/>
      <c r="CQ294" s="28"/>
      <c r="CT294" s="28"/>
      <c r="CW294" s="28"/>
      <c r="CZ294" s="28"/>
      <c r="DC294" s="28"/>
      <c r="DF294" s="28"/>
      <c r="DI294" s="28"/>
      <c r="DL294" s="28"/>
      <c r="DO294" s="28"/>
      <c r="DR294" s="28"/>
      <c r="DU294" s="28"/>
      <c r="DX294" s="28"/>
      <c r="EA294" s="28"/>
      <c r="ED294" s="28"/>
      <c r="EG294" s="28"/>
      <c r="EJ294" s="28"/>
      <c r="EM294" s="28"/>
      <c r="EP294" s="28"/>
      <c r="ES294" s="28"/>
      <c r="EV294" s="28"/>
      <c r="EY294" s="28"/>
      <c r="FB294" s="28"/>
      <c r="FE294" s="28"/>
      <c r="FH294" s="28"/>
      <c r="FK294" s="28"/>
      <c r="FN294" s="28"/>
      <c r="FQ294" s="28"/>
      <c r="FT294" s="28"/>
      <c r="FW294" s="28"/>
      <c r="FZ294" s="28"/>
      <c r="GC294" s="28"/>
    </row>
    <row r="295" spans="1:185" s="25" customFormat="1" x14ac:dyDescent="0.3">
      <c r="A295" s="27"/>
      <c r="B295" s="28"/>
      <c r="C295" s="27"/>
      <c r="D295" s="26"/>
      <c r="E295" s="28"/>
      <c r="H295" s="28"/>
      <c r="K295" s="28"/>
      <c r="N295" s="28"/>
      <c r="Q295" s="28"/>
      <c r="T295" s="28"/>
      <c r="W295" s="28"/>
      <c r="Z295" s="28"/>
      <c r="AC295" s="28"/>
      <c r="AF295" s="28"/>
      <c r="AI295" s="28"/>
      <c r="AL295" s="28"/>
      <c r="AO295" s="28"/>
      <c r="AR295" s="28"/>
      <c r="AU295" s="28"/>
      <c r="AX295" s="28"/>
      <c r="BA295" s="28"/>
      <c r="BD295" s="28"/>
      <c r="BG295" s="28"/>
      <c r="BJ295" s="28"/>
      <c r="BM295" s="28"/>
      <c r="BP295" s="28"/>
      <c r="BS295" s="28"/>
      <c r="BV295" s="28"/>
      <c r="BY295" s="28"/>
      <c r="CB295" s="28"/>
      <c r="CE295" s="28"/>
      <c r="CH295" s="28"/>
      <c r="CK295" s="28"/>
      <c r="CN295" s="28"/>
      <c r="CQ295" s="28"/>
      <c r="CT295" s="28"/>
      <c r="CW295" s="28"/>
      <c r="CZ295" s="28"/>
      <c r="DC295" s="28"/>
      <c r="DF295" s="28"/>
      <c r="DI295" s="28"/>
      <c r="DL295" s="28"/>
      <c r="DO295" s="28"/>
      <c r="DR295" s="28"/>
      <c r="DU295" s="28"/>
      <c r="DX295" s="28"/>
      <c r="EA295" s="28"/>
      <c r="ED295" s="28"/>
      <c r="EG295" s="28"/>
      <c r="EJ295" s="28"/>
      <c r="EM295" s="28"/>
      <c r="EP295" s="28"/>
      <c r="ES295" s="28"/>
      <c r="EV295" s="28"/>
      <c r="EY295" s="28"/>
      <c r="FB295" s="28"/>
      <c r="FE295" s="28"/>
      <c r="FH295" s="28"/>
      <c r="FK295" s="28"/>
      <c r="FN295" s="28"/>
      <c r="FQ295" s="28"/>
      <c r="FT295" s="28"/>
      <c r="FW295" s="28"/>
      <c r="FZ295" s="28"/>
      <c r="GC295" s="28"/>
    </row>
    <row r="296" spans="1:185" s="25" customFormat="1" x14ac:dyDescent="0.3">
      <c r="A296" s="27"/>
      <c r="B296" s="28"/>
      <c r="C296" s="27"/>
      <c r="D296" s="26"/>
      <c r="E296" s="28"/>
      <c r="H296" s="28"/>
      <c r="K296" s="28"/>
      <c r="N296" s="28"/>
      <c r="Q296" s="28"/>
      <c r="T296" s="28"/>
      <c r="W296" s="28"/>
      <c r="Z296" s="28"/>
      <c r="AC296" s="28"/>
      <c r="AF296" s="28"/>
      <c r="AI296" s="28"/>
      <c r="AL296" s="28"/>
      <c r="AO296" s="28"/>
      <c r="AR296" s="28"/>
      <c r="AU296" s="28"/>
      <c r="AX296" s="28"/>
      <c r="BA296" s="28"/>
      <c r="BD296" s="28"/>
      <c r="BG296" s="28"/>
      <c r="BJ296" s="28"/>
      <c r="BM296" s="28"/>
      <c r="BP296" s="28"/>
      <c r="BS296" s="28"/>
      <c r="BV296" s="28"/>
      <c r="BY296" s="28"/>
      <c r="CB296" s="28"/>
      <c r="CE296" s="28"/>
      <c r="CH296" s="28"/>
      <c r="CK296" s="28"/>
      <c r="CN296" s="28"/>
      <c r="CQ296" s="28"/>
      <c r="CT296" s="28"/>
      <c r="CW296" s="28"/>
      <c r="CZ296" s="28"/>
      <c r="DC296" s="28"/>
      <c r="DF296" s="28"/>
      <c r="DI296" s="28"/>
      <c r="DL296" s="28"/>
      <c r="DO296" s="28"/>
      <c r="DR296" s="28"/>
      <c r="DU296" s="28"/>
      <c r="DX296" s="28"/>
      <c r="EA296" s="28"/>
      <c r="ED296" s="28"/>
      <c r="EG296" s="28"/>
      <c r="EJ296" s="28"/>
      <c r="EM296" s="28"/>
      <c r="EP296" s="28"/>
      <c r="ES296" s="28"/>
      <c r="EV296" s="28"/>
      <c r="EY296" s="28"/>
      <c r="FB296" s="28"/>
      <c r="FE296" s="28"/>
      <c r="FH296" s="28"/>
      <c r="FK296" s="28"/>
      <c r="FN296" s="28"/>
      <c r="FQ296" s="28"/>
      <c r="FT296" s="28"/>
      <c r="FW296" s="28"/>
      <c r="FZ296" s="28"/>
      <c r="GC296" s="28"/>
    </row>
    <row r="297" spans="1:185" s="25" customFormat="1" x14ac:dyDescent="0.3">
      <c r="A297" s="27"/>
      <c r="B297" s="28"/>
      <c r="C297" s="27"/>
      <c r="D297" s="26"/>
      <c r="E297" s="28"/>
      <c r="H297" s="28"/>
      <c r="K297" s="28"/>
      <c r="N297" s="28"/>
      <c r="Q297" s="28"/>
      <c r="T297" s="28"/>
      <c r="W297" s="28"/>
      <c r="Z297" s="28"/>
      <c r="AC297" s="28"/>
      <c r="AF297" s="28"/>
      <c r="AI297" s="28"/>
      <c r="AL297" s="28"/>
      <c r="AO297" s="28"/>
      <c r="AR297" s="28"/>
      <c r="AU297" s="28"/>
      <c r="AX297" s="28"/>
      <c r="BA297" s="28"/>
      <c r="BD297" s="28"/>
      <c r="BG297" s="28"/>
      <c r="BJ297" s="28"/>
      <c r="BM297" s="28"/>
      <c r="BP297" s="28"/>
      <c r="BS297" s="28"/>
      <c r="BV297" s="28"/>
      <c r="BY297" s="28"/>
      <c r="CB297" s="28"/>
      <c r="CE297" s="28"/>
      <c r="CH297" s="28"/>
      <c r="CK297" s="28"/>
      <c r="CN297" s="28"/>
      <c r="CQ297" s="28"/>
      <c r="CT297" s="28"/>
      <c r="CW297" s="28"/>
      <c r="CZ297" s="28"/>
      <c r="DC297" s="28"/>
      <c r="DF297" s="28"/>
      <c r="DI297" s="28"/>
      <c r="DL297" s="28"/>
      <c r="DO297" s="28"/>
      <c r="DR297" s="28"/>
      <c r="DU297" s="28"/>
      <c r="DX297" s="28"/>
      <c r="EA297" s="28"/>
      <c r="ED297" s="28"/>
      <c r="EG297" s="28"/>
      <c r="EJ297" s="28"/>
      <c r="EM297" s="28"/>
      <c r="EP297" s="28"/>
      <c r="ES297" s="28"/>
      <c r="EV297" s="28"/>
      <c r="EY297" s="28"/>
      <c r="FB297" s="28"/>
      <c r="FE297" s="28"/>
      <c r="FH297" s="28"/>
      <c r="FK297" s="28"/>
      <c r="FN297" s="28"/>
      <c r="FQ297" s="28"/>
      <c r="FT297" s="28"/>
      <c r="FW297" s="28"/>
      <c r="FZ297" s="28"/>
      <c r="GC297" s="28"/>
    </row>
    <row r="298" spans="1:185" s="25" customFormat="1" x14ac:dyDescent="0.3">
      <c r="A298" s="27"/>
      <c r="B298" s="28"/>
      <c r="C298" s="27"/>
      <c r="D298" s="26"/>
      <c r="E298" s="28"/>
      <c r="H298" s="28"/>
      <c r="K298" s="28"/>
      <c r="N298" s="28"/>
      <c r="Q298" s="28"/>
      <c r="T298" s="28"/>
      <c r="W298" s="28"/>
      <c r="Z298" s="28"/>
      <c r="AC298" s="28"/>
      <c r="AF298" s="28"/>
      <c r="AI298" s="28"/>
      <c r="AL298" s="28"/>
      <c r="AO298" s="28"/>
      <c r="AR298" s="28"/>
      <c r="AU298" s="28"/>
      <c r="AX298" s="28"/>
      <c r="BA298" s="28"/>
      <c r="BD298" s="28"/>
      <c r="BG298" s="28"/>
      <c r="BJ298" s="28"/>
      <c r="BM298" s="28"/>
      <c r="BP298" s="28"/>
      <c r="BS298" s="28"/>
      <c r="BV298" s="28"/>
      <c r="BY298" s="28"/>
      <c r="CB298" s="28"/>
      <c r="CE298" s="28"/>
      <c r="CH298" s="28"/>
      <c r="CK298" s="28"/>
      <c r="CN298" s="28"/>
      <c r="CQ298" s="28"/>
      <c r="CT298" s="28"/>
      <c r="CW298" s="28"/>
      <c r="CZ298" s="28"/>
      <c r="DC298" s="28"/>
      <c r="DF298" s="28"/>
      <c r="DI298" s="28"/>
      <c r="DL298" s="28"/>
      <c r="DO298" s="28"/>
      <c r="DR298" s="28"/>
      <c r="DU298" s="28"/>
      <c r="DX298" s="28"/>
      <c r="EA298" s="28"/>
      <c r="ED298" s="28"/>
      <c r="EG298" s="28"/>
      <c r="EJ298" s="28"/>
      <c r="EM298" s="28"/>
      <c r="EP298" s="28"/>
      <c r="ES298" s="28"/>
      <c r="EV298" s="28"/>
      <c r="EY298" s="28"/>
      <c r="FB298" s="28"/>
      <c r="FE298" s="28"/>
      <c r="FH298" s="28"/>
      <c r="FK298" s="28"/>
      <c r="FN298" s="28"/>
      <c r="FQ298" s="28"/>
      <c r="FT298" s="28"/>
      <c r="FW298" s="28"/>
      <c r="FZ298" s="28"/>
      <c r="GC298" s="28"/>
    </row>
    <row r="299" spans="1:185" s="25" customFormat="1" x14ac:dyDescent="0.3">
      <c r="A299" s="27"/>
      <c r="B299" s="28"/>
      <c r="C299" s="27"/>
      <c r="D299" s="26"/>
      <c r="E299" s="28"/>
      <c r="H299" s="28"/>
      <c r="K299" s="28"/>
      <c r="N299" s="28"/>
      <c r="Q299" s="28"/>
      <c r="T299" s="28"/>
      <c r="W299" s="28"/>
      <c r="Z299" s="28"/>
      <c r="AC299" s="28"/>
      <c r="AF299" s="28"/>
      <c r="AI299" s="28"/>
      <c r="AL299" s="28"/>
      <c r="AO299" s="28"/>
      <c r="AR299" s="28"/>
      <c r="AU299" s="28"/>
      <c r="AX299" s="28"/>
      <c r="BA299" s="28"/>
      <c r="BD299" s="28"/>
      <c r="BG299" s="28"/>
      <c r="BJ299" s="28"/>
      <c r="BM299" s="28"/>
      <c r="BP299" s="28"/>
      <c r="BS299" s="28"/>
      <c r="BV299" s="28"/>
      <c r="BY299" s="28"/>
      <c r="CB299" s="28"/>
      <c r="CE299" s="28"/>
      <c r="CH299" s="28"/>
      <c r="CK299" s="28"/>
      <c r="CN299" s="28"/>
      <c r="CQ299" s="28"/>
      <c r="CT299" s="28"/>
      <c r="CW299" s="28"/>
      <c r="CZ299" s="28"/>
      <c r="DC299" s="28"/>
      <c r="DF299" s="28"/>
      <c r="DI299" s="28"/>
      <c r="DL299" s="28"/>
      <c r="DO299" s="28"/>
      <c r="DR299" s="28"/>
      <c r="DU299" s="28"/>
      <c r="DX299" s="28"/>
      <c r="EA299" s="28"/>
      <c r="ED299" s="28"/>
      <c r="EG299" s="28"/>
      <c r="EJ299" s="28"/>
      <c r="EM299" s="28"/>
      <c r="EP299" s="28"/>
      <c r="ES299" s="28"/>
      <c r="EV299" s="28"/>
      <c r="EY299" s="28"/>
      <c r="FB299" s="28"/>
      <c r="FE299" s="28"/>
      <c r="FH299" s="28"/>
      <c r="FK299" s="28"/>
      <c r="FN299" s="28"/>
      <c r="FQ299" s="28"/>
      <c r="FT299" s="28"/>
      <c r="FW299" s="28"/>
      <c r="FZ299" s="28"/>
      <c r="GC299" s="28"/>
    </row>
    <row r="300" spans="1:185" s="25" customFormat="1" x14ac:dyDescent="0.3">
      <c r="A300" s="27"/>
      <c r="B300" s="28"/>
      <c r="C300" s="27"/>
      <c r="D300" s="26"/>
      <c r="E300" s="28"/>
      <c r="H300" s="28"/>
      <c r="K300" s="28"/>
      <c r="N300" s="28"/>
      <c r="Q300" s="28"/>
      <c r="T300" s="28"/>
      <c r="W300" s="28"/>
      <c r="Z300" s="28"/>
      <c r="AC300" s="28"/>
      <c r="AF300" s="28"/>
      <c r="AI300" s="28"/>
      <c r="AL300" s="28"/>
      <c r="AO300" s="28"/>
      <c r="AR300" s="28"/>
      <c r="AU300" s="28"/>
      <c r="AX300" s="28"/>
      <c r="BA300" s="28"/>
      <c r="BD300" s="28"/>
      <c r="BG300" s="28"/>
      <c r="BJ300" s="28"/>
      <c r="BM300" s="28"/>
      <c r="BP300" s="28"/>
      <c r="BS300" s="28"/>
      <c r="BV300" s="28"/>
      <c r="BY300" s="28"/>
      <c r="CB300" s="28"/>
      <c r="CE300" s="28"/>
      <c r="CH300" s="28"/>
      <c r="CK300" s="28"/>
      <c r="CN300" s="28"/>
      <c r="CQ300" s="28"/>
      <c r="CT300" s="28"/>
      <c r="CW300" s="28"/>
      <c r="CZ300" s="28"/>
      <c r="DC300" s="28"/>
      <c r="DF300" s="28"/>
      <c r="DI300" s="28"/>
      <c r="DL300" s="28"/>
      <c r="DO300" s="28"/>
      <c r="DR300" s="28"/>
      <c r="DU300" s="28"/>
      <c r="DX300" s="28"/>
      <c r="EA300" s="28"/>
      <c r="ED300" s="28"/>
      <c r="EG300" s="28"/>
      <c r="EJ300" s="28"/>
      <c r="EM300" s="28"/>
      <c r="EP300" s="28"/>
      <c r="ES300" s="28"/>
      <c r="EV300" s="28"/>
      <c r="EY300" s="28"/>
      <c r="FB300" s="28"/>
      <c r="FE300" s="28"/>
      <c r="FH300" s="28"/>
      <c r="FK300" s="28"/>
      <c r="FN300" s="28"/>
      <c r="FQ300" s="28"/>
      <c r="FT300" s="28"/>
      <c r="FW300" s="28"/>
      <c r="FZ300" s="28"/>
      <c r="GC300" s="28"/>
    </row>
    <row r="301" spans="1:185" s="25" customFormat="1" x14ac:dyDescent="0.3">
      <c r="A301" s="27"/>
      <c r="B301" s="28"/>
      <c r="C301" s="27"/>
      <c r="D301" s="26"/>
      <c r="E301" s="28"/>
      <c r="H301" s="28"/>
      <c r="K301" s="28"/>
      <c r="N301" s="28"/>
      <c r="Q301" s="28"/>
      <c r="T301" s="28"/>
      <c r="W301" s="28"/>
      <c r="Z301" s="28"/>
      <c r="AC301" s="28"/>
      <c r="AF301" s="28"/>
      <c r="AI301" s="28"/>
      <c r="AL301" s="28"/>
      <c r="AO301" s="28"/>
      <c r="AR301" s="28"/>
      <c r="AU301" s="28"/>
      <c r="AX301" s="28"/>
      <c r="BA301" s="28"/>
      <c r="BD301" s="28"/>
      <c r="BG301" s="28"/>
      <c r="BJ301" s="28"/>
      <c r="BM301" s="28"/>
      <c r="BP301" s="28"/>
      <c r="BS301" s="28"/>
      <c r="BV301" s="28"/>
      <c r="BY301" s="28"/>
      <c r="CB301" s="28"/>
      <c r="CE301" s="28"/>
      <c r="CH301" s="28"/>
      <c r="CK301" s="28"/>
      <c r="CN301" s="28"/>
      <c r="CQ301" s="28"/>
      <c r="CT301" s="28"/>
      <c r="CW301" s="28"/>
      <c r="CZ301" s="28"/>
      <c r="DC301" s="28"/>
      <c r="DF301" s="28"/>
      <c r="DI301" s="28"/>
      <c r="DL301" s="28"/>
      <c r="DO301" s="28"/>
      <c r="DR301" s="28"/>
      <c r="DU301" s="28"/>
      <c r="DX301" s="28"/>
      <c r="EA301" s="28"/>
      <c r="ED301" s="28"/>
      <c r="EG301" s="28"/>
      <c r="EJ301" s="28"/>
      <c r="EM301" s="28"/>
      <c r="EP301" s="28"/>
      <c r="ES301" s="28"/>
      <c r="EV301" s="28"/>
      <c r="EY301" s="28"/>
      <c r="FB301" s="28"/>
      <c r="FE301" s="28"/>
      <c r="FH301" s="28"/>
      <c r="FK301" s="28"/>
      <c r="FN301" s="28"/>
      <c r="FQ301" s="28"/>
      <c r="FT301" s="28"/>
      <c r="FW301" s="28"/>
      <c r="FZ301" s="28"/>
      <c r="GC301" s="28"/>
    </row>
    <row r="302" spans="1:185" s="25" customFormat="1" x14ac:dyDescent="0.3">
      <c r="A302" s="27"/>
      <c r="B302" s="28"/>
      <c r="C302" s="27"/>
      <c r="D302" s="26"/>
      <c r="E302" s="28"/>
      <c r="H302" s="28"/>
      <c r="K302" s="28"/>
      <c r="N302" s="28"/>
      <c r="Q302" s="28"/>
      <c r="T302" s="28"/>
      <c r="W302" s="28"/>
      <c r="Z302" s="28"/>
      <c r="AC302" s="28"/>
      <c r="AF302" s="28"/>
      <c r="AI302" s="28"/>
      <c r="AL302" s="28"/>
      <c r="AO302" s="28"/>
      <c r="AR302" s="28"/>
      <c r="AU302" s="28"/>
      <c r="AX302" s="28"/>
      <c r="BA302" s="28"/>
      <c r="BD302" s="28"/>
      <c r="BG302" s="28"/>
      <c r="BJ302" s="28"/>
      <c r="BM302" s="28"/>
      <c r="BP302" s="28"/>
      <c r="BS302" s="28"/>
      <c r="BV302" s="28"/>
      <c r="BY302" s="28"/>
      <c r="CB302" s="28"/>
      <c r="CE302" s="28"/>
      <c r="CH302" s="28"/>
      <c r="CK302" s="28"/>
      <c r="CN302" s="28"/>
      <c r="CQ302" s="28"/>
      <c r="CT302" s="28"/>
      <c r="CW302" s="28"/>
      <c r="CZ302" s="28"/>
      <c r="DC302" s="28"/>
      <c r="DF302" s="28"/>
      <c r="DI302" s="28"/>
      <c r="DL302" s="28"/>
      <c r="DO302" s="28"/>
      <c r="DR302" s="28"/>
      <c r="DU302" s="28"/>
      <c r="DX302" s="28"/>
      <c r="EA302" s="28"/>
      <c r="ED302" s="28"/>
      <c r="EG302" s="28"/>
      <c r="EJ302" s="28"/>
      <c r="EM302" s="28"/>
      <c r="EP302" s="28"/>
      <c r="ES302" s="28"/>
      <c r="EV302" s="28"/>
      <c r="EY302" s="28"/>
      <c r="FB302" s="28"/>
      <c r="FE302" s="28"/>
      <c r="FH302" s="28"/>
      <c r="FK302" s="28"/>
      <c r="FN302" s="28"/>
      <c r="FQ302" s="28"/>
      <c r="FT302" s="28"/>
      <c r="FW302" s="28"/>
      <c r="FZ302" s="28"/>
      <c r="GC302" s="28"/>
    </row>
    <row r="303" spans="1:185" s="25" customFormat="1" x14ac:dyDescent="0.3">
      <c r="A303" s="27"/>
      <c r="B303" s="28"/>
      <c r="C303" s="27"/>
      <c r="D303" s="26"/>
      <c r="E303" s="28"/>
      <c r="H303" s="28"/>
      <c r="K303" s="28"/>
      <c r="N303" s="28"/>
      <c r="Q303" s="28"/>
      <c r="T303" s="28"/>
      <c r="W303" s="28"/>
      <c r="Z303" s="28"/>
      <c r="AC303" s="28"/>
      <c r="AF303" s="28"/>
      <c r="AI303" s="28"/>
      <c r="AL303" s="28"/>
      <c r="AO303" s="28"/>
      <c r="AR303" s="28"/>
      <c r="AU303" s="28"/>
      <c r="AX303" s="28"/>
      <c r="BA303" s="28"/>
      <c r="BD303" s="28"/>
      <c r="BG303" s="28"/>
      <c r="BJ303" s="28"/>
      <c r="BM303" s="28"/>
      <c r="BP303" s="28"/>
      <c r="BS303" s="28"/>
      <c r="BV303" s="28"/>
      <c r="BY303" s="28"/>
      <c r="CB303" s="28"/>
      <c r="CE303" s="28"/>
      <c r="CH303" s="28"/>
      <c r="CK303" s="28"/>
      <c r="CN303" s="28"/>
      <c r="CQ303" s="28"/>
      <c r="CT303" s="28"/>
      <c r="CW303" s="28"/>
      <c r="CZ303" s="28"/>
      <c r="DC303" s="28"/>
      <c r="DF303" s="28"/>
      <c r="DI303" s="28"/>
      <c r="DL303" s="28"/>
      <c r="DO303" s="28"/>
      <c r="DR303" s="28"/>
      <c r="DU303" s="28"/>
      <c r="DX303" s="28"/>
      <c r="EA303" s="28"/>
      <c r="ED303" s="28"/>
      <c r="EG303" s="28"/>
      <c r="EJ303" s="28"/>
      <c r="EM303" s="28"/>
      <c r="EP303" s="28"/>
      <c r="ES303" s="28"/>
      <c r="EV303" s="28"/>
      <c r="EY303" s="28"/>
      <c r="FB303" s="28"/>
      <c r="FE303" s="28"/>
      <c r="FH303" s="28"/>
      <c r="FK303" s="28"/>
      <c r="FN303" s="28"/>
      <c r="FQ303" s="28"/>
      <c r="FT303" s="28"/>
      <c r="FW303" s="28"/>
      <c r="FZ303" s="28"/>
      <c r="GC303" s="28"/>
    </row>
    <row r="304" spans="1:185" s="25" customFormat="1" x14ac:dyDescent="0.3">
      <c r="A304" s="27"/>
      <c r="B304" s="28"/>
      <c r="C304" s="27"/>
      <c r="D304" s="26"/>
      <c r="E304" s="28"/>
      <c r="H304" s="28"/>
      <c r="K304" s="28"/>
      <c r="N304" s="28"/>
      <c r="Q304" s="28"/>
      <c r="T304" s="28"/>
      <c r="W304" s="28"/>
      <c r="Z304" s="28"/>
      <c r="AC304" s="28"/>
      <c r="AF304" s="28"/>
      <c r="AI304" s="28"/>
      <c r="AL304" s="28"/>
      <c r="AO304" s="28"/>
      <c r="AR304" s="28"/>
      <c r="AU304" s="28"/>
      <c r="AX304" s="28"/>
      <c r="BA304" s="28"/>
      <c r="BD304" s="28"/>
      <c r="BG304" s="28"/>
      <c r="BJ304" s="28"/>
      <c r="BM304" s="28"/>
      <c r="BP304" s="28"/>
      <c r="BS304" s="28"/>
      <c r="BV304" s="28"/>
      <c r="BY304" s="28"/>
      <c r="CB304" s="28"/>
      <c r="CE304" s="28"/>
      <c r="CH304" s="28"/>
      <c r="CK304" s="28"/>
      <c r="CN304" s="28"/>
      <c r="CQ304" s="28"/>
      <c r="CT304" s="28"/>
      <c r="CW304" s="28"/>
      <c r="CZ304" s="28"/>
      <c r="DC304" s="28"/>
      <c r="DF304" s="28"/>
      <c r="DI304" s="28"/>
      <c r="DL304" s="28"/>
      <c r="DO304" s="28"/>
      <c r="DR304" s="28"/>
      <c r="DU304" s="28"/>
      <c r="DX304" s="28"/>
      <c r="EA304" s="28"/>
      <c r="ED304" s="28"/>
      <c r="EG304" s="28"/>
      <c r="EJ304" s="28"/>
      <c r="EM304" s="28"/>
      <c r="EP304" s="28"/>
      <c r="ES304" s="28"/>
      <c r="EV304" s="28"/>
      <c r="EY304" s="28"/>
      <c r="FB304" s="28"/>
      <c r="FE304" s="28"/>
      <c r="FH304" s="28"/>
      <c r="FK304" s="28"/>
      <c r="FN304" s="28"/>
      <c r="FQ304" s="28"/>
      <c r="FT304" s="28"/>
      <c r="FW304" s="28"/>
      <c r="FZ304" s="28"/>
      <c r="GC304" s="28"/>
    </row>
    <row r="305" spans="1:185" s="25" customFormat="1" x14ac:dyDescent="0.3">
      <c r="A305" s="27"/>
      <c r="B305" s="28"/>
      <c r="C305" s="27"/>
      <c r="D305" s="26"/>
      <c r="E305" s="28"/>
      <c r="H305" s="28"/>
      <c r="K305" s="28"/>
      <c r="N305" s="28"/>
      <c r="Q305" s="28"/>
      <c r="T305" s="28"/>
      <c r="W305" s="28"/>
      <c r="Z305" s="28"/>
      <c r="AC305" s="28"/>
      <c r="AF305" s="28"/>
      <c r="AI305" s="28"/>
      <c r="AL305" s="28"/>
      <c r="AO305" s="28"/>
      <c r="AR305" s="28"/>
      <c r="AU305" s="28"/>
      <c r="AX305" s="28"/>
      <c r="BA305" s="28"/>
      <c r="BD305" s="28"/>
      <c r="BG305" s="28"/>
      <c r="BJ305" s="28"/>
      <c r="BM305" s="28"/>
      <c r="BP305" s="28"/>
      <c r="BS305" s="28"/>
      <c r="BV305" s="28"/>
      <c r="BY305" s="28"/>
      <c r="CB305" s="28"/>
      <c r="CE305" s="28"/>
      <c r="CH305" s="28"/>
      <c r="CK305" s="28"/>
      <c r="CN305" s="28"/>
      <c r="CQ305" s="28"/>
      <c r="CT305" s="28"/>
      <c r="CW305" s="28"/>
      <c r="CZ305" s="28"/>
      <c r="DC305" s="28"/>
      <c r="DF305" s="28"/>
      <c r="DI305" s="28"/>
      <c r="DL305" s="28"/>
      <c r="DO305" s="28"/>
      <c r="DR305" s="28"/>
      <c r="DU305" s="28"/>
      <c r="DX305" s="28"/>
      <c r="EA305" s="28"/>
      <c r="ED305" s="28"/>
      <c r="EG305" s="28"/>
      <c r="EJ305" s="28"/>
      <c r="EM305" s="28"/>
      <c r="EP305" s="28"/>
      <c r="ES305" s="28"/>
      <c r="EV305" s="28"/>
      <c r="EY305" s="28"/>
      <c r="FB305" s="28"/>
      <c r="FE305" s="28"/>
      <c r="FH305" s="28"/>
      <c r="FK305" s="28"/>
      <c r="FN305" s="28"/>
      <c r="FQ305" s="28"/>
      <c r="FT305" s="28"/>
      <c r="FW305" s="28"/>
      <c r="FZ305" s="28"/>
      <c r="GC305" s="28"/>
    </row>
    <row r="306" spans="1:185" s="25" customFormat="1" x14ac:dyDescent="0.3">
      <c r="A306" s="27"/>
      <c r="B306" s="28"/>
      <c r="C306" s="27"/>
      <c r="D306" s="26"/>
      <c r="E306" s="28"/>
      <c r="H306" s="28"/>
      <c r="K306" s="28"/>
      <c r="N306" s="28"/>
      <c r="Q306" s="28"/>
      <c r="T306" s="28"/>
      <c r="W306" s="28"/>
      <c r="Z306" s="28"/>
      <c r="AC306" s="28"/>
      <c r="AF306" s="28"/>
      <c r="AI306" s="28"/>
      <c r="AL306" s="28"/>
      <c r="AO306" s="28"/>
      <c r="AR306" s="28"/>
      <c r="AU306" s="28"/>
      <c r="AX306" s="28"/>
      <c r="BA306" s="28"/>
      <c r="BD306" s="28"/>
      <c r="BG306" s="28"/>
      <c r="BJ306" s="28"/>
      <c r="BM306" s="28"/>
      <c r="BP306" s="28"/>
      <c r="BS306" s="28"/>
      <c r="BV306" s="28"/>
      <c r="BY306" s="28"/>
      <c r="CB306" s="28"/>
      <c r="CE306" s="28"/>
      <c r="CH306" s="28"/>
      <c r="CK306" s="28"/>
      <c r="CN306" s="28"/>
      <c r="CQ306" s="28"/>
      <c r="CT306" s="28"/>
      <c r="CW306" s="28"/>
      <c r="CZ306" s="28"/>
      <c r="DC306" s="28"/>
      <c r="DF306" s="28"/>
      <c r="DI306" s="28"/>
      <c r="DL306" s="28"/>
      <c r="DO306" s="28"/>
      <c r="DR306" s="28"/>
      <c r="DU306" s="28"/>
      <c r="DX306" s="28"/>
      <c r="EA306" s="28"/>
      <c r="ED306" s="28"/>
      <c r="EG306" s="28"/>
      <c r="EJ306" s="28"/>
      <c r="EM306" s="28"/>
      <c r="EP306" s="28"/>
      <c r="ES306" s="28"/>
      <c r="EV306" s="28"/>
      <c r="EY306" s="28"/>
      <c r="FB306" s="28"/>
      <c r="FE306" s="28"/>
      <c r="FH306" s="28"/>
      <c r="FK306" s="28"/>
      <c r="FN306" s="28"/>
      <c r="FQ306" s="28"/>
      <c r="FT306" s="28"/>
      <c r="FW306" s="28"/>
      <c r="FZ306" s="28"/>
      <c r="GC306" s="28"/>
    </row>
    <row r="307" spans="1:185" s="25" customFormat="1" x14ac:dyDescent="0.3">
      <c r="A307" s="27"/>
      <c r="B307" s="28"/>
      <c r="C307" s="27"/>
      <c r="D307" s="26"/>
      <c r="E307" s="28"/>
      <c r="H307" s="28"/>
      <c r="K307" s="28"/>
      <c r="N307" s="28"/>
      <c r="Q307" s="28"/>
      <c r="T307" s="28"/>
      <c r="W307" s="28"/>
      <c r="Z307" s="28"/>
      <c r="AC307" s="28"/>
      <c r="AF307" s="28"/>
      <c r="AI307" s="28"/>
      <c r="AL307" s="28"/>
      <c r="AO307" s="28"/>
      <c r="AR307" s="28"/>
      <c r="AU307" s="28"/>
      <c r="AX307" s="28"/>
      <c r="BA307" s="28"/>
      <c r="BD307" s="28"/>
      <c r="BG307" s="28"/>
      <c r="BJ307" s="28"/>
      <c r="BM307" s="28"/>
      <c r="BP307" s="28"/>
      <c r="BS307" s="28"/>
      <c r="BV307" s="28"/>
      <c r="BY307" s="28"/>
      <c r="CB307" s="28"/>
      <c r="CE307" s="28"/>
      <c r="CH307" s="28"/>
      <c r="CK307" s="28"/>
      <c r="CN307" s="28"/>
      <c r="CQ307" s="28"/>
      <c r="CT307" s="28"/>
      <c r="CW307" s="28"/>
      <c r="CZ307" s="28"/>
      <c r="DC307" s="28"/>
      <c r="DF307" s="28"/>
      <c r="DI307" s="28"/>
      <c r="DL307" s="28"/>
      <c r="DO307" s="28"/>
      <c r="DR307" s="28"/>
      <c r="DU307" s="28"/>
      <c r="DX307" s="28"/>
      <c r="EA307" s="28"/>
      <c r="ED307" s="28"/>
      <c r="EG307" s="28"/>
      <c r="EJ307" s="28"/>
      <c r="EM307" s="28"/>
      <c r="EP307" s="28"/>
      <c r="ES307" s="28"/>
      <c r="EV307" s="28"/>
      <c r="EY307" s="28"/>
      <c r="FB307" s="28"/>
      <c r="FE307" s="28"/>
      <c r="FH307" s="28"/>
      <c r="FK307" s="28"/>
      <c r="FN307" s="28"/>
      <c r="FQ307" s="28"/>
      <c r="FT307" s="28"/>
      <c r="FW307" s="28"/>
      <c r="FZ307" s="28"/>
      <c r="GC307" s="28"/>
    </row>
    <row r="308" spans="1:185" s="25" customFormat="1" x14ac:dyDescent="0.3">
      <c r="A308" s="27"/>
      <c r="B308" s="28"/>
      <c r="C308" s="27"/>
      <c r="D308" s="26"/>
      <c r="E308" s="28"/>
      <c r="H308" s="28"/>
      <c r="K308" s="28"/>
      <c r="N308" s="28"/>
      <c r="Q308" s="28"/>
      <c r="T308" s="28"/>
      <c r="W308" s="28"/>
      <c r="Z308" s="28"/>
      <c r="AC308" s="28"/>
      <c r="AF308" s="28"/>
      <c r="AI308" s="28"/>
      <c r="AL308" s="28"/>
      <c r="AO308" s="28"/>
      <c r="AR308" s="28"/>
      <c r="AU308" s="28"/>
      <c r="AX308" s="28"/>
      <c r="BA308" s="28"/>
      <c r="BD308" s="28"/>
      <c r="BG308" s="28"/>
      <c r="BJ308" s="28"/>
      <c r="BM308" s="28"/>
      <c r="BP308" s="28"/>
      <c r="BS308" s="28"/>
      <c r="BV308" s="28"/>
      <c r="BY308" s="28"/>
      <c r="CB308" s="28"/>
      <c r="CE308" s="28"/>
      <c r="CH308" s="28"/>
      <c r="CK308" s="28"/>
      <c r="CN308" s="28"/>
      <c r="CQ308" s="28"/>
      <c r="CT308" s="28"/>
      <c r="CW308" s="28"/>
      <c r="CZ308" s="28"/>
      <c r="DC308" s="28"/>
      <c r="DF308" s="28"/>
      <c r="DI308" s="28"/>
      <c r="DL308" s="28"/>
      <c r="DO308" s="28"/>
      <c r="DR308" s="28"/>
      <c r="DU308" s="28"/>
      <c r="DX308" s="28"/>
      <c r="EA308" s="28"/>
      <c r="ED308" s="28"/>
      <c r="EG308" s="28"/>
      <c r="EJ308" s="28"/>
      <c r="EM308" s="28"/>
      <c r="EP308" s="28"/>
      <c r="ES308" s="28"/>
      <c r="EV308" s="28"/>
      <c r="EY308" s="28"/>
      <c r="FB308" s="28"/>
      <c r="FE308" s="28"/>
      <c r="FH308" s="28"/>
      <c r="FK308" s="28"/>
      <c r="FN308" s="28"/>
      <c r="FQ308" s="28"/>
      <c r="FT308" s="28"/>
      <c r="FW308" s="28"/>
      <c r="FZ308" s="28"/>
      <c r="GC308" s="28"/>
    </row>
    <row r="309" spans="1:185" s="25" customFormat="1" x14ac:dyDescent="0.3">
      <c r="A309" s="27"/>
      <c r="B309" s="28"/>
      <c r="C309" s="27"/>
      <c r="D309" s="26"/>
      <c r="E309" s="28"/>
      <c r="H309" s="28"/>
      <c r="K309" s="28"/>
      <c r="N309" s="28"/>
      <c r="Q309" s="28"/>
      <c r="T309" s="28"/>
      <c r="W309" s="28"/>
      <c r="Z309" s="28"/>
      <c r="AC309" s="28"/>
      <c r="AF309" s="28"/>
      <c r="AI309" s="28"/>
      <c r="AL309" s="28"/>
      <c r="AO309" s="28"/>
      <c r="AR309" s="28"/>
      <c r="AU309" s="28"/>
      <c r="AX309" s="28"/>
      <c r="BA309" s="28"/>
      <c r="BD309" s="28"/>
      <c r="BG309" s="28"/>
      <c r="BJ309" s="28"/>
      <c r="BM309" s="28"/>
      <c r="BP309" s="28"/>
      <c r="BS309" s="28"/>
      <c r="BV309" s="28"/>
      <c r="BY309" s="28"/>
      <c r="CB309" s="28"/>
      <c r="CE309" s="28"/>
      <c r="CH309" s="28"/>
      <c r="CK309" s="28"/>
      <c r="CN309" s="28"/>
      <c r="CQ309" s="28"/>
      <c r="CT309" s="28"/>
      <c r="CW309" s="28"/>
      <c r="CZ309" s="28"/>
      <c r="DC309" s="28"/>
      <c r="DF309" s="28"/>
      <c r="DI309" s="28"/>
      <c r="DL309" s="28"/>
      <c r="DO309" s="28"/>
      <c r="DR309" s="28"/>
      <c r="DU309" s="28"/>
      <c r="DX309" s="28"/>
      <c r="EA309" s="28"/>
      <c r="ED309" s="28"/>
      <c r="EG309" s="28"/>
      <c r="EJ309" s="28"/>
      <c r="EM309" s="28"/>
      <c r="EP309" s="28"/>
      <c r="ES309" s="28"/>
      <c r="EV309" s="28"/>
      <c r="EY309" s="28"/>
      <c r="FB309" s="28"/>
      <c r="FE309" s="28"/>
      <c r="FH309" s="28"/>
      <c r="FK309" s="28"/>
      <c r="FN309" s="28"/>
      <c r="FQ309" s="28"/>
      <c r="FT309" s="28"/>
      <c r="FW309" s="28"/>
      <c r="FZ309" s="28"/>
      <c r="GC309" s="28"/>
    </row>
    <row r="310" spans="1:185" s="25" customFormat="1" x14ac:dyDescent="0.3">
      <c r="A310" s="27"/>
      <c r="B310" s="28"/>
      <c r="C310" s="27"/>
      <c r="D310" s="26"/>
      <c r="E310" s="28"/>
      <c r="H310" s="28"/>
      <c r="K310" s="28"/>
      <c r="N310" s="28"/>
      <c r="Q310" s="28"/>
      <c r="T310" s="28"/>
      <c r="W310" s="28"/>
      <c r="Z310" s="28"/>
      <c r="AC310" s="28"/>
      <c r="AF310" s="28"/>
      <c r="AI310" s="28"/>
      <c r="AL310" s="28"/>
      <c r="AO310" s="28"/>
      <c r="AR310" s="28"/>
      <c r="AU310" s="28"/>
      <c r="AX310" s="28"/>
      <c r="BA310" s="28"/>
      <c r="BD310" s="28"/>
      <c r="BG310" s="28"/>
      <c r="BJ310" s="28"/>
      <c r="BM310" s="28"/>
      <c r="BP310" s="28"/>
      <c r="BS310" s="28"/>
      <c r="BV310" s="28"/>
      <c r="BY310" s="28"/>
      <c r="CB310" s="28"/>
      <c r="CE310" s="28"/>
      <c r="CH310" s="28"/>
      <c r="CK310" s="28"/>
      <c r="CN310" s="28"/>
      <c r="CQ310" s="28"/>
      <c r="CT310" s="28"/>
      <c r="CW310" s="28"/>
      <c r="CZ310" s="28"/>
      <c r="DC310" s="28"/>
      <c r="DF310" s="28"/>
      <c r="DI310" s="28"/>
      <c r="DL310" s="28"/>
      <c r="DO310" s="28"/>
      <c r="DR310" s="28"/>
      <c r="DU310" s="28"/>
      <c r="DX310" s="28"/>
      <c r="EA310" s="28"/>
      <c r="ED310" s="28"/>
      <c r="EG310" s="28"/>
      <c r="EJ310" s="28"/>
      <c r="EM310" s="28"/>
      <c r="EP310" s="28"/>
      <c r="ES310" s="28"/>
      <c r="EV310" s="28"/>
      <c r="EY310" s="28"/>
      <c r="FB310" s="28"/>
      <c r="FE310" s="28"/>
      <c r="FH310" s="28"/>
      <c r="FK310" s="28"/>
      <c r="FN310" s="28"/>
      <c r="FQ310" s="28"/>
      <c r="FT310" s="28"/>
      <c r="FW310" s="28"/>
      <c r="FZ310" s="28"/>
      <c r="GC310" s="28"/>
    </row>
    <row r="311" spans="1:185" s="25" customFormat="1" x14ac:dyDescent="0.3">
      <c r="A311" s="27"/>
      <c r="B311" s="28"/>
      <c r="C311" s="27"/>
      <c r="D311" s="26"/>
      <c r="E311" s="28"/>
      <c r="H311" s="28"/>
      <c r="K311" s="28"/>
      <c r="N311" s="28"/>
      <c r="Q311" s="28"/>
      <c r="T311" s="28"/>
      <c r="W311" s="28"/>
      <c r="Z311" s="28"/>
      <c r="AC311" s="28"/>
      <c r="AF311" s="28"/>
      <c r="AI311" s="28"/>
      <c r="AL311" s="28"/>
      <c r="AO311" s="28"/>
      <c r="AR311" s="28"/>
      <c r="AU311" s="28"/>
      <c r="AX311" s="28"/>
      <c r="BA311" s="28"/>
      <c r="BD311" s="28"/>
      <c r="BG311" s="28"/>
      <c r="BJ311" s="28"/>
      <c r="BM311" s="28"/>
      <c r="BP311" s="28"/>
      <c r="BS311" s="28"/>
      <c r="BV311" s="28"/>
      <c r="BY311" s="28"/>
      <c r="CB311" s="28"/>
      <c r="CE311" s="28"/>
      <c r="CH311" s="28"/>
      <c r="CK311" s="28"/>
      <c r="CN311" s="28"/>
      <c r="CQ311" s="28"/>
      <c r="CT311" s="28"/>
      <c r="CW311" s="28"/>
      <c r="CZ311" s="28"/>
      <c r="DC311" s="28"/>
      <c r="DF311" s="28"/>
      <c r="DI311" s="28"/>
      <c r="DL311" s="28"/>
      <c r="DO311" s="28"/>
      <c r="DR311" s="28"/>
      <c r="DU311" s="28"/>
      <c r="DX311" s="28"/>
      <c r="EA311" s="28"/>
      <c r="ED311" s="28"/>
      <c r="EG311" s="28"/>
      <c r="EJ311" s="28"/>
      <c r="EM311" s="28"/>
      <c r="EP311" s="28"/>
      <c r="ES311" s="28"/>
      <c r="EV311" s="28"/>
      <c r="EY311" s="28"/>
      <c r="FB311" s="28"/>
      <c r="FE311" s="28"/>
      <c r="FH311" s="28"/>
      <c r="FK311" s="28"/>
      <c r="FN311" s="28"/>
      <c r="FQ311" s="28"/>
      <c r="FT311" s="28"/>
      <c r="FW311" s="28"/>
      <c r="FZ311" s="28"/>
      <c r="GC311" s="28"/>
    </row>
    <row r="312" spans="1:185" s="25" customFormat="1" x14ac:dyDescent="0.3">
      <c r="A312" s="27"/>
      <c r="B312" s="28"/>
      <c r="C312" s="27"/>
      <c r="D312" s="26"/>
      <c r="E312" s="28"/>
      <c r="H312" s="28"/>
      <c r="K312" s="28"/>
      <c r="N312" s="28"/>
      <c r="Q312" s="28"/>
      <c r="T312" s="28"/>
      <c r="W312" s="28"/>
      <c r="Z312" s="28"/>
      <c r="AC312" s="28"/>
      <c r="AF312" s="28"/>
      <c r="AI312" s="28"/>
      <c r="AL312" s="28"/>
      <c r="AO312" s="28"/>
      <c r="AR312" s="28"/>
      <c r="AU312" s="28"/>
      <c r="AX312" s="28"/>
      <c r="BA312" s="28"/>
      <c r="BD312" s="28"/>
      <c r="BG312" s="28"/>
      <c r="BJ312" s="28"/>
      <c r="BM312" s="28"/>
      <c r="BP312" s="28"/>
      <c r="BS312" s="28"/>
      <c r="BV312" s="28"/>
      <c r="BY312" s="28"/>
      <c r="CB312" s="28"/>
      <c r="CE312" s="28"/>
      <c r="CH312" s="28"/>
      <c r="CK312" s="28"/>
      <c r="CN312" s="28"/>
      <c r="CQ312" s="28"/>
      <c r="CT312" s="28"/>
      <c r="CW312" s="28"/>
      <c r="CZ312" s="28"/>
      <c r="DC312" s="28"/>
      <c r="DF312" s="28"/>
      <c r="DI312" s="28"/>
      <c r="DL312" s="28"/>
      <c r="DO312" s="28"/>
      <c r="DR312" s="28"/>
      <c r="DU312" s="28"/>
      <c r="DX312" s="28"/>
      <c r="EA312" s="28"/>
      <c r="ED312" s="28"/>
      <c r="EG312" s="28"/>
      <c r="EJ312" s="28"/>
      <c r="EM312" s="28"/>
      <c r="EP312" s="28"/>
      <c r="ES312" s="28"/>
      <c r="EV312" s="28"/>
      <c r="EY312" s="28"/>
      <c r="FB312" s="28"/>
      <c r="FE312" s="28"/>
      <c r="FH312" s="28"/>
      <c r="FK312" s="28"/>
      <c r="FN312" s="28"/>
      <c r="FQ312" s="28"/>
      <c r="FT312" s="28"/>
      <c r="FW312" s="28"/>
      <c r="FZ312" s="28"/>
      <c r="GC312" s="28"/>
    </row>
    <row r="313" spans="1:185" s="25" customFormat="1" x14ac:dyDescent="0.3">
      <c r="A313" s="27"/>
      <c r="B313" s="28"/>
      <c r="C313" s="27"/>
      <c r="D313" s="26"/>
      <c r="E313" s="28"/>
      <c r="H313" s="28"/>
      <c r="K313" s="28"/>
      <c r="N313" s="28"/>
      <c r="Q313" s="28"/>
      <c r="T313" s="28"/>
      <c r="W313" s="28"/>
      <c r="Z313" s="28"/>
      <c r="AC313" s="28"/>
      <c r="AF313" s="28"/>
      <c r="AI313" s="28"/>
      <c r="AL313" s="28"/>
      <c r="AO313" s="28"/>
      <c r="AR313" s="28"/>
      <c r="AU313" s="28"/>
      <c r="AX313" s="28"/>
      <c r="BA313" s="28"/>
      <c r="BD313" s="28"/>
      <c r="BG313" s="28"/>
      <c r="BJ313" s="28"/>
      <c r="BM313" s="28"/>
      <c r="BP313" s="28"/>
      <c r="BS313" s="28"/>
      <c r="BV313" s="28"/>
      <c r="BY313" s="28"/>
      <c r="CB313" s="28"/>
      <c r="CE313" s="28"/>
      <c r="CH313" s="28"/>
      <c r="CK313" s="28"/>
      <c r="CN313" s="28"/>
      <c r="CQ313" s="28"/>
      <c r="CT313" s="28"/>
      <c r="CW313" s="28"/>
      <c r="CZ313" s="28"/>
      <c r="DC313" s="28"/>
      <c r="DF313" s="28"/>
      <c r="DI313" s="28"/>
      <c r="DL313" s="28"/>
      <c r="DO313" s="28"/>
      <c r="DR313" s="28"/>
      <c r="DU313" s="28"/>
      <c r="DX313" s="28"/>
      <c r="EA313" s="28"/>
      <c r="ED313" s="28"/>
      <c r="EG313" s="28"/>
      <c r="EJ313" s="28"/>
      <c r="EM313" s="28"/>
      <c r="EP313" s="28"/>
      <c r="ES313" s="28"/>
      <c r="EV313" s="28"/>
      <c r="EY313" s="28"/>
      <c r="FB313" s="28"/>
      <c r="FE313" s="28"/>
      <c r="FH313" s="28"/>
      <c r="FK313" s="28"/>
      <c r="FN313" s="28"/>
      <c r="FQ313" s="28"/>
      <c r="FT313" s="28"/>
      <c r="FW313" s="28"/>
      <c r="FZ313" s="28"/>
      <c r="GC313" s="28"/>
    </row>
    <row r="314" spans="1:185" s="25" customFormat="1" x14ac:dyDescent="0.3">
      <c r="A314" s="27"/>
      <c r="B314" s="28"/>
      <c r="C314" s="27"/>
      <c r="D314" s="26"/>
      <c r="E314" s="28"/>
      <c r="H314" s="28"/>
      <c r="K314" s="28"/>
      <c r="N314" s="28"/>
      <c r="Q314" s="28"/>
      <c r="T314" s="28"/>
      <c r="W314" s="28"/>
      <c r="Z314" s="28"/>
      <c r="AC314" s="28"/>
      <c r="AF314" s="28"/>
      <c r="AI314" s="28"/>
      <c r="AL314" s="28"/>
      <c r="AO314" s="28"/>
      <c r="AR314" s="28"/>
      <c r="AU314" s="28"/>
      <c r="AX314" s="28"/>
      <c r="BA314" s="28"/>
      <c r="BD314" s="28"/>
      <c r="BG314" s="28"/>
      <c r="BJ314" s="28"/>
      <c r="BM314" s="28"/>
      <c r="BP314" s="28"/>
      <c r="BS314" s="28"/>
      <c r="BV314" s="28"/>
      <c r="BY314" s="28"/>
      <c r="CB314" s="28"/>
      <c r="CE314" s="28"/>
      <c r="CH314" s="28"/>
      <c r="CK314" s="28"/>
      <c r="CN314" s="28"/>
      <c r="CQ314" s="28"/>
      <c r="CT314" s="28"/>
      <c r="CW314" s="28"/>
      <c r="CZ314" s="28"/>
      <c r="DC314" s="28"/>
      <c r="DF314" s="28"/>
      <c r="DI314" s="28"/>
      <c r="DL314" s="28"/>
      <c r="DO314" s="28"/>
      <c r="DR314" s="28"/>
      <c r="DU314" s="28"/>
      <c r="DX314" s="28"/>
      <c r="EA314" s="28"/>
      <c r="ED314" s="28"/>
      <c r="EG314" s="28"/>
      <c r="EJ314" s="28"/>
      <c r="EM314" s="28"/>
      <c r="EP314" s="28"/>
      <c r="ES314" s="28"/>
      <c r="EV314" s="28"/>
      <c r="EY314" s="28"/>
      <c r="FB314" s="28"/>
      <c r="FE314" s="28"/>
      <c r="FH314" s="28"/>
      <c r="FK314" s="28"/>
      <c r="FN314" s="28"/>
      <c r="FQ314" s="28"/>
      <c r="FT314" s="28"/>
      <c r="FW314" s="28"/>
      <c r="FZ314" s="28"/>
      <c r="GC314" s="28"/>
    </row>
    <row r="315" spans="1:185" s="25" customFormat="1" x14ac:dyDescent="0.3">
      <c r="A315" s="27"/>
      <c r="B315" s="28"/>
      <c r="C315" s="27"/>
      <c r="D315" s="26"/>
      <c r="E315" s="28"/>
      <c r="H315" s="28"/>
      <c r="K315" s="28"/>
      <c r="N315" s="28"/>
      <c r="Q315" s="28"/>
      <c r="T315" s="28"/>
      <c r="W315" s="28"/>
      <c r="Z315" s="28"/>
      <c r="AC315" s="28"/>
      <c r="AF315" s="28"/>
      <c r="AI315" s="28"/>
      <c r="AL315" s="28"/>
      <c r="AO315" s="28"/>
      <c r="AR315" s="28"/>
      <c r="AU315" s="28"/>
      <c r="AX315" s="28"/>
      <c r="BA315" s="28"/>
      <c r="BD315" s="28"/>
      <c r="BG315" s="28"/>
      <c r="BJ315" s="28"/>
      <c r="BM315" s="28"/>
      <c r="BP315" s="28"/>
      <c r="BS315" s="28"/>
      <c r="BV315" s="28"/>
      <c r="BY315" s="28"/>
      <c r="CB315" s="28"/>
      <c r="CE315" s="28"/>
      <c r="CH315" s="28"/>
      <c r="CK315" s="28"/>
      <c r="CN315" s="28"/>
      <c r="CQ315" s="28"/>
      <c r="CT315" s="28"/>
      <c r="CW315" s="28"/>
      <c r="CZ315" s="28"/>
      <c r="DC315" s="28"/>
      <c r="DF315" s="28"/>
      <c r="DI315" s="28"/>
      <c r="DL315" s="28"/>
      <c r="DO315" s="28"/>
      <c r="DR315" s="28"/>
      <c r="DU315" s="28"/>
      <c r="DX315" s="28"/>
      <c r="EA315" s="28"/>
      <c r="ED315" s="28"/>
      <c r="EG315" s="28"/>
      <c r="EJ315" s="28"/>
      <c r="EM315" s="28"/>
      <c r="EP315" s="28"/>
      <c r="ES315" s="28"/>
      <c r="EV315" s="28"/>
      <c r="EY315" s="28"/>
      <c r="FB315" s="28"/>
      <c r="FE315" s="28"/>
      <c r="FH315" s="28"/>
      <c r="FK315" s="28"/>
      <c r="FN315" s="28"/>
      <c r="FQ315" s="28"/>
      <c r="FT315" s="28"/>
      <c r="FW315" s="28"/>
      <c r="FZ315" s="28"/>
      <c r="GC315" s="28"/>
    </row>
    <row r="316" spans="1:185" s="25" customFormat="1" x14ac:dyDescent="0.3">
      <c r="A316" s="27"/>
      <c r="B316" s="28"/>
      <c r="C316" s="27"/>
      <c r="D316" s="26"/>
      <c r="E316" s="28"/>
      <c r="H316" s="28"/>
      <c r="K316" s="28"/>
      <c r="N316" s="28"/>
      <c r="Q316" s="28"/>
      <c r="T316" s="28"/>
      <c r="W316" s="28"/>
      <c r="Z316" s="28"/>
      <c r="AC316" s="28"/>
      <c r="AF316" s="28"/>
      <c r="AI316" s="28"/>
      <c r="AL316" s="28"/>
      <c r="AO316" s="28"/>
      <c r="AR316" s="28"/>
      <c r="AU316" s="28"/>
      <c r="AX316" s="28"/>
      <c r="BA316" s="28"/>
      <c r="BD316" s="28"/>
      <c r="BG316" s="28"/>
      <c r="BJ316" s="28"/>
      <c r="BM316" s="28"/>
      <c r="BP316" s="28"/>
      <c r="BS316" s="28"/>
      <c r="BV316" s="28"/>
      <c r="BY316" s="28"/>
      <c r="CB316" s="28"/>
      <c r="CE316" s="28"/>
      <c r="CH316" s="28"/>
      <c r="CK316" s="28"/>
      <c r="CN316" s="28"/>
      <c r="CQ316" s="28"/>
      <c r="CT316" s="28"/>
      <c r="CW316" s="28"/>
      <c r="CZ316" s="28"/>
      <c r="DC316" s="28"/>
      <c r="DF316" s="28"/>
      <c r="DI316" s="28"/>
      <c r="DL316" s="28"/>
      <c r="DO316" s="28"/>
      <c r="DR316" s="28"/>
      <c r="DU316" s="28"/>
      <c r="DX316" s="28"/>
      <c r="EA316" s="28"/>
      <c r="ED316" s="28"/>
      <c r="EG316" s="28"/>
      <c r="EJ316" s="28"/>
      <c r="EM316" s="28"/>
      <c r="EP316" s="28"/>
      <c r="ES316" s="28"/>
      <c r="EV316" s="28"/>
      <c r="EY316" s="28"/>
      <c r="FB316" s="28"/>
      <c r="FE316" s="28"/>
      <c r="FH316" s="28"/>
      <c r="FK316" s="28"/>
      <c r="FN316" s="28"/>
      <c r="FQ316" s="28"/>
      <c r="FT316" s="28"/>
      <c r="FW316" s="28"/>
      <c r="FZ316" s="28"/>
      <c r="GC316" s="28"/>
    </row>
    <row r="317" spans="1:185" s="25" customFormat="1" x14ac:dyDescent="0.3">
      <c r="A317" s="27"/>
      <c r="B317" s="28"/>
      <c r="C317" s="27"/>
      <c r="D317" s="26"/>
      <c r="E317" s="28"/>
      <c r="H317" s="28"/>
      <c r="K317" s="28"/>
      <c r="N317" s="28"/>
      <c r="Q317" s="28"/>
      <c r="T317" s="28"/>
      <c r="W317" s="28"/>
      <c r="Z317" s="28"/>
      <c r="AC317" s="28"/>
      <c r="AF317" s="28"/>
      <c r="AI317" s="28"/>
      <c r="AL317" s="28"/>
      <c r="AO317" s="28"/>
      <c r="AR317" s="28"/>
      <c r="AU317" s="28"/>
      <c r="AX317" s="28"/>
      <c r="BA317" s="28"/>
      <c r="BD317" s="28"/>
      <c r="BG317" s="28"/>
      <c r="BJ317" s="28"/>
      <c r="BM317" s="28"/>
      <c r="BP317" s="28"/>
      <c r="BS317" s="28"/>
      <c r="BV317" s="28"/>
      <c r="BY317" s="28"/>
      <c r="CB317" s="28"/>
      <c r="CE317" s="28"/>
      <c r="CH317" s="28"/>
      <c r="CK317" s="28"/>
      <c r="CN317" s="28"/>
      <c r="CQ317" s="28"/>
      <c r="CT317" s="28"/>
      <c r="CW317" s="28"/>
      <c r="CZ317" s="28"/>
      <c r="DC317" s="28"/>
      <c r="DF317" s="28"/>
      <c r="DI317" s="28"/>
      <c r="DL317" s="28"/>
      <c r="DO317" s="28"/>
      <c r="DR317" s="28"/>
      <c r="DU317" s="28"/>
      <c r="DX317" s="28"/>
      <c r="EA317" s="28"/>
      <c r="ED317" s="28"/>
      <c r="EG317" s="28"/>
      <c r="EJ317" s="28"/>
      <c r="EM317" s="28"/>
      <c r="EP317" s="28"/>
      <c r="ES317" s="28"/>
      <c r="EV317" s="28"/>
      <c r="EY317" s="28"/>
      <c r="FB317" s="28"/>
      <c r="FE317" s="28"/>
      <c r="FH317" s="28"/>
      <c r="FK317" s="28"/>
      <c r="FN317" s="28"/>
      <c r="FQ317" s="28"/>
      <c r="FT317" s="28"/>
      <c r="FW317" s="28"/>
      <c r="FZ317" s="28"/>
      <c r="GC317" s="28"/>
    </row>
    <row r="318" spans="1:185" s="25" customFormat="1" x14ac:dyDescent="0.3">
      <c r="A318" s="27"/>
      <c r="B318" s="28"/>
      <c r="C318" s="27"/>
      <c r="D318" s="26"/>
      <c r="E318" s="28"/>
      <c r="H318" s="28"/>
      <c r="K318" s="28"/>
      <c r="N318" s="28"/>
      <c r="Q318" s="28"/>
      <c r="T318" s="28"/>
      <c r="W318" s="28"/>
      <c r="Z318" s="28"/>
      <c r="AC318" s="28"/>
      <c r="AF318" s="28"/>
      <c r="AI318" s="28"/>
      <c r="AL318" s="28"/>
      <c r="AO318" s="28"/>
      <c r="AR318" s="28"/>
      <c r="AU318" s="28"/>
      <c r="AX318" s="28"/>
      <c r="BA318" s="28"/>
      <c r="BD318" s="28"/>
      <c r="BG318" s="28"/>
      <c r="BJ318" s="28"/>
      <c r="BM318" s="28"/>
      <c r="BP318" s="28"/>
      <c r="BS318" s="28"/>
      <c r="BV318" s="28"/>
      <c r="BY318" s="28"/>
      <c r="CB318" s="28"/>
      <c r="CE318" s="28"/>
      <c r="CH318" s="28"/>
      <c r="CK318" s="28"/>
      <c r="CN318" s="28"/>
      <c r="CQ318" s="28"/>
      <c r="CT318" s="28"/>
      <c r="CW318" s="28"/>
      <c r="CZ318" s="28"/>
      <c r="DC318" s="28"/>
      <c r="DF318" s="28"/>
      <c r="DI318" s="28"/>
      <c r="DL318" s="28"/>
      <c r="DO318" s="28"/>
      <c r="DR318" s="28"/>
      <c r="DU318" s="28"/>
      <c r="DX318" s="28"/>
      <c r="EA318" s="28"/>
      <c r="ED318" s="28"/>
      <c r="EG318" s="28"/>
      <c r="EJ318" s="28"/>
      <c r="EM318" s="28"/>
      <c r="EP318" s="28"/>
      <c r="ES318" s="28"/>
      <c r="EV318" s="28"/>
      <c r="EY318" s="28"/>
      <c r="FB318" s="28"/>
      <c r="FE318" s="28"/>
      <c r="FH318" s="28"/>
      <c r="FK318" s="28"/>
      <c r="FN318" s="28"/>
      <c r="FQ318" s="28"/>
      <c r="FT318" s="28"/>
      <c r="FW318" s="28"/>
      <c r="FZ318" s="28"/>
      <c r="GC318" s="28"/>
    </row>
    <row r="319" spans="1:185" s="25" customFormat="1" x14ac:dyDescent="0.3">
      <c r="A319" s="27"/>
      <c r="B319" s="28"/>
      <c r="C319" s="27"/>
      <c r="D319" s="26"/>
      <c r="E319" s="28"/>
      <c r="H319" s="28"/>
      <c r="K319" s="28"/>
      <c r="N319" s="28"/>
      <c r="Q319" s="28"/>
      <c r="T319" s="28"/>
      <c r="W319" s="28"/>
      <c r="Z319" s="28"/>
      <c r="AC319" s="28"/>
      <c r="AF319" s="28"/>
      <c r="AI319" s="28"/>
      <c r="AL319" s="28"/>
      <c r="AO319" s="28"/>
      <c r="AR319" s="28"/>
      <c r="AU319" s="28"/>
      <c r="AX319" s="28"/>
      <c r="BA319" s="28"/>
      <c r="BD319" s="28"/>
      <c r="BG319" s="28"/>
      <c r="BJ319" s="28"/>
      <c r="BM319" s="28"/>
      <c r="BP319" s="28"/>
      <c r="BS319" s="28"/>
      <c r="BV319" s="28"/>
      <c r="BY319" s="28"/>
      <c r="CB319" s="28"/>
      <c r="CE319" s="28"/>
      <c r="CH319" s="28"/>
      <c r="CK319" s="28"/>
      <c r="CN319" s="28"/>
      <c r="CQ319" s="28"/>
      <c r="CT319" s="28"/>
      <c r="CW319" s="28"/>
      <c r="CZ319" s="28"/>
      <c r="DC319" s="28"/>
      <c r="DF319" s="28"/>
      <c r="DI319" s="28"/>
      <c r="DL319" s="28"/>
      <c r="DO319" s="28"/>
      <c r="DR319" s="28"/>
      <c r="DU319" s="28"/>
      <c r="DX319" s="28"/>
      <c r="EA319" s="28"/>
      <c r="ED319" s="28"/>
      <c r="EG319" s="28"/>
      <c r="EJ319" s="28"/>
      <c r="EM319" s="28"/>
      <c r="EP319" s="28"/>
      <c r="ES319" s="28"/>
      <c r="EV319" s="28"/>
      <c r="EY319" s="28"/>
      <c r="FB319" s="28"/>
      <c r="FE319" s="28"/>
      <c r="FH319" s="28"/>
      <c r="FK319" s="28"/>
      <c r="FN319" s="28"/>
      <c r="FQ319" s="28"/>
      <c r="FT319" s="28"/>
      <c r="FW319" s="28"/>
      <c r="FZ319" s="28"/>
      <c r="GC319" s="28"/>
    </row>
    <row r="320" spans="1:185" s="25" customFormat="1" x14ac:dyDescent="0.3">
      <c r="A320" s="27"/>
      <c r="B320" s="28"/>
      <c r="C320" s="27"/>
      <c r="D320" s="26"/>
      <c r="E320" s="28"/>
      <c r="H320" s="28"/>
      <c r="K320" s="28"/>
      <c r="N320" s="28"/>
      <c r="Q320" s="28"/>
      <c r="T320" s="28"/>
      <c r="W320" s="28"/>
      <c r="Z320" s="28"/>
      <c r="AC320" s="28"/>
      <c r="AF320" s="28"/>
      <c r="AI320" s="28"/>
      <c r="AL320" s="28"/>
      <c r="AO320" s="28"/>
      <c r="AR320" s="28"/>
      <c r="AU320" s="28"/>
      <c r="AX320" s="28"/>
      <c r="BA320" s="28"/>
      <c r="BD320" s="28"/>
      <c r="BG320" s="28"/>
      <c r="BJ320" s="28"/>
      <c r="BM320" s="28"/>
      <c r="BP320" s="28"/>
      <c r="BS320" s="28"/>
      <c r="BV320" s="28"/>
      <c r="BY320" s="28"/>
      <c r="CB320" s="28"/>
      <c r="CE320" s="28"/>
      <c r="CH320" s="28"/>
      <c r="CK320" s="28"/>
      <c r="CN320" s="28"/>
      <c r="CQ320" s="28"/>
      <c r="CT320" s="28"/>
      <c r="CW320" s="28"/>
      <c r="CZ320" s="28"/>
      <c r="DC320" s="28"/>
      <c r="DF320" s="28"/>
      <c r="DI320" s="28"/>
      <c r="DL320" s="28"/>
      <c r="DO320" s="28"/>
      <c r="DR320" s="28"/>
      <c r="DU320" s="28"/>
      <c r="DX320" s="28"/>
      <c r="EA320" s="28"/>
      <c r="ED320" s="28"/>
      <c r="EG320" s="28"/>
      <c r="EJ320" s="28"/>
      <c r="EM320" s="28"/>
      <c r="EP320" s="28"/>
      <c r="ES320" s="28"/>
      <c r="EV320" s="28"/>
      <c r="EY320" s="28"/>
      <c r="FB320" s="28"/>
      <c r="FE320" s="28"/>
      <c r="FH320" s="28"/>
      <c r="FK320" s="28"/>
      <c r="FN320" s="28"/>
      <c r="FQ320" s="28"/>
      <c r="FT320" s="28"/>
      <c r="FW320" s="28"/>
      <c r="FZ320" s="28"/>
      <c r="GC320" s="28"/>
    </row>
    <row r="321" spans="1:185" s="25" customFormat="1" x14ac:dyDescent="0.3">
      <c r="A321" s="27"/>
      <c r="B321" s="28"/>
      <c r="C321" s="27"/>
      <c r="D321" s="26"/>
      <c r="E321" s="28"/>
      <c r="H321" s="28"/>
      <c r="K321" s="28"/>
      <c r="N321" s="28"/>
      <c r="Q321" s="28"/>
      <c r="T321" s="28"/>
      <c r="W321" s="28"/>
      <c r="Z321" s="28"/>
      <c r="AC321" s="28"/>
      <c r="AF321" s="28"/>
      <c r="AI321" s="28"/>
      <c r="AL321" s="28"/>
      <c r="AO321" s="28"/>
      <c r="AR321" s="28"/>
      <c r="AU321" s="28"/>
      <c r="AX321" s="28"/>
      <c r="BA321" s="28"/>
      <c r="BD321" s="28"/>
      <c r="BG321" s="28"/>
      <c r="BJ321" s="28"/>
      <c r="BM321" s="28"/>
      <c r="BP321" s="28"/>
      <c r="BS321" s="28"/>
      <c r="BV321" s="28"/>
      <c r="BY321" s="28"/>
      <c r="CB321" s="28"/>
      <c r="CE321" s="28"/>
      <c r="CH321" s="28"/>
      <c r="CK321" s="28"/>
      <c r="CN321" s="28"/>
      <c r="CQ321" s="28"/>
      <c r="CT321" s="28"/>
      <c r="CW321" s="28"/>
      <c r="CZ321" s="28"/>
      <c r="DC321" s="28"/>
      <c r="DF321" s="28"/>
      <c r="DI321" s="28"/>
      <c r="DL321" s="28"/>
      <c r="DO321" s="28"/>
      <c r="DR321" s="28"/>
      <c r="DU321" s="28"/>
      <c r="DX321" s="28"/>
      <c r="EA321" s="28"/>
      <c r="ED321" s="28"/>
      <c r="EG321" s="28"/>
      <c r="EJ321" s="28"/>
      <c r="EM321" s="28"/>
      <c r="EP321" s="28"/>
      <c r="ES321" s="28"/>
      <c r="EV321" s="28"/>
      <c r="EY321" s="28"/>
      <c r="FB321" s="28"/>
      <c r="FE321" s="28"/>
      <c r="FH321" s="28"/>
      <c r="FK321" s="28"/>
      <c r="FN321" s="28"/>
      <c r="FQ321" s="28"/>
      <c r="FT321" s="28"/>
      <c r="FW321" s="28"/>
      <c r="FZ321" s="28"/>
      <c r="GC321" s="28"/>
    </row>
    <row r="322" spans="1:185" s="25" customFormat="1" x14ac:dyDescent="0.3">
      <c r="A322" s="27"/>
      <c r="B322" s="28"/>
      <c r="C322" s="27"/>
      <c r="D322" s="26"/>
      <c r="E322" s="28"/>
      <c r="H322" s="28"/>
      <c r="K322" s="28"/>
      <c r="N322" s="28"/>
      <c r="Q322" s="28"/>
      <c r="T322" s="28"/>
      <c r="W322" s="28"/>
      <c r="Z322" s="28"/>
      <c r="AC322" s="28"/>
      <c r="AF322" s="28"/>
      <c r="AI322" s="28"/>
      <c r="AL322" s="28"/>
      <c r="AO322" s="28"/>
      <c r="AR322" s="28"/>
      <c r="AU322" s="28"/>
      <c r="AX322" s="28"/>
      <c r="BA322" s="28"/>
      <c r="BD322" s="28"/>
      <c r="BG322" s="28"/>
      <c r="BJ322" s="28"/>
      <c r="BM322" s="28"/>
      <c r="BP322" s="28"/>
      <c r="BS322" s="28"/>
      <c r="BV322" s="28"/>
      <c r="BY322" s="28"/>
      <c r="CB322" s="28"/>
      <c r="CE322" s="28"/>
      <c r="CH322" s="28"/>
      <c r="CK322" s="28"/>
      <c r="CN322" s="28"/>
      <c r="CQ322" s="28"/>
      <c r="CT322" s="28"/>
      <c r="CW322" s="28"/>
      <c r="CZ322" s="28"/>
      <c r="DC322" s="28"/>
      <c r="DF322" s="28"/>
      <c r="DI322" s="28"/>
      <c r="DL322" s="28"/>
      <c r="DO322" s="28"/>
      <c r="DR322" s="28"/>
      <c r="DU322" s="28"/>
      <c r="DX322" s="28"/>
      <c r="EA322" s="28"/>
      <c r="ED322" s="28"/>
      <c r="EG322" s="28"/>
      <c r="EJ322" s="28"/>
      <c r="EM322" s="28"/>
      <c r="EP322" s="28"/>
      <c r="ES322" s="28"/>
      <c r="EV322" s="28"/>
      <c r="EY322" s="28"/>
      <c r="FB322" s="28"/>
      <c r="FE322" s="28"/>
      <c r="FH322" s="28"/>
      <c r="FK322" s="28"/>
      <c r="FN322" s="28"/>
      <c r="FQ322" s="28"/>
      <c r="FT322" s="28"/>
      <c r="FW322" s="28"/>
      <c r="FZ322" s="28"/>
      <c r="GC322" s="28"/>
    </row>
    <row r="323" spans="1:185" s="25" customFormat="1" x14ac:dyDescent="0.3">
      <c r="A323" s="27"/>
      <c r="B323" s="28"/>
      <c r="C323" s="27"/>
      <c r="D323" s="26"/>
      <c r="E323" s="28"/>
      <c r="H323" s="28"/>
      <c r="K323" s="28"/>
      <c r="N323" s="28"/>
      <c r="Q323" s="28"/>
      <c r="T323" s="28"/>
      <c r="W323" s="28"/>
      <c r="Z323" s="28"/>
      <c r="AC323" s="28"/>
      <c r="AF323" s="28"/>
      <c r="AI323" s="28"/>
      <c r="AL323" s="28"/>
      <c r="AO323" s="28"/>
      <c r="AR323" s="28"/>
      <c r="AU323" s="28"/>
      <c r="AX323" s="28"/>
      <c r="BA323" s="28"/>
      <c r="BD323" s="28"/>
      <c r="BG323" s="28"/>
      <c r="BJ323" s="28"/>
      <c r="BM323" s="28"/>
      <c r="BP323" s="28"/>
      <c r="BS323" s="28"/>
      <c r="BV323" s="28"/>
      <c r="BY323" s="28"/>
      <c r="CB323" s="28"/>
      <c r="CE323" s="28"/>
      <c r="CH323" s="28"/>
      <c r="CK323" s="28"/>
      <c r="CN323" s="28"/>
      <c r="CQ323" s="28"/>
      <c r="CT323" s="28"/>
      <c r="CW323" s="28"/>
      <c r="CZ323" s="28"/>
      <c r="DC323" s="28"/>
      <c r="DF323" s="28"/>
      <c r="DI323" s="28"/>
      <c r="DL323" s="28"/>
      <c r="DO323" s="28"/>
      <c r="DR323" s="28"/>
      <c r="DU323" s="28"/>
      <c r="DX323" s="28"/>
      <c r="EA323" s="28"/>
      <c r="ED323" s="28"/>
      <c r="EG323" s="28"/>
      <c r="EJ323" s="28"/>
      <c r="EM323" s="28"/>
      <c r="EP323" s="28"/>
      <c r="ES323" s="28"/>
      <c r="EV323" s="28"/>
      <c r="EY323" s="28"/>
      <c r="FB323" s="28"/>
      <c r="FE323" s="28"/>
      <c r="FH323" s="28"/>
      <c r="FK323" s="28"/>
      <c r="FN323" s="28"/>
      <c r="FQ323" s="28"/>
      <c r="FT323" s="28"/>
      <c r="FW323" s="28"/>
      <c r="FZ323" s="28"/>
      <c r="GC323" s="28"/>
    </row>
    <row r="324" spans="1:185" s="25" customFormat="1" x14ac:dyDescent="0.3">
      <c r="A324" s="27"/>
      <c r="B324" s="28"/>
      <c r="C324" s="27"/>
      <c r="D324" s="26"/>
      <c r="E324" s="28"/>
      <c r="H324" s="28"/>
      <c r="K324" s="28"/>
      <c r="N324" s="28"/>
      <c r="Q324" s="28"/>
      <c r="T324" s="28"/>
      <c r="W324" s="28"/>
      <c r="Z324" s="28"/>
      <c r="AC324" s="28"/>
      <c r="AF324" s="28"/>
      <c r="AI324" s="28"/>
      <c r="AL324" s="28"/>
      <c r="AO324" s="28"/>
      <c r="AR324" s="28"/>
      <c r="AU324" s="28"/>
      <c r="AX324" s="28"/>
      <c r="BA324" s="28"/>
      <c r="BD324" s="28"/>
      <c r="BG324" s="28"/>
      <c r="BJ324" s="28"/>
      <c r="BM324" s="28"/>
      <c r="BP324" s="28"/>
      <c r="BS324" s="28"/>
      <c r="BV324" s="28"/>
      <c r="BY324" s="28"/>
      <c r="CB324" s="28"/>
      <c r="CE324" s="28"/>
      <c r="CH324" s="28"/>
      <c r="CK324" s="28"/>
      <c r="CN324" s="28"/>
      <c r="CQ324" s="28"/>
      <c r="CT324" s="28"/>
      <c r="CW324" s="28"/>
      <c r="CZ324" s="28"/>
      <c r="DC324" s="28"/>
      <c r="DF324" s="28"/>
      <c r="DI324" s="28"/>
      <c r="DL324" s="28"/>
      <c r="DO324" s="28"/>
      <c r="DR324" s="28"/>
      <c r="DU324" s="28"/>
      <c r="DX324" s="28"/>
      <c r="EA324" s="28"/>
      <c r="ED324" s="28"/>
      <c r="EG324" s="28"/>
      <c r="EJ324" s="28"/>
      <c r="EM324" s="28"/>
      <c r="EP324" s="28"/>
      <c r="ES324" s="28"/>
      <c r="EV324" s="28"/>
      <c r="EY324" s="28"/>
      <c r="FB324" s="28"/>
      <c r="FE324" s="28"/>
      <c r="FH324" s="28"/>
      <c r="FK324" s="28"/>
      <c r="FN324" s="28"/>
      <c r="FQ324" s="28"/>
      <c r="FT324" s="28"/>
      <c r="FW324" s="28"/>
      <c r="FZ324" s="28"/>
      <c r="GC324" s="28"/>
    </row>
    <row r="325" spans="1:185" s="25" customFormat="1" x14ac:dyDescent="0.3">
      <c r="A325" s="27"/>
      <c r="B325" s="28"/>
      <c r="C325" s="27"/>
      <c r="D325" s="26"/>
      <c r="E325" s="28"/>
      <c r="H325" s="28"/>
      <c r="K325" s="28"/>
      <c r="N325" s="28"/>
      <c r="Q325" s="28"/>
      <c r="T325" s="28"/>
      <c r="W325" s="28"/>
      <c r="Z325" s="28"/>
      <c r="AC325" s="28"/>
      <c r="AF325" s="28"/>
      <c r="AI325" s="28"/>
      <c r="AL325" s="28"/>
      <c r="AO325" s="28"/>
      <c r="AR325" s="28"/>
      <c r="AU325" s="28"/>
      <c r="AX325" s="28"/>
      <c r="BA325" s="28"/>
      <c r="BD325" s="28"/>
      <c r="BG325" s="28"/>
      <c r="BJ325" s="28"/>
      <c r="BM325" s="28"/>
      <c r="BP325" s="28"/>
      <c r="BS325" s="28"/>
      <c r="BV325" s="28"/>
      <c r="BY325" s="28"/>
      <c r="CB325" s="28"/>
      <c r="CE325" s="28"/>
      <c r="CH325" s="28"/>
      <c r="CK325" s="28"/>
      <c r="CN325" s="28"/>
      <c r="CQ325" s="28"/>
      <c r="CT325" s="28"/>
      <c r="CW325" s="28"/>
      <c r="CZ325" s="28"/>
      <c r="DC325" s="28"/>
      <c r="DF325" s="28"/>
      <c r="DI325" s="28"/>
      <c r="DL325" s="28"/>
      <c r="DO325" s="28"/>
      <c r="DR325" s="28"/>
      <c r="DU325" s="28"/>
      <c r="DX325" s="28"/>
      <c r="EA325" s="28"/>
      <c r="ED325" s="28"/>
      <c r="EG325" s="28"/>
      <c r="EJ325" s="28"/>
      <c r="EM325" s="28"/>
      <c r="EP325" s="28"/>
      <c r="ES325" s="28"/>
      <c r="EV325" s="28"/>
      <c r="EY325" s="28"/>
      <c r="FB325" s="28"/>
      <c r="FE325" s="28"/>
      <c r="FH325" s="28"/>
      <c r="FK325" s="28"/>
      <c r="FN325" s="28"/>
      <c r="FQ325" s="28"/>
      <c r="FT325" s="28"/>
      <c r="FW325" s="28"/>
      <c r="FZ325" s="28"/>
      <c r="GC325" s="28"/>
    </row>
    <row r="326" spans="1:185" s="25" customFormat="1" x14ac:dyDescent="0.3">
      <c r="A326" s="27"/>
      <c r="B326" s="28"/>
      <c r="C326" s="27"/>
      <c r="D326" s="26"/>
      <c r="E326" s="28"/>
      <c r="H326" s="28"/>
      <c r="K326" s="28"/>
      <c r="N326" s="28"/>
      <c r="Q326" s="28"/>
      <c r="T326" s="28"/>
      <c r="W326" s="28"/>
      <c r="Z326" s="28"/>
      <c r="AC326" s="28"/>
      <c r="AF326" s="28"/>
      <c r="AI326" s="28"/>
      <c r="AL326" s="28"/>
      <c r="AO326" s="28"/>
      <c r="AR326" s="28"/>
      <c r="AU326" s="28"/>
      <c r="AX326" s="28"/>
      <c r="BA326" s="28"/>
      <c r="BD326" s="28"/>
      <c r="BG326" s="28"/>
      <c r="BJ326" s="28"/>
      <c r="BM326" s="28"/>
      <c r="BP326" s="28"/>
      <c r="BS326" s="28"/>
      <c r="BV326" s="28"/>
      <c r="BY326" s="28"/>
      <c r="CB326" s="28"/>
      <c r="CE326" s="28"/>
      <c r="CH326" s="28"/>
      <c r="CK326" s="28"/>
      <c r="CN326" s="28"/>
      <c r="CQ326" s="28"/>
      <c r="CT326" s="28"/>
      <c r="CW326" s="28"/>
      <c r="CZ326" s="28"/>
      <c r="DC326" s="28"/>
      <c r="DF326" s="28"/>
      <c r="DI326" s="28"/>
      <c r="DL326" s="28"/>
      <c r="DO326" s="28"/>
      <c r="DR326" s="28"/>
      <c r="DU326" s="28"/>
      <c r="DX326" s="28"/>
      <c r="EA326" s="28"/>
      <c r="ED326" s="28"/>
      <c r="EG326" s="28"/>
      <c r="EJ326" s="28"/>
      <c r="EM326" s="28"/>
      <c r="EP326" s="28"/>
      <c r="ES326" s="28"/>
      <c r="EV326" s="28"/>
      <c r="EY326" s="28"/>
      <c r="FB326" s="28"/>
      <c r="FE326" s="28"/>
      <c r="FH326" s="28"/>
      <c r="FK326" s="28"/>
      <c r="FN326" s="28"/>
      <c r="FQ326" s="28"/>
      <c r="FT326" s="28"/>
      <c r="FW326" s="28"/>
      <c r="FZ326" s="28"/>
      <c r="GC326" s="28"/>
    </row>
    <row r="327" spans="1:185" s="25" customFormat="1" x14ac:dyDescent="0.3">
      <c r="A327" s="27"/>
      <c r="B327" s="28"/>
      <c r="C327" s="27"/>
      <c r="D327" s="26"/>
      <c r="E327" s="28"/>
      <c r="H327" s="28"/>
      <c r="K327" s="28"/>
      <c r="N327" s="28"/>
      <c r="Q327" s="28"/>
      <c r="T327" s="28"/>
      <c r="W327" s="28"/>
      <c r="Z327" s="28"/>
      <c r="AC327" s="28"/>
      <c r="AF327" s="28"/>
      <c r="AI327" s="28"/>
      <c r="AL327" s="28"/>
      <c r="AO327" s="28"/>
      <c r="AR327" s="28"/>
      <c r="AU327" s="28"/>
      <c r="AX327" s="28"/>
      <c r="BA327" s="28"/>
      <c r="BD327" s="28"/>
      <c r="BG327" s="28"/>
      <c r="BJ327" s="28"/>
      <c r="BM327" s="28"/>
      <c r="BP327" s="28"/>
      <c r="BS327" s="28"/>
      <c r="BV327" s="28"/>
      <c r="BY327" s="28"/>
      <c r="CB327" s="28"/>
      <c r="CE327" s="28"/>
      <c r="CH327" s="28"/>
      <c r="CK327" s="28"/>
      <c r="CN327" s="28"/>
      <c r="CQ327" s="28"/>
      <c r="CT327" s="28"/>
      <c r="CW327" s="28"/>
      <c r="CZ327" s="28"/>
      <c r="DC327" s="28"/>
      <c r="DF327" s="28"/>
      <c r="DI327" s="28"/>
      <c r="DL327" s="28"/>
      <c r="DO327" s="28"/>
      <c r="DR327" s="28"/>
      <c r="DU327" s="28"/>
      <c r="DX327" s="28"/>
      <c r="EA327" s="28"/>
      <c r="ED327" s="28"/>
      <c r="EG327" s="28"/>
      <c r="EJ327" s="28"/>
      <c r="EM327" s="28"/>
      <c r="EP327" s="28"/>
      <c r="ES327" s="28"/>
      <c r="EV327" s="28"/>
      <c r="EY327" s="28"/>
      <c r="FB327" s="28"/>
      <c r="FE327" s="28"/>
      <c r="FH327" s="28"/>
      <c r="FK327" s="28"/>
      <c r="FN327" s="28"/>
      <c r="FQ327" s="28"/>
      <c r="FT327" s="28"/>
      <c r="FW327" s="28"/>
      <c r="FZ327" s="28"/>
      <c r="GC327" s="28"/>
    </row>
    <row r="328" spans="1:185" s="25" customFormat="1" x14ac:dyDescent="0.3">
      <c r="A328" s="27"/>
      <c r="B328" s="28"/>
      <c r="C328" s="27"/>
      <c r="D328" s="26"/>
      <c r="E328" s="28"/>
      <c r="H328" s="28"/>
      <c r="K328" s="28"/>
      <c r="N328" s="28"/>
      <c r="Q328" s="28"/>
      <c r="T328" s="28"/>
      <c r="W328" s="28"/>
      <c r="Z328" s="28"/>
      <c r="AC328" s="28"/>
      <c r="AF328" s="28"/>
      <c r="AI328" s="28"/>
      <c r="AL328" s="28"/>
      <c r="AO328" s="28"/>
      <c r="AR328" s="28"/>
      <c r="AU328" s="28"/>
      <c r="AX328" s="28"/>
      <c r="BA328" s="28"/>
      <c r="BD328" s="28"/>
      <c r="BG328" s="28"/>
      <c r="BJ328" s="28"/>
      <c r="BM328" s="28"/>
      <c r="BP328" s="28"/>
      <c r="BS328" s="28"/>
      <c r="BV328" s="28"/>
      <c r="BY328" s="28"/>
      <c r="CB328" s="28"/>
      <c r="CE328" s="28"/>
      <c r="CH328" s="28"/>
      <c r="CK328" s="28"/>
      <c r="CN328" s="28"/>
      <c r="CQ328" s="28"/>
      <c r="CT328" s="28"/>
      <c r="CW328" s="28"/>
      <c r="CZ328" s="28"/>
      <c r="DC328" s="28"/>
      <c r="DF328" s="28"/>
      <c r="DI328" s="28"/>
      <c r="DL328" s="28"/>
      <c r="DO328" s="28"/>
      <c r="DR328" s="28"/>
      <c r="DU328" s="28"/>
      <c r="DX328" s="28"/>
      <c r="EA328" s="28"/>
      <c r="ED328" s="28"/>
      <c r="EG328" s="28"/>
      <c r="EJ328" s="28"/>
      <c r="EM328" s="28"/>
      <c r="EP328" s="28"/>
      <c r="ES328" s="28"/>
      <c r="EV328" s="28"/>
      <c r="EY328" s="28"/>
      <c r="FB328" s="28"/>
      <c r="FE328" s="28"/>
      <c r="FH328" s="28"/>
      <c r="FK328" s="28"/>
      <c r="FN328" s="28"/>
      <c r="FQ328" s="28"/>
      <c r="FT328" s="28"/>
      <c r="FW328" s="28"/>
      <c r="FZ328" s="28"/>
      <c r="GC328" s="28"/>
    </row>
    <row r="329" spans="1:185" s="25" customFormat="1" x14ac:dyDescent="0.3">
      <c r="A329" s="27"/>
      <c r="B329" s="28"/>
      <c r="C329" s="27"/>
      <c r="D329" s="26"/>
      <c r="E329" s="28"/>
      <c r="H329" s="28"/>
      <c r="K329" s="28"/>
      <c r="N329" s="28"/>
      <c r="Q329" s="28"/>
      <c r="T329" s="28"/>
      <c r="W329" s="28"/>
      <c r="Z329" s="28"/>
      <c r="AC329" s="28"/>
      <c r="AF329" s="28"/>
      <c r="AI329" s="28"/>
      <c r="AL329" s="28"/>
      <c r="AO329" s="28"/>
      <c r="AR329" s="28"/>
      <c r="AU329" s="28"/>
      <c r="AX329" s="28"/>
      <c r="BA329" s="28"/>
      <c r="BD329" s="28"/>
      <c r="BG329" s="28"/>
      <c r="BJ329" s="28"/>
      <c r="BM329" s="28"/>
      <c r="BP329" s="28"/>
      <c r="BS329" s="28"/>
      <c r="BV329" s="28"/>
      <c r="BY329" s="28"/>
      <c r="CB329" s="28"/>
      <c r="CE329" s="28"/>
      <c r="CH329" s="28"/>
      <c r="CK329" s="28"/>
      <c r="CN329" s="28"/>
      <c r="CQ329" s="28"/>
      <c r="CT329" s="28"/>
      <c r="CW329" s="28"/>
      <c r="CZ329" s="28"/>
      <c r="DC329" s="28"/>
      <c r="DF329" s="28"/>
      <c r="DI329" s="28"/>
      <c r="DL329" s="28"/>
      <c r="DO329" s="28"/>
      <c r="DR329" s="28"/>
      <c r="DU329" s="28"/>
      <c r="DX329" s="28"/>
      <c r="EA329" s="28"/>
      <c r="ED329" s="28"/>
      <c r="EG329" s="28"/>
      <c r="EJ329" s="28"/>
      <c r="EM329" s="28"/>
      <c r="EP329" s="28"/>
      <c r="ES329" s="28"/>
      <c r="EV329" s="28"/>
      <c r="EY329" s="28"/>
      <c r="FB329" s="28"/>
      <c r="FE329" s="28"/>
      <c r="FH329" s="28"/>
      <c r="FK329" s="28"/>
      <c r="FN329" s="28"/>
      <c r="FQ329" s="28"/>
      <c r="FT329" s="28"/>
      <c r="FW329" s="28"/>
      <c r="FZ329" s="28"/>
      <c r="GC329" s="28"/>
    </row>
    <row r="330" spans="1:185" s="25" customFormat="1" x14ac:dyDescent="0.3">
      <c r="A330" s="27"/>
      <c r="B330" s="28"/>
      <c r="C330" s="27"/>
      <c r="D330" s="26"/>
      <c r="E330" s="28"/>
      <c r="H330" s="28"/>
      <c r="K330" s="28"/>
      <c r="N330" s="28"/>
      <c r="Q330" s="28"/>
      <c r="T330" s="28"/>
      <c r="W330" s="28"/>
      <c r="Z330" s="28"/>
      <c r="AC330" s="28"/>
      <c r="AF330" s="28"/>
      <c r="AI330" s="28"/>
      <c r="AL330" s="28"/>
      <c r="AO330" s="28"/>
      <c r="AR330" s="28"/>
      <c r="AU330" s="28"/>
      <c r="AX330" s="28"/>
      <c r="BA330" s="28"/>
      <c r="BD330" s="28"/>
      <c r="BG330" s="28"/>
      <c r="BJ330" s="28"/>
      <c r="BM330" s="28"/>
      <c r="BP330" s="28"/>
      <c r="BS330" s="28"/>
      <c r="BV330" s="28"/>
      <c r="BY330" s="28"/>
      <c r="CB330" s="28"/>
      <c r="CE330" s="28"/>
      <c r="CH330" s="28"/>
      <c r="CK330" s="28"/>
      <c r="CN330" s="28"/>
      <c r="CQ330" s="28"/>
      <c r="CT330" s="28"/>
      <c r="CW330" s="28"/>
      <c r="CZ330" s="28"/>
      <c r="DC330" s="28"/>
      <c r="DF330" s="28"/>
      <c r="DI330" s="28"/>
      <c r="DL330" s="28"/>
      <c r="DO330" s="28"/>
      <c r="DR330" s="28"/>
      <c r="DU330" s="28"/>
      <c r="DX330" s="28"/>
      <c r="EA330" s="28"/>
      <c r="ED330" s="28"/>
      <c r="EG330" s="28"/>
      <c r="EJ330" s="28"/>
      <c r="EM330" s="28"/>
      <c r="EP330" s="28"/>
      <c r="ES330" s="28"/>
      <c r="EV330" s="28"/>
      <c r="EY330" s="28"/>
      <c r="FB330" s="28"/>
      <c r="FE330" s="28"/>
      <c r="FH330" s="28"/>
      <c r="FK330" s="28"/>
      <c r="FN330" s="28"/>
      <c r="FQ330" s="28"/>
      <c r="FT330" s="28"/>
      <c r="FW330" s="28"/>
      <c r="FZ330" s="28"/>
      <c r="GC330" s="28"/>
    </row>
    <row r="331" spans="1:185" s="25" customFormat="1" x14ac:dyDescent="0.3">
      <c r="A331" s="27"/>
      <c r="B331" s="28"/>
      <c r="C331" s="27"/>
      <c r="D331" s="26"/>
      <c r="E331" s="28"/>
      <c r="H331" s="28"/>
      <c r="K331" s="28"/>
      <c r="N331" s="28"/>
      <c r="Q331" s="28"/>
      <c r="T331" s="28"/>
      <c r="W331" s="28"/>
      <c r="Z331" s="28"/>
      <c r="AC331" s="28"/>
      <c r="AF331" s="28"/>
      <c r="AI331" s="28"/>
      <c r="AL331" s="28"/>
      <c r="AO331" s="28"/>
      <c r="AR331" s="28"/>
      <c r="AU331" s="28"/>
      <c r="AX331" s="28"/>
      <c r="BA331" s="28"/>
      <c r="BD331" s="28"/>
      <c r="BG331" s="28"/>
      <c r="BJ331" s="28"/>
      <c r="BM331" s="28"/>
      <c r="BP331" s="28"/>
      <c r="BS331" s="28"/>
      <c r="BV331" s="28"/>
      <c r="BY331" s="28"/>
      <c r="CB331" s="28"/>
      <c r="CE331" s="28"/>
      <c r="CH331" s="28"/>
      <c r="CK331" s="28"/>
      <c r="CN331" s="28"/>
      <c r="CQ331" s="28"/>
      <c r="CT331" s="28"/>
      <c r="CW331" s="28"/>
      <c r="CZ331" s="28"/>
      <c r="DC331" s="28"/>
      <c r="DF331" s="28"/>
      <c r="DI331" s="28"/>
      <c r="DL331" s="28"/>
      <c r="DO331" s="28"/>
      <c r="DR331" s="28"/>
      <c r="DU331" s="28"/>
      <c r="DX331" s="28"/>
      <c r="EA331" s="28"/>
      <c r="ED331" s="28"/>
      <c r="EG331" s="28"/>
      <c r="EJ331" s="28"/>
      <c r="EM331" s="28"/>
      <c r="EP331" s="28"/>
      <c r="ES331" s="28"/>
      <c r="EV331" s="28"/>
      <c r="EY331" s="28"/>
      <c r="FB331" s="28"/>
      <c r="FE331" s="28"/>
      <c r="FH331" s="28"/>
      <c r="FK331" s="28"/>
      <c r="FN331" s="28"/>
      <c r="FQ331" s="28"/>
      <c r="FT331" s="28"/>
      <c r="FW331" s="28"/>
      <c r="FZ331" s="28"/>
      <c r="GC331" s="28"/>
    </row>
    <row r="332" spans="1:185" s="25" customFormat="1" x14ac:dyDescent="0.3">
      <c r="A332" s="27"/>
      <c r="B332" s="28"/>
      <c r="C332" s="27"/>
      <c r="D332" s="26"/>
      <c r="E332" s="28"/>
      <c r="H332" s="28"/>
      <c r="K332" s="28"/>
      <c r="N332" s="28"/>
      <c r="Q332" s="28"/>
      <c r="T332" s="28"/>
      <c r="W332" s="28"/>
      <c r="Z332" s="28"/>
      <c r="AC332" s="28"/>
      <c r="AF332" s="28"/>
      <c r="AI332" s="28"/>
      <c r="AL332" s="28"/>
      <c r="AO332" s="28"/>
      <c r="AR332" s="28"/>
      <c r="AU332" s="28"/>
      <c r="AX332" s="28"/>
      <c r="BA332" s="28"/>
      <c r="BD332" s="28"/>
      <c r="BG332" s="28"/>
      <c r="BJ332" s="28"/>
      <c r="BM332" s="28"/>
      <c r="BP332" s="28"/>
      <c r="BS332" s="28"/>
      <c r="BV332" s="28"/>
      <c r="BY332" s="28"/>
      <c r="CB332" s="28"/>
      <c r="CE332" s="28"/>
      <c r="CH332" s="28"/>
      <c r="CK332" s="28"/>
      <c r="CN332" s="28"/>
      <c r="CQ332" s="28"/>
      <c r="CT332" s="28"/>
      <c r="CW332" s="28"/>
      <c r="CZ332" s="28"/>
      <c r="DC332" s="28"/>
      <c r="DF332" s="28"/>
      <c r="DI332" s="28"/>
      <c r="DL332" s="28"/>
      <c r="DO332" s="28"/>
      <c r="DR332" s="28"/>
      <c r="DU332" s="28"/>
      <c r="DX332" s="28"/>
      <c r="EA332" s="28"/>
      <c r="ED332" s="28"/>
      <c r="EG332" s="28"/>
      <c r="EJ332" s="28"/>
      <c r="EM332" s="28"/>
      <c r="EP332" s="28"/>
      <c r="ES332" s="28"/>
      <c r="EV332" s="28"/>
      <c r="EY332" s="28"/>
      <c r="FB332" s="28"/>
      <c r="FE332" s="28"/>
      <c r="FH332" s="28"/>
      <c r="FK332" s="28"/>
      <c r="FN332" s="28"/>
      <c r="FQ332" s="28"/>
      <c r="FT332" s="28"/>
      <c r="FW332" s="28"/>
      <c r="FZ332" s="28"/>
      <c r="GC332" s="28"/>
    </row>
    <row r="333" spans="1:185" s="25" customFormat="1" x14ac:dyDescent="0.3">
      <c r="A333" s="27"/>
      <c r="B333" s="28"/>
      <c r="C333" s="27"/>
      <c r="D333" s="26"/>
      <c r="E333" s="28"/>
      <c r="H333" s="28"/>
      <c r="K333" s="28"/>
      <c r="N333" s="28"/>
      <c r="Q333" s="28"/>
      <c r="T333" s="28"/>
      <c r="W333" s="28"/>
      <c r="Z333" s="28"/>
      <c r="AC333" s="28"/>
      <c r="AF333" s="28"/>
      <c r="AI333" s="28"/>
      <c r="AL333" s="28"/>
      <c r="AO333" s="28"/>
      <c r="AR333" s="28"/>
      <c r="AU333" s="28"/>
      <c r="AX333" s="28"/>
      <c r="BA333" s="28"/>
      <c r="BD333" s="28"/>
      <c r="BG333" s="28"/>
      <c r="BJ333" s="28"/>
      <c r="BM333" s="28"/>
      <c r="BP333" s="28"/>
      <c r="BS333" s="28"/>
      <c r="BV333" s="28"/>
      <c r="BY333" s="28"/>
      <c r="CB333" s="28"/>
      <c r="CE333" s="28"/>
      <c r="CH333" s="28"/>
      <c r="CK333" s="28"/>
      <c r="CN333" s="28"/>
      <c r="CQ333" s="28"/>
      <c r="CT333" s="28"/>
      <c r="CW333" s="28"/>
      <c r="CZ333" s="28"/>
      <c r="DC333" s="28"/>
      <c r="DF333" s="28"/>
      <c r="DI333" s="28"/>
      <c r="DL333" s="28"/>
      <c r="DO333" s="28"/>
      <c r="DR333" s="28"/>
      <c r="DU333" s="28"/>
      <c r="DX333" s="28"/>
      <c r="EA333" s="28"/>
      <c r="ED333" s="28"/>
      <c r="EG333" s="28"/>
      <c r="EJ333" s="28"/>
      <c r="EM333" s="28"/>
      <c r="EP333" s="28"/>
      <c r="ES333" s="28"/>
      <c r="EV333" s="28"/>
      <c r="EY333" s="28"/>
      <c r="FB333" s="28"/>
      <c r="FE333" s="28"/>
      <c r="FH333" s="28"/>
      <c r="FK333" s="28"/>
      <c r="FN333" s="28"/>
      <c r="FQ333" s="28"/>
      <c r="FT333" s="28"/>
      <c r="FW333" s="28"/>
      <c r="FZ333" s="28"/>
      <c r="GC333" s="28"/>
    </row>
    <row r="334" spans="1:185" s="25" customFormat="1" x14ac:dyDescent="0.3">
      <c r="A334" s="27"/>
      <c r="B334" s="28"/>
      <c r="C334" s="27"/>
      <c r="D334" s="26"/>
      <c r="E334" s="28"/>
      <c r="H334" s="28"/>
      <c r="K334" s="28"/>
      <c r="N334" s="28"/>
      <c r="Q334" s="28"/>
      <c r="T334" s="28"/>
      <c r="W334" s="28"/>
      <c r="Z334" s="28"/>
      <c r="AC334" s="28"/>
      <c r="AF334" s="28"/>
      <c r="AI334" s="28"/>
      <c r="AL334" s="28"/>
      <c r="AO334" s="28"/>
      <c r="AR334" s="28"/>
      <c r="AU334" s="28"/>
      <c r="AX334" s="28"/>
      <c r="BA334" s="28"/>
      <c r="BD334" s="28"/>
      <c r="BG334" s="28"/>
      <c r="BJ334" s="28"/>
      <c r="BM334" s="28"/>
      <c r="BP334" s="28"/>
      <c r="BS334" s="28"/>
      <c r="BV334" s="28"/>
      <c r="BY334" s="28"/>
      <c r="CB334" s="28"/>
      <c r="CE334" s="28"/>
      <c r="CH334" s="28"/>
      <c r="CK334" s="28"/>
      <c r="CN334" s="28"/>
      <c r="CQ334" s="28"/>
      <c r="CT334" s="28"/>
      <c r="CW334" s="28"/>
      <c r="CZ334" s="28"/>
      <c r="DC334" s="28"/>
      <c r="DF334" s="28"/>
      <c r="DI334" s="28"/>
      <c r="DL334" s="28"/>
      <c r="DO334" s="28"/>
      <c r="DR334" s="28"/>
      <c r="DU334" s="28"/>
      <c r="DX334" s="28"/>
      <c r="EA334" s="28"/>
      <c r="ED334" s="28"/>
      <c r="EG334" s="28"/>
      <c r="EJ334" s="28"/>
      <c r="EM334" s="28"/>
      <c r="EP334" s="28"/>
      <c r="ES334" s="28"/>
      <c r="EV334" s="28"/>
      <c r="EY334" s="28"/>
      <c r="FB334" s="28"/>
      <c r="FE334" s="28"/>
      <c r="FH334" s="28"/>
      <c r="FK334" s="28"/>
      <c r="FN334" s="28"/>
      <c r="FQ334" s="28"/>
      <c r="FT334" s="28"/>
      <c r="FW334" s="28"/>
      <c r="FZ334" s="28"/>
      <c r="GC334" s="28"/>
    </row>
    <row r="335" spans="1:185" s="25" customFormat="1" x14ac:dyDescent="0.3">
      <c r="A335" s="27"/>
      <c r="B335" s="28"/>
      <c r="C335" s="27"/>
      <c r="D335" s="26"/>
      <c r="E335" s="28"/>
      <c r="H335" s="28"/>
      <c r="K335" s="28"/>
      <c r="N335" s="28"/>
      <c r="Q335" s="28"/>
      <c r="T335" s="28"/>
      <c r="W335" s="28"/>
      <c r="Z335" s="28"/>
      <c r="AC335" s="28"/>
      <c r="AF335" s="28"/>
      <c r="AI335" s="28"/>
      <c r="AL335" s="28"/>
      <c r="AO335" s="28"/>
      <c r="AR335" s="28"/>
      <c r="AU335" s="28"/>
      <c r="AX335" s="28"/>
      <c r="BA335" s="28"/>
      <c r="BD335" s="28"/>
      <c r="BG335" s="28"/>
      <c r="BJ335" s="28"/>
      <c r="BM335" s="28"/>
      <c r="BP335" s="28"/>
      <c r="BS335" s="28"/>
      <c r="BV335" s="28"/>
      <c r="BY335" s="28"/>
      <c r="CB335" s="28"/>
      <c r="CE335" s="28"/>
      <c r="CH335" s="28"/>
      <c r="CK335" s="28"/>
      <c r="CN335" s="28"/>
      <c r="CQ335" s="28"/>
      <c r="CT335" s="28"/>
      <c r="CW335" s="28"/>
      <c r="CZ335" s="28"/>
      <c r="DC335" s="28"/>
      <c r="DF335" s="28"/>
      <c r="DI335" s="28"/>
      <c r="DL335" s="28"/>
      <c r="DO335" s="28"/>
      <c r="DR335" s="28"/>
      <c r="DU335" s="28"/>
      <c r="DX335" s="28"/>
      <c r="EA335" s="28"/>
      <c r="ED335" s="28"/>
      <c r="EG335" s="28"/>
      <c r="EJ335" s="28"/>
      <c r="EM335" s="28"/>
      <c r="EP335" s="28"/>
      <c r="ES335" s="28"/>
      <c r="EV335" s="28"/>
      <c r="EY335" s="28"/>
      <c r="FB335" s="28"/>
      <c r="FE335" s="28"/>
      <c r="FH335" s="28"/>
      <c r="FK335" s="28"/>
      <c r="FN335" s="28"/>
      <c r="FQ335" s="28"/>
      <c r="FT335" s="28"/>
      <c r="FW335" s="28"/>
      <c r="FZ335" s="28"/>
      <c r="GC335" s="28"/>
    </row>
    <row r="336" spans="1:185" s="25" customFormat="1" x14ac:dyDescent="0.3">
      <c r="A336" s="27"/>
      <c r="B336" s="28"/>
      <c r="C336" s="27"/>
      <c r="D336" s="26"/>
      <c r="E336" s="28"/>
      <c r="H336" s="28"/>
      <c r="K336" s="28"/>
      <c r="N336" s="28"/>
      <c r="Q336" s="28"/>
      <c r="T336" s="28"/>
      <c r="W336" s="28"/>
      <c r="Z336" s="28"/>
      <c r="AC336" s="28"/>
      <c r="AF336" s="28"/>
      <c r="AI336" s="28"/>
      <c r="AL336" s="28"/>
      <c r="AO336" s="28"/>
      <c r="AR336" s="28"/>
      <c r="AU336" s="28"/>
      <c r="AX336" s="28"/>
      <c r="BA336" s="28"/>
      <c r="BD336" s="28"/>
      <c r="BG336" s="28"/>
      <c r="BJ336" s="28"/>
      <c r="BM336" s="28"/>
      <c r="BP336" s="28"/>
      <c r="BS336" s="28"/>
      <c r="BV336" s="28"/>
      <c r="BY336" s="28"/>
      <c r="CB336" s="28"/>
      <c r="CE336" s="28"/>
      <c r="CH336" s="28"/>
      <c r="CK336" s="28"/>
      <c r="CN336" s="28"/>
      <c r="CQ336" s="28"/>
      <c r="CT336" s="28"/>
      <c r="CW336" s="28"/>
      <c r="CZ336" s="28"/>
      <c r="DC336" s="28"/>
      <c r="DF336" s="28"/>
      <c r="DI336" s="28"/>
      <c r="DL336" s="28"/>
      <c r="DO336" s="28"/>
      <c r="DR336" s="28"/>
      <c r="DU336" s="28"/>
      <c r="DX336" s="28"/>
      <c r="EA336" s="28"/>
      <c r="ED336" s="28"/>
      <c r="EG336" s="28"/>
      <c r="EJ336" s="28"/>
      <c r="EM336" s="28"/>
      <c r="EP336" s="28"/>
      <c r="ES336" s="28"/>
      <c r="EV336" s="28"/>
      <c r="EY336" s="28"/>
      <c r="FB336" s="28"/>
      <c r="FE336" s="28"/>
      <c r="FH336" s="28"/>
      <c r="FK336" s="28"/>
      <c r="FN336" s="28"/>
      <c r="FQ336" s="28"/>
      <c r="FT336" s="28"/>
      <c r="FW336" s="28"/>
      <c r="FZ336" s="28"/>
      <c r="GC336" s="28"/>
    </row>
    <row r="337" spans="1:185" s="25" customFormat="1" x14ac:dyDescent="0.3">
      <c r="A337" s="27"/>
      <c r="B337" s="28"/>
      <c r="C337" s="27"/>
      <c r="D337" s="26"/>
      <c r="E337" s="28"/>
      <c r="H337" s="28"/>
      <c r="K337" s="28"/>
      <c r="N337" s="28"/>
      <c r="Q337" s="28"/>
      <c r="T337" s="28"/>
      <c r="W337" s="28"/>
      <c r="Z337" s="28"/>
      <c r="AC337" s="28"/>
      <c r="AF337" s="28"/>
      <c r="AI337" s="28"/>
      <c r="AL337" s="28"/>
      <c r="AO337" s="28"/>
      <c r="AR337" s="28"/>
      <c r="AU337" s="28"/>
      <c r="AX337" s="28"/>
      <c r="BA337" s="28"/>
      <c r="BD337" s="28"/>
      <c r="BG337" s="28"/>
      <c r="BJ337" s="28"/>
      <c r="BM337" s="28"/>
      <c r="BP337" s="28"/>
      <c r="BS337" s="28"/>
      <c r="BV337" s="28"/>
      <c r="BY337" s="28"/>
      <c r="CB337" s="28"/>
      <c r="CE337" s="28"/>
      <c r="CH337" s="28"/>
      <c r="CK337" s="28"/>
      <c r="CN337" s="28"/>
      <c r="CQ337" s="28"/>
      <c r="CT337" s="28"/>
      <c r="CW337" s="28"/>
      <c r="CZ337" s="28"/>
      <c r="DC337" s="28"/>
      <c r="DF337" s="28"/>
      <c r="DI337" s="28"/>
      <c r="DL337" s="28"/>
      <c r="DO337" s="28"/>
      <c r="DR337" s="28"/>
      <c r="DU337" s="28"/>
      <c r="DX337" s="28"/>
      <c r="EA337" s="28"/>
      <c r="ED337" s="28"/>
      <c r="EG337" s="28"/>
      <c r="EJ337" s="28"/>
      <c r="EM337" s="28"/>
      <c r="EP337" s="28"/>
      <c r="ES337" s="28"/>
      <c r="EV337" s="28"/>
      <c r="EY337" s="28"/>
      <c r="FB337" s="28"/>
      <c r="FE337" s="28"/>
      <c r="FH337" s="28"/>
      <c r="FK337" s="28"/>
      <c r="FN337" s="28"/>
      <c r="FQ337" s="28"/>
      <c r="FT337" s="28"/>
      <c r="FW337" s="28"/>
      <c r="FZ337" s="28"/>
      <c r="GC337" s="28"/>
    </row>
    <row r="338" spans="1:185" s="25" customFormat="1" x14ac:dyDescent="0.3">
      <c r="A338" s="27"/>
      <c r="B338" s="28"/>
      <c r="C338" s="27"/>
      <c r="D338" s="26"/>
      <c r="E338" s="28"/>
      <c r="H338" s="28"/>
      <c r="K338" s="28"/>
      <c r="N338" s="28"/>
      <c r="Q338" s="28"/>
      <c r="T338" s="28"/>
      <c r="W338" s="28"/>
      <c r="Z338" s="28"/>
      <c r="AC338" s="28"/>
      <c r="AF338" s="28"/>
      <c r="AI338" s="28"/>
      <c r="AL338" s="28"/>
      <c r="AO338" s="28"/>
      <c r="AR338" s="28"/>
      <c r="AU338" s="28"/>
      <c r="AX338" s="28"/>
      <c r="BA338" s="28"/>
      <c r="BD338" s="28"/>
      <c r="BG338" s="28"/>
      <c r="BJ338" s="28"/>
      <c r="BM338" s="28"/>
      <c r="BP338" s="28"/>
      <c r="BS338" s="28"/>
      <c r="BV338" s="28"/>
      <c r="BY338" s="28"/>
      <c r="CB338" s="28"/>
      <c r="CE338" s="28"/>
      <c r="CH338" s="28"/>
      <c r="CK338" s="28"/>
      <c r="CN338" s="28"/>
      <c r="CQ338" s="28"/>
      <c r="CT338" s="28"/>
      <c r="CW338" s="28"/>
      <c r="CZ338" s="28"/>
      <c r="DC338" s="28"/>
      <c r="DF338" s="28"/>
      <c r="DI338" s="28"/>
      <c r="DL338" s="28"/>
      <c r="DO338" s="28"/>
      <c r="DR338" s="28"/>
      <c r="DU338" s="28"/>
      <c r="DX338" s="28"/>
      <c r="EA338" s="28"/>
      <c r="ED338" s="28"/>
      <c r="EG338" s="28"/>
      <c r="EJ338" s="28"/>
      <c r="EM338" s="28"/>
      <c r="EP338" s="28"/>
      <c r="ES338" s="28"/>
      <c r="EV338" s="28"/>
      <c r="EY338" s="28"/>
      <c r="FB338" s="28"/>
      <c r="FE338" s="28"/>
      <c r="FH338" s="28"/>
      <c r="FK338" s="28"/>
      <c r="FN338" s="28"/>
      <c r="FQ338" s="28"/>
      <c r="FT338" s="28"/>
      <c r="FW338" s="28"/>
      <c r="FZ338" s="28"/>
      <c r="GC338" s="28"/>
    </row>
    <row r="339" spans="1:185" s="25" customFormat="1" x14ac:dyDescent="0.3">
      <c r="A339" s="27"/>
      <c r="B339" s="28"/>
      <c r="C339" s="27"/>
      <c r="D339" s="26"/>
      <c r="E339" s="28"/>
      <c r="H339" s="28"/>
      <c r="K339" s="28"/>
      <c r="N339" s="28"/>
      <c r="Q339" s="28"/>
      <c r="T339" s="28"/>
      <c r="W339" s="28"/>
      <c r="Z339" s="28"/>
      <c r="AC339" s="28"/>
      <c r="AF339" s="28"/>
      <c r="AI339" s="28"/>
      <c r="AL339" s="28"/>
      <c r="AO339" s="28"/>
      <c r="AR339" s="28"/>
      <c r="AU339" s="28"/>
      <c r="AX339" s="28"/>
      <c r="BA339" s="28"/>
      <c r="BD339" s="28"/>
      <c r="BG339" s="28"/>
      <c r="BJ339" s="28"/>
      <c r="BM339" s="28"/>
      <c r="BP339" s="28"/>
      <c r="BS339" s="28"/>
      <c r="BV339" s="28"/>
      <c r="BY339" s="28"/>
      <c r="CB339" s="28"/>
      <c r="CE339" s="28"/>
      <c r="CH339" s="28"/>
      <c r="CK339" s="28"/>
      <c r="CN339" s="28"/>
      <c r="CQ339" s="28"/>
      <c r="CT339" s="28"/>
      <c r="CW339" s="28"/>
      <c r="CZ339" s="28"/>
      <c r="DC339" s="28"/>
      <c r="DF339" s="28"/>
      <c r="DI339" s="28"/>
      <c r="DL339" s="28"/>
      <c r="DO339" s="28"/>
      <c r="DR339" s="28"/>
      <c r="DU339" s="28"/>
      <c r="DX339" s="28"/>
      <c r="EA339" s="28"/>
      <c r="ED339" s="28"/>
      <c r="EG339" s="28"/>
      <c r="EJ339" s="28"/>
      <c r="EM339" s="28"/>
      <c r="EP339" s="28"/>
      <c r="ES339" s="28"/>
      <c r="EV339" s="28"/>
      <c r="EY339" s="28"/>
      <c r="FB339" s="28"/>
      <c r="FE339" s="28"/>
      <c r="FH339" s="28"/>
      <c r="FK339" s="28"/>
      <c r="FN339" s="28"/>
      <c r="FQ339" s="28"/>
      <c r="FT339" s="28"/>
      <c r="FW339" s="28"/>
      <c r="FZ339" s="28"/>
      <c r="GC339" s="28"/>
    </row>
    <row r="340" spans="1:185" s="25" customFormat="1" x14ac:dyDescent="0.3">
      <c r="A340" s="27"/>
      <c r="B340" s="28"/>
      <c r="C340" s="27"/>
      <c r="D340" s="26"/>
      <c r="E340" s="28"/>
      <c r="H340" s="28"/>
      <c r="K340" s="28"/>
      <c r="N340" s="28"/>
      <c r="Q340" s="28"/>
      <c r="T340" s="28"/>
      <c r="W340" s="28"/>
      <c r="Z340" s="28"/>
      <c r="AC340" s="28"/>
      <c r="AF340" s="28"/>
      <c r="AI340" s="28"/>
      <c r="AL340" s="28"/>
      <c r="AO340" s="28"/>
      <c r="AR340" s="28"/>
      <c r="AU340" s="28"/>
      <c r="AX340" s="28"/>
      <c r="BA340" s="28"/>
      <c r="BD340" s="28"/>
      <c r="BG340" s="28"/>
      <c r="BJ340" s="28"/>
      <c r="BM340" s="28"/>
      <c r="BP340" s="28"/>
      <c r="BS340" s="28"/>
      <c r="BV340" s="28"/>
      <c r="BY340" s="28"/>
      <c r="CB340" s="28"/>
      <c r="CE340" s="28"/>
      <c r="CH340" s="28"/>
      <c r="CK340" s="28"/>
      <c r="CN340" s="28"/>
      <c r="CQ340" s="28"/>
      <c r="CT340" s="28"/>
      <c r="CW340" s="28"/>
      <c r="CZ340" s="28"/>
      <c r="DC340" s="28"/>
      <c r="DF340" s="28"/>
      <c r="DI340" s="28"/>
      <c r="DL340" s="28"/>
      <c r="DO340" s="28"/>
      <c r="DR340" s="28"/>
      <c r="DU340" s="28"/>
      <c r="DX340" s="28"/>
      <c r="EA340" s="28"/>
      <c r="ED340" s="28"/>
      <c r="EG340" s="28"/>
      <c r="EJ340" s="28"/>
      <c r="EM340" s="28"/>
      <c r="EP340" s="28"/>
      <c r="ES340" s="28"/>
      <c r="EV340" s="28"/>
      <c r="EY340" s="28"/>
      <c r="FB340" s="28"/>
      <c r="FE340" s="28"/>
      <c r="FH340" s="28"/>
      <c r="FK340" s="28"/>
      <c r="FN340" s="28"/>
      <c r="FQ340" s="28"/>
      <c r="FT340" s="28"/>
      <c r="FW340" s="28"/>
      <c r="FZ340" s="28"/>
      <c r="GC340" s="28"/>
    </row>
    <row r="341" spans="1:185" s="25" customFormat="1" x14ac:dyDescent="0.3">
      <c r="A341" s="27"/>
      <c r="B341" s="28"/>
      <c r="C341" s="27"/>
      <c r="D341" s="26"/>
      <c r="E341" s="28"/>
      <c r="H341" s="28"/>
      <c r="K341" s="28"/>
      <c r="N341" s="28"/>
      <c r="Q341" s="28"/>
      <c r="T341" s="28"/>
      <c r="W341" s="28"/>
      <c r="Z341" s="28"/>
      <c r="AC341" s="28"/>
      <c r="AF341" s="28"/>
      <c r="AI341" s="28"/>
      <c r="AL341" s="28"/>
      <c r="AO341" s="28"/>
      <c r="AR341" s="28"/>
      <c r="AU341" s="28"/>
      <c r="AX341" s="28"/>
      <c r="BA341" s="28"/>
      <c r="BD341" s="28"/>
      <c r="BG341" s="28"/>
      <c r="BJ341" s="28"/>
      <c r="BM341" s="28"/>
      <c r="BP341" s="28"/>
      <c r="BS341" s="28"/>
      <c r="BV341" s="28"/>
      <c r="BY341" s="28"/>
      <c r="CB341" s="28"/>
      <c r="CE341" s="28"/>
      <c r="CH341" s="28"/>
      <c r="CK341" s="28"/>
      <c r="CN341" s="28"/>
      <c r="CQ341" s="28"/>
      <c r="CT341" s="28"/>
      <c r="CW341" s="28"/>
      <c r="CZ341" s="28"/>
      <c r="DC341" s="28"/>
      <c r="DF341" s="28"/>
      <c r="DI341" s="28"/>
      <c r="DL341" s="28"/>
      <c r="DO341" s="28"/>
      <c r="DR341" s="28"/>
      <c r="DU341" s="28"/>
      <c r="DX341" s="28"/>
      <c r="EA341" s="28"/>
      <c r="ED341" s="28"/>
      <c r="EG341" s="28"/>
      <c r="EJ341" s="28"/>
      <c r="EM341" s="28"/>
      <c r="EP341" s="28"/>
      <c r="ES341" s="28"/>
      <c r="EV341" s="28"/>
      <c r="EY341" s="28"/>
      <c r="FB341" s="28"/>
      <c r="FE341" s="28"/>
      <c r="FH341" s="28"/>
      <c r="FK341" s="28"/>
      <c r="FN341" s="28"/>
      <c r="FQ341" s="28"/>
      <c r="FT341" s="28"/>
      <c r="FW341" s="28"/>
      <c r="FZ341" s="28"/>
      <c r="GC341" s="28"/>
    </row>
    <row r="342" spans="1:185" s="25" customFormat="1" x14ac:dyDescent="0.3">
      <c r="A342" s="27"/>
      <c r="B342" s="28"/>
      <c r="C342" s="27"/>
      <c r="D342" s="26"/>
      <c r="E342" s="28"/>
      <c r="H342" s="28"/>
      <c r="K342" s="28"/>
      <c r="N342" s="28"/>
      <c r="Q342" s="28"/>
      <c r="T342" s="28"/>
      <c r="W342" s="28"/>
      <c r="Z342" s="28"/>
      <c r="AC342" s="28"/>
      <c r="AF342" s="28"/>
      <c r="AI342" s="28"/>
      <c r="AL342" s="28"/>
      <c r="AO342" s="28"/>
      <c r="AR342" s="28"/>
      <c r="AU342" s="28"/>
      <c r="AX342" s="28"/>
      <c r="BA342" s="28"/>
      <c r="BD342" s="28"/>
      <c r="BG342" s="28"/>
      <c r="BJ342" s="28"/>
      <c r="BM342" s="28"/>
      <c r="BP342" s="28"/>
      <c r="BS342" s="28"/>
      <c r="BV342" s="28"/>
      <c r="BY342" s="28"/>
      <c r="CB342" s="28"/>
      <c r="CE342" s="28"/>
      <c r="CH342" s="28"/>
      <c r="CK342" s="28"/>
      <c r="CN342" s="28"/>
      <c r="CQ342" s="28"/>
      <c r="CT342" s="28"/>
      <c r="CW342" s="28"/>
      <c r="CZ342" s="28"/>
      <c r="DC342" s="28"/>
      <c r="DF342" s="28"/>
      <c r="DI342" s="28"/>
      <c r="DL342" s="28"/>
      <c r="DO342" s="28"/>
      <c r="DR342" s="28"/>
      <c r="DU342" s="28"/>
      <c r="DX342" s="28"/>
      <c r="EA342" s="28"/>
      <c r="ED342" s="28"/>
      <c r="EG342" s="28"/>
      <c r="EJ342" s="28"/>
      <c r="EM342" s="28"/>
      <c r="EP342" s="28"/>
      <c r="ES342" s="28"/>
      <c r="EV342" s="28"/>
      <c r="EY342" s="28"/>
      <c r="FB342" s="28"/>
      <c r="FE342" s="28"/>
      <c r="FH342" s="28"/>
      <c r="FK342" s="28"/>
      <c r="FN342" s="28"/>
      <c r="FQ342" s="28"/>
      <c r="FT342" s="28"/>
      <c r="FW342" s="28"/>
      <c r="FZ342" s="28"/>
      <c r="GC342" s="28"/>
    </row>
    <row r="343" spans="1:185" s="25" customFormat="1" x14ac:dyDescent="0.3">
      <c r="A343" s="27"/>
      <c r="B343" s="28"/>
      <c r="C343" s="27"/>
      <c r="D343" s="26"/>
      <c r="E343" s="28"/>
      <c r="H343" s="28"/>
      <c r="K343" s="28"/>
      <c r="N343" s="28"/>
      <c r="Q343" s="28"/>
      <c r="T343" s="28"/>
      <c r="W343" s="28"/>
      <c r="Z343" s="28"/>
      <c r="AC343" s="28"/>
      <c r="AF343" s="28"/>
      <c r="AI343" s="28"/>
      <c r="AL343" s="28"/>
      <c r="AO343" s="28"/>
      <c r="AR343" s="28"/>
      <c r="AU343" s="28"/>
      <c r="AX343" s="28"/>
      <c r="BA343" s="28"/>
      <c r="BD343" s="28"/>
      <c r="BG343" s="28"/>
      <c r="BJ343" s="28"/>
      <c r="BM343" s="28"/>
      <c r="BP343" s="28"/>
      <c r="BS343" s="28"/>
      <c r="BV343" s="28"/>
      <c r="BY343" s="28"/>
      <c r="CB343" s="28"/>
      <c r="CE343" s="28"/>
      <c r="CH343" s="28"/>
      <c r="CK343" s="28"/>
      <c r="CN343" s="28"/>
      <c r="CQ343" s="28"/>
      <c r="CT343" s="28"/>
      <c r="CW343" s="28"/>
      <c r="CZ343" s="28"/>
      <c r="DC343" s="28"/>
      <c r="DF343" s="28"/>
      <c r="DI343" s="28"/>
      <c r="DL343" s="28"/>
      <c r="DO343" s="28"/>
      <c r="DR343" s="28"/>
      <c r="DU343" s="28"/>
      <c r="DX343" s="28"/>
      <c r="EA343" s="28"/>
      <c r="ED343" s="28"/>
      <c r="EG343" s="28"/>
      <c r="EJ343" s="28"/>
      <c r="EM343" s="28"/>
      <c r="EP343" s="28"/>
      <c r="ES343" s="28"/>
      <c r="EV343" s="28"/>
      <c r="EY343" s="28"/>
      <c r="FB343" s="28"/>
      <c r="FE343" s="28"/>
      <c r="FH343" s="28"/>
      <c r="FK343" s="28"/>
      <c r="FN343" s="28"/>
      <c r="FQ343" s="28"/>
      <c r="FT343" s="28"/>
      <c r="FW343" s="28"/>
      <c r="FZ343" s="28"/>
      <c r="GC343" s="28"/>
    </row>
    <row r="344" spans="1:185" s="25" customFormat="1" x14ac:dyDescent="0.3">
      <c r="A344" s="27"/>
      <c r="B344" s="28"/>
      <c r="C344" s="27"/>
      <c r="D344" s="26"/>
      <c r="E344" s="28"/>
      <c r="H344" s="28"/>
      <c r="K344" s="28"/>
      <c r="N344" s="28"/>
      <c r="Q344" s="28"/>
      <c r="T344" s="28"/>
      <c r="W344" s="28"/>
      <c r="Z344" s="28"/>
      <c r="AC344" s="28"/>
      <c r="AF344" s="28"/>
      <c r="AI344" s="28"/>
      <c r="AL344" s="28"/>
      <c r="AO344" s="28"/>
      <c r="AR344" s="28"/>
      <c r="AU344" s="28"/>
      <c r="AX344" s="28"/>
      <c r="BA344" s="28"/>
      <c r="BD344" s="28"/>
      <c r="BG344" s="28"/>
      <c r="BJ344" s="28"/>
      <c r="BM344" s="28"/>
      <c r="BP344" s="28"/>
      <c r="BS344" s="28"/>
      <c r="BV344" s="28"/>
      <c r="BY344" s="28"/>
      <c r="CB344" s="28"/>
      <c r="CE344" s="28"/>
      <c r="CH344" s="28"/>
      <c r="CK344" s="28"/>
      <c r="CN344" s="28"/>
      <c r="CQ344" s="28"/>
      <c r="CT344" s="28"/>
      <c r="CW344" s="28"/>
      <c r="CZ344" s="28"/>
      <c r="DC344" s="28"/>
      <c r="DF344" s="28"/>
      <c r="DI344" s="28"/>
      <c r="DL344" s="28"/>
      <c r="DO344" s="28"/>
      <c r="DR344" s="28"/>
      <c r="DU344" s="28"/>
      <c r="DX344" s="28"/>
      <c r="EA344" s="28"/>
      <c r="ED344" s="28"/>
      <c r="EG344" s="28"/>
      <c r="EJ344" s="28"/>
      <c r="EM344" s="28"/>
      <c r="EP344" s="28"/>
      <c r="ES344" s="28"/>
      <c r="EV344" s="28"/>
      <c r="EY344" s="28"/>
      <c r="FB344" s="28"/>
      <c r="FE344" s="28"/>
      <c r="FH344" s="28"/>
      <c r="FK344" s="28"/>
      <c r="FN344" s="28"/>
      <c r="FQ344" s="28"/>
      <c r="FT344" s="28"/>
      <c r="FW344" s="28"/>
      <c r="FZ344" s="28"/>
      <c r="GC344" s="28"/>
    </row>
    <row r="345" spans="1:185" s="25" customFormat="1" x14ac:dyDescent="0.3">
      <c r="A345" s="27"/>
      <c r="B345" s="28"/>
      <c r="C345" s="27"/>
      <c r="D345" s="26"/>
      <c r="E345" s="28"/>
      <c r="H345" s="28"/>
      <c r="K345" s="28"/>
      <c r="N345" s="28"/>
      <c r="Q345" s="28"/>
      <c r="T345" s="28"/>
      <c r="W345" s="28"/>
      <c r="Z345" s="28"/>
      <c r="AC345" s="28"/>
      <c r="AF345" s="28"/>
      <c r="AI345" s="28"/>
      <c r="AL345" s="28"/>
      <c r="AO345" s="28"/>
      <c r="AR345" s="28"/>
      <c r="AU345" s="28"/>
      <c r="AX345" s="28"/>
      <c r="BA345" s="28"/>
      <c r="BD345" s="28"/>
      <c r="BG345" s="28"/>
      <c r="BJ345" s="28"/>
      <c r="BM345" s="28"/>
      <c r="BP345" s="28"/>
      <c r="BS345" s="28"/>
      <c r="BV345" s="28"/>
      <c r="BY345" s="28"/>
      <c r="CB345" s="28"/>
      <c r="CE345" s="28"/>
      <c r="CH345" s="28"/>
      <c r="CK345" s="28"/>
      <c r="CN345" s="28"/>
      <c r="CQ345" s="28"/>
      <c r="CT345" s="28"/>
      <c r="CW345" s="28"/>
      <c r="CZ345" s="28"/>
      <c r="DC345" s="28"/>
      <c r="DF345" s="28"/>
      <c r="DI345" s="28"/>
      <c r="DL345" s="28"/>
      <c r="DO345" s="28"/>
      <c r="DR345" s="28"/>
      <c r="DU345" s="28"/>
      <c r="DX345" s="28"/>
      <c r="EA345" s="28"/>
      <c r="ED345" s="28"/>
      <c r="EG345" s="28"/>
      <c r="EJ345" s="28"/>
      <c r="EM345" s="28"/>
      <c r="EP345" s="28"/>
      <c r="ES345" s="28"/>
      <c r="EV345" s="28"/>
      <c r="EY345" s="28"/>
      <c r="FB345" s="28"/>
      <c r="FE345" s="28"/>
      <c r="FH345" s="28"/>
      <c r="FK345" s="28"/>
      <c r="FN345" s="28"/>
      <c r="FQ345" s="28"/>
      <c r="FT345" s="28"/>
      <c r="FW345" s="28"/>
      <c r="FZ345" s="28"/>
      <c r="GC345" s="28"/>
    </row>
    <row r="346" spans="1:185" s="25" customFormat="1" x14ac:dyDescent="0.3">
      <c r="A346" s="27"/>
      <c r="B346" s="28"/>
      <c r="C346" s="27"/>
      <c r="D346" s="26"/>
      <c r="E346" s="28"/>
      <c r="H346" s="28"/>
      <c r="K346" s="28"/>
      <c r="N346" s="28"/>
      <c r="Q346" s="28"/>
      <c r="T346" s="28"/>
      <c r="W346" s="28"/>
      <c r="Z346" s="28"/>
      <c r="AC346" s="28"/>
      <c r="AF346" s="28"/>
      <c r="AI346" s="28"/>
      <c r="AL346" s="28"/>
      <c r="AO346" s="28"/>
      <c r="AR346" s="28"/>
      <c r="AU346" s="28"/>
      <c r="AX346" s="28"/>
      <c r="BA346" s="28"/>
      <c r="BD346" s="28"/>
      <c r="BG346" s="28"/>
      <c r="BJ346" s="28"/>
      <c r="BM346" s="28"/>
      <c r="BP346" s="28"/>
      <c r="BS346" s="28"/>
      <c r="BV346" s="28"/>
      <c r="BY346" s="28"/>
      <c r="CB346" s="28"/>
      <c r="CE346" s="28"/>
      <c r="CH346" s="28"/>
      <c r="CK346" s="28"/>
      <c r="CN346" s="28"/>
      <c r="CQ346" s="28"/>
      <c r="CT346" s="28"/>
      <c r="CW346" s="28"/>
      <c r="CZ346" s="28"/>
      <c r="DC346" s="28"/>
      <c r="DF346" s="28"/>
      <c r="DI346" s="28"/>
      <c r="DL346" s="28"/>
      <c r="DO346" s="28"/>
      <c r="DR346" s="28"/>
      <c r="DU346" s="28"/>
      <c r="DX346" s="28"/>
      <c r="EA346" s="28"/>
      <c r="ED346" s="28"/>
      <c r="EG346" s="28"/>
      <c r="EJ346" s="28"/>
      <c r="EM346" s="28"/>
      <c r="EP346" s="28"/>
      <c r="ES346" s="28"/>
      <c r="EV346" s="28"/>
      <c r="EY346" s="28"/>
      <c r="FB346" s="28"/>
      <c r="FE346" s="28"/>
      <c r="FH346" s="28"/>
      <c r="FK346" s="28"/>
      <c r="FN346" s="28"/>
      <c r="FQ346" s="28"/>
      <c r="FT346" s="28"/>
      <c r="FW346" s="28"/>
      <c r="FZ346" s="28"/>
      <c r="GC346" s="28"/>
    </row>
    <row r="347" spans="1:185" s="25" customFormat="1" x14ac:dyDescent="0.3">
      <c r="A347" s="27"/>
      <c r="B347" s="28"/>
      <c r="C347" s="27"/>
      <c r="D347" s="26"/>
      <c r="E347" s="28"/>
      <c r="H347" s="28"/>
      <c r="K347" s="28"/>
      <c r="N347" s="28"/>
      <c r="Q347" s="28"/>
      <c r="T347" s="28"/>
      <c r="W347" s="28"/>
      <c r="Z347" s="28"/>
      <c r="AC347" s="28"/>
      <c r="AF347" s="28"/>
      <c r="AI347" s="28"/>
      <c r="AL347" s="28"/>
      <c r="AO347" s="28"/>
      <c r="AR347" s="28"/>
      <c r="AU347" s="28"/>
      <c r="AX347" s="28"/>
      <c r="BA347" s="28"/>
      <c r="BD347" s="28"/>
      <c r="BG347" s="28"/>
      <c r="BJ347" s="28"/>
      <c r="BM347" s="28"/>
      <c r="BP347" s="28"/>
      <c r="BS347" s="28"/>
      <c r="BV347" s="28"/>
      <c r="BY347" s="28"/>
      <c r="CB347" s="28"/>
      <c r="CE347" s="28"/>
      <c r="CH347" s="28"/>
      <c r="CK347" s="28"/>
      <c r="CN347" s="28"/>
      <c r="CQ347" s="28"/>
      <c r="CT347" s="28"/>
      <c r="CW347" s="28"/>
      <c r="CZ347" s="28"/>
      <c r="DC347" s="28"/>
      <c r="DF347" s="28"/>
      <c r="DI347" s="28"/>
      <c r="DL347" s="28"/>
      <c r="DO347" s="28"/>
      <c r="DR347" s="28"/>
      <c r="DU347" s="28"/>
      <c r="DX347" s="28"/>
      <c r="EA347" s="28"/>
      <c r="ED347" s="28"/>
      <c r="EG347" s="28"/>
      <c r="EJ347" s="28"/>
      <c r="EM347" s="28"/>
      <c r="EP347" s="28"/>
      <c r="ES347" s="28"/>
      <c r="EV347" s="28"/>
      <c r="EY347" s="28"/>
      <c r="FB347" s="28"/>
      <c r="FE347" s="28"/>
      <c r="FH347" s="28"/>
      <c r="FK347" s="28"/>
      <c r="FN347" s="28"/>
      <c r="FQ347" s="28"/>
      <c r="FT347" s="28"/>
      <c r="FW347" s="28"/>
      <c r="FZ347" s="28"/>
      <c r="GC347" s="28"/>
    </row>
    <row r="348" spans="1:185" s="25" customFormat="1" x14ac:dyDescent="0.3">
      <c r="A348" s="27"/>
      <c r="B348" s="28"/>
      <c r="C348" s="27"/>
      <c r="D348" s="26"/>
      <c r="E348" s="28"/>
      <c r="H348" s="28"/>
      <c r="K348" s="28"/>
      <c r="N348" s="28"/>
      <c r="Q348" s="28"/>
      <c r="T348" s="28"/>
      <c r="W348" s="28"/>
      <c r="Z348" s="28"/>
      <c r="AC348" s="28"/>
      <c r="AF348" s="28"/>
      <c r="AI348" s="28"/>
      <c r="AL348" s="28"/>
      <c r="AO348" s="28"/>
      <c r="AR348" s="28"/>
      <c r="AU348" s="28"/>
      <c r="AX348" s="28"/>
      <c r="BA348" s="28"/>
      <c r="BD348" s="28"/>
      <c r="BG348" s="28"/>
      <c r="BJ348" s="28"/>
      <c r="BM348" s="28"/>
      <c r="BP348" s="28"/>
      <c r="BS348" s="28"/>
      <c r="BV348" s="28"/>
      <c r="BY348" s="28"/>
      <c r="CB348" s="28"/>
      <c r="CE348" s="28"/>
      <c r="CH348" s="28"/>
      <c r="CK348" s="28"/>
      <c r="CN348" s="28"/>
      <c r="CQ348" s="28"/>
      <c r="CT348" s="28"/>
      <c r="CW348" s="28"/>
      <c r="CZ348" s="28"/>
      <c r="DC348" s="28"/>
      <c r="DF348" s="28"/>
      <c r="DI348" s="28"/>
      <c r="DL348" s="28"/>
      <c r="DO348" s="28"/>
      <c r="DR348" s="28"/>
      <c r="DU348" s="28"/>
      <c r="DX348" s="28"/>
      <c r="EA348" s="28"/>
      <c r="ED348" s="28"/>
      <c r="EG348" s="28"/>
      <c r="EJ348" s="28"/>
      <c r="EM348" s="28"/>
      <c r="EP348" s="28"/>
      <c r="ES348" s="28"/>
      <c r="EV348" s="28"/>
      <c r="EY348" s="28"/>
      <c r="FB348" s="28"/>
      <c r="FE348" s="28"/>
      <c r="FH348" s="28"/>
      <c r="FK348" s="28"/>
      <c r="FN348" s="28"/>
      <c r="FQ348" s="28"/>
      <c r="FT348" s="28"/>
      <c r="FW348" s="28"/>
      <c r="FZ348" s="28"/>
      <c r="GC348" s="28"/>
    </row>
    <row r="349" spans="1:185" s="25" customFormat="1" x14ac:dyDescent="0.3">
      <c r="A349" s="27"/>
      <c r="B349" s="28"/>
      <c r="C349" s="27"/>
      <c r="D349" s="26"/>
      <c r="E349" s="28"/>
      <c r="H349" s="28"/>
      <c r="K349" s="28"/>
      <c r="N349" s="28"/>
      <c r="Q349" s="28"/>
      <c r="T349" s="28"/>
      <c r="W349" s="28"/>
      <c r="Z349" s="28"/>
      <c r="AC349" s="28"/>
      <c r="AF349" s="28"/>
      <c r="AI349" s="28"/>
      <c r="AL349" s="28"/>
      <c r="AO349" s="28"/>
      <c r="AR349" s="28"/>
      <c r="AU349" s="28"/>
      <c r="AX349" s="28"/>
      <c r="BA349" s="28"/>
      <c r="BD349" s="28"/>
      <c r="BG349" s="28"/>
      <c r="BJ349" s="28"/>
      <c r="BM349" s="28"/>
      <c r="BP349" s="28"/>
      <c r="BS349" s="28"/>
      <c r="BV349" s="28"/>
      <c r="BY349" s="28"/>
      <c r="CB349" s="28"/>
      <c r="CE349" s="28"/>
      <c r="CH349" s="28"/>
      <c r="CK349" s="28"/>
      <c r="CN349" s="28"/>
      <c r="CQ349" s="28"/>
      <c r="CT349" s="28"/>
      <c r="CW349" s="28"/>
      <c r="CZ349" s="28"/>
      <c r="DC349" s="28"/>
      <c r="DF349" s="28"/>
      <c r="DI349" s="28"/>
      <c r="DL349" s="28"/>
      <c r="DO349" s="28"/>
      <c r="DR349" s="28"/>
      <c r="DU349" s="28"/>
      <c r="DX349" s="28"/>
      <c r="EA349" s="28"/>
      <c r="ED349" s="28"/>
      <c r="EG349" s="28"/>
      <c r="EJ349" s="28"/>
      <c r="EM349" s="28"/>
      <c r="EP349" s="28"/>
      <c r="ES349" s="28"/>
      <c r="EV349" s="28"/>
      <c r="EY349" s="28"/>
      <c r="FB349" s="28"/>
      <c r="FE349" s="28"/>
      <c r="FH349" s="28"/>
      <c r="FK349" s="28"/>
      <c r="FN349" s="28"/>
      <c r="FQ349" s="28"/>
      <c r="FT349" s="28"/>
      <c r="FW349" s="28"/>
      <c r="FZ349" s="28"/>
      <c r="GC349" s="28"/>
    </row>
    <row r="350" spans="1:185" s="25" customFormat="1" x14ac:dyDescent="0.3">
      <c r="A350" s="27"/>
      <c r="B350" s="28"/>
      <c r="C350" s="27"/>
      <c r="D350" s="26"/>
      <c r="E350" s="28"/>
      <c r="H350" s="28"/>
      <c r="K350" s="28"/>
      <c r="N350" s="28"/>
      <c r="Q350" s="28"/>
      <c r="T350" s="28"/>
      <c r="W350" s="28"/>
      <c r="Z350" s="28"/>
      <c r="AC350" s="28"/>
      <c r="AF350" s="28"/>
      <c r="AI350" s="28"/>
      <c r="AL350" s="28"/>
      <c r="AO350" s="28"/>
      <c r="AR350" s="28"/>
      <c r="AU350" s="28"/>
      <c r="AX350" s="28"/>
      <c r="BA350" s="28"/>
      <c r="BD350" s="28"/>
      <c r="BG350" s="28"/>
      <c r="BJ350" s="28"/>
      <c r="BM350" s="28"/>
      <c r="BP350" s="28"/>
      <c r="BS350" s="28"/>
      <c r="BV350" s="28"/>
      <c r="BY350" s="28"/>
      <c r="CB350" s="28"/>
      <c r="CE350" s="28"/>
      <c r="CH350" s="28"/>
      <c r="CK350" s="28"/>
      <c r="CN350" s="28"/>
      <c r="CQ350" s="28"/>
      <c r="CT350" s="28"/>
      <c r="CW350" s="28"/>
      <c r="CZ350" s="28"/>
      <c r="DC350" s="28"/>
      <c r="DF350" s="28"/>
      <c r="DI350" s="28"/>
      <c r="DL350" s="28"/>
      <c r="DO350" s="28"/>
      <c r="DR350" s="28"/>
      <c r="DU350" s="28"/>
      <c r="DX350" s="28"/>
      <c r="EA350" s="28"/>
      <c r="ED350" s="28"/>
      <c r="EG350" s="28"/>
      <c r="EJ350" s="28"/>
      <c r="EM350" s="28"/>
      <c r="EP350" s="28"/>
      <c r="ES350" s="28"/>
      <c r="EV350" s="28"/>
      <c r="EY350" s="28"/>
      <c r="FB350" s="28"/>
      <c r="FE350" s="28"/>
      <c r="FH350" s="28"/>
      <c r="FK350" s="28"/>
      <c r="FN350" s="28"/>
      <c r="FQ350" s="28"/>
      <c r="FT350" s="28"/>
      <c r="FW350" s="28"/>
      <c r="FZ350" s="28"/>
      <c r="GC350" s="28"/>
    </row>
    <row r="351" spans="1:185" s="25" customFormat="1" x14ac:dyDescent="0.3">
      <c r="A351" s="27"/>
      <c r="B351" s="28"/>
      <c r="C351" s="27"/>
      <c r="D351" s="26"/>
      <c r="E351" s="28"/>
      <c r="H351" s="28"/>
      <c r="K351" s="28"/>
      <c r="N351" s="28"/>
      <c r="Q351" s="28"/>
      <c r="T351" s="28"/>
      <c r="W351" s="28"/>
      <c r="Z351" s="28"/>
      <c r="AC351" s="28"/>
      <c r="AF351" s="28"/>
      <c r="AI351" s="28"/>
      <c r="AL351" s="28"/>
      <c r="AO351" s="28"/>
      <c r="AR351" s="28"/>
      <c r="AU351" s="28"/>
      <c r="AX351" s="28"/>
      <c r="BA351" s="28"/>
      <c r="BD351" s="28"/>
      <c r="BG351" s="28"/>
      <c r="BJ351" s="28"/>
      <c r="BM351" s="28"/>
      <c r="BP351" s="28"/>
      <c r="BS351" s="28"/>
      <c r="BV351" s="28"/>
      <c r="BY351" s="28"/>
      <c r="CB351" s="28"/>
      <c r="CE351" s="28"/>
      <c r="CH351" s="28"/>
      <c r="CK351" s="28"/>
      <c r="CN351" s="28"/>
      <c r="CQ351" s="28"/>
      <c r="CT351" s="28"/>
      <c r="CW351" s="28"/>
      <c r="CZ351" s="28"/>
      <c r="DC351" s="28"/>
      <c r="DF351" s="28"/>
      <c r="DI351" s="28"/>
      <c r="DL351" s="28"/>
      <c r="DO351" s="28"/>
      <c r="DR351" s="28"/>
      <c r="DU351" s="28"/>
      <c r="DX351" s="28"/>
      <c r="EA351" s="28"/>
      <c r="ED351" s="28"/>
      <c r="EG351" s="28"/>
      <c r="EJ351" s="28"/>
      <c r="EM351" s="28"/>
      <c r="EP351" s="28"/>
      <c r="ES351" s="28"/>
      <c r="EV351" s="28"/>
      <c r="EY351" s="28"/>
      <c r="FB351" s="28"/>
      <c r="FE351" s="28"/>
      <c r="FH351" s="28"/>
      <c r="FK351" s="28"/>
      <c r="FN351" s="28"/>
      <c r="FQ351" s="28"/>
      <c r="FT351" s="28"/>
      <c r="FW351" s="28"/>
      <c r="FZ351" s="28"/>
      <c r="GC351" s="28"/>
    </row>
    <row r="352" spans="1:185" s="25" customFormat="1" x14ac:dyDescent="0.3">
      <c r="A352" s="27"/>
      <c r="B352" s="28"/>
      <c r="C352" s="27"/>
      <c r="D352" s="26"/>
      <c r="E352" s="28"/>
      <c r="H352" s="28"/>
      <c r="K352" s="28"/>
      <c r="N352" s="28"/>
      <c r="Q352" s="28"/>
      <c r="T352" s="28"/>
      <c r="W352" s="28"/>
      <c r="Z352" s="28"/>
      <c r="AC352" s="28"/>
      <c r="AF352" s="28"/>
      <c r="AI352" s="28"/>
      <c r="AL352" s="28"/>
      <c r="AO352" s="28"/>
      <c r="AR352" s="28"/>
      <c r="AU352" s="28"/>
      <c r="AX352" s="28"/>
      <c r="BA352" s="28"/>
      <c r="BD352" s="28"/>
      <c r="BG352" s="28"/>
      <c r="BJ352" s="28"/>
      <c r="BM352" s="28"/>
      <c r="BP352" s="28"/>
      <c r="BS352" s="28"/>
      <c r="BV352" s="28"/>
      <c r="BY352" s="28"/>
      <c r="CB352" s="28"/>
      <c r="CE352" s="28"/>
      <c r="CH352" s="28"/>
      <c r="CK352" s="28"/>
      <c r="CN352" s="28"/>
      <c r="CQ352" s="28"/>
      <c r="CT352" s="28"/>
      <c r="CW352" s="28"/>
      <c r="CZ352" s="28"/>
      <c r="DC352" s="28"/>
      <c r="DF352" s="28"/>
      <c r="DI352" s="28"/>
      <c r="DL352" s="28"/>
      <c r="DO352" s="28"/>
      <c r="DR352" s="28"/>
      <c r="DU352" s="28"/>
      <c r="DX352" s="28"/>
      <c r="EA352" s="28"/>
      <c r="ED352" s="28"/>
      <c r="EG352" s="28"/>
      <c r="EJ352" s="28"/>
      <c r="EM352" s="28"/>
      <c r="EP352" s="28"/>
      <c r="ES352" s="28"/>
      <c r="EV352" s="28"/>
      <c r="EY352" s="28"/>
      <c r="FB352" s="28"/>
      <c r="FE352" s="28"/>
      <c r="FH352" s="28"/>
      <c r="FK352" s="28"/>
      <c r="FN352" s="28"/>
      <c r="FQ352" s="28"/>
      <c r="FT352" s="28"/>
      <c r="FW352" s="28"/>
      <c r="FZ352" s="28"/>
      <c r="GC352" s="28"/>
    </row>
    <row r="353" spans="1:185" s="25" customFormat="1" x14ac:dyDescent="0.3">
      <c r="A353" s="27"/>
      <c r="B353" s="28"/>
      <c r="C353" s="27"/>
      <c r="D353" s="26"/>
      <c r="E353" s="28"/>
      <c r="H353" s="28"/>
      <c r="K353" s="28"/>
      <c r="N353" s="28"/>
      <c r="Q353" s="28"/>
      <c r="T353" s="28"/>
      <c r="W353" s="28"/>
      <c r="Z353" s="28"/>
      <c r="AC353" s="28"/>
      <c r="AF353" s="28"/>
      <c r="AI353" s="28"/>
      <c r="AL353" s="28"/>
      <c r="AO353" s="28"/>
      <c r="AR353" s="28"/>
      <c r="AU353" s="28"/>
      <c r="AX353" s="28"/>
      <c r="BA353" s="28"/>
      <c r="BD353" s="28"/>
      <c r="BG353" s="28"/>
      <c r="BJ353" s="28"/>
      <c r="BM353" s="28"/>
      <c r="BP353" s="28"/>
      <c r="BS353" s="28"/>
      <c r="BV353" s="28"/>
      <c r="BY353" s="28"/>
      <c r="CB353" s="28"/>
      <c r="CE353" s="28"/>
      <c r="CH353" s="28"/>
      <c r="CK353" s="28"/>
      <c r="CN353" s="28"/>
      <c r="CQ353" s="28"/>
      <c r="CT353" s="28"/>
      <c r="CW353" s="28"/>
      <c r="CZ353" s="28"/>
      <c r="DC353" s="28"/>
      <c r="DF353" s="28"/>
      <c r="DI353" s="28"/>
      <c r="DL353" s="28"/>
      <c r="DO353" s="28"/>
      <c r="DR353" s="28"/>
      <c r="DU353" s="28"/>
      <c r="DX353" s="28"/>
      <c r="EA353" s="28"/>
      <c r="ED353" s="28"/>
      <c r="EG353" s="28"/>
      <c r="EJ353" s="28"/>
      <c r="EM353" s="28"/>
      <c r="EP353" s="28"/>
      <c r="ES353" s="28"/>
      <c r="EV353" s="28"/>
      <c r="EY353" s="28"/>
      <c r="FB353" s="28"/>
      <c r="FE353" s="28"/>
      <c r="FH353" s="28"/>
      <c r="FK353" s="28"/>
      <c r="FN353" s="28"/>
      <c r="FQ353" s="28"/>
      <c r="FT353" s="28"/>
      <c r="FW353" s="28"/>
      <c r="FZ353" s="28"/>
      <c r="GC353" s="28"/>
    </row>
    <row r="354" spans="1:185" s="25" customFormat="1" x14ac:dyDescent="0.3">
      <c r="A354" s="27"/>
      <c r="B354" s="28"/>
      <c r="C354" s="27"/>
      <c r="D354" s="26"/>
      <c r="E354" s="28"/>
      <c r="H354" s="28"/>
      <c r="K354" s="28"/>
      <c r="N354" s="28"/>
      <c r="Q354" s="28"/>
      <c r="T354" s="28"/>
      <c r="W354" s="28"/>
      <c r="Z354" s="28"/>
      <c r="AC354" s="28"/>
      <c r="AF354" s="28"/>
      <c r="AI354" s="28"/>
      <c r="AL354" s="28"/>
      <c r="AO354" s="28"/>
      <c r="AR354" s="28"/>
      <c r="AU354" s="28"/>
      <c r="AX354" s="28"/>
      <c r="BA354" s="28"/>
      <c r="BD354" s="28"/>
      <c r="BG354" s="28"/>
      <c r="BJ354" s="28"/>
      <c r="BM354" s="28"/>
      <c r="BP354" s="28"/>
      <c r="BS354" s="28"/>
      <c r="BV354" s="28"/>
      <c r="BY354" s="28"/>
      <c r="CB354" s="28"/>
      <c r="CE354" s="28"/>
      <c r="CH354" s="28"/>
      <c r="CK354" s="28"/>
      <c r="CN354" s="28"/>
      <c r="CQ354" s="28"/>
      <c r="CT354" s="28"/>
      <c r="CW354" s="28"/>
      <c r="CZ354" s="28"/>
      <c r="DC354" s="28"/>
      <c r="DF354" s="28"/>
      <c r="DI354" s="28"/>
      <c r="DL354" s="28"/>
      <c r="DO354" s="28"/>
      <c r="DR354" s="28"/>
      <c r="DU354" s="28"/>
      <c r="DX354" s="28"/>
      <c r="EA354" s="28"/>
      <c r="ED354" s="28"/>
      <c r="EG354" s="28"/>
      <c r="EJ354" s="28"/>
      <c r="EM354" s="28"/>
      <c r="EP354" s="28"/>
      <c r="ES354" s="28"/>
      <c r="EV354" s="28"/>
      <c r="EY354" s="28"/>
      <c r="FB354" s="28"/>
      <c r="FE354" s="28"/>
      <c r="FH354" s="28"/>
      <c r="FK354" s="28"/>
      <c r="FN354" s="28"/>
      <c r="FQ354" s="28"/>
      <c r="FT354" s="28"/>
      <c r="FW354" s="28"/>
      <c r="FZ354" s="28"/>
      <c r="GC354" s="28"/>
    </row>
    <row r="355" spans="1:185" s="25" customFormat="1" x14ac:dyDescent="0.3">
      <c r="A355" s="27"/>
      <c r="B355" s="28"/>
      <c r="C355" s="27"/>
      <c r="D355" s="26"/>
      <c r="E355" s="28"/>
      <c r="H355" s="28"/>
      <c r="K355" s="28"/>
      <c r="N355" s="28"/>
      <c r="Q355" s="28"/>
      <c r="T355" s="28"/>
      <c r="W355" s="28"/>
      <c r="Z355" s="28"/>
      <c r="AC355" s="28"/>
      <c r="AF355" s="28"/>
      <c r="AI355" s="28"/>
      <c r="AL355" s="28"/>
      <c r="AO355" s="28"/>
      <c r="AR355" s="28"/>
      <c r="AU355" s="28"/>
      <c r="AX355" s="28"/>
      <c r="BA355" s="28"/>
      <c r="BD355" s="28"/>
      <c r="BG355" s="28"/>
      <c r="BJ355" s="28"/>
      <c r="BM355" s="28"/>
      <c r="BP355" s="28"/>
      <c r="BS355" s="28"/>
      <c r="BV355" s="28"/>
      <c r="BY355" s="28"/>
      <c r="CB355" s="28"/>
      <c r="CE355" s="28"/>
      <c r="CH355" s="28"/>
      <c r="CK355" s="28"/>
      <c r="CN355" s="28"/>
      <c r="CQ355" s="28"/>
      <c r="CT355" s="28"/>
      <c r="CW355" s="28"/>
      <c r="CZ355" s="28"/>
      <c r="DC355" s="28"/>
      <c r="DF355" s="28"/>
      <c r="DI355" s="28"/>
      <c r="DL355" s="28"/>
      <c r="DO355" s="28"/>
      <c r="DR355" s="28"/>
      <c r="DU355" s="28"/>
      <c r="DX355" s="28"/>
      <c r="EA355" s="28"/>
      <c r="ED355" s="28"/>
      <c r="EG355" s="28"/>
      <c r="EJ355" s="28"/>
      <c r="EM355" s="28"/>
      <c r="EP355" s="28"/>
      <c r="ES355" s="28"/>
      <c r="EV355" s="28"/>
      <c r="EY355" s="28"/>
      <c r="FB355" s="28"/>
      <c r="FE355" s="28"/>
      <c r="FH355" s="28"/>
      <c r="FK355" s="28"/>
      <c r="FN355" s="28"/>
      <c r="FQ355" s="28"/>
      <c r="FT355" s="28"/>
      <c r="FW355" s="28"/>
      <c r="FZ355" s="28"/>
      <c r="GC355" s="28"/>
    </row>
    <row r="356" spans="1:185" s="25" customFormat="1" x14ac:dyDescent="0.3">
      <c r="A356" s="27"/>
      <c r="B356" s="28"/>
      <c r="C356" s="27"/>
      <c r="D356" s="26"/>
      <c r="E356" s="28"/>
      <c r="H356" s="28"/>
      <c r="K356" s="28"/>
      <c r="N356" s="28"/>
      <c r="Q356" s="28"/>
      <c r="T356" s="28"/>
      <c r="W356" s="28"/>
      <c r="Z356" s="28"/>
      <c r="AC356" s="28"/>
      <c r="AF356" s="28"/>
      <c r="AI356" s="28"/>
      <c r="AL356" s="28"/>
      <c r="AO356" s="28"/>
      <c r="AR356" s="28"/>
      <c r="AU356" s="28"/>
      <c r="AX356" s="28"/>
      <c r="BA356" s="28"/>
      <c r="BD356" s="28"/>
      <c r="BG356" s="28"/>
      <c r="BJ356" s="28"/>
      <c r="BM356" s="28"/>
      <c r="BP356" s="28"/>
      <c r="BS356" s="28"/>
      <c r="BV356" s="28"/>
      <c r="BY356" s="28"/>
      <c r="CB356" s="28"/>
      <c r="CE356" s="28"/>
      <c r="CH356" s="28"/>
      <c r="CK356" s="28"/>
      <c r="CN356" s="28"/>
      <c r="CQ356" s="28"/>
      <c r="CT356" s="28"/>
      <c r="CW356" s="28"/>
      <c r="CZ356" s="28"/>
      <c r="DC356" s="28"/>
      <c r="DF356" s="28"/>
      <c r="DI356" s="28"/>
      <c r="DL356" s="28"/>
      <c r="DO356" s="28"/>
      <c r="DR356" s="28"/>
      <c r="DU356" s="28"/>
      <c r="DX356" s="28"/>
      <c r="EA356" s="28"/>
      <c r="ED356" s="28"/>
      <c r="EG356" s="28"/>
      <c r="EJ356" s="28"/>
      <c r="EM356" s="28"/>
      <c r="EP356" s="28"/>
      <c r="ES356" s="28"/>
      <c r="EV356" s="28"/>
      <c r="EY356" s="28"/>
      <c r="FB356" s="28"/>
      <c r="FE356" s="28"/>
      <c r="FH356" s="28"/>
      <c r="FK356" s="28"/>
      <c r="FN356" s="28"/>
      <c r="FQ356" s="28"/>
      <c r="FT356" s="28"/>
      <c r="FW356" s="28"/>
      <c r="FZ356" s="28"/>
      <c r="GC356" s="28"/>
    </row>
    <row r="357" spans="1:185" s="25" customFormat="1" x14ac:dyDescent="0.3">
      <c r="A357" s="27"/>
      <c r="B357" s="28"/>
      <c r="C357" s="27"/>
      <c r="D357" s="26"/>
      <c r="E357" s="28"/>
      <c r="H357" s="28"/>
      <c r="K357" s="28"/>
      <c r="N357" s="28"/>
      <c r="Q357" s="28"/>
      <c r="T357" s="28"/>
      <c r="W357" s="28"/>
      <c r="Z357" s="28"/>
      <c r="AC357" s="28"/>
      <c r="AF357" s="28"/>
      <c r="AI357" s="28"/>
      <c r="AL357" s="28"/>
      <c r="AO357" s="28"/>
      <c r="AR357" s="28"/>
      <c r="AU357" s="28"/>
      <c r="AX357" s="28"/>
      <c r="BA357" s="28"/>
      <c r="BD357" s="28"/>
      <c r="BG357" s="28"/>
      <c r="BJ357" s="28"/>
      <c r="BM357" s="28"/>
      <c r="BP357" s="28"/>
      <c r="BS357" s="28"/>
      <c r="BV357" s="28"/>
      <c r="BY357" s="28"/>
      <c r="CB357" s="28"/>
      <c r="CE357" s="28"/>
      <c r="CH357" s="28"/>
      <c r="CK357" s="28"/>
      <c r="CN357" s="28"/>
      <c r="CQ357" s="28"/>
      <c r="CT357" s="28"/>
      <c r="CW357" s="28"/>
      <c r="CZ357" s="28"/>
      <c r="DC357" s="28"/>
      <c r="DF357" s="28"/>
      <c r="DI357" s="28"/>
      <c r="DL357" s="28"/>
      <c r="DO357" s="28"/>
      <c r="DR357" s="28"/>
      <c r="DU357" s="28"/>
      <c r="DX357" s="28"/>
      <c r="EA357" s="28"/>
      <c r="ED357" s="28"/>
      <c r="EG357" s="28"/>
      <c r="EJ357" s="28"/>
      <c r="EM357" s="28"/>
      <c r="EP357" s="28"/>
      <c r="ES357" s="28"/>
      <c r="EV357" s="28"/>
      <c r="EY357" s="28"/>
      <c r="FB357" s="28"/>
      <c r="FE357" s="28"/>
      <c r="FH357" s="28"/>
      <c r="FK357" s="28"/>
      <c r="FN357" s="28"/>
      <c r="FQ357" s="28"/>
      <c r="FT357" s="28"/>
      <c r="FW357" s="28"/>
      <c r="FZ357" s="28"/>
      <c r="GC357" s="28"/>
    </row>
    <row r="358" spans="1:185" s="25" customFormat="1" x14ac:dyDescent="0.3">
      <c r="A358" s="27"/>
      <c r="B358" s="28"/>
      <c r="C358" s="27"/>
      <c r="D358" s="26"/>
      <c r="E358" s="28"/>
      <c r="H358" s="28"/>
      <c r="K358" s="28"/>
      <c r="N358" s="28"/>
      <c r="Q358" s="28"/>
      <c r="T358" s="28"/>
      <c r="W358" s="28"/>
      <c r="Z358" s="28"/>
      <c r="AC358" s="28"/>
      <c r="AF358" s="28"/>
      <c r="AI358" s="28"/>
      <c r="AL358" s="28"/>
      <c r="AO358" s="28"/>
      <c r="AR358" s="28"/>
      <c r="AU358" s="28"/>
      <c r="AX358" s="28"/>
      <c r="BA358" s="28"/>
      <c r="BD358" s="28"/>
      <c r="BG358" s="28"/>
      <c r="BJ358" s="28"/>
      <c r="BM358" s="28"/>
      <c r="BP358" s="28"/>
      <c r="BS358" s="28"/>
      <c r="BV358" s="28"/>
      <c r="BY358" s="28"/>
      <c r="CB358" s="28"/>
      <c r="CE358" s="28"/>
      <c r="CH358" s="28"/>
      <c r="CK358" s="28"/>
      <c r="CN358" s="28"/>
      <c r="CQ358" s="28"/>
      <c r="CT358" s="28"/>
      <c r="CW358" s="28"/>
      <c r="CZ358" s="28"/>
      <c r="DC358" s="28"/>
      <c r="DF358" s="28"/>
      <c r="DI358" s="28"/>
      <c r="DL358" s="28"/>
      <c r="DO358" s="28"/>
      <c r="DR358" s="28"/>
      <c r="DU358" s="28"/>
      <c r="DX358" s="28"/>
      <c r="EA358" s="28"/>
      <c r="ED358" s="28"/>
      <c r="EG358" s="28"/>
      <c r="EJ358" s="28"/>
      <c r="EM358" s="28"/>
      <c r="EP358" s="28"/>
      <c r="ES358" s="28"/>
      <c r="EV358" s="28"/>
      <c r="EY358" s="28"/>
      <c r="FB358" s="28"/>
      <c r="FE358" s="28"/>
      <c r="FH358" s="28"/>
      <c r="FK358" s="28"/>
      <c r="FN358" s="28"/>
      <c r="FQ358" s="28"/>
      <c r="FT358" s="28"/>
      <c r="FW358" s="28"/>
      <c r="FZ358" s="28"/>
      <c r="GC358" s="28"/>
    </row>
    <row r="359" spans="1:185" s="25" customFormat="1" x14ac:dyDescent="0.3">
      <c r="A359" s="27"/>
      <c r="B359" s="28"/>
      <c r="C359" s="27"/>
      <c r="D359" s="26"/>
      <c r="E359" s="28"/>
      <c r="H359" s="28"/>
      <c r="K359" s="28"/>
      <c r="N359" s="28"/>
      <c r="Q359" s="28"/>
      <c r="T359" s="28"/>
      <c r="W359" s="28"/>
      <c r="Z359" s="28"/>
      <c r="AC359" s="28"/>
      <c r="AF359" s="28"/>
      <c r="AI359" s="28"/>
      <c r="AL359" s="28"/>
      <c r="AO359" s="28"/>
      <c r="AR359" s="28"/>
      <c r="AU359" s="28"/>
      <c r="AX359" s="28"/>
      <c r="BA359" s="28"/>
      <c r="BD359" s="28"/>
      <c r="BG359" s="28"/>
      <c r="BJ359" s="28"/>
      <c r="BM359" s="28"/>
      <c r="BP359" s="28"/>
      <c r="BS359" s="28"/>
      <c r="BV359" s="28"/>
      <c r="BY359" s="28"/>
      <c r="CB359" s="28"/>
      <c r="CE359" s="28"/>
      <c r="CH359" s="28"/>
      <c r="CK359" s="28"/>
      <c r="CN359" s="28"/>
      <c r="CQ359" s="28"/>
      <c r="CT359" s="28"/>
      <c r="CW359" s="28"/>
      <c r="CZ359" s="28"/>
      <c r="DC359" s="28"/>
      <c r="DF359" s="28"/>
      <c r="DI359" s="28"/>
      <c r="DL359" s="28"/>
      <c r="DO359" s="28"/>
      <c r="DR359" s="28"/>
      <c r="DU359" s="28"/>
      <c r="DX359" s="28"/>
      <c r="EA359" s="28"/>
      <c r="ED359" s="28"/>
      <c r="EG359" s="28"/>
      <c r="EJ359" s="28"/>
      <c r="EM359" s="28"/>
      <c r="EP359" s="28"/>
      <c r="ES359" s="28"/>
      <c r="EV359" s="28"/>
      <c r="EY359" s="28"/>
      <c r="FB359" s="28"/>
      <c r="FE359" s="28"/>
      <c r="FH359" s="28"/>
      <c r="FK359" s="28"/>
      <c r="FN359" s="28"/>
      <c r="FQ359" s="28"/>
      <c r="FT359" s="28"/>
      <c r="FW359" s="28"/>
      <c r="FZ359" s="28"/>
      <c r="GC359" s="28"/>
    </row>
    <row r="360" spans="1:185" s="25" customFormat="1" x14ac:dyDescent="0.3">
      <c r="A360" s="27"/>
      <c r="B360" s="28"/>
      <c r="C360" s="27"/>
      <c r="D360" s="26"/>
      <c r="E360" s="28"/>
      <c r="H360" s="28"/>
      <c r="K360" s="28"/>
      <c r="N360" s="28"/>
      <c r="Q360" s="28"/>
      <c r="T360" s="28"/>
      <c r="W360" s="28"/>
      <c r="Z360" s="28"/>
      <c r="AC360" s="28"/>
      <c r="AF360" s="28"/>
      <c r="AI360" s="28"/>
      <c r="AL360" s="28"/>
      <c r="AO360" s="28"/>
      <c r="AR360" s="28"/>
      <c r="AU360" s="28"/>
      <c r="AX360" s="28"/>
      <c r="BA360" s="28"/>
      <c r="BD360" s="28"/>
      <c r="BG360" s="28"/>
      <c r="BJ360" s="28"/>
      <c r="BM360" s="28"/>
      <c r="BP360" s="28"/>
      <c r="BS360" s="28"/>
      <c r="BV360" s="28"/>
      <c r="BY360" s="28"/>
      <c r="CB360" s="28"/>
      <c r="CE360" s="28"/>
      <c r="CH360" s="28"/>
      <c r="CK360" s="28"/>
      <c r="CN360" s="28"/>
      <c r="CQ360" s="28"/>
      <c r="CT360" s="28"/>
      <c r="CW360" s="28"/>
      <c r="CZ360" s="28"/>
      <c r="DC360" s="28"/>
      <c r="DF360" s="28"/>
      <c r="DI360" s="28"/>
      <c r="DL360" s="28"/>
      <c r="DO360" s="28"/>
      <c r="DR360" s="28"/>
      <c r="DU360" s="28"/>
      <c r="DX360" s="28"/>
      <c r="EA360" s="28"/>
      <c r="ED360" s="28"/>
      <c r="EG360" s="28"/>
      <c r="EJ360" s="28"/>
      <c r="EM360" s="28"/>
      <c r="EP360" s="28"/>
      <c r="ES360" s="28"/>
      <c r="EV360" s="28"/>
      <c r="EY360" s="28"/>
      <c r="FB360" s="28"/>
      <c r="FE360" s="28"/>
      <c r="FH360" s="28"/>
      <c r="FK360" s="28"/>
      <c r="FN360" s="28"/>
      <c r="FQ360" s="28"/>
      <c r="FT360" s="28"/>
      <c r="FW360" s="28"/>
      <c r="FZ360" s="28"/>
      <c r="GC360" s="28"/>
    </row>
    <row r="361" spans="1:185" s="25" customFormat="1" x14ac:dyDescent="0.3">
      <c r="A361" s="27"/>
      <c r="B361" s="28"/>
      <c r="C361" s="27"/>
      <c r="D361" s="26"/>
      <c r="E361" s="28"/>
      <c r="H361" s="28"/>
      <c r="K361" s="28"/>
      <c r="N361" s="28"/>
      <c r="Q361" s="28"/>
      <c r="T361" s="28"/>
      <c r="W361" s="28"/>
      <c r="Z361" s="28"/>
      <c r="AC361" s="28"/>
      <c r="AF361" s="28"/>
      <c r="AI361" s="28"/>
      <c r="AL361" s="28"/>
      <c r="AO361" s="28"/>
      <c r="AR361" s="28"/>
      <c r="AU361" s="28"/>
      <c r="AX361" s="28"/>
      <c r="BA361" s="28"/>
      <c r="BD361" s="28"/>
      <c r="BG361" s="28"/>
      <c r="BJ361" s="28"/>
      <c r="BM361" s="28"/>
      <c r="BP361" s="28"/>
      <c r="BS361" s="28"/>
      <c r="BV361" s="28"/>
      <c r="BY361" s="28"/>
      <c r="CB361" s="28"/>
      <c r="CE361" s="28"/>
      <c r="CH361" s="28"/>
      <c r="CK361" s="28"/>
      <c r="CN361" s="28"/>
      <c r="CQ361" s="28"/>
      <c r="CT361" s="28"/>
      <c r="CW361" s="28"/>
      <c r="CZ361" s="28"/>
      <c r="DC361" s="28"/>
      <c r="DF361" s="28"/>
      <c r="DI361" s="28"/>
      <c r="DL361" s="28"/>
      <c r="DO361" s="28"/>
      <c r="DR361" s="28"/>
      <c r="DU361" s="28"/>
      <c r="DX361" s="28"/>
      <c r="EA361" s="28"/>
      <c r="ED361" s="28"/>
      <c r="EG361" s="28"/>
      <c r="EJ361" s="28"/>
      <c r="EM361" s="28"/>
      <c r="EP361" s="28"/>
      <c r="ES361" s="28"/>
      <c r="EV361" s="28"/>
      <c r="EY361" s="28"/>
      <c r="FB361" s="28"/>
      <c r="FE361" s="28"/>
      <c r="FH361" s="28"/>
      <c r="FK361" s="28"/>
      <c r="FN361" s="28"/>
      <c r="FQ361" s="28"/>
      <c r="FT361" s="28"/>
      <c r="FW361" s="28"/>
      <c r="FZ361" s="28"/>
      <c r="GC361" s="28"/>
    </row>
    <row r="362" spans="1:185" s="25" customFormat="1" x14ac:dyDescent="0.3">
      <c r="A362" s="27"/>
      <c r="B362" s="28"/>
      <c r="C362" s="27"/>
      <c r="D362" s="26"/>
      <c r="E362" s="28"/>
      <c r="H362" s="28"/>
      <c r="K362" s="28"/>
      <c r="N362" s="28"/>
      <c r="Q362" s="28"/>
      <c r="T362" s="28"/>
      <c r="W362" s="28"/>
      <c r="Z362" s="28"/>
      <c r="AC362" s="28"/>
      <c r="AF362" s="28"/>
      <c r="AI362" s="28"/>
      <c r="AL362" s="28"/>
      <c r="AO362" s="28"/>
      <c r="AR362" s="28"/>
      <c r="AU362" s="28"/>
      <c r="AX362" s="28"/>
      <c r="BA362" s="28"/>
      <c r="BD362" s="28"/>
      <c r="BG362" s="28"/>
      <c r="BJ362" s="28"/>
      <c r="BM362" s="28"/>
      <c r="BP362" s="28"/>
      <c r="BS362" s="28"/>
      <c r="BV362" s="28"/>
      <c r="BY362" s="28"/>
      <c r="CB362" s="28"/>
      <c r="CE362" s="28"/>
      <c r="CH362" s="28"/>
      <c r="CK362" s="28"/>
      <c r="CN362" s="28"/>
      <c r="CQ362" s="28"/>
      <c r="CT362" s="28"/>
      <c r="CW362" s="28"/>
      <c r="CZ362" s="28"/>
      <c r="DC362" s="28"/>
      <c r="DF362" s="28"/>
      <c r="DI362" s="28"/>
      <c r="DL362" s="28"/>
      <c r="DO362" s="28"/>
      <c r="DR362" s="28"/>
      <c r="DU362" s="28"/>
      <c r="DX362" s="28"/>
      <c r="EA362" s="28"/>
      <c r="ED362" s="28"/>
      <c r="EG362" s="28"/>
      <c r="EJ362" s="28"/>
      <c r="EM362" s="28"/>
      <c r="EP362" s="28"/>
      <c r="ES362" s="28"/>
      <c r="EV362" s="28"/>
      <c r="EY362" s="28"/>
      <c r="FB362" s="28"/>
      <c r="FE362" s="28"/>
      <c r="FH362" s="28"/>
      <c r="FK362" s="28"/>
      <c r="FN362" s="28"/>
      <c r="FQ362" s="28"/>
      <c r="FT362" s="28"/>
      <c r="FW362" s="28"/>
      <c r="FZ362" s="28"/>
      <c r="GC362" s="28"/>
    </row>
    <row r="363" spans="1:185" s="25" customFormat="1" x14ac:dyDescent="0.3">
      <c r="A363" s="27"/>
      <c r="B363" s="28"/>
      <c r="C363" s="27"/>
      <c r="D363" s="26"/>
      <c r="E363" s="28"/>
      <c r="H363" s="28"/>
      <c r="K363" s="28"/>
      <c r="N363" s="28"/>
      <c r="Q363" s="28"/>
      <c r="T363" s="28"/>
      <c r="W363" s="28"/>
      <c r="Z363" s="28"/>
      <c r="AC363" s="28"/>
      <c r="AF363" s="28"/>
      <c r="AI363" s="28"/>
      <c r="AL363" s="28"/>
      <c r="AO363" s="28"/>
      <c r="AR363" s="28"/>
      <c r="AU363" s="28"/>
      <c r="AX363" s="28"/>
      <c r="BA363" s="28"/>
      <c r="BD363" s="28"/>
      <c r="BG363" s="28"/>
      <c r="BJ363" s="28"/>
      <c r="BM363" s="28"/>
      <c r="BP363" s="28"/>
      <c r="BS363" s="28"/>
      <c r="BV363" s="28"/>
      <c r="BY363" s="28"/>
      <c r="CB363" s="28"/>
      <c r="CE363" s="28"/>
      <c r="CH363" s="28"/>
      <c r="CK363" s="28"/>
      <c r="CN363" s="28"/>
      <c r="CQ363" s="28"/>
      <c r="CT363" s="28"/>
      <c r="CW363" s="28"/>
      <c r="CZ363" s="28"/>
      <c r="DC363" s="28"/>
      <c r="DF363" s="28"/>
      <c r="DI363" s="28"/>
      <c r="DL363" s="28"/>
      <c r="DO363" s="28"/>
      <c r="DR363" s="28"/>
      <c r="DU363" s="28"/>
      <c r="DX363" s="28"/>
      <c r="EA363" s="28"/>
      <c r="ED363" s="28"/>
      <c r="EG363" s="28"/>
      <c r="EJ363" s="28"/>
      <c r="EM363" s="28"/>
      <c r="EP363" s="28"/>
      <c r="ES363" s="28"/>
      <c r="EV363" s="28"/>
      <c r="EY363" s="28"/>
      <c r="FB363" s="28"/>
      <c r="FE363" s="28"/>
      <c r="FH363" s="28"/>
      <c r="FK363" s="28"/>
      <c r="FN363" s="28"/>
      <c r="FQ363" s="28"/>
      <c r="FT363" s="28"/>
      <c r="FW363" s="28"/>
      <c r="FZ363" s="28"/>
      <c r="GC363" s="28"/>
    </row>
    <row r="364" spans="1:185" s="25" customFormat="1" x14ac:dyDescent="0.3">
      <c r="A364" s="27"/>
      <c r="B364" s="28"/>
      <c r="C364" s="27"/>
      <c r="D364" s="26"/>
      <c r="E364" s="28"/>
      <c r="H364" s="28"/>
      <c r="K364" s="28"/>
      <c r="N364" s="28"/>
      <c r="Q364" s="28"/>
      <c r="T364" s="28"/>
      <c r="W364" s="28"/>
      <c r="Z364" s="28"/>
      <c r="AC364" s="28"/>
      <c r="AF364" s="28"/>
      <c r="AI364" s="28"/>
      <c r="AL364" s="28"/>
      <c r="AO364" s="28"/>
      <c r="AR364" s="28"/>
      <c r="AU364" s="28"/>
      <c r="AX364" s="28"/>
      <c r="BA364" s="28"/>
      <c r="BD364" s="28"/>
      <c r="BG364" s="28"/>
      <c r="BJ364" s="28"/>
      <c r="BM364" s="28"/>
      <c r="BP364" s="28"/>
      <c r="BS364" s="28"/>
      <c r="BV364" s="28"/>
      <c r="BY364" s="28"/>
      <c r="CB364" s="28"/>
      <c r="CE364" s="28"/>
      <c r="CH364" s="28"/>
      <c r="CK364" s="28"/>
      <c r="CN364" s="28"/>
      <c r="CQ364" s="28"/>
      <c r="CT364" s="28"/>
      <c r="CW364" s="28"/>
      <c r="CZ364" s="28"/>
      <c r="DC364" s="28"/>
      <c r="DF364" s="28"/>
      <c r="DI364" s="28"/>
      <c r="DL364" s="28"/>
      <c r="DO364" s="28"/>
      <c r="DR364" s="28"/>
      <c r="DU364" s="28"/>
      <c r="DX364" s="28"/>
      <c r="EA364" s="28"/>
      <c r="ED364" s="28"/>
      <c r="EG364" s="28"/>
      <c r="EJ364" s="28"/>
      <c r="EM364" s="28"/>
      <c r="EP364" s="28"/>
      <c r="ES364" s="28"/>
      <c r="EV364" s="28"/>
      <c r="EY364" s="28"/>
      <c r="FB364" s="28"/>
      <c r="FE364" s="28"/>
      <c r="FH364" s="28"/>
      <c r="FK364" s="28"/>
      <c r="FN364" s="28"/>
      <c r="FQ364" s="28"/>
      <c r="FT364" s="28"/>
      <c r="FW364" s="28"/>
      <c r="FZ364" s="28"/>
      <c r="GC364" s="28"/>
    </row>
    <row r="365" spans="1:185" s="25" customFormat="1" x14ac:dyDescent="0.3">
      <c r="A365" s="27"/>
      <c r="B365" s="28"/>
      <c r="C365" s="27"/>
      <c r="D365" s="26"/>
      <c r="E365" s="28"/>
      <c r="H365" s="28"/>
      <c r="K365" s="28"/>
      <c r="N365" s="28"/>
      <c r="Q365" s="28"/>
      <c r="T365" s="28"/>
      <c r="W365" s="28"/>
      <c r="Z365" s="28"/>
      <c r="AC365" s="28"/>
      <c r="AF365" s="28"/>
      <c r="AI365" s="28"/>
      <c r="AL365" s="28"/>
      <c r="AO365" s="28"/>
      <c r="AR365" s="28"/>
      <c r="AU365" s="28"/>
      <c r="AX365" s="28"/>
      <c r="BA365" s="28"/>
      <c r="BD365" s="28"/>
      <c r="BG365" s="28"/>
      <c r="BJ365" s="28"/>
      <c r="BM365" s="28"/>
      <c r="BP365" s="28"/>
      <c r="BS365" s="28"/>
      <c r="BV365" s="28"/>
      <c r="BY365" s="28"/>
      <c r="CB365" s="28"/>
      <c r="CE365" s="28"/>
      <c r="CH365" s="28"/>
      <c r="CK365" s="28"/>
      <c r="CN365" s="28"/>
      <c r="CQ365" s="28"/>
      <c r="CT365" s="28"/>
      <c r="CW365" s="28"/>
      <c r="CZ365" s="28"/>
      <c r="DC365" s="28"/>
      <c r="DF365" s="28"/>
      <c r="DI365" s="28"/>
      <c r="DL365" s="28"/>
      <c r="DO365" s="28"/>
      <c r="DR365" s="28"/>
      <c r="DU365" s="28"/>
      <c r="DX365" s="28"/>
      <c r="EA365" s="28"/>
      <c r="ED365" s="28"/>
      <c r="EG365" s="28"/>
      <c r="EJ365" s="28"/>
      <c r="EM365" s="28"/>
      <c r="EP365" s="28"/>
      <c r="ES365" s="28"/>
      <c r="EV365" s="28"/>
      <c r="EY365" s="28"/>
      <c r="FB365" s="28"/>
      <c r="FE365" s="28"/>
      <c r="FH365" s="28"/>
      <c r="FK365" s="28"/>
      <c r="FN365" s="28"/>
      <c r="FQ365" s="28"/>
      <c r="FT365" s="28"/>
      <c r="FW365" s="28"/>
      <c r="FZ365" s="28"/>
      <c r="GC365" s="28"/>
    </row>
    <row r="366" spans="1:185" s="25" customFormat="1" x14ac:dyDescent="0.3">
      <c r="A366" s="27"/>
      <c r="B366" s="28"/>
      <c r="C366" s="27"/>
      <c r="D366" s="26"/>
      <c r="E366" s="28"/>
      <c r="H366" s="28"/>
      <c r="K366" s="28"/>
      <c r="N366" s="28"/>
      <c r="Q366" s="28"/>
      <c r="T366" s="28"/>
      <c r="W366" s="28"/>
      <c r="Z366" s="28"/>
      <c r="AC366" s="28"/>
      <c r="AF366" s="28"/>
      <c r="AI366" s="28"/>
      <c r="AL366" s="28"/>
      <c r="AO366" s="28"/>
      <c r="AR366" s="28"/>
      <c r="AU366" s="28"/>
      <c r="AX366" s="28"/>
      <c r="BA366" s="28"/>
      <c r="BD366" s="28"/>
      <c r="BG366" s="28"/>
      <c r="BJ366" s="28"/>
      <c r="BM366" s="28"/>
      <c r="BP366" s="28"/>
      <c r="BS366" s="28"/>
      <c r="BV366" s="28"/>
      <c r="BY366" s="28"/>
      <c r="CB366" s="28"/>
      <c r="CE366" s="28"/>
      <c r="CH366" s="28"/>
      <c r="CK366" s="28"/>
      <c r="CN366" s="28"/>
      <c r="CQ366" s="28"/>
      <c r="CT366" s="28"/>
      <c r="CW366" s="28"/>
      <c r="CZ366" s="28"/>
      <c r="DC366" s="28"/>
      <c r="DF366" s="28"/>
      <c r="DI366" s="28"/>
      <c r="DL366" s="28"/>
      <c r="DO366" s="28"/>
      <c r="DR366" s="28"/>
      <c r="DU366" s="28"/>
      <c r="DX366" s="28"/>
      <c r="EA366" s="28"/>
      <c r="ED366" s="28"/>
      <c r="EG366" s="28"/>
      <c r="EJ366" s="28"/>
      <c r="EM366" s="28"/>
      <c r="EP366" s="28"/>
      <c r="ES366" s="28"/>
      <c r="EV366" s="28"/>
      <c r="EY366" s="28"/>
      <c r="FB366" s="28"/>
      <c r="FE366" s="28"/>
      <c r="FH366" s="28"/>
      <c r="FK366" s="28"/>
      <c r="FN366" s="28"/>
      <c r="FQ366" s="28"/>
      <c r="FT366" s="28"/>
      <c r="FW366" s="28"/>
      <c r="FZ366" s="28"/>
      <c r="GC366" s="28"/>
    </row>
    <row r="367" spans="1:185" s="25" customFormat="1" x14ac:dyDescent="0.3">
      <c r="A367" s="27"/>
      <c r="B367" s="28"/>
      <c r="C367" s="27"/>
      <c r="D367" s="26"/>
      <c r="E367" s="28"/>
      <c r="H367" s="28"/>
      <c r="K367" s="28"/>
      <c r="N367" s="28"/>
      <c r="Q367" s="28"/>
      <c r="T367" s="28"/>
      <c r="W367" s="28"/>
      <c r="Z367" s="28"/>
      <c r="AC367" s="28"/>
      <c r="AF367" s="28"/>
      <c r="AI367" s="28"/>
      <c r="AL367" s="28"/>
      <c r="AO367" s="28"/>
      <c r="AR367" s="28"/>
      <c r="AU367" s="28"/>
      <c r="AX367" s="28"/>
      <c r="BA367" s="28"/>
      <c r="BD367" s="28"/>
      <c r="BG367" s="28"/>
      <c r="BJ367" s="28"/>
      <c r="BM367" s="28"/>
      <c r="BP367" s="28"/>
      <c r="BS367" s="28"/>
      <c r="BV367" s="28"/>
      <c r="BY367" s="28"/>
      <c r="CB367" s="28"/>
      <c r="CE367" s="28"/>
      <c r="CH367" s="28"/>
      <c r="CK367" s="28"/>
      <c r="CN367" s="28"/>
      <c r="CQ367" s="28"/>
      <c r="CT367" s="28"/>
      <c r="CW367" s="28"/>
      <c r="CZ367" s="28"/>
      <c r="DC367" s="28"/>
      <c r="DF367" s="28"/>
      <c r="DI367" s="28"/>
      <c r="DL367" s="28"/>
      <c r="DO367" s="28"/>
      <c r="DR367" s="28"/>
      <c r="DU367" s="28"/>
      <c r="DX367" s="28"/>
      <c r="EA367" s="28"/>
      <c r="ED367" s="28"/>
      <c r="EG367" s="28"/>
      <c r="EJ367" s="28"/>
      <c r="EM367" s="28"/>
      <c r="EP367" s="28"/>
      <c r="ES367" s="28"/>
      <c r="EV367" s="28"/>
      <c r="EY367" s="28"/>
      <c r="FB367" s="28"/>
      <c r="FE367" s="28"/>
      <c r="FH367" s="28"/>
      <c r="FK367" s="28"/>
      <c r="FN367" s="28"/>
      <c r="FQ367" s="28"/>
      <c r="FT367" s="28"/>
      <c r="FW367" s="28"/>
      <c r="FZ367" s="28"/>
      <c r="GC367" s="28"/>
    </row>
    <row r="368" spans="1:185" s="25" customFormat="1" x14ac:dyDescent="0.3">
      <c r="A368" s="27"/>
      <c r="B368" s="28"/>
      <c r="C368" s="27"/>
      <c r="D368" s="26"/>
      <c r="E368" s="28"/>
      <c r="H368" s="28"/>
      <c r="K368" s="28"/>
      <c r="N368" s="28"/>
      <c r="Q368" s="28"/>
      <c r="T368" s="28"/>
      <c r="W368" s="28"/>
      <c r="Z368" s="28"/>
      <c r="AC368" s="28"/>
      <c r="AF368" s="28"/>
      <c r="AI368" s="28"/>
      <c r="AL368" s="28"/>
      <c r="AO368" s="28"/>
      <c r="AR368" s="28"/>
      <c r="AU368" s="28"/>
      <c r="AX368" s="28"/>
      <c r="BA368" s="28"/>
      <c r="BD368" s="28"/>
      <c r="BG368" s="28"/>
      <c r="BJ368" s="28"/>
      <c r="BM368" s="28"/>
      <c r="BP368" s="28"/>
      <c r="BS368" s="28"/>
      <c r="BV368" s="28"/>
      <c r="BY368" s="28"/>
      <c r="CB368" s="28"/>
      <c r="CE368" s="28"/>
      <c r="CH368" s="28"/>
      <c r="CK368" s="28"/>
      <c r="CN368" s="28"/>
      <c r="CQ368" s="28"/>
      <c r="CT368" s="28"/>
      <c r="CW368" s="28"/>
      <c r="CZ368" s="28"/>
      <c r="DC368" s="28"/>
      <c r="DF368" s="28"/>
      <c r="DI368" s="28"/>
      <c r="DL368" s="28"/>
      <c r="DO368" s="28"/>
      <c r="DR368" s="28"/>
      <c r="DU368" s="28"/>
      <c r="DX368" s="28"/>
      <c r="EA368" s="28"/>
      <c r="ED368" s="28"/>
      <c r="EG368" s="28"/>
      <c r="EJ368" s="28"/>
      <c r="EM368" s="28"/>
      <c r="EP368" s="28"/>
      <c r="ES368" s="28"/>
      <c r="EV368" s="28"/>
      <c r="EY368" s="28"/>
      <c r="FB368" s="28"/>
      <c r="FE368" s="28"/>
      <c r="FH368" s="28"/>
      <c r="FK368" s="28"/>
      <c r="FN368" s="28"/>
      <c r="FQ368" s="28"/>
      <c r="FT368" s="28"/>
      <c r="FW368" s="28"/>
      <c r="FZ368" s="28"/>
      <c r="GC368" s="28"/>
    </row>
    <row r="369" spans="1:185" s="25" customFormat="1" x14ac:dyDescent="0.3">
      <c r="A369" s="27"/>
      <c r="B369" s="28"/>
      <c r="C369" s="27"/>
      <c r="D369" s="26"/>
      <c r="E369" s="28"/>
      <c r="H369" s="28"/>
      <c r="K369" s="28"/>
      <c r="N369" s="28"/>
      <c r="Q369" s="28"/>
      <c r="T369" s="28"/>
      <c r="W369" s="28"/>
      <c r="Z369" s="28"/>
      <c r="AC369" s="28"/>
      <c r="AF369" s="28"/>
      <c r="AI369" s="28"/>
      <c r="AL369" s="28"/>
      <c r="AO369" s="28"/>
      <c r="AR369" s="28"/>
      <c r="AU369" s="28"/>
      <c r="AX369" s="28"/>
      <c r="BA369" s="28"/>
      <c r="BD369" s="28"/>
      <c r="BG369" s="28"/>
      <c r="BJ369" s="28"/>
      <c r="BM369" s="28"/>
      <c r="BP369" s="28"/>
      <c r="BS369" s="28"/>
      <c r="BV369" s="28"/>
      <c r="BY369" s="28"/>
      <c r="CB369" s="28"/>
      <c r="CE369" s="28"/>
      <c r="CH369" s="28"/>
      <c r="CK369" s="28"/>
      <c r="CN369" s="28"/>
      <c r="CQ369" s="28"/>
      <c r="CT369" s="28"/>
      <c r="CW369" s="28"/>
      <c r="CZ369" s="28"/>
      <c r="DC369" s="28"/>
      <c r="DF369" s="28"/>
      <c r="DI369" s="28"/>
      <c r="DL369" s="28"/>
      <c r="DO369" s="28"/>
      <c r="DR369" s="28"/>
      <c r="DU369" s="28"/>
      <c r="DX369" s="28"/>
      <c r="EA369" s="28"/>
      <c r="ED369" s="28"/>
      <c r="EG369" s="28"/>
      <c r="EJ369" s="28"/>
      <c r="EM369" s="28"/>
      <c r="EP369" s="28"/>
      <c r="ES369" s="28"/>
      <c r="EV369" s="28"/>
      <c r="EY369" s="28"/>
      <c r="FB369" s="28"/>
      <c r="FE369" s="28"/>
      <c r="FH369" s="28"/>
      <c r="FK369" s="28"/>
      <c r="FN369" s="28"/>
      <c r="FQ369" s="28"/>
      <c r="FT369" s="28"/>
      <c r="FW369" s="28"/>
      <c r="FZ369" s="28"/>
      <c r="GC369" s="28"/>
    </row>
    <row r="370" spans="1:185" s="25" customFormat="1" x14ac:dyDescent="0.3">
      <c r="A370" s="27"/>
      <c r="B370" s="28"/>
      <c r="C370" s="27"/>
      <c r="D370" s="26"/>
      <c r="E370" s="28"/>
      <c r="H370" s="28"/>
      <c r="K370" s="28"/>
      <c r="N370" s="28"/>
      <c r="Q370" s="28"/>
      <c r="T370" s="28"/>
      <c r="W370" s="28"/>
      <c r="Z370" s="28"/>
      <c r="AC370" s="28"/>
      <c r="AF370" s="28"/>
      <c r="AI370" s="28"/>
      <c r="AL370" s="28"/>
      <c r="AO370" s="28"/>
      <c r="AR370" s="28"/>
      <c r="AU370" s="28"/>
      <c r="AX370" s="28"/>
      <c r="BA370" s="28"/>
      <c r="BD370" s="28"/>
      <c r="BG370" s="28"/>
      <c r="BJ370" s="28"/>
      <c r="BM370" s="28"/>
      <c r="BP370" s="28"/>
      <c r="BS370" s="28"/>
      <c r="BV370" s="28"/>
      <c r="BY370" s="28"/>
      <c r="CB370" s="28"/>
      <c r="CE370" s="28"/>
      <c r="CH370" s="28"/>
      <c r="CK370" s="28"/>
      <c r="CN370" s="28"/>
      <c r="CQ370" s="28"/>
      <c r="CT370" s="28"/>
      <c r="CW370" s="28"/>
      <c r="CZ370" s="28"/>
      <c r="DC370" s="28"/>
      <c r="DF370" s="28"/>
      <c r="DI370" s="28"/>
      <c r="DL370" s="28"/>
      <c r="DO370" s="28"/>
      <c r="DR370" s="28"/>
      <c r="DU370" s="28"/>
      <c r="DX370" s="28"/>
      <c r="EA370" s="28"/>
      <c r="ED370" s="28"/>
      <c r="EG370" s="28"/>
      <c r="EJ370" s="28"/>
      <c r="EM370" s="28"/>
      <c r="EP370" s="28"/>
      <c r="ES370" s="28"/>
      <c r="EV370" s="28"/>
      <c r="EY370" s="28"/>
      <c r="FB370" s="28"/>
      <c r="FE370" s="28"/>
      <c r="FH370" s="28"/>
      <c r="FK370" s="28"/>
      <c r="FN370" s="28"/>
      <c r="FQ370" s="28"/>
      <c r="FT370" s="28"/>
      <c r="FW370" s="28"/>
      <c r="FZ370" s="28"/>
      <c r="GC370" s="28"/>
    </row>
    <row r="371" spans="1:185" s="25" customFormat="1" x14ac:dyDescent="0.3">
      <c r="A371" s="27"/>
      <c r="B371" s="28"/>
      <c r="C371" s="27"/>
      <c r="D371" s="26"/>
      <c r="E371" s="28"/>
      <c r="H371" s="28"/>
      <c r="K371" s="28"/>
      <c r="N371" s="28"/>
      <c r="Q371" s="28"/>
      <c r="T371" s="28"/>
      <c r="W371" s="28"/>
      <c r="Z371" s="28"/>
      <c r="AC371" s="28"/>
      <c r="AF371" s="28"/>
      <c r="AI371" s="28"/>
      <c r="AL371" s="28"/>
      <c r="AO371" s="28"/>
      <c r="AR371" s="28"/>
      <c r="AU371" s="28"/>
      <c r="AX371" s="28"/>
      <c r="BA371" s="28"/>
      <c r="BD371" s="28"/>
      <c r="BG371" s="28"/>
      <c r="BJ371" s="28"/>
      <c r="BM371" s="28"/>
      <c r="BP371" s="28"/>
      <c r="BS371" s="28"/>
      <c r="BV371" s="28"/>
      <c r="BY371" s="28"/>
      <c r="CB371" s="28"/>
      <c r="CE371" s="28"/>
      <c r="CH371" s="28"/>
      <c r="CK371" s="28"/>
      <c r="CN371" s="28"/>
      <c r="CQ371" s="28"/>
      <c r="CT371" s="28"/>
      <c r="CW371" s="28"/>
      <c r="CZ371" s="28"/>
      <c r="DC371" s="28"/>
      <c r="DF371" s="28"/>
      <c r="DI371" s="28"/>
      <c r="DL371" s="28"/>
      <c r="DO371" s="28"/>
      <c r="DR371" s="28"/>
      <c r="DU371" s="28"/>
      <c r="DX371" s="28"/>
      <c r="EA371" s="28"/>
      <c r="ED371" s="28"/>
      <c r="EG371" s="28"/>
      <c r="EJ371" s="28"/>
      <c r="EM371" s="28"/>
      <c r="EP371" s="28"/>
      <c r="ES371" s="28"/>
      <c r="EV371" s="28"/>
      <c r="EY371" s="28"/>
      <c r="FB371" s="28"/>
      <c r="FE371" s="28"/>
      <c r="FH371" s="28"/>
      <c r="FK371" s="28"/>
      <c r="FN371" s="28"/>
      <c r="FQ371" s="28"/>
      <c r="FT371" s="28"/>
      <c r="FW371" s="28"/>
      <c r="FZ371" s="28"/>
      <c r="GC371" s="28"/>
    </row>
    <row r="372" spans="1:185" s="25" customFormat="1" x14ac:dyDescent="0.3">
      <c r="A372" s="27"/>
      <c r="B372" s="28"/>
      <c r="C372" s="27"/>
      <c r="D372" s="26"/>
      <c r="E372" s="28"/>
      <c r="H372" s="28"/>
      <c r="K372" s="28"/>
      <c r="N372" s="28"/>
      <c r="Q372" s="28"/>
      <c r="T372" s="28"/>
      <c r="W372" s="28"/>
      <c r="Z372" s="28"/>
      <c r="AC372" s="28"/>
      <c r="AF372" s="28"/>
      <c r="AI372" s="28"/>
      <c r="AL372" s="28"/>
      <c r="AO372" s="28"/>
      <c r="AR372" s="28"/>
      <c r="AU372" s="28"/>
      <c r="AX372" s="28"/>
      <c r="BA372" s="28"/>
      <c r="BD372" s="28"/>
      <c r="BG372" s="28"/>
      <c r="BJ372" s="28"/>
      <c r="BM372" s="28"/>
      <c r="BP372" s="28"/>
      <c r="BS372" s="28"/>
      <c r="BV372" s="28"/>
      <c r="BY372" s="28"/>
      <c r="CB372" s="28"/>
      <c r="CE372" s="28"/>
      <c r="CH372" s="28"/>
      <c r="CK372" s="28"/>
      <c r="CN372" s="28"/>
      <c r="CQ372" s="28"/>
      <c r="CT372" s="28"/>
      <c r="CW372" s="28"/>
      <c r="CZ372" s="28"/>
      <c r="DC372" s="28"/>
      <c r="DF372" s="28"/>
      <c r="DI372" s="28"/>
      <c r="DL372" s="28"/>
      <c r="DO372" s="28"/>
      <c r="DR372" s="28"/>
      <c r="DU372" s="28"/>
      <c r="DX372" s="28"/>
      <c r="EA372" s="28"/>
      <c r="ED372" s="28"/>
      <c r="EG372" s="28"/>
      <c r="EJ372" s="28"/>
      <c r="EM372" s="28"/>
      <c r="EP372" s="28"/>
      <c r="ES372" s="28"/>
      <c r="EV372" s="28"/>
      <c r="EY372" s="28"/>
      <c r="FB372" s="28"/>
      <c r="FE372" s="28"/>
      <c r="FH372" s="28"/>
      <c r="FK372" s="28"/>
      <c r="FN372" s="28"/>
      <c r="FQ372" s="28"/>
      <c r="FT372" s="28"/>
      <c r="FW372" s="28"/>
      <c r="FZ372" s="28"/>
      <c r="GC372" s="28"/>
    </row>
    <row r="373" spans="1:185" s="25" customFormat="1" x14ac:dyDescent="0.3">
      <c r="A373" s="27"/>
      <c r="B373" s="28"/>
      <c r="C373" s="27"/>
      <c r="D373" s="26"/>
      <c r="E373" s="28"/>
      <c r="H373" s="28"/>
      <c r="K373" s="28"/>
      <c r="N373" s="28"/>
      <c r="Q373" s="28"/>
      <c r="T373" s="28"/>
      <c r="W373" s="28"/>
      <c r="Z373" s="28"/>
      <c r="AC373" s="28"/>
      <c r="AF373" s="28"/>
      <c r="AI373" s="28"/>
      <c r="AL373" s="28"/>
      <c r="AO373" s="28"/>
      <c r="AR373" s="28"/>
      <c r="AU373" s="28"/>
      <c r="AX373" s="28"/>
      <c r="BA373" s="28"/>
      <c r="BD373" s="28"/>
      <c r="BG373" s="28"/>
      <c r="BJ373" s="28"/>
      <c r="BM373" s="28"/>
      <c r="BP373" s="28"/>
      <c r="BS373" s="28"/>
      <c r="BV373" s="28"/>
      <c r="BY373" s="28"/>
      <c r="CB373" s="28"/>
      <c r="CE373" s="28"/>
      <c r="CH373" s="28"/>
      <c r="CK373" s="28"/>
      <c r="CN373" s="28"/>
      <c r="CQ373" s="28"/>
      <c r="CT373" s="28"/>
      <c r="CW373" s="28"/>
      <c r="CZ373" s="28"/>
      <c r="DC373" s="28"/>
      <c r="DF373" s="28"/>
      <c r="DI373" s="28"/>
      <c r="DL373" s="28"/>
      <c r="DO373" s="28"/>
      <c r="DR373" s="28"/>
      <c r="DU373" s="28"/>
      <c r="DX373" s="28"/>
      <c r="EA373" s="28"/>
      <c r="ED373" s="28"/>
      <c r="EG373" s="28"/>
      <c r="EJ373" s="28"/>
      <c r="EM373" s="28"/>
      <c r="EP373" s="28"/>
      <c r="ES373" s="28"/>
      <c r="EV373" s="28"/>
      <c r="EY373" s="28"/>
      <c r="FB373" s="28"/>
      <c r="FE373" s="28"/>
      <c r="FH373" s="28"/>
      <c r="FK373" s="28"/>
      <c r="FN373" s="28"/>
      <c r="FQ373" s="28"/>
      <c r="FT373" s="28"/>
      <c r="FW373" s="28"/>
      <c r="FZ373" s="28"/>
      <c r="GC373" s="28"/>
    </row>
    <row r="374" spans="1:185" s="25" customFormat="1" x14ac:dyDescent="0.3">
      <c r="A374" s="27"/>
      <c r="B374" s="28"/>
      <c r="C374" s="27"/>
      <c r="D374" s="26"/>
      <c r="E374" s="28"/>
      <c r="H374" s="28"/>
      <c r="K374" s="28"/>
      <c r="N374" s="28"/>
      <c r="Q374" s="28"/>
      <c r="T374" s="28"/>
      <c r="W374" s="28"/>
      <c r="Z374" s="28"/>
      <c r="AC374" s="28"/>
      <c r="AF374" s="28"/>
      <c r="AI374" s="28"/>
      <c r="AL374" s="28"/>
      <c r="AO374" s="28"/>
      <c r="AR374" s="28"/>
      <c r="AU374" s="28"/>
      <c r="AX374" s="28"/>
      <c r="BA374" s="28"/>
      <c r="BD374" s="28"/>
      <c r="BG374" s="28"/>
      <c r="BJ374" s="28"/>
      <c r="BM374" s="28"/>
      <c r="BP374" s="28"/>
      <c r="BS374" s="28"/>
      <c r="BV374" s="28"/>
      <c r="BY374" s="28"/>
      <c r="CB374" s="28"/>
      <c r="CE374" s="28"/>
      <c r="CH374" s="28"/>
      <c r="CK374" s="28"/>
      <c r="CN374" s="28"/>
      <c r="CQ374" s="28"/>
      <c r="CT374" s="28"/>
      <c r="CW374" s="28"/>
      <c r="CZ374" s="28"/>
      <c r="DC374" s="28"/>
      <c r="DF374" s="28"/>
      <c r="DI374" s="28"/>
      <c r="DL374" s="28"/>
      <c r="DO374" s="28"/>
      <c r="DR374" s="28"/>
      <c r="DU374" s="28"/>
      <c r="DX374" s="28"/>
      <c r="EA374" s="28"/>
      <c r="ED374" s="28"/>
      <c r="EG374" s="28"/>
      <c r="EJ374" s="28"/>
      <c r="EM374" s="28"/>
      <c r="EP374" s="28"/>
      <c r="ES374" s="28"/>
      <c r="EV374" s="28"/>
      <c r="EY374" s="28"/>
      <c r="FB374" s="28"/>
      <c r="FE374" s="28"/>
      <c r="FH374" s="28"/>
      <c r="FK374" s="28"/>
      <c r="FN374" s="28"/>
      <c r="FQ374" s="28"/>
      <c r="FT374" s="28"/>
      <c r="FW374" s="28"/>
      <c r="FZ374" s="28"/>
      <c r="GC374" s="28"/>
    </row>
    <row r="375" spans="1:185" s="25" customFormat="1" x14ac:dyDescent="0.3">
      <c r="A375" s="27"/>
      <c r="B375" s="28"/>
      <c r="C375" s="27"/>
      <c r="D375" s="26"/>
      <c r="E375" s="28"/>
      <c r="H375" s="28"/>
      <c r="K375" s="28"/>
      <c r="N375" s="28"/>
      <c r="Q375" s="28"/>
      <c r="T375" s="28"/>
      <c r="W375" s="28"/>
      <c r="Z375" s="28"/>
      <c r="AC375" s="28"/>
      <c r="AF375" s="28"/>
      <c r="AI375" s="28"/>
      <c r="AL375" s="28"/>
      <c r="AO375" s="28"/>
      <c r="AR375" s="28"/>
      <c r="AU375" s="28"/>
      <c r="AX375" s="28"/>
      <c r="BA375" s="28"/>
      <c r="BD375" s="28"/>
      <c r="BG375" s="28"/>
      <c r="BJ375" s="28"/>
      <c r="BM375" s="28"/>
      <c r="BP375" s="28"/>
      <c r="BS375" s="28"/>
      <c r="BV375" s="28"/>
      <c r="BY375" s="28"/>
      <c r="CB375" s="28"/>
      <c r="CE375" s="28"/>
      <c r="CH375" s="28"/>
      <c r="CK375" s="28"/>
      <c r="CN375" s="28"/>
      <c r="CQ375" s="28"/>
      <c r="CT375" s="28"/>
      <c r="CW375" s="28"/>
      <c r="CZ375" s="28"/>
      <c r="DC375" s="28"/>
      <c r="DF375" s="28"/>
      <c r="DI375" s="28"/>
      <c r="DL375" s="28"/>
      <c r="DO375" s="28"/>
      <c r="DR375" s="28"/>
      <c r="DU375" s="28"/>
      <c r="DX375" s="28"/>
      <c r="EA375" s="28"/>
      <c r="ED375" s="28"/>
      <c r="EG375" s="28"/>
      <c r="EJ375" s="28"/>
      <c r="EM375" s="28"/>
      <c r="EP375" s="28"/>
      <c r="ES375" s="28"/>
      <c r="EV375" s="28"/>
      <c r="EY375" s="28"/>
      <c r="FB375" s="28"/>
      <c r="FE375" s="28"/>
      <c r="FH375" s="28"/>
      <c r="FK375" s="28"/>
      <c r="FN375" s="28"/>
      <c r="FQ375" s="28"/>
      <c r="FT375" s="28"/>
      <c r="FW375" s="28"/>
      <c r="FZ375" s="28"/>
      <c r="GC375" s="28"/>
    </row>
    <row r="376" spans="1:185" s="25" customFormat="1" x14ac:dyDescent="0.3">
      <c r="A376" s="27"/>
      <c r="B376" s="28"/>
      <c r="C376" s="27"/>
      <c r="D376" s="26"/>
      <c r="E376" s="28"/>
      <c r="H376" s="28"/>
      <c r="K376" s="28"/>
      <c r="N376" s="28"/>
      <c r="Q376" s="28"/>
      <c r="T376" s="28"/>
      <c r="W376" s="28"/>
      <c r="Z376" s="28"/>
      <c r="AC376" s="28"/>
      <c r="AF376" s="28"/>
      <c r="AI376" s="28"/>
      <c r="AL376" s="28"/>
      <c r="AO376" s="28"/>
      <c r="AR376" s="28"/>
      <c r="AU376" s="28"/>
      <c r="AX376" s="28"/>
      <c r="BA376" s="28"/>
      <c r="BD376" s="28"/>
      <c r="BG376" s="28"/>
      <c r="BJ376" s="28"/>
      <c r="BM376" s="28"/>
      <c r="BP376" s="28"/>
      <c r="BS376" s="28"/>
      <c r="BV376" s="28"/>
      <c r="BY376" s="28"/>
      <c r="CB376" s="28"/>
      <c r="CE376" s="28"/>
      <c r="CH376" s="28"/>
      <c r="CK376" s="28"/>
      <c r="CN376" s="28"/>
      <c r="CQ376" s="28"/>
      <c r="CT376" s="28"/>
      <c r="CW376" s="28"/>
      <c r="CZ376" s="28"/>
      <c r="DC376" s="28"/>
      <c r="DF376" s="28"/>
      <c r="DI376" s="28"/>
      <c r="DL376" s="28"/>
      <c r="DO376" s="28"/>
      <c r="DR376" s="28"/>
      <c r="DU376" s="28"/>
      <c r="DX376" s="28"/>
      <c r="EA376" s="28"/>
      <c r="ED376" s="28"/>
      <c r="EG376" s="28"/>
      <c r="EJ376" s="28"/>
      <c r="EM376" s="28"/>
      <c r="EP376" s="28"/>
      <c r="ES376" s="28"/>
      <c r="EV376" s="28"/>
      <c r="EY376" s="28"/>
      <c r="FB376" s="28"/>
      <c r="FE376" s="28"/>
      <c r="FH376" s="28"/>
      <c r="FK376" s="28"/>
      <c r="FN376" s="28"/>
      <c r="FQ376" s="28"/>
      <c r="FT376" s="28"/>
      <c r="FW376" s="28"/>
      <c r="FZ376" s="28"/>
      <c r="GC376" s="28"/>
    </row>
    <row r="377" spans="1:185" s="25" customFormat="1" x14ac:dyDescent="0.3">
      <c r="A377" s="27"/>
      <c r="B377" s="28"/>
      <c r="C377" s="27"/>
      <c r="D377" s="26"/>
      <c r="E377" s="28"/>
      <c r="H377" s="28"/>
      <c r="K377" s="28"/>
      <c r="N377" s="28"/>
      <c r="Q377" s="28"/>
      <c r="T377" s="28"/>
      <c r="W377" s="28"/>
      <c r="Z377" s="28"/>
      <c r="AC377" s="28"/>
      <c r="AF377" s="28"/>
      <c r="AI377" s="28"/>
      <c r="AL377" s="28"/>
      <c r="AO377" s="28"/>
      <c r="AR377" s="28"/>
      <c r="AU377" s="28"/>
      <c r="AX377" s="28"/>
      <c r="BA377" s="28"/>
      <c r="BD377" s="28"/>
      <c r="BG377" s="28"/>
      <c r="BJ377" s="28"/>
      <c r="BM377" s="28"/>
      <c r="BP377" s="28"/>
      <c r="BS377" s="28"/>
      <c r="BV377" s="28"/>
      <c r="BY377" s="28"/>
      <c r="CB377" s="28"/>
      <c r="CE377" s="28"/>
      <c r="CH377" s="28"/>
      <c r="CK377" s="28"/>
      <c r="CN377" s="28"/>
      <c r="CQ377" s="28"/>
      <c r="CT377" s="28"/>
      <c r="CW377" s="28"/>
      <c r="CZ377" s="28"/>
      <c r="DC377" s="28"/>
      <c r="DF377" s="28"/>
      <c r="DI377" s="28"/>
      <c r="DL377" s="28"/>
      <c r="DO377" s="28"/>
      <c r="DR377" s="28"/>
      <c r="DU377" s="28"/>
      <c r="DX377" s="28"/>
      <c r="EA377" s="28"/>
      <c r="ED377" s="28"/>
      <c r="EG377" s="28"/>
      <c r="EJ377" s="28"/>
      <c r="EM377" s="28"/>
      <c r="EP377" s="28"/>
      <c r="ES377" s="28"/>
      <c r="EV377" s="28"/>
      <c r="EY377" s="28"/>
      <c r="FB377" s="28"/>
      <c r="FE377" s="28"/>
      <c r="FH377" s="28"/>
      <c r="FK377" s="28"/>
      <c r="FN377" s="28"/>
      <c r="FQ377" s="28"/>
      <c r="FT377" s="28"/>
      <c r="FW377" s="28"/>
      <c r="FZ377" s="28"/>
      <c r="GC377" s="28"/>
    </row>
    <row r="378" spans="1:185" s="25" customFormat="1" x14ac:dyDescent="0.3">
      <c r="A378" s="27"/>
      <c r="B378" s="28"/>
      <c r="C378" s="27"/>
      <c r="D378" s="26"/>
      <c r="E378" s="28"/>
      <c r="H378" s="28"/>
      <c r="K378" s="28"/>
      <c r="N378" s="28"/>
      <c r="Q378" s="28"/>
      <c r="T378" s="28"/>
      <c r="W378" s="28"/>
      <c r="Z378" s="28"/>
      <c r="AC378" s="28"/>
      <c r="AF378" s="28"/>
      <c r="AI378" s="28"/>
      <c r="AL378" s="28"/>
      <c r="AO378" s="28"/>
      <c r="AR378" s="28"/>
      <c r="AU378" s="28"/>
      <c r="AX378" s="28"/>
      <c r="BA378" s="28"/>
      <c r="BD378" s="28"/>
      <c r="BG378" s="28"/>
      <c r="BJ378" s="28"/>
      <c r="BM378" s="28"/>
      <c r="BP378" s="28"/>
      <c r="BS378" s="28"/>
      <c r="BV378" s="28"/>
      <c r="BY378" s="28"/>
      <c r="CB378" s="28"/>
      <c r="CE378" s="28"/>
      <c r="CH378" s="28"/>
      <c r="CK378" s="28"/>
      <c r="CN378" s="28"/>
      <c r="CQ378" s="28"/>
      <c r="CT378" s="28"/>
      <c r="CW378" s="28"/>
      <c r="CZ378" s="28"/>
      <c r="DC378" s="28"/>
      <c r="DF378" s="28"/>
      <c r="DI378" s="28"/>
      <c r="DL378" s="28"/>
      <c r="DO378" s="28"/>
      <c r="DR378" s="28"/>
      <c r="DU378" s="28"/>
      <c r="DX378" s="28"/>
      <c r="EA378" s="28"/>
      <c r="ED378" s="28"/>
      <c r="EG378" s="28"/>
      <c r="EJ378" s="28"/>
      <c r="EM378" s="28"/>
      <c r="EP378" s="28"/>
      <c r="ES378" s="28"/>
      <c r="EV378" s="28"/>
      <c r="EY378" s="28"/>
      <c r="FB378" s="28"/>
      <c r="FE378" s="28"/>
      <c r="FH378" s="28"/>
      <c r="FK378" s="28"/>
      <c r="FN378" s="28"/>
      <c r="FQ378" s="28"/>
      <c r="FT378" s="28"/>
      <c r="FW378" s="28"/>
      <c r="FZ378" s="28"/>
      <c r="GC378" s="28"/>
    </row>
    <row r="379" spans="1:185" s="25" customFormat="1" x14ac:dyDescent="0.3">
      <c r="A379" s="27"/>
      <c r="B379" s="28"/>
      <c r="C379" s="27"/>
      <c r="D379" s="26"/>
      <c r="E379" s="28"/>
      <c r="H379" s="28"/>
      <c r="K379" s="28"/>
      <c r="N379" s="28"/>
      <c r="Q379" s="28"/>
      <c r="T379" s="28"/>
      <c r="W379" s="28"/>
      <c r="Z379" s="28"/>
      <c r="AC379" s="28"/>
      <c r="AF379" s="28"/>
      <c r="AI379" s="28"/>
      <c r="AL379" s="28"/>
      <c r="AO379" s="28"/>
      <c r="AR379" s="28"/>
      <c r="AU379" s="28"/>
      <c r="AX379" s="28"/>
      <c r="BA379" s="28"/>
      <c r="BD379" s="28"/>
      <c r="BG379" s="28"/>
      <c r="BJ379" s="28"/>
      <c r="BM379" s="28"/>
      <c r="BP379" s="28"/>
      <c r="BS379" s="28"/>
      <c r="BV379" s="28"/>
      <c r="BY379" s="28"/>
      <c r="CB379" s="28"/>
      <c r="CE379" s="28"/>
      <c r="CH379" s="28"/>
      <c r="CK379" s="28"/>
      <c r="CN379" s="28"/>
      <c r="CQ379" s="28"/>
      <c r="CT379" s="28"/>
      <c r="CW379" s="28"/>
      <c r="CZ379" s="28"/>
      <c r="DC379" s="28"/>
      <c r="DF379" s="28"/>
      <c r="DI379" s="28"/>
      <c r="DL379" s="28"/>
      <c r="DO379" s="28"/>
      <c r="DR379" s="28"/>
      <c r="DU379" s="28"/>
      <c r="DX379" s="28"/>
      <c r="EA379" s="28"/>
      <c r="ED379" s="28"/>
      <c r="EG379" s="28"/>
      <c r="EJ379" s="28"/>
      <c r="EM379" s="28"/>
      <c r="EP379" s="28"/>
      <c r="ES379" s="28"/>
      <c r="EV379" s="28"/>
      <c r="EY379" s="28"/>
      <c r="FB379" s="28"/>
      <c r="FE379" s="28"/>
      <c r="FH379" s="28"/>
      <c r="FK379" s="28"/>
      <c r="FN379" s="28"/>
      <c r="FQ379" s="28"/>
      <c r="FT379" s="28"/>
      <c r="FW379" s="28"/>
      <c r="FZ379" s="28"/>
      <c r="GC379" s="28"/>
    </row>
    <row r="380" spans="1:185" s="25" customFormat="1" x14ac:dyDescent="0.3">
      <c r="A380" s="27"/>
      <c r="B380" s="28"/>
      <c r="C380" s="27"/>
      <c r="D380" s="26"/>
      <c r="E380" s="28"/>
      <c r="H380" s="28"/>
      <c r="K380" s="28"/>
      <c r="N380" s="28"/>
      <c r="Q380" s="28"/>
      <c r="T380" s="28"/>
      <c r="W380" s="28"/>
      <c r="Z380" s="28"/>
      <c r="AC380" s="28"/>
      <c r="AF380" s="28"/>
      <c r="AI380" s="28"/>
      <c r="AL380" s="28"/>
      <c r="AO380" s="28"/>
      <c r="AR380" s="28"/>
      <c r="AU380" s="28"/>
      <c r="AX380" s="28"/>
      <c r="BA380" s="28"/>
      <c r="BD380" s="28"/>
      <c r="BG380" s="28"/>
      <c r="BJ380" s="28"/>
      <c r="BM380" s="28"/>
      <c r="BP380" s="28"/>
      <c r="BS380" s="28"/>
      <c r="BV380" s="28"/>
      <c r="BY380" s="28"/>
      <c r="CB380" s="28"/>
      <c r="CE380" s="28"/>
      <c r="CH380" s="28"/>
      <c r="CK380" s="28"/>
      <c r="CN380" s="28"/>
      <c r="CQ380" s="28"/>
      <c r="CT380" s="28"/>
      <c r="CW380" s="28"/>
      <c r="CZ380" s="28"/>
      <c r="DC380" s="28"/>
      <c r="DF380" s="28"/>
      <c r="DI380" s="28"/>
      <c r="DL380" s="28"/>
      <c r="DO380" s="28"/>
      <c r="DR380" s="28"/>
      <c r="DU380" s="28"/>
      <c r="DX380" s="28"/>
      <c r="EA380" s="28"/>
      <c r="ED380" s="28"/>
      <c r="EG380" s="28"/>
      <c r="EJ380" s="28"/>
      <c r="EM380" s="28"/>
      <c r="EP380" s="28"/>
      <c r="ES380" s="28"/>
      <c r="EV380" s="28"/>
      <c r="EY380" s="28"/>
      <c r="FB380" s="28"/>
      <c r="FE380" s="28"/>
      <c r="FH380" s="28"/>
      <c r="FK380" s="28"/>
      <c r="FN380" s="28"/>
      <c r="FQ380" s="28"/>
      <c r="FT380" s="28"/>
      <c r="FW380" s="28"/>
      <c r="FZ380" s="28"/>
      <c r="GC380" s="28"/>
    </row>
    <row r="381" spans="1:185" s="25" customFormat="1" x14ac:dyDescent="0.3">
      <c r="A381" s="27"/>
      <c r="B381" s="28"/>
      <c r="C381" s="27"/>
      <c r="D381" s="26"/>
      <c r="E381" s="28"/>
      <c r="H381" s="28"/>
      <c r="K381" s="28"/>
      <c r="N381" s="28"/>
      <c r="Q381" s="28"/>
      <c r="T381" s="28"/>
      <c r="W381" s="28"/>
      <c r="Z381" s="28"/>
      <c r="AC381" s="28"/>
      <c r="AF381" s="28"/>
      <c r="AI381" s="28"/>
      <c r="AL381" s="28"/>
      <c r="AO381" s="28"/>
      <c r="AR381" s="28"/>
      <c r="AU381" s="28"/>
      <c r="AX381" s="28"/>
      <c r="BA381" s="28"/>
      <c r="BD381" s="28"/>
      <c r="BG381" s="28"/>
      <c r="BJ381" s="28"/>
      <c r="BM381" s="28"/>
      <c r="BP381" s="28"/>
      <c r="BS381" s="28"/>
      <c r="BV381" s="28"/>
      <c r="BY381" s="28"/>
      <c r="CB381" s="28"/>
      <c r="CE381" s="28"/>
      <c r="CH381" s="28"/>
      <c r="CK381" s="28"/>
      <c r="CN381" s="28"/>
      <c r="CQ381" s="28"/>
      <c r="CT381" s="28"/>
      <c r="CW381" s="28"/>
      <c r="CZ381" s="28"/>
      <c r="DC381" s="28"/>
      <c r="DF381" s="28"/>
      <c r="DI381" s="28"/>
      <c r="DL381" s="28"/>
      <c r="DO381" s="28"/>
      <c r="DR381" s="28"/>
      <c r="DU381" s="28"/>
      <c r="DX381" s="28"/>
      <c r="EA381" s="28"/>
      <c r="ED381" s="28"/>
      <c r="EG381" s="28"/>
      <c r="EJ381" s="28"/>
      <c r="EM381" s="28"/>
      <c r="EP381" s="28"/>
      <c r="ES381" s="28"/>
      <c r="EV381" s="28"/>
      <c r="EY381" s="28"/>
      <c r="FB381" s="28"/>
      <c r="FE381" s="28"/>
      <c r="FH381" s="28"/>
      <c r="FK381" s="28"/>
      <c r="FN381" s="28"/>
      <c r="FQ381" s="28"/>
      <c r="FT381" s="28"/>
      <c r="FW381" s="28"/>
      <c r="FZ381" s="28"/>
      <c r="GC381" s="28"/>
    </row>
    <row r="382" spans="1:185" s="25" customFormat="1" x14ac:dyDescent="0.3">
      <c r="A382" s="27"/>
      <c r="B382" s="28"/>
      <c r="C382" s="27"/>
      <c r="D382" s="26"/>
      <c r="E382" s="28"/>
      <c r="H382" s="28"/>
      <c r="K382" s="28"/>
      <c r="N382" s="28"/>
      <c r="Q382" s="28"/>
      <c r="T382" s="28"/>
      <c r="W382" s="28"/>
      <c r="Z382" s="28"/>
      <c r="AC382" s="28"/>
      <c r="AF382" s="28"/>
      <c r="AI382" s="28"/>
      <c r="AL382" s="28"/>
      <c r="AO382" s="28"/>
      <c r="AR382" s="28"/>
      <c r="AU382" s="28"/>
      <c r="AX382" s="28"/>
      <c r="BA382" s="28"/>
      <c r="BD382" s="28"/>
      <c r="BG382" s="28"/>
      <c r="BJ382" s="28"/>
      <c r="BM382" s="28"/>
      <c r="BP382" s="28"/>
      <c r="BS382" s="28"/>
      <c r="BV382" s="28"/>
      <c r="BY382" s="28"/>
      <c r="CB382" s="28"/>
      <c r="CE382" s="28"/>
      <c r="CH382" s="28"/>
      <c r="CK382" s="28"/>
      <c r="CN382" s="28"/>
      <c r="CQ382" s="28"/>
      <c r="CT382" s="28"/>
      <c r="CW382" s="28"/>
      <c r="CZ382" s="28"/>
      <c r="DC382" s="28"/>
      <c r="DF382" s="28"/>
      <c r="DI382" s="28"/>
      <c r="DL382" s="28"/>
      <c r="DO382" s="28"/>
      <c r="DR382" s="28"/>
      <c r="DU382" s="28"/>
      <c r="DX382" s="28"/>
      <c r="EA382" s="28"/>
      <c r="ED382" s="28"/>
      <c r="EG382" s="28"/>
      <c r="EJ382" s="28"/>
      <c r="EM382" s="28"/>
      <c r="EP382" s="28"/>
      <c r="ES382" s="28"/>
      <c r="EV382" s="28"/>
      <c r="EY382" s="28"/>
      <c r="FB382" s="28"/>
      <c r="FE382" s="28"/>
      <c r="FH382" s="28"/>
      <c r="FK382" s="28"/>
      <c r="FN382" s="28"/>
      <c r="FQ382" s="28"/>
      <c r="FT382" s="28"/>
      <c r="FW382" s="28"/>
      <c r="FZ382" s="28"/>
      <c r="GC382" s="28"/>
    </row>
    <row r="383" spans="1:185" s="25" customFormat="1" x14ac:dyDescent="0.3">
      <c r="A383" s="27"/>
      <c r="B383" s="28"/>
      <c r="C383" s="27"/>
      <c r="D383" s="26"/>
      <c r="E383" s="28"/>
      <c r="H383" s="28"/>
      <c r="K383" s="28"/>
      <c r="N383" s="28"/>
      <c r="Q383" s="28"/>
      <c r="T383" s="28"/>
      <c r="W383" s="28"/>
      <c r="Z383" s="28"/>
      <c r="AC383" s="28"/>
      <c r="AF383" s="28"/>
      <c r="AI383" s="28"/>
      <c r="AL383" s="28"/>
      <c r="AO383" s="28"/>
      <c r="AR383" s="28"/>
      <c r="AU383" s="28"/>
      <c r="AX383" s="28"/>
      <c r="BA383" s="28"/>
      <c r="BD383" s="28"/>
      <c r="BG383" s="28"/>
      <c r="BJ383" s="28"/>
      <c r="BM383" s="28"/>
      <c r="BP383" s="28"/>
      <c r="BS383" s="28"/>
      <c r="BV383" s="28"/>
      <c r="BY383" s="28"/>
      <c r="CB383" s="28"/>
      <c r="CE383" s="28"/>
      <c r="CH383" s="28"/>
      <c r="CK383" s="28"/>
      <c r="CN383" s="28"/>
      <c r="CQ383" s="28"/>
      <c r="CT383" s="28"/>
      <c r="CW383" s="28"/>
      <c r="CZ383" s="28"/>
      <c r="DC383" s="28"/>
      <c r="DF383" s="28"/>
      <c r="DI383" s="28"/>
      <c r="DL383" s="28"/>
      <c r="DO383" s="28"/>
      <c r="DR383" s="28"/>
      <c r="DU383" s="28"/>
      <c r="DX383" s="28"/>
      <c r="EA383" s="28"/>
      <c r="ED383" s="28"/>
      <c r="EG383" s="28"/>
      <c r="EJ383" s="28"/>
      <c r="EM383" s="28"/>
      <c r="EP383" s="28"/>
      <c r="ES383" s="28"/>
      <c r="EV383" s="28"/>
      <c r="EY383" s="28"/>
      <c r="FB383" s="28"/>
      <c r="FE383" s="28"/>
      <c r="FH383" s="28"/>
      <c r="FK383" s="28"/>
      <c r="FN383" s="28"/>
      <c r="FQ383" s="28"/>
      <c r="FT383" s="28"/>
      <c r="FW383" s="28"/>
      <c r="FZ383" s="28"/>
      <c r="GC383" s="28"/>
    </row>
    <row r="384" spans="1:185" s="25" customFormat="1" x14ac:dyDescent="0.3">
      <c r="A384" s="27"/>
      <c r="B384" s="28"/>
      <c r="C384" s="27"/>
      <c r="D384" s="26"/>
      <c r="E384" s="28"/>
      <c r="H384" s="28"/>
      <c r="K384" s="28"/>
      <c r="N384" s="28"/>
      <c r="Q384" s="28"/>
      <c r="T384" s="28"/>
      <c r="W384" s="28"/>
      <c r="Z384" s="28"/>
      <c r="AC384" s="28"/>
      <c r="AF384" s="28"/>
      <c r="AI384" s="28"/>
      <c r="AL384" s="28"/>
      <c r="AO384" s="28"/>
      <c r="AR384" s="28"/>
      <c r="AU384" s="28"/>
      <c r="AX384" s="28"/>
      <c r="BA384" s="28"/>
      <c r="BD384" s="28"/>
      <c r="BG384" s="28"/>
      <c r="BJ384" s="28"/>
      <c r="BM384" s="28"/>
      <c r="BP384" s="28"/>
      <c r="BS384" s="28"/>
      <c r="BV384" s="28"/>
      <c r="BY384" s="28"/>
      <c r="CB384" s="28"/>
      <c r="CE384" s="28"/>
      <c r="CH384" s="28"/>
      <c r="CK384" s="28"/>
      <c r="CN384" s="28"/>
      <c r="CQ384" s="28"/>
      <c r="CT384" s="28"/>
      <c r="CW384" s="28"/>
      <c r="CZ384" s="28"/>
      <c r="DC384" s="28"/>
      <c r="DF384" s="28"/>
      <c r="DI384" s="28"/>
      <c r="DL384" s="28"/>
      <c r="DO384" s="28"/>
      <c r="DR384" s="28"/>
      <c r="DU384" s="28"/>
      <c r="DX384" s="28"/>
      <c r="EA384" s="28"/>
      <c r="ED384" s="28"/>
      <c r="EG384" s="28"/>
      <c r="EJ384" s="28"/>
      <c r="EM384" s="28"/>
      <c r="EP384" s="28"/>
      <c r="ES384" s="28"/>
      <c r="EV384" s="28"/>
      <c r="EY384" s="28"/>
      <c r="FB384" s="28"/>
      <c r="FE384" s="28"/>
      <c r="FH384" s="28"/>
      <c r="FK384" s="28"/>
      <c r="FN384" s="28"/>
      <c r="FQ384" s="28"/>
      <c r="FT384" s="28"/>
      <c r="FW384" s="28"/>
      <c r="FZ384" s="28"/>
      <c r="GC384" s="28"/>
    </row>
    <row r="385" spans="1:185" s="25" customFormat="1" x14ac:dyDescent="0.3">
      <c r="A385" s="27"/>
      <c r="B385" s="28"/>
      <c r="C385" s="27"/>
      <c r="D385" s="26"/>
      <c r="E385" s="28"/>
      <c r="H385" s="28"/>
      <c r="K385" s="28"/>
      <c r="N385" s="28"/>
      <c r="Q385" s="28"/>
      <c r="T385" s="28"/>
      <c r="W385" s="28"/>
      <c r="Z385" s="28"/>
      <c r="AC385" s="28"/>
      <c r="AF385" s="28"/>
      <c r="AI385" s="28"/>
      <c r="AL385" s="28"/>
      <c r="AO385" s="28"/>
      <c r="AR385" s="28"/>
      <c r="AU385" s="28"/>
      <c r="AX385" s="28"/>
      <c r="BA385" s="28"/>
      <c r="BD385" s="28"/>
      <c r="BG385" s="28"/>
      <c r="BJ385" s="28"/>
      <c r="BM385" s="28"/>
      <c r="BP385" s="28"/>
      <c r="BS385" s="28"/>
      <c r="BV385" s="28"/>
      <c r="BY385" s="28"/>
      <c r="CB385" s="28"/>
      <c r="CE385" s="28"/>
      <c r="CH385" s="28"/>
      <c r="CK385" s="28"/>
      <c r="CN385" s="28"/>
      <c r="CQ385" s="28"/>
      <c r="CT385" s="28"/>
      <c r="CW385" s="28"/>
      <c r="CZ385" s="28"/>
      <c r="DC385" s="28"/>
      <c r="DF385" s="28"/>
      <c r="DI385" s="28"/>
      <c r="DL385" s="28"/>
      <c r="DO385" s="28"/>
      <c r="DR385" s="28"/>
      <c r="DU385" s="28"/>
      <c r="DX385" s="28"/>
      <c r="EA385" s="28"/>
      <c r="ED385" s="28"/>
      <c r="EG385" s="28"/>
      <c r="EJ385" s="28"/>
      <c r="EM385" s="28"/>
      <c r="EP385" s="28"/>
      <c r="ES385" s="28"/>
      <c r="EV385" s="28"/>
      <c r="EY385" s="28"/>
      <c r="FB385" s="28"/>
      <c r="FE385" s="28"/>
      <c r="FH385" s="28"/>
      <c r="FK385" s="28"/>
      <c r="FN385" s="28"/>
      <c r="FQ385" s="28"/>
      <c r="FT385" s="28"/>
      <c r="FW385" s="28"/>
      <c r="FZ385" s="28"/>
      <c r="GC385" s="28"/>
    </row>
    <row r="386" spans="1:185" s="25" customFormat="1" x14ac:dyDescent="0.3">
      <c r="A386" s="27"/>
      <c r="B386" s="28"/>
      <c r="C386" s="27"/>
      <c r="D386" s="26"/>
      <c r="E386" s="28"/>
      <c r="H386" s="28"/>
      <c r="K386" s="28"/>
      <c r="N386" s="28"/>
      <c r="Q386" s="28"/>
      <c r="T386" s="28"/>
      <c r="W386" s="28"/>
      <c r="Z386" s="28"/>
      <c r="AC386" s="28"/>
      <c r="AF386" s="28"/>
      <c r="AI386" s="28"/>
      <c r="AL386" s="28"/>
      <c r="AO386" s="28"/>
      <c r="AR386" s="28"/>
      <c r="AU386" s="28"/>
      <c r="AX386" s="28"/>
      <c r="BA386" s="28"/>
      <c r="BD386" s="28"/>
      <c r="BG386" s="28"/>
      <c r="BJ386" s="28"/>
      <c r="BM386" s="28"/>
      <c r="BP386" s="28"/>
      <c r="BS386" s="28"/>
      <c r="BV386" s="28"/>
      <c r="BY386" s="28"/>
      <c r="CB386" s="28"/>
      <c r="CE386" s="28"/>
      <c r="CH386" s="28"/>
      <c r="CK386" s="28"/>
      <c r="CN386" s="28"/>
      <c r="CQ386" s="28"/>
      <c r="CT386" s="28"/>
      <c r="CW386" s="28"/>
      <c r="CZ386" s="28"/>
      <c r="DC386" s="28"/>
      <c r="DF386" s="28"/>
      <c r="DI386" s="28"/>
      <c r="DL386" s="28"/>
      <c r="DO386" s="28"/>
      <c r="DR386" s="28"/>
      <c r="DU386" s="28"/>
      <c r="DX386" s="28"/>
      <c r="EA386" s="28"/>
      <c r="ED386" s="28"/>
      <c r="EG386" s="28"/>
      <c r="EJ386" s="28"/>
      <c r="EM386" s="28"/>
      <c r="EP386" s="28"/>
      <c r="ES386" s="28"/>
      <c r="EV386" s="28"/>
      <c r="EY386" s="28"/>
      <c r="FB386" s="28"/>
      <c r="FE386" s="28"/>
      <c r="FH386" s="28"/>
      <c r="FK386" s="28"/>
      <c r="FN386" s="28"/>
      <c r="FQ386" s="28"/>
      <c r="FT386" s="28"/>
      <c r="FW386" s="28"/>
      <c r="FZ386" s="28"/>
      <c r="GC386" s="28"/>
    </row>
    <row r="387" spans="1:185" s="25" customFormat="1" x14ac:dyDescent="0.3">
      <c r="A387" s="27"/>
      <c r="B387" s="28"/>
      <c r="C387" s="27"/>
      <c r="D387" s="26"/>
      <c r="E387" s="28"/>
      <c r="H387" s="28"/>
      <c r="K387" s="28"/>
      <c r="N387" s="28"/>
      <c r="Q387" s="28"/>
      <c r="T387" s="28"/>
      <c r="W387" s="28"/>
      <c r="Z387" s="28"/>
      <c r="AC387" s="28"/>
      <c r="AF387" s="28"/>
      <c r="AI387" s="28"/>
      <c r="AL387" s="28"/>
      <c r="AO387" s="28"/>
      <c r="AR387" s="28"/>
      <c r="AU387" s="28"/>
      <c r="AX387" s="28"/>
      <c r="BA387" s="28"/>
      <c r="BD387" s="28"/>
      <c r="BG387" s="28"/>
      <c r="BJ387" s="28"/>
      <c r="BM387" s="28"/>
      <c r="BP387" s="28"/>
      <c r="BS387" s="28"/>
      <c r="BV387" s="28"/>
      <c r="BY387" s="28"/>
      <c r="CB387" s="28"/>
      <c r="CE387" s="28"/>
      <c r="CH387" s="28"/>
      <c r="CK387" s="28"/>
      <c r="CN387" s="28"/>
      <c r="CQ387" s="28"/>
      <c r="CT387" s="28"/>
      <c r="CW387" s="28"/>
      <c r="CZ387" s="28"/>
      <c r="DC387" s="28"/>
      <c r="DF387" s="28"/>
      <c r="DI387" s="28"/>
      <c r="DL387" s="28"/>
      <c r="DO387" s="28"/>
      <c r="DR387" s="28"/>
      <c r="DU387" s="28"/>
      <c r="DX387" s="28"/>
      <c r="EA387" s="28"/>
      <c r="ED387" s="28"/>
      <c r="EG387" s="28"/>
      <c r="EJ387" s="28"/>
      <c r="EM387" s="28"/>
      <c r="EP387" s="28"/>
      <c r="ES387" s="28"/>
      <c r="EV387" s="28"/>
      <c r="EY387" s="28"/>
      <c r="FB387" s="28"/>
      <c r="FE387" s="28"/>
      <c r="FH387" s="28"/>
      <c r="FK387" s="28"/>
      <c r="FN387" s="28"/>
      <c r="FQ387" s="28"/>
      <c r="FT387" s="28"/>
      <c r="FW387" s="28"/>
      <c r="FZ387" s="28"/>
      <c r="GC387" s="28"/>
    </row>
    <row r="388" spans="1:185" s="25" customFormat="1" x14ac:dyDescent="0.3">
      <c r="A388" s="27"/>
      <c r="B388" s="28"/>
      <c r="C388" s="27"/>
      <c r="D388" s="26"/>
      <c r="E388" s="28"/>
      <c r="H388" s="28"/>
      <c r="K388" s="28"/>
      <c r="N388" s="28"/>
      <c r="Q388" s="28"/>
      <c r="T388" s="28"/>
      <c r="W388" s="28"/>
      <c r="Z388" s="28"/>
      <c r="AC388" s="28"/>
      <c r="AF388" s="28"/>
      <c r="AI388" s="28"/>
      <c r="AL388" s="28"/>
      <c r="AO388" s="28"/>
      <c r="AR388" s="28"/>
      <c r="AU388" s="28"/>
      <c r="AX388" s="28"/>
      <c r="BA388" s="28"/>
      <c r="BD388" s="28"/>
      <c r="BG388" s="28"/>
      <c r="BJ388" s="28"/>
      <c r="BM388" s="28"/>
      <c r="BP388" s="28"/>
      <c r="BS388" s="28"/>
      <c r="BV388" s="28"/>
      <c r="BY388" s="28"/>
      <c r="CB388" s="28"/>
      <c r="CE388" s="28"/>
      <c r="CH388" s="28"/>
      <c r="CK388" s="28"/>
      <c r="CN388" s="28"/>
      <c r="CQ388" s="28"/>
      <c r="CT388" s="28"/>
      <c r="CW388" s="28"/>
      <c r="CZ388" s="28"/>
      <c r="DC388" s="28"/>
      <c r="DF388" s="28"/>
      <c r="DI388" s="28"/>
      <c r="DL388" s="28"/>
      <c r="DO388" s="28"/>
      <c r="DR388" s="28"/>
      <c r="DU388" s="28"/>
      <c r="DX388" s="28"/>
      <c r="EA388" s="28"/>
      <c r="ED388" s="28"/>
      <c r="EG388" s="28"/>
      <c r="EJ388" s="28"/>
      <c r="EM388" s="28"/>
      <c r="EP388" s="28"/>
      <c r="ES388" s="28"/>
      <c r="EV388" s="28"/>
      <c r="EY388" s="28"/>
      <c r="FB388" s="28"/>
      <c r="FE388" s="28"/>
      <c r="FH388" s="28"/>
      <c r="FK388" s="28"/>
      <c r="FN388" s="28"/>
      <c r="FQ388" s="28"/>
      <c r="FT388" s="28"/>
      <c r="FW388" s="28"/>
      <c r="FZ388" s="28"/>
      <c r="GC388" s="28"/>
    </row>
    <row r="389" spans="1:185" s="25" customFormat="1" x14ac:dyDescent="0.3">
      <c r="A389" s="27"/>
      <c r="B389" s="28"/>
      <c r="C389" s="27"/>
      <c r="D389" s="26"/>
      <c r="E389" s="28"/>
      <c r="H389" s="28"/>
      <c r="K389" s="28"/>
      <c r="N389" s="28"/>
      <c r="Q389" s="28"/>
      <c r="T389" s="28"/>
      <c r="W389" s="28"/>
      <c r="Z389" s="28"/>
      <c r="AC389" s="28"/>
      <c r="AF389" s="28"/>
      <c r="AI389" s="28"/>
      <c r="AL389" s="28"/>
      <c r="AO389" s="28"/>
      <c r="AR389" s="28"/>
      <c r="AU389" s="28"/>
      <c r="AX389" s="28"/>
      <c r="BA389" s="28"/>
      <c r="BD389" s="28"/>
      <c r="BG389" s="28"/>
      <c r="BJ389" s="28"/>
      <c r="BM389" s="28"/>
      <c r="BP389" s="28"/>
      <c r="BS389" s="28"/>
      <c r="BV389" s="28"/>
      <c r="BY389" s="28"/>
      <c r="CB389" s="28"/>
      <c r="CE389" s="28"/>
      <c r="CH389" s="28"/>
      <c r="CK389" s="28"/>
      <c r="CN389" s="28"/>
      <c r="CQ389" s="28"/>
      <c r="CT389" s="28"/>
      <c r="CW389" s="28"/>
      <c r="CZ389" s="28"/>
      <c r="DC389" s="28"/>
      <c r="DF389" s="28"/>
      <c r="DI389" s="28"/>
      <c r="DL389" s="28"/>
      <c r="DO389" s="28"/>
      <c r="DR389" s="28"/>
      <c r="DU389" s="28"/>
      <c r="DX389" s="28"/>
      <c r="EA389" s="28"/>
      <c r="ED389" s="28"/>
      <c r="EG389" s="28"/>
      <c r="EJ389" s="28"/>
      <c r="EM389" s="28"/>
      <c r="EP389" s="28"/>
      <c r="ES389" s="28"/>
      <c r="EV389" s="28"/>
      <c r="EY389" s="28"/>
      <c r="FB389" s="28"/>
      <c r="FE389" s="28"/>
      <c r="FH389" s="28"/>
      <c r="FK389" s="28"/>
      <c r="FN389" s="28"/>
      <c r="FQ389" s="28"/>
      <c r="FT389" s="28"/>
      <c r="FW389" s="28"/>
      <c r="FZ389" s="28"/>
      <c r="GC389" s="28"/>
    </row>
    <row r="390" spans="1:185" s="25" customFormat="1" x14ac:dyDescent="0.3">
      <c r="A390" s="27"/>
      <c r="B390" s="28"/>
      <c r="C390" s="27"/>
      <c r="D390" s="26"/>
      <c r="E390" s="28"/>
      <c r="H390" s="28"/>
      <c r="K390" s="28"/>
      <c r="N390" s="28"/>
      <c r="Q390" s="28"/>
      <c r="T390" s="28"/>
      <c r="W390" s="28"/>
      <c r="Z390" s="28"/>
      <c r="AC390" s="28"/>
      <c r="AF390" s="28"/>
      <c r="AI390" s="28"/>
      <c r="AL390" s="28"/>
      <c r="AO390" s="28"/>
      <c r="AR390" s="28"/>
      <c r="AU390" s="28"/>
      <c r="AX390" s="28"/>
      <c r="BA390" s="28"/>
      <c r="BD390" s="28"/>
      <c r="BG390" s="28"/>
      <c r="BJ390" s="28"/>
      <c r="BM390" s="28"/>
      <c r="BP390" s="28"/>
      <c r="BS390" s="28"/>
      <c r="BV390" s="28"/>
      <c r="BY390" s="28"/>
      <c r="CB390" s="28"/>
      <c r="CE390" s="28"/>
      <c r="CH390" s="28"/>
      <c r="CK390" s="28"/>
      <c r="CN390" s="28"/>
      <c r="CQ390" s="28"/>
      <c r="CT390" s="28"/>
      <c r="CW390" s="28"/>
      <c r="CZ390" s="28"/>
      <c r="DC390" s="28"/>
      <c r="DF390" s="28"/>
      <c r="DI390" s="28"/>
      <c r="DL390" s="28"/>
      <c r="DO390" s="28"/>
      <c r="DR390" s="28"/>
      <c r="DU390" s="28"/>
      <c r="DX390" s="28"/>
      <c r="EA390" s="28"/>
      <c r="ED390" s="28"/>
      <c r="EG390" s="28"/>
      <c r="EJ390" s="28"/>
      <c r="EM390" s="28"/>
      <c r="EP390" s="28"/>
      <c r="ES390" s="28"/>
      <c r="EV390" s="28"/>
      <c r="EY390" s="28"/>
      <c r="FB390" s="28"/>
      <c r="FE390" s="28"/>
      <c r="FH390" s="28"/>
      <c r="FK390" s="28"/>
      <c r="FN390" s="28"/>
      <c r="FQ390" s="28"/>
      <c r="FT390" s="28"/>
      <c r="FW390" s="28"/>
      <c r="FZ390" s="28"/>
      <c r="GC390" s="28"/>
    </row>
    <row r="391" spans="1:185" s="25" customFormat="1" x14ac:dyDescent="0.3">
      <c r="A391" s="27"/>
      <c r="B391" s="28"/>
      <c r="C391" s="27"/>
      <c r="D391" s="26"/>
      <c r="E391" s="28"/>
      <c r="H391" s="28"/>
      <c r="K391" s="28"/>
      <c r="N391" s="28"/>
      <c r="Q391" s="28"/>
      <c r="T391" s="28"/>
      <c r="W391" s="28"/>
      <c r="Z391" s="28"/>
      <c r="AC391" s="28"/>
      <c r="AF391" s="28"/>
      <c r="AI391" s="28"/>
      <c r="AL391" s="28"/>
      <c r="AO391" s="28"/>
      <c r="AR391" s="28"/>
      <c r="AU391" s="28"/>
      <c r="AX391" s="28"/>
      <c r="BA391" s="28"/>
      <c r="BD391" s="28"/>
      <c r="BG391" s="28"/>
      <c r="BJ391" s="28"/>
      <c r="BM391" s="28"/>
      <c r="BP391" s="28"/>
      <c r="BS391" s="28"/>
      <c r="BV391" s="28"/>
      <c r="BY391" s="28"/>
      <c r="CB391" s="28"/>
      <c r="CE391" s="28"/>
      <c r="CH391" s="28"/>
      <c r="CK391" s="28"/>
      <c r="CN391" s="28"/>
      <c r="CQ391" s="28"/>
      <c r="CT391" s="28"/>
      <c r="CW391" s="28"/>
      <c r="CZ391" s="28"/>
      <c r="DC391" s="28"/>
      <c r="DF391" s="28"/>
      <c r="DI391" s="28"/>
      <c r="DL391" s="28"/>
      <c r="DO391" s="28"/>
      <c r="DR391" s="28"/>
      <c r="DU391" s="28"/>
      <c r="DX391" s="28"/>
      <c r="EA391" s="28"/>
      <c r="ED391" s="28"/>
      <c r="EG391" s="28"/>
      <c r="EJ391" s="28"/>
      <c r="EM391" s="28"/>
      <c r="EP391" s="28"/>
      <c r="ES391" s="28"/>
      <c r="EV391" s="28"/>
      <c r="EY391" s="28"/>
      <c r="FB391" s="28"/>
      <c r="FE391" s="28"/>
      <c r="FH391" s="28"/>
      <c r="FK391" s="28"/>
      <c r="FN391" s="28"/>
      <c r="FQ391" s="28"/>
      <c r="FT391" s="28"/>
      <c r="FW391" s="28"/>
      <c r="FZ391" s="28"/>
      <c r="GC391" s="28"/>
    </row>
    <row r="392" spans="1:185" s="25" customFormat="1" x14ac:dyDescent="0.3">
      <c r="A392" s="27"/>
      <c r="B392" s="28"/>
      <c r="C392" s="27"/>
      <c r="D392" s="26"/>
      <c r="E392" s="28"/>
      <c r="H392" s="28"/>
      <c r="K392" s="28"/>
      <c r="N392" s="28"/>
      <c r="Q392" s="28"/>
      <c r="T392" s="28"/>
      <c r="W392" s="28"/>
      <c r="Z392" s="28"/>
      <c r="AC392" s="28"/>
      <c r="AF392" s="28"/>
      <c r="AI392" s="28"/>
      <c r="AL392" s="28"/>
      <c r="AO392" s="28"/>
      <c r="AR392" s="28"/>
      <c r="AU392" s="28"/>
      <c r="AX392" s="28"/>
      <c r="BA392" s="28"/>
      <c r="BD392" s="28"/>
      <c r="BG392" s="28"/>
      <c r="BJ392" s="28"/>
      <c r="BM392" s="28"/>
      <c r="BP392" s="28"/>
      <c r="BS392" s="28"/>
      <c r="BV392" s="28"/>
      <c r="BY392" s="28"/>
      <c r="CB392" s="28"/>
      <c r="CE392" s="28"/>
      <c r="CH392" s="28"/>
      <c r="CK392" s="28"/>
      <c r="CN392" s="28"/>
      <c r="CQ392" s="28"/>
      <c r="CT392" s="28"/>
      <c r="CW392" s="28"/>
      <c r="CZ392" s="28"/>
      <c r="DC392" s="28"/>
      <c r="DF392" s="28"/>
      <c r="DI392" s="28"/>
      <c r="DL392" s="28"/>
      <c r="DO392" s="28"/>
      <c r="DR392" s="28"/>
      <c r="DU392" s="28"/>
      <c r="DX392" s="28"/>
      <c r="EA392" s="28"/>
      <c r="ED392" s="28"/>
      <c r="EG392" s="28"/>
      <c r="EJ392" s="28"/>
      <c r="EM392" s="28"/>
      <c r="EP392" s="28"/>
      <c r="ES392" s="28"/>
      <c r="EV392" s="28"/>
      <c r="EY392" s="28"/>
      <c r="FB392" s="28"/>
      <c r="FE392" s="28"/>
      <c r="FH392" s="28"/>
      <c r="FK392" s="28"/>
      <c r="FN392" s="28"/>
      <c r="FQ392" s="28"/>
      <c r="FT392" s="28"/>
      <c r="FW392" s="28"/>
      <c r="FZ392" s="28"/>
      <c r="GC392" s="28"/>
    </row>
    <row r="393" spans="1:185" s="25" customFormat="1" x14ac:dyDescent="0.3">
      <c r="A393" s="27"/>
      <c r="B393" s="28"/>
      <c r="C393" s="27"/>
      <c r="D393" s="26"/>
      <c r="E393" s="28"/>
      <c r="H393" s="28"/>
      <c r="K393" s="28"/>
      <c r="N393" s="28"/>
      <c r="Q393" s="28"/>
      <c r="T393" s="28"/>
      <c r="W393" s="28"/>
      <c r="Z393" s="28"/>
      <c r="AC393" s="28"/>
      <c r="AF393" s="28"/>
      <c r="AI393" s="28"/>
      <c r="AL393" s="28"/>
      <c r="AO393" s="28"/>
      <c r="AR393" s="28"/>
      <c r="AU393" s="28"/>
      <c r="AX393" s="28"/>
      <c r="BA393" s="28"/>
      <c r="BD393" s="28"/>
      <c r="BG393" s="28"/>
      <c r="BJ393" s="28"/>
      <c r="BM393" s="28"/>
      <c r="BP393" s="28"/>
      <c r="BS393" s="28"/>
      <c r="BV393" s="28"/>
      <c r="BY393" s="28"/>
      <c r="CB393" s="28"/>
      <c r="CE393" s="28"/>
      <c r="CH393" s="28"/>
      <c r="CK393" s="28"/>
      <c r="CN393" s="28"/>
      <c r="CQ393" s="28"/>
      <c r="CT393" s="28"/>
      <c r="CW393" s="28"/>
      <c r="CZ393" s="28"/>
      <c r="DC393" s="28"/>
      <c r="DF393" s="28"/>
      <c r="DI393" s="28"/>
      <c r="DL393" s="28"/>
      <c r="DO393" s="28"/>
      <c r="DR393" s="28"/>
      <c r="DU393" s="28"/>
      <c r="DX393" s="28"/>
      <c r="EA393" s="28"/>
      <c r="ED393" s="28"/>
      <c r="EG393" s="28"/>
      <c r="EJ393" s="28"/>
      <c r="EM393" s="28"/>
      <c r="EP393" s="28"/>
      <c r="ES393" s="28"/>
      <c r="EV393" s="28"/>
      <c r="EY393" s="28"/>
      <c r="FB393" s="28"/>
      <c r="FE393" s="28"/>
      <c r="FH393" s="28"/>
      <c r="FK393" s="28"/>
      <c r="FN393" s="28"/>
      <c r="FQ393" s="28"/>
      <c r="FT393" s="28"/>
      <c r="FW393" s="28"/>
      <c r="FZ393" s="28"/>
      <c r="GC393" s="28"/>
    </row>
    <row r="394" spans="1:185" s="25" customFormat="1" x14ac:dyDescent="0.3">
      <c r="A394" s="27"/>
      <c r="B394" s="28"/>
      <c r="C394" s="27"/>
      <c r="D394" s="26"/>
      <c r="E394" s="28"/>
      <c r="H394" s="28"/>
      <c r="K394" s="28"/>
      <c r="N394" s="28"/>
      <c r="Q394" s="28"/>
      <c r="T394" s="28"/>
      <c r="W394" s="28"/>
      <c r="Z394" s="28"/>
      <c r="AC394" s="28"/>
      <c r="AF394" s="28"/>
      <c r="AI394" s="28"/>
      <c r="AL394" s="28"/>
      <c r="AO394" s="28"/>
      <c r="AR394" s="28"/>
      <c r="AU394" s="28"/>
      <c r="AX394" s="28"/>
      <c r="BA394" s="28"/>
      <c r="BD394" s="28"/>
      <c r="BG394" s="28"/>
      <c r="BJ394" s="28"/>
      <c r="BM394" s="28"/>
      <c r="BP394" s="28"/>
      <c r="BS394" s="28"/>
      <c r="BV394" s="28"/>
      <c r="BY394" s="28"/>
      <c r="CB394" s="28"/>
      <c r="CE394" s="28"/>
      <c r="CH394" s="28"/>
      <c r="CK394" s="28"/>
      <c r="CN394" s="28"/>
      <c r="CQ394" s="28"/>
      <c r="CT394" s="28"/>
      <c r="CW394" s="28"/>
      <c r="CZ394" s="28"/>
      <c r="DC394" s="28"/>
      <c r="DF394" s="28"/>
      <c r="DI394" s="28"/>
      <c r="DL394" s="28"/>
      <c r="DO394" s="28"/>
      <c r="DR394" s="28"/>
      <c r="DU394" s="28"/>
      <c r="DX394" s="28"/>
      <c r="EA394" s="28"/>
      <c r="ED394" s="28"/>
      <c r="EG394" s="28"/>
      <c r="EJ394" s="28"/>
      <c r="EM394" s="28"/>
      <c r="EP394" s="28"/>
      <c r="ES394" s="28"/>
      <c r="EV394" s="28"/>
      <c r="EY394" s="28"/>
      <c r="FB394" s="28"/>
      <c r="FE394" s="28"/>
      <c r="FH394" s="28"/>
      <c r="FK394" s="28"/>
      <c r="FN394" s="28"/>
      <c r="FQ394" s="28"/>
      <c r="FT394" s="28"/>
      <c r="FW394" s="28"/>
      <c r="FZ394" s="28"/>
      <c r="GC394" s="28"/>
    </row>
    <row r="395" spans="1:185" s="25" customFormat="1" x14ac:dyDescent="0.3">
      <c r="A395" s="27"/>
      <c r="B395" s="28"/>
      <c r="C395" s="27"/>
      <c r="D395" s="26"/>
      <c r="E395" s="28"/>
      <c r="H395" s="28"/>
      <c r="K395" s="28"/>
      <c r="N395" s="28"/>
      <c r="Q395" s="28"/>
      <c r="T395" s="28"/>
      <c r="W395" s="28"/>
      <c r="Z395" s="28"/>
      <c r="AC395" s="28"/>
      <c r="AF395" s="28"/>
      <c r="AI395" s="28"/>
      <c r="AL395" s="28"/>
      <c r="AO395" s="28"/>
      <c r="AR395" s="28"/>
      <c r="AU395" s="28"/>
      <c r="AX395" s="28"/>
      <c r="BA395" s="28"/>
      <c r="BD395" s="28"/>
      <c r="BG395" s="28"/>
      <c r="BJ395" s="28"/>
      <c r="BM395" s="28"/>
      <c r="BP395" s="28"/>
      <c r="BS395" s="28"/>
      <c r="BV395" s="28"/>
      <c r="BY395" s="28"/>
      <c r="CB395" s="28"/>
      <c r="CE395" s="28"/>
      <c r="CH395" s="28"/>
      <c r="CK395" s="28"/>
      <c r="CN395" s="28"/>
      <c r="CQ395" s="28"/>
      <c r="CT395" s="28"/>
      <c r="CW395" s="28"/>
      <c r="CZ395" s="28"/>
      <c r="DC395" s="28"/>
      <c r="DF395" s="28"/>
      <c r="DI395" s="28"/>
      <c r="DL395" s="28"/>
      <c r="DO395" s="28"/>
      <c r="DR395" s="28"/>
      <c r="DU395" s="28"/>
      <c r="DX395" s="28"/>
      <c r="EA395" s="28"/>
      <c r="ED395" s="28"/>
      <c r="EG395" s="28"/>
      <c r="EJ395" s="28"/>
      <c r="EM395" s="28"/>
      <c r="EP395" s="28"/>
      <c r="ES395" s="28"/>
      <c r="EV395" s="28"/>
      <c r="EY395" s="28"/>
      <c r="FB395" s="28"/>
      <c r="FE395" s="28"/>
      <c r="FH395" s="28"/>
      <c r="FK395" s="28"/>
      <c r="FN395" s="28"/>
      <c r="FQ395" s="28"/>
      <c r="FT395" s="28"/>
      <c r="FW395" s="28"/>
      <c r="FZ395" s="28"/>
      <c r="GC395" s="28"/>
    </row>
    <row r="396" spans="1:185" s="25" customFormat="1" x14ac:dyDescent="0.3">
      <c r="A396" s="27"/>
      <c r="B396" s="28"/>
      <c r="C396" s="27"/>
      <c r="D396" s="26"/>
      <c r="E396" s="28"/>
      <c r="H396" s="28"/>
      <c r="K396" s="28"/>
      <c r="N396" s="28"/>
      <c r="Q396" s="28"/>
      <c r="T396" s="28"/>
      <c r="W396" s="28"/>
      <c r="Z396" s="28"/>
      <c r="AC396" s="28"/>
      <c r="AF396" s="28"/>
      <c r="AI396" s="28"/>
      <c r="AL396" s="28"/>
      <c r="AO396" s="28"/>
      <c r="AR396" s="28"/>
      <c r="AU396" s="28"/>
      <c r="AX396" s="28"/>
      <c r="BA396" s="28"/>
      <c r="BD396" s="28"/>
      <c r="BG396" s="28"/>
      <c r="BJ396" s="28"/>
      <c r="BM396" s="28"/>
      <c r="BP396" s="28"/>
      <c r="BS396" s="28"/>
      <c r="BV396" s="28"/>
      <c r="BY396" s="28"/>
      <c r="CB396" s="28"/>
      <c r="CE396" s="28"/>
      <c r="CH396" s="28"/>
      <c r="CK396" s="28"/>
      <c r="CN396" s="28"/>
      <c r="CQ396" s="28"/>
      <c r="CT396" s="28"/>
      <c r="CW396" s="28"/>
      <c r="CZ396" s="28"/>
      <c r="DC396" s="28"/>
      <c r="DF396" s="28"/>
      <c r="DI396" s="28"/>
      <c r="DL396" s="28"/>
      <c r="DO396" s="28"/>
      <c r="DR396" s="28"/>
      <c r="DU396" s="28"/>
      <c r="DX396" s="28"/>
      <c r="EA396" s="28"/>
      <c r="ED396" s="28"/>
      <c r="EG396" s="28"/>
      <c r="EJ396" s="28"/>
      <c r="EM396" s="28"/>
      <c r="EP396" s="28"/>
      <c r="ES396" s="28"/>
      <c r="EV396" s="28"/>
      <c r="EY396" s="28"/>
      <c r="FB396" s="28"/>
      <c r="FE396" s="28"/>
      <c r="FH396" s="28"/>
      <c r="FK396" s="28"/>
      <c r="FN396" s="28"/>
      <c r="FQ396" s="28"/>
      <c r="FT396" s="28"/>
      <c r="FW396" s="28"/>
      <c r="FZ396" s="28"/>
      <c r="GC396" s="28"/>
    </row>
    <row r="397" spans="1:185" s="25" customFormat="1" x14ac:dyDescent="0.3">
      <c r="A397" s="27"/>
      <c r="B397" s="28"/>
      <c r="C397" s="27"/>
      <c r="D397" s="26"/>
      <c r="E397" s="28"/>
      <c r="H397" s="28"/>
      <c r="K397" s="28"/>
      <c r="N397" s="28"/>
      <c r="Q397" s="28"/>
      <c r="T397" s="28"/>
      <c r="W397" s="28"/>
      <c r="Z397" s="28"/>
      <c r="AC397" s="28"/>
      <c r="AF397" s="28"/>
      <c r="AI397" s="28"/>
      <c r="AL397" s="28"/>
      <c r="AO397" s="28"/>
      <c r="AR397" s="28"/>
      <c r="AU397" s="28"/>
      <c r="AX397" s="28"/>
      <c r="BA397" s="28"/>
      <c r="BD397" s="28"/>
      <c r="BG397" s="28"/>
      <c r="BJ397" s="28"/>
      <c r="BM397" s="28"/>
      <c r="BP397" s="28"/>
      <c r="BS397" s="28"/>
      <c r="BV397" s="28"/>
      <c r="BY397" s="28"/>
      <c r="CB397" s="28"/>
      <c r="CE397" s="28"/>
      <c r="CH397" s="28"/>
      <c r="CK397" s="28"/>
      <c r="CN397" s="28"/>
      <c r="CQ397" s="28"/>
      <c r="CT397" s="28"/>
      <c r="CW397" s="28"/>
      <c r="CZ397" s="28"/>
      <c r="DC397" s="28"/>
      <c r="DF397" s="28"/>
      <c r="DI397" s="28"/>
      <c r="DL397" s="28"/>
      <c r="DO397" s="28"/>
      <c r="DR397" s="28"/>
      <c r="DU397" s="28"/>
      <c r="DX397" s="28"/>
      <c r="EA397" s="28"/>
      <c r="ED397" s="28"/>
      <c r="EG397" s="28"/>
      <c r="EJ397" s="28"/>
      <c r="EM397" s="28"/>
      <c r="EP397" s="28"/>
      <c r="ES397" s="28"/>
      <c r="EV397" s="28"/>
      <c r="EY397" s="28"/>
      <c r="FB397" s="28"/>
      <c r="FE397" s="28"/>
      <c r="FH397" s="28"/>
      <c r="FK397" s="28"/>
      <c r="FN397" s="28"/>
      <c r="FQ397" s="28"/>
      <c r="FT397" s="28"/>
      <c r="FW397" s="28"/>
      <c r="FZ397" s="28"/>
      <c r="GC397" s="28"/>
    </row>
    <row r="398" spans="1:185" s="25" customFormat="1" x14ac:dyDescent="0.3">
      <c r="A398" s="27"/>
      <c r="B398" s="28"/>
      <c r="C398" s="27"/>
      <c r="D398" s="26"/>
      <c r="E398" s="28"/>
      <c r="H398" s="28"/>
      <c r="K398" s="28"/>
      <c r="N398" s="28"/>
      <c r="Q398" s="28"/>
      <c r="T398" s="28"/>
      <c r="W398" s="28"/>
      <c r="Z398" s="28"/>
      <c r="AC398" s="28"/>
      <c r="AF398" s="28"/>
      <c r="AI398" s="28"/>
      <c r="AL398" s="28"/>
      <c r="AO398" s="28"/>
      <c r="AR398" s="28"/>
      <c r="AU398" s="28"/>
      <c r="AX398" s="28"/>
      <c r="BA398" s="28"/>
      <c r="BD398" s="28"/>
      <c r="BG398" s="28"/>
      <c r="BJ398" s="28"/>
      <c r="BM398" s="28"/>
      <c r="BP398" s="28"/>
      <c r="BS398" s="28"/>
      <c r="BV398" s="28"/>
      <c r="BY398" s="28"/>
      <c r="CB398" s="28"/>
      <c r="CE398" s="28"/>
      <c r="CH398" s="28"/>
      <c r="CK398" s="28"/>
      <c r="CN398" s="28"/>
      <c r="CQ398" s="28"/>
      <c r="CT398" s="28"/>
      <c r="CW398" s="28"/>
      <c r="CZ398" s="28"/>
      <c r="DC398" s="28"/>
      <c r="DF398" s="28"/>
      <c r="DI398" s="28"/>
      <c r="DL398" s="28"/>
      <c r="DO398" s="28"/>
      <c r="DR398" s="28"/>
      <c r="DU398" s="28"/>
      <c r="DX398" s="28"/>
      <c r="EA398" s="28"/>
      <c r="ED398" s="28"/>
      <c r="EG398" s="28"/>
      <c r="EJ398" s="28"/>
      <c r="EM398" s="28"/>
      <c r="EP398" s="28"/>
      <c r="ES398" s="28"/>
      <c r="EV398" s="28"/>
      <c r="EY398" s="28"/>
      <c r="FB398" s="28"/>
      <c r="FE398" s="28"/>
      <c r="FH398" s="28"/>
      <c r="FK398" s="28"/>
      <c r="FN398" s="28"/>
      <c r="FQ398" s="28"/>
      <c r="FT398" s="28"/>
      <c r="FW398" s="28"/>
      <c r="FZ398" s="28"/>
      <c r="GC398" s="28"/>
    </row>
    <row r="399" spans="1:185" s="25" customFormat="1" x14ac:dyDescent="0.3">
      <c r="A399" s="27"/>
      <c r="B399" s="28"/>
      <c r="C399" s="27"/>
      <c r="D399" s="26"/>
      <c r="E399" s="28"/>
      <c r="H399" s="28"/>
      <c r="K399" s="28"/>
      <c r="N399" s="28"/>
      <c r="Q399" s="28"/>
      <c r="T399" s="28"/>
      <c r="W399" s="28"/>
      <c r="Z399" s="28"/>
      <c r="AC399" s="28"/>
      <c r="AF399" s="28"/>
      <c r="AI399" s="28"/>
      <c r="AL399" s="28"/>
      <c r="AO399" s="28"/>
      <c r="AR399" s="28"/>
      <c r="AU399" s="28"/>
      <c r="AX399" s="28"/>
      <c r="BA399" s="28"/>
      <c r="BD399" s="28"/>
      <c r="BG399" s="28"/>
      <c r="BJ399" s="28"/>
      <c r="BM399" s="28"/>
      <c r="BP399" s="28"/>
      <c r="BS399" s="28"/>
      <c r="BV399" s="28"/>
      <c r="BY399" s="28"/>
      <c r="CB399" s="28"/>
      <c r="CE399" s="28"/>
      <c r="CH399" s="28"/>
      <c r="CK399" s="28"/>
      <c r="CN399" s="28"/>
      <c r="CQ399" s="28"/>
      <c r="CT399" s="28"/>
      <c r="CW399" s="28"/>
      <c r="CZ399" s="28"/>
      <c r="DC399" s="28"/>
      <c r="DF399" s="28"/>
      <c r="DI399" s="28"/>
      <c r="DL399" s="28"/>
      <c r="DO399" s="28"/>
      <c r="DR399" s="28"/>
      <c r="DU399" s="28"/>
      <c r="DX399" s="28"/>
      <c r="EA399" s="28"/>
      <c r="ED399" s="28"/>
      <c r="EG399" s="28"/>
      <c r="EJ399" s="28"/>
      <c r="EM399" s="28"/>
      <c r="EP399" s="28"/>
      <c r="ES399" s="28"/>
      <c r="EV399" s="28"/>
      <c r="EY399" s="28"/>
      <c r="FB399" s="28"/>
      <c r="FE399" s="28"/>
      <c r="FH399" s="28"/>
      <c r="FK399" s="28"/>
      <c r="FN399" s="28"/>
      <c r="FQ399" s="28"/>
      <c r="FT399" s="28"/>
      <c r="FW399" s="28"/>
      <c r="FZ399" s="28"/>
      <c r="GC399" s="28"/>
    </row>
    <row r="400" spans="1:185" s="25" customFormat="1" x14ac:dyDescent="0.3">
      <c r="A400" s="27"/>
      <c r="B400" s="28"/>
      <c r="C400" s="27"/>
      <c r="D400" s="26"/>
      <c r="E400" s="28"/>
      <c r="H400" s="28"/>
      <c r="K400" s="28"/>
      <c r="N400" s="28"/>
      <c r="Q400" s="28"/>
      <c r="T400" s="28"/>
      <c r="W400" s="28"/>
      <c r="Z400" s="28"/>
      <c r="AC400" s="28"/>
      <c r="AF400" s="28"/>
      <c r="AI400" s="28"/>
      <c r="AL400" s="28"/>
      <c r="AO400" s="28"/>
      <c r="AR400" s="28"/>
      <c r="AU400" s="28"/>
      <c r="AX400" s="28"/>
      <c r="BA400" s="28"/>
      <c r="BD400" s="28"/>
      <c r="BG400" s="28"/>
      <c r="BJ400" s="28"/>
      <c r="BM400" s="28"/>
      <c r="BP400" s="28"/>
      <c r="BS400" s="28"/>
      <c r="BV400" s="28"/>
      <c r="BY400" s="28"/>
      <c r="CB400" s="28"/>
      <c r="CE400" s="28"/>
      <c r="CH400" s="28"/>
      <c r="CK400" s="28"/>
      <c r="CN400" s="28"/>
      <c r="CQ400" s="28"/>
      <c r="CT400" s="28"/>
      <c r="CW400" s="28"/>
      <c r="CZ400" s="28"/>
      <c r="DC400" s="28"/>
      <c r="DF400" s="28"/>
      <c r="DI400" s="28"/>
      <c r="DL400" s="28"/>
      <c r="DO400" s="28"/>
      <c r="DR400" s="28"/>
      <c r="DU400" s="28"/>
      <c r="DX400" s="28"/>
      <c r="EA400" s="28"/>
      <c r="ED400" s="28"/>
      <c r="EG400" s="28"/>
      <c r="EJ400" s="28"/>
      <c r="EM400" s="28"/>
      <c r="EP400" s="28"/>
      <c r="ES400" s="28"/>
      <c r="EV400" s="28"/>
      <c r="EY400" s="28"/>
      <c r="FB400" s="28"/>
      <c r="FE400" s="28"/>
      <c r="FH400" s="28"/>
      <c r="FK400" s="28"/>
      <c r="FN400" s="28"/>
      <c r="FQ400" s="28"/>
      <c r="FT400" s="28"/>
      <c r="FW400" s="28"/>
      <c r="FZ400" s="28"/>
      <c r="GC400" s="28"/>
    </row>
    <row r="401" spans="1:185" s="25" customFormat="1" x14ac:dyDescent="0.3">
      <c r="A401" s="27"/>
      <c r="B401" s="28"/>
      <c r="C401" s="27"/>
      <c r="D401" s="26"/>
      <c r="E401" s="28"/>
      <c r="H401" s="28"/>
      <c r="K401" s="28"/>
      <c r="N401" s="28"/>
      <c r="Q401" s="28"/>
      <c r="T401" s="28"/>
      <c r="W401" s="28"/>
      <c r="Z401" s="28"/>
      <c r="AC401" s="28"/>
      <c r="AF401" s="28"/>
      <c r="AI401" s="28"/>
      <c r="AL401" s="28"/>
      <c r="AO401" s="28"/>
      <c r="AR401" s="28"/>
      <c r="AU401" s="28"/>
      <c r="AX401" s="28"/>
      <c r="BA401" s="28"/>
      <c r="BD401" s="28"/>
      <c r="BG401" s="28"/>
      <c r="BJ401" s="28"/>
      <c r="BM401" s="28"/>
      <c r="BP401" s="28"/>
      <c r="BS401" s="28"/>
      <c r="BV401" s="28"/>
      <c r="BY401" s="28"/>
      <c r="CB401" s="28"/>
      <c r="CE401" s="28"/>
      <c r="CH401" s="28"/>
      <c r="CK401" s="28"/>
      <c r="CN401" s="28"/>
      <c r="CQ401" s="28"/>
      <c r="CT401" s="28"/>
      <c r="CW401" s="28"/>
      <c r="CZ401" s="28"/>
      <c r="DC401" s="28"/>
      <c r="DF401" s="28"/>
      <c r="DI401" s="28"/>
      <c r="DL401" s="28"/>
      <c r="DO401" s="28"/>
      <c r="DR401" s="28"/>
      <c r="DU401" s="28"/>
      <c r="DX401" s="28"/>
      <c r="EA401" s="28"/>
      <c r="ED401" s="28"/>
      <c r="EG401" s="28"/>
      <c r="EJ401" s="28"/>
      <c r="EM401" s="28"/>
      <c r="EP401" s="28"/>
      <c r="ES401" s="28"/>
      <c r="EV401" s="28"/>
      <c r="EY401" s="28"/>
      <c r="FB401" s="28"/>
      <c r="FE401" s="28"/>
      <c r="FH401" s="28"/>
      <c r="FK401" s="28"/>
      <c r="FN401" s="28"/>
      <c r="FQ401" s="28"/>
      <c r="FT401" s="28"/>
      <c r="FW401" s="28"/>
      <c r="FZ401" s="28"/>
      <c r="GC401" s="28"/>
    </row>
    <row r="402" spans="1:185" s="25" customFormat="1" x14ac:dyDescent="0.3">
      <c r="A402" s="27"/>
      <c r="B402" s="28"/>
      <c r="C402" s="27"/>
      <c r="D402" s="26"/>
      <c r="E402" s="28"/>
      <c r="H402" s="28"/>
      <c r="K402" s="28"/>
      <c r="N402" s="28"/>
      <c r="Q402" s="28"/>
      <c r="T402" s="28"/>
      <c r="W402" s="28"/>
      <c r="Z402" s="28"/>
      <c r="AC402" s="28"/>
      <c r="AF402" s="28"/>
      <c r="AI402" s="28"/>
      <c r="AL402" s="28"/>
      <c r="AO402" s="28"/>
      <c r="AR402" s="28"/>
      <c r="AU402" s="28"/>
      <c r="AX402" s="28"/>
      <c r="BA402" s="28"/>
      <c r="BD402" s="28"/>
      <c r="BG402" s="28"/>
      <c r="BJ402" s="28"/>
      <c r="BM402" s="28"/>
      <c r="BP402" s="28"/>
      <c r="BS402" s="28"/>
      <c r="BV402" s="28"/>
      <c r="BY402" s="28"/>
      <c r="CB402" s="28"/>
      <c r="CE402" s="28"/>
      <c r="CH402" s="28"/>
      <c r="CK402" s="28"/>
      <c r="CN402" s="28"/>
      <c r="CQ402" s="28"/>
      <c r="CT402" s="28"/>
      <c r="CW402" s="28"/>
      <c r="CZ402" s="28"/>
      <c r="DC402" s="28"/>
      <c r="DF402" s="28"/>
      <c r="DI402" s="28"/>
      <c r="DL402" s="28"/>
      <c r="DO402" s="28"/>
      <c r="DR402" s="28"/>
      <c r="DU402" s="28"/>
      <c r="DX402" s="28"/>
      <c r="EA402" s="28"/>
      <c r="ED402" s="28"/>
      <c r="EG402" s="28"/>
      <c r="EJ402" s="28"/>
      <c r="EM402" s="28"/>
      <c r="EP402" s="28"/>
      <c r="ES402" s="28"/>
      <c r="EV402" s="28"/>
      <c r="EY402" s="28"/>
      <c r="FB402" s="28"/>
      <c r="FE402" s="28"/>
      <c r="FH402" s="28"/>
      <c r="FK402" s="28"/>
      <c r="FN402" s="28"/>
      <c r="FQ402" s="28"/>
      <c r="FT402" s="28"/>
      <c r="FW402" s="28"/>
      <c r="FZ402" s="28"/>
      <c r="GC402" s="28"/>
    </row>
    <row r="403" spans="1:185" s="25" customFormat="1" x14ac:dyDescent="0.3">
      <c r="A403" s="27"/>
      <c r="B403" s="28"/>
      <c r="C403" s="27"/>
      <c r="D403" s="26"/>
      <c r="E403" s="28"/>
      <c r="H403" s="28"/>
      <c r="K403" s="28"/>
      <c r="N403" s="28"/>
      <c r="Q403" s="28"/>
      <c r="T403" s="28"/>
      <c r="W403" s="28"/>
      <c r="Z403" s="28"/>
      <c r="AC403" s="28"/>
      <c r="AF403" s="28"/>
      <c r="AI403" s="28"/>
      <c r="AL403" s="28"/>
      <c r="AO403" s="28"/>
      <c r="AR403" s="28"/>
      <c r="AU403" s="28"/>
      <c r="AX403" s="28"/>
      <c r="BA403" s="28"/>
      <c r="BD403" s="28"/>
      <c r="BG403" s="28"/>
      <c r="BJ403" s="28"/>
      <c r="BM403" s="28"/>
      <c r="BP403" s="28"/>
      <c r="BS403" s="28"/>
      <c r="BV403" s="28"/>
      <c r="BY403" s="28"/>
      <c r="CB403" s="28"/>
      <c r="CE403" s="28"/>
      <c r="CH403" s="28"/>
      <c r="CK403" s="28"/>
      <c r="CN403" s="28"/>
      <c r="CQ403" s="28"/>
      <c r="CT403" s="28"/>
      <c r="CW403" s="28"/>
      <c r="CZ403" s="28"/>
      <c r="DC403" s="28"/>
      <c r="DF403" s="28"/>
      <c r="DI403" s="28"/>
      <c r="DL403" s="28"/>
      <c r="DO403" s="28"/>
      <c r="DR403" s="28"/>
      <c r="DU403" s="28"/>
      <c r="DX403" s="28"/>
      <c r="EA403" s="28"/>
      <c r="ED403" s="28"/>
      <c r="EG403" s="28"/>
      <c r="EJ403" s="28"/>
      <c r="EM403" s="28"/>
      <c r="EP403" s="28"/>
      <c r="ES403" s="28"/>
      <c r="EV403" s="28"/>
      <c r="EY403" s="28"/>
      <c r="FB403" s="28"/>
      <c r="FE403" s="28"/>
      <c r="FH403" s="28"/>
      <c r="FK403" s="28"/>
      <c r="FN403" s="28"/>
      <c r="FQ403" s="28"/>
      <c r="FT403" s="28"/>
      <c r="FW403" s="28"/>
      <c r="FZ403" s="28"/>
      <c r="GC403" s="28"/>
    </row>
    <row r="404" spans="1:185" s="25" customFormat="1" x14ac:dyDescent="0.3">
      <c r="A404" s="27"/>
      <c r="B404" s="28"/>
      <c r="C404" s="27"/>
      <c r="D404" s="26"/>
      <c r="E404" s="28"/>
      <c r="H404" s="28"/>
      <c r="K404" s="28"/>
      <c r="N404" s="28"/>
      <c r="Q404" s="28"/>
      <c r="T404" s="28"/>
      <c r="W404" s="28"/>
      <c r="Z404" s="28"/>
      <c r="AC404" s="28"/>
      <c r="AF404" s="28"/>
      <c r="AI404" s="28"/>
      <c r="AL404" s="28"/>
      <c r="AO404" s="28"/>
      <c r="AR404" s="28"/>
      <c r="AU404" s="28"/>
      <c r="AX404" s="28"/>
      <c r="BA404" s="28"/>
      <c r="BD404" s="28"/>
      <c r="BG404" s="28"/>
      <c r="BJ404" s="28"/>
      <c r="BM404" s="28"/>
      <c r="BP404" s="28"/>
      <c r="BS404" s="28"/>
      <c r="BV404" s="28"/>
      <c r="BY404" s="28"/>
      <c r="CB404" s="28"/>
      <c r="CE404" s="28"/>
      <c r="CH404" s="28"/>
      <c r="CK404" s="28"/>
      <c r="CN404" s="28"/>
      <c r="CQ404" s="28"/>
      <c r="CT404" s="28"/>
      <c r="CW404" s="28"/>
      <c r="CZ404" s="28"/>
      <c r="DC404" s="28"/>
      <c r="DF404" s="28"/>
      <c r="DI404" s="28"/>
      <c r="DL404" s="28"/>
      <c r="DO404" s="28"/>
      <c r="DR404" s="28"/>
      <c r="DU404" s="28"/>
      <c r="DX404" s="28"/>
      <c r="EA404" s="28"/>
      <c r="ED404" s="28"/>
      <c r="EG404" s="28"/>
      <c r="EJ404" s="28"/>
      <c r="EM404" s="28"/>
      <c r="EP404" s="28"/>
      <c r="ES404" s="28"/>
      <c r="EV404" s="28"/>
      <c r="EY404" s="28"/>
      <c r="FB404" s="28"/>
      <c r="FE404" s="28"/>
      <c r="FH404" s="28"/>
      <c r="FK404" s="28"/>
      <c r="FN404" s="28"/>
      <c r="FQ404" s="28"/>
      <c r="FT404" s="28"/>
      <c r="FW404" s="28"/>
      <c r="FZ404" s="28"/>
      <c r="GC404" s="28"/>
    </row>
    <row r="405" spans="1:185" s="25" customFormat="1" x14ac:dyDescent="0.3">
      <c r="A405" s="27"/>
      <c r="B405" s="28"/>
      <c r="C405" s="27"/>
      <c r="D405" s="26"/>
      <c r="E405" s="28"/>
      <c r="H405" s="28"/>
      <c r="K405" s="28"/>
      <c r="N405" s="28"/>
      <c r="Q405" s="28"/>
      <c r="T405" s="28"/>
      <c r="W405" s="28"/>
      <c r="Z405" s="28"/>
      <c r="AC405" s="28"/>
      <c r="AF405" s="28"/>
      <c r="AI405" s="28"/>
      <c r="AL405" s="28"/>
      <c r="AO405" s="28"/>
      <c r="AR405" s="28"/>
      <c r="AU405" s="28"/>
      <c r="AX405" s="28"/>
      <c r="BA405" s="28"/>
      <c r="BD405" s="28"/>
      <c r="BG405" s="28"/>
      <c r="BJ405" s="28"/>
      <c r="BM405" s="28"/>
      <c r="BP405" s="28"/>
      <c r="BS405" s="28"/>
      <c r="BV405" s="28"/>
      <c r="BY405" s="28"/>
      <c r="CB405" s="28"/>
      <c r="CE405" s="28"/>
      <c r="CH405" s="28"/>
      <c r="CK405" s="28"/>
      <c r="CN405" s="28"/>
      <c r="CQ405" s="28"/>
      <c r="CT405" s="28"/>
      <c r="CW405" s="28"/>
      <c r="CZ405" s="28"/>
      <c r="DC405" s="28"/>
      <c r="DF405" s="28"/>
      <c r="DI405" s="28"/>
      <c r="DL405" s="28"/>
      <c r="DO405" s="28"/>
      <c r="DR405" s="28"/>
      <c r="DU405" s="28"/>
      <c r="DX405" s="28"/>
      <c r="EA405" s="28"/>
      <c r="ED405" s="28"/>
      <c r="EG405" s="28"/>
      <c r="EJ405" s="28"/>
      <c r="EM405" s="28"/>
      <c r="EP405" s="28"/>
      <c r="ES405" s="28"/>
      <c r="EV405" s="28"/>
      <c r="EY405" s="28"/>
      <c r="FB405" s="28"/>
      <c r="FE405" s="28"/>
      <c r="FH405" s="28"/>
      <c r="FK405" s="28"/>
      <c r="FN405" s="28"/>
      <c r="FQ405" s="28"/>
      <c r="FT405" s="28"/>
      <c r="FW405" s="28"/>
      <c r="FZ405" s="28"/>
      <c r="GC405" s="28"/>
    </row>
    <row r="406" spans="1:185" s="25" customFormat="1" x14ac:dyDescent="0.3">
      <c r="A406" s="27"/>
      <c r="B406" s="28"/>
      <c r="C406" s="27"/>
      <c r="D406" s="26"/>
      <c r="E406" s="28"/>
      <c r="H406" s="28"/>
      <c r="K406" s="28"/>
      <c r="N406" s="28"/>
      <c r="Q406" s="28"/>
      <c r="T406" s="28"/>
      <c r="W406" s="28"/>
      <c r="Z406" s="28"/>
      <c r="AC406" s="28"/>
      <c r="AF406" s="28"/>
      <c r="AI406" s="28"/>
      <c r="AL406" s="28"/>
      <c r="AO406" s="28"/>
      <c r="AR406" s="28"/>
      <c r="AU406" s="28"/>
      <c r="AX406" s="28"/>
      <c r="BA406" s="28"/>
      <c r="BD406" s="28"/>
      <c r="BG406" s="28"/>
      <c r="BJ406" s="28"/>
      <c r="BM406" s="28"/>
      <c r="BP406" s="28"/>
      <c r="BS406" s="28"/>
      <c r="BV406" s="28"/>
      <c r="BY406" s="28"/>
      <c r="CB406" s="28"/>
      <c r="CE406" s="28"/>
      <c r="CH406" s="28"/>
      <c r="CK406" s="28"/>
      <c r="CN406" s="28"/>
      <c r="CQ406" s="28"/>
      <c r="CT406" s="28"/>
      <c r="CW406" s="28"/>
      <c r="CZ406" s="28"/>
      <c r="DC406" s="28"/>
      <c r="DF406" s="28"/>
      <c r="DI406" s="28"/>
      <c r="DL406" s="28"/>
      <c r="DO406" s="28"/>
      <c r="DR406" s="28"/>
      <c r="DU406" s="28"/>
      <c r="DX406" s="28"/>
      <c r="EA406" s="28"/>
      <c r="ED406" s="28"/>
      <c r="EG406" s="28"/>
      <c r="EJ406" s="28"/>
      <c r="EM406" s="28"/>
      <c r="EP406" s="28"/>
      <c r="ES406" s="28"/>
      <c r="EV406" s="28"/>
      <c r="EY406" s="28"/>
      <c r="FB406" s="28"/>
      <c r="FE406" s="28"/>
      <c r="FH406" s="28"/>
      <c r="FK406" s="28"/>
      <c r="FN406" s="28"/>
      <c r="FQ406" s="28"/>
      <c r="FT406" s="28"/>
      <c r="FW406" s="28"/>
      <c r="FZ406" s="28"/>
      <c r="GC406" s="28"/>
    </row>
    <row r="407" spans="1:185" s="25" customFormat="1" x14ac:dyDescent="0.3">
      <c r="A407" s="27"/>
      <c r="B407" s="28"/>
      <c r="C407" s="27"/>
      <c r="D407" s="26"/>
      <c r="E407" s="28"/>
      <c r="H407" s="28"/>
      <c r="K407" s="28"/>
      <c r="N407" s="28"/>
      <c r="Q407" s="28"/>
      <c r="T407" s="28"/>
      <c r="W407" s="28"/>
      <c r="Z407" s="28"/>
      <c r="AC407" s="28"/>
      <c r="AF407" s="28"/>
      <c r="AI407" s="28"/>
      <c r="AL407" s="28"/>
      <c r="AO407" s="28"/>
      <c r="AR407" s="28"/>
      <c r="AU407" s="28"/>
      <c r="AX407" s="28"/>
      <c r="BA407" s="28"/>
      <c r="BD407" s="28"/>
      <c r="BG407" s="28"/>
      <c r="BJ407" s="28"/>
      <c r="BM407" s="28"/>
      <c r="BP407" s="28"/>
      <c r="BS407" s="28"/>
      <c r="BV407" s="28"/>
      <c r="BY407" s="28"/>
      <c r="CB407" s="28"/>
      <c r="CE407" s="28"/>
      <c r="CH407" s="28"/>
      <c r="CK407" s="28"/>
      <c r="CN407" s="28"/>
      <c r="CQ407" s="28"/>
      <c r="CT407" s="28"/>
      <c r="CW407" s="28"/>
      <c r="CZ407" s="28"/>
      <c r="DC407" s="28"/>
      <c r="DF407" s="28"/>
      <c r="DI407" s="28"/>
      <c r="DL407" s="28"/>
      <c r="DO407" s="28"/>
      <c r="DR407" s="28"/>
      <c r="DU407" s="28"/>
      <c r="DX407" s="28"/>
      <c r="EA407" s="28"/>
      <c r="ED407" s="28"/>
      <c r="EG407" s="28"/>
      <c r="EJ407" s="28"/>
      <c r="EM407" s="28"/>
      <c r="EP407" s="28"/>
      <c r="ES407" s="28"/>
      <c r="EV407" s="28"/>
      <c r="EY407" s="28"/>
      <c r="FB407" s="28"/>
      <c r="FE407" s="28"/>
      <c r="FH407" s="28"/>
      <c r="FK407" s="28"/>
      <c r="FN407" s="28"/>
      <c r="FQ407" s="28"/>
      <c r="FT407" s="28"/>
      <c r="FW407" s="28"/>
      <c r="FZ407" s="28"/>
      <c r="GC407" s="28"/>
    </row>
    <row r="408" spans="1:185" s="25" customFormat="1" x14ac:dyDescent="0.3">
      <c r="A408" s="27"/>
      <c r="B408" s="28"/>
      <c r="C408" s="27"/>
      <c r="D408" s="26"/>
      <c r="E408" s="28"/>
      <c r="H408" s="28"/>
      <c r="K408" s="28"/>
      <c r="N408" s="28"/>
      <c r="Q408" s="28"/>
      <c r="T408" s="28"/>
      <c r="W408" s="28"/>
      <c r="Z408" s="28"/>
      <c r="AC408" s="28"/>
      <c r="AF408" s="28"/>
      <c r="AI408" s="28"/>
      <c r="AL408" s="28"/>
      <c r="AO408" s="28"/>
      <c r="AR408" s="28"/>
      <c r="AU408" s="28"/>
      <c r="AX408" s="28"/>
      <c r="BA408" s="28"/>
      <c r="BD408" s="28"/>
      <c r="BG408" s="28"/>
      <c r="BJ408" s="28"/>
      <c r="BM408" s="28"/>
      <c r="BP408" s="28"/>
      <c r="BS408" s="28"/>
      <c r="BV408" s="28"/>
      <c r="BY408" s="28"/>
      <c r="CB408" s="28"/>
      <c r="CE408" s="28"/>
      <c r="CH408" s="28"/>
      <c r="CK408" s="28"/>
      <c r="CN408" s="28"/>
      <c r="CQ408" s="28"/>
      <c r="CT408" s="28"/>
      <c r="CW408" s="28"/>
      <c r="CZ408" s="28"/>
      <c r="DC408" s="28"/>
      <c r="DF408" s="28"/>
      <c r="DI408" s="28"/>
      <c r="DL408" s="28"/>
      <c r="DO408" s="28"/>
      <c r="DR408" s="28"/>
      <c r="DU408" s="28"/>
      <c r="DX408" s="28"/>
      <c r="EA408" s="28"/>
      <c r="ED408" s="28"/>
      <c r="EG408" s="28"/>
      <c r="EJ408" s="28"/>
      <c r="EM408" s="28"/>
      <c r="EP408" s="28"/>
      <c r="ES408" s="28"/>
      <c r="EV408" s="28"/>
      <c r="EY408" s="28"/>
      <c r="FB408" s="28"/>
      <c r="FE408" s="28"/>
      <c r="FH408" s="28"/>
      <c r="FK408" s="28"/>
      <c r="FN408" s="28"/>
      <c r="FQ408" s="28"/>
      <c r="FT408" s="28"/>
      <c r="FW408" s="28"/>
      <c r="FZ408" s="28"/>
      <c r="GC408" s="28"/>
    </row>
    <row r="409" spans="1:185" s="25" customFormat="1" x14ac:dyDescent="0.3">
      <c r="A409" s="27"/>
      <c r="B409" s="28"/>
      <c r="C409" s="27"/>
      <c r="D409" s="26"/>
      <c r="E409" s="28"/>
      <c r="H409" s="28"/>
      <c r="K409" s="28"/>
      <c r="N409" s="28"/>
      <c r="Q409" s="28"/>
      <c r="T409" s="28"/>
      <c r="W409" s="28"/>
      <c r="Z409" s="28"/>
      <c r="AC409" s="28"/>
      <c r="AF409" s="28"/>
      <c r="AI409" s="28"/>
      <c r="AL409" s="28"/>
      <c r="AO409" s="28"/>
      <c r="AR409" s="28"/>
      <c r="AU409" s="28"/>
      <c r="AX409" s="28"/>
      <c r="BA409" s="28"/>
      <c r="BD409" s="28"/>
      <c r="BG409" s="28"/>
      <c r="BJ409" s="28"/>
      <c r="BM409" s="28"/>
      <c r="BP409" s="28"/>
      <c r="BS409" s="28"/>
      <c r="BV409" s="28"/>
      <c r="BY409" s="28"/>
      <c r="CB409" s="28"/>
      <c r="CE409" s="28"/>
      <c r="CH409" s="28"/>
      <c r="CK409" s="28"/>
      <c r="CN409" s="28"/>
      <c r="CQ409" s="28"/>
      <c r="CT409" s="28"/>
      <c r="CW409" s="28"/>
      <c r="CZ409" s="28"/>
      <c r="DC409" s="28"/>
      <c r="DF409" s="28"/>
      <c r="DI409" s="28"/>
      <c r="DL409" s="28"/>
      <c r="DO409" s="28"/>
      <c r="DR409" s="28"/>
      <c r="DU409" s="28"/>
      <c r="DX409" s="28"/>
      <c r="EA409" s="28"/>
      <c r="ED409" s="28"/>
      <c r="EG409" s="28"/>
      <c r="EJ409" s="28"/>
      <c r="EM409" s="28"/>
      <c r="EP409" s="28"/>
      <c r="ES409" s="28"/>
      <c r="EV409" s="28"/>
      <c r="EY409" s="28"/>
      <c r="FB409" s="28"/>
      <c r="FE409" s="28"/>
      <c r="FH409" s="28"/>
      <c r="FK409" s="28"/>
      <c r="FN409" s="28"/>
      <c r="FQ409" s="28"/>
      <c r="FT409" s="28"/>
      <c r="FW409" s="28"/>
      <c r="FZ409" s="28"/>
      <c r="GC409" s="28"/>
    </row>
    <row r="410" spans="1:185" s="25" customFormat="1" x14ac:dyDescent="0.3">
      <c r="A410" s="27"/>
      <c r="B410" s="28"/>
      <c r="C410" s="27"/>
      <c r="D410" s="26"/>
      <c r="E410" s="28"/>
      <c r="H410" s="28"/>
      <c r="K410" s="28"/>
      <c r="N410" s="28"/>
      <c r="Q410" s="28"/>
      <c r="T410" s="28"/>
      <c r="W410" s="28"/>
      <c r="Z410" s="28"/>
      <c r="AC410" s="28"/>
      <c r="AF410" s="28"/>
      <c r="AI410" s="28"/>
      <c r="AL410" s="28"/>
      <c r="AO410" s="28"/>
      <c r="AR410" s="28"/>
      <c r="AU410" s="28"/>
      <c r="AX410" s="28"/>
      <c r="BA410" s="28"/>
      <c r="BD410" s="28"/>
      <c r="BG410" s="28"/>
      <c r="BJ410" s="28"/>
      <c r="BM410" s="28"/>
      <c r="BP410" s="28"/>
      <c r="BS410" s="28"/>
      <c r="BV410" s="28"/>
      <c r="BY410" s="28"/>
      <c r="CB410" s="28"/>
      <c r="CE410" s="28"/>
      <c r="CH410" s="28"/>
      <c r="CK410" s="28"/>
      <c r="CN410" s="28"/>
      <c r="CQ410" s="28"/>
      <c r="CT410" s="28"/>
      <c r="CW410" s="28"/>
      <c r="CZ410" s="28"/>
      <c r="DC410" s="28"/>
      <c r="DF410" s="28"/>
      <c r="DI410" s="28"/>
      <c r="DL410" s="28"/>
      <c r="DO410" s="28"/>
      <c r="DR410" s="28"/>
      <c r="DU410" s="28"/>
      <c r="DX410" s="28"/>
      <c r="EA410" s="28"/>
      <c r="ED410" s="28"/>
      <c r="EG410" s="28"/>
      <c r="EJ410" s="28"/>
      <c r="EM410" s="28"/>
      <c r="EP410" s="28"/>
      <c r="ES410" s="28"/>
      <c r="EV410" s="28"/>
      <c r="EY410" s="28"/>
      <c r="FB410" s="28"/>
      <c r="FE410" s="28"/>
      <c r="FH410" s="28"/>
      <c r="FK410" s="28"/>
      <c r="FN410" s="28"/>
      <c r="FQ410" s="28"/>
      <c r="FT410" s="28"/>
      <c r="FW410" s="28"/>
      <c r="FZ410" s="28"/>
      <c r="GC410" s="28"/>
    </row>
    <row r="411" spans="1:185" s="25" customFormat="1" x14ac:dyDescent="0.3">
      <c r="A411" s="27"/>
      <c r="B411" s="28"/>
      <c r="C411" s="27"/>
      <c r="D411" s="26"/>
      <c r="E411" s="28"/>
      <c r="H411" s="28"/>
      <c r="K411" s="28"/>
      <c r="N411" s="28"/>
      <c r="Q411" s="28"/>
      <c r="T411" s="28"/>
      <c r="W411" s="28"/>
      <c r="Z411" s="28"/>
      <c r="AC411" s="28"/>
      <c r="AF411" s="28"/>
      <c r="AI411" s="28"/>
      <c r="AL411" s="28"/>
      <c r="AO411" s="28"/>
      <c r="AR411" s="28"/>
      <c r="AU411" s="28"/>
      <c r="AX411" s="28"/>
      <c r="BA411" s="28"/>
      <c r="BD411" s="28"/>
      <c r="BG411" s="28"/>
      <c r="BJ411" s="28"/>
      <c r="BM411" s="28"/>
      <c r="BP411" s="28"/>
      <c r="BS411" s="28"/>
      <c r="BV411" s="28"/>
      <c r="BY411" s="28"/>
      <c r="CB411" s="28"/>
      <c r="CE411" s="28"/>
      <c r="CH411" s="28"/>
      <c r="CK411" s="28"/>
      <c r="CN411" s="28"/>
      <c r="CQ411" s="28"/>
      <c r="CT411" s="28"/>
      <c r="CW411" s="28"/>
      <c r="CZ411" s="28"/>
      <c r="DC411" s="28"/>
      <c r="DF411" s="28"/>
      <c r="DI411" s="28"/>
      <c r="DL411" s="28"/>
      <c r="DO411" s="28"/>
      <c r="DR411" s="28"/>
      <c r="DU411" s="28"/>
      <c r="DX411" s="28"/>
      <c r="EA411" s="28"/>
      <c r="ED411" s="28"/>
      <c r="EG411" s="28"/>
      <c r="EJ411" s="28"/>
      <c r="EM411" s="28"/>
      <c r="EP411" s="28"/>
      <c r="ES411" s="28"/>
      <c r="EV411" s="28"/>
      <c r="EY411" s="28"/>
      <c r="FB411" s="28"/>
      <c r="FE411" s="28"/>
      <c r="FH411" s="28"/>
      <c r="FK411" s="28"/>
      <c r="FN411" s="28"/>
      <c r="FQ411" s="28"/>
      <c r="FT411" s="28"/>
      <c r="FW411" s="28"/>
      <c r="FZ411" s="28"/>
      <c r="GC411" s="28"/>
    </row>
    <row r="412" spans="1:185" s="25" customFormat="1" x14ac:dyDescent="0.3">
      <c r="A412" s="27"/>
      <c r="B412" s="28"/>
      <c r="C412" s="27"/>
      <c r="D412" s="26"/>
      <c r="E412" s="28"/>
      <c r="H412" s="28"/>
      <c r="K412" s="28"/>
      <c r="N412" s="28"/>
      <c r="Q412" s="28"/>
      <c r="T412" s="28"/>
      <c r="W412" s="28"/>
      <c r="Z412" s="28"/>
      <c r="AC412" s="28"/>
      <c r="AF412" s="28"/>
      <c r="AI412" s="28"/>
      <c r="AL412" s="28"/>
      <c r="AO412" s="28"/>
      <c r="AR412" s="28"/>
      <c r="AU412" s="28"/>
      <c r="AX412" s="28"/>
      <c r="BA412" s="28"/>
      <c r="BD412" s="28"/>
      <c r="BG412" s="28"/>
      <c r="BJ412" s="28"/>
      <c r="BM412" s="28"/>
      <c r="BP412" s="28"/>
      <c r="BS412" s="28"/>
      <c r="BV412" s="28"/>
      <c r="BY412" s="28"/>
      <c r="CB412" s="28"/>
      <c r="CE412" s="28"/>
      <c r="CH412" s="28"/>
      <c r="CK412" s="28"/>
      <c r="CN412" s="28"/>
      <c r="CQ412" s="28"/>
      <c r="CT412" s="28"/>
      <c r="CW412" s="28"/>
      <c r="CZ412" s="28"/>
      <c r="DC412" s="28"/>
      <c r="DF412" s="28"/>
      <c r="DI412" s="28"/>
      <c r="DL412" s="28"/>
      <c r="DO412" s="28"/>
      <c r="DR412" s="28"/>
      <c r="DU412" s="28"/>
      <c r="DX412" s="28"/>
      <c r="EA412" s="28"/>
      <c r="ED412" s="28"/>
      <c r="EG412" s="28"/>
      <c r="EJ412" s="28"/>
      <c r="EM412" s="28"/>
      <c r="EP412" s="28"/>
      <c r="ES412" s="28"/>
      <c r="EV412" s="28"/>
      <c r="EY412" s="28"/>
      <c r="FB412" s="28"/>
      <c r="FE412" s="28"/>
      <c r="FH412" s="28"/>
      <c r="FK412" s="28"/>
      <c r="FN412" s="28"/>
      <c r="FQ412" s="28"/>
      <c r="FT412" s="28"/>
      <c r="FW412" s="28"/>
      <c r="FZ412" s="28"/>
      <c r="GC412" s="28"/>
    </row>
    <row r="413" spans="1:185" s="25" customFormat="1" x14ac:dyDescent="0.3">
      <c r="A413" s="27"/>
      <c r="B413" s="28"/>
      <c r="C413" s="27"/>
      <c r="D413" s="26"/>
      <c r="E413" s="28"/>
      <c r="H413" s="28"/>
      <c r="K413" s="28"/>
      <c r="N413" s="28"/>
      <c r="Q413" s="28"/>
      <c r="T413" s="28"/>
      <c r="W413" s="28"/>
      <c r="Z413" s="28"/>
      <c r="AC413" s="28"/>
      <c r="AF413" s="28"/>
      <c r="AI413" s="28"/>
      <c r="AL413" s="28"/>
      <c r="AO413" s="28"/>
      <c r="AR413" s="28"/>
      <c r="AU413" s="28"/>
      <c r="AX413" s="28"/>
      <c r="BA413" s="28"/>
      <c r="BD413" s="28"/>
      <c r="BG413" s="28"/>
      <c r="BJ413" s="28"/>
      <c r="BM413" s="28"/>
      <c r="BP413" s="28"/>
      <c r="BS413" s="28"/>
      <c r="BV413" s="28"/>
      <c r="BY413" s="28"/>
      <c r="CB413" s="28"/>
      <c r="CE413" s="28"/>
      <c r="CH413" s="28"/>
      <c r="CK413" s="28"/>
      <c r="CN413" s="28"/>
      <c r="CQ413" s="28"/>
      <c r="CT413" s="28"/>
      <c r="CW413" s="28"/>
      <c r="CZ413" s="28"/>
      <c r="DC413" s="28"/>
      <c r="DF413" s="28"/>
      <c r="DI413" s="28"/>
      <c r="DL413" s="28"/>
      <c r="DO413" s="28"/>
      <c r="DR413" s="28"/>
      <c r="DU413" s="28"/>
      <c r="DX413" s="28"/>
      <c r="EA413" s="28"/>
      <c r="ED413" s="28"/>
      <c r="EG413" s="28"/>
      <c r="EJ413" s="28"/>
      <c r="EM413" s="28"/>
      <c r="EP413" s="28"/>
      <c r="ES413" s="28"/>
      <c r="EV413" s="28"/>
      <c r="EY413" s="28"/>
      <c r="FB413" s="28"/>
      <c r="FE413" s="28"/>
      <c r="FH413" s="28"/>
      <c r="FK413" s="28"/>
      <c r="FN413" s="28"/>
      <c r="FQ413" s="28"/>
      <c r="FT413" s="28"/>
      <c r="FW413" s="28"/>
      <c r="FZ413" s="28"/>
      <c r="GC413" s="28"/>
    </row>
    <row r="414" spans="1:185" s="25" customFormat="1" x14ac:dyDescent="0.3">
      <c r="A414" s="27"/>
      <c r="B414" s="28"/>
      <c r="C414" s="27"/>
      <c r="D414" s="26"/>
      <c r="E414" s="28"/>
      <c r="H414" s="28"/>
      <c r="K414" s="28"/>
      <c r="N414" s="28"/>
      <c r="Q414" s="28"/>
      <c r="T414" s="28"/>
      <c r="W414" s="28"/>
      <c r="Z414" s="28"/>
      <c r="AC414" s="28"/>
      <c r="AF414" s="28"/>
      <c r="AI414" s="28"/>
      <c r="AL414" s="28"/>
      <c r="AO414" s="28"/>
      <c r="AR414" s="28"/>
      <c r="AU414" s="28"/>
      <c r="AX414" s="28"/>
      <c r="BA414" s="28"/>
      <c r="BD414" s="28"/>
      <c r="BG414" s="28"/>
      <c r="BJ414" s="28"/>
      <c r="BM414" s="28"/>
      <c r="BP414" s="28"/>
      <c r="BS414" s="28"/>
      <c r="BV414" s="28"/>
      <c r="BY414" s="28"/>
      <c r="CB414" s="28"/>
      <c r="CE414" s="28"/>
      <c r="CH414" s="28"/>
      <c r="CK414" s="28"/>
      <c r="CN414" s="28"/>
      <c r="CQ414" s="28"/>
      <c r="CT414" s="28"/>
      <c r="CW414" s="28"/>
      <c r="CZ414" s="28"/>
      <c r="DC414" s="28"/>
      <c r="DF414" s="28"/>
      <c r="DI414" s="28"/>
      <c r="DL414" s="28"/>
      <c r="DO414" s="28"/>
      <c r="DR414" s="28"/>
      <c r="DU414" s="28"/>
      <c r="DX414" s="28"/>
      <c r="EA414" s="28"/>
      <c r="ED414" s="28"/>
      <c r="EG414" s="28"/>
      <c r="EJ414" s="28"/>
      <c r="EM414" s="28"/>
      <c r="EP414" s="28"/>
      <c r="ES414" s="28"/>
      <c r="EV414" s="28"/>
      <c r="EY414" s="28"/>
      <c r="FB414" s="28"/>
      <c r="FE414" s="28"/>
      <c r="FH414" s="28"/>
      <c r="FK414" s="28"/>
      <c r="FN414" s="28"/>
      <c r="FQ414" s="28"/>
      <c r="FT414" s="28"/>
      <c r="FW414" s="28"/>
      <c r="FZ414" s="28"/>
      <c r="GC414" s="28"/>
    </row>
    <row r="415" spans="1:185" s="25" customFormat="1" x14ac:dyDescent="0.3">
      <c r="A415" s="27"/>
      <c r="B415" s="28"/>
      <c r="C415" s="27"/>
      <c r="D415" s="26"/>
      <c r="E415" s="28"/>
      <c r="H415" s="28"/>
      <c r="K415" s="28"/>
      <c r="N415" s="28"/>
      <c r="Q415" s="28"/>
      <c r="T415" s="28"/>
      <c r="W415" s="28"/>
      <c r="Z415" s="28"/>
      <c r="AC415" s="28"/>
      <c r="AF415" s="28"/>
      <c r="AI415" s="28"/>
      <c r="AL415" s="28"/>
      <c r="AO415" s="28"/>
      <c r="AR415" s="28"/>
      <c r="AU415" s="28"/>
      <c r="AX415" s="28"/>
      <c r="BA415" s="28"/>
      <c r="BD415" s="28"/>
      <c r="BG415" s="28"/>
      <c r="BJ415" s="28"/>
      <c r="BM415" s="28"/>
      <c r="BP415" s="28"/>
      <c r="BS415" s="28"/>
      <c r="BV415" s="28"/>
      <c r="BY415" s="28"/>
      <c r="CB415" s="28"/>
      <c r="CE415" s="28"/>
      <c r="CH415" s="28"/>
      <c r="CK415" s="28"/>
      <c r="CN415" s="28"/>
      <c r="CQ415" s="28"/>
      <c r="CT415" s="28"/>
      <c r="CW415" s="28"/>
      <c r="CZ415" s="28"/>
      <c r="DC415" s="28"/>
      <c r="DF415" s="28"/>
      <c r="DI415" s="28"/>
      <c r="DL415" s="28"/>
      <c r="DO415" s="28"/>
      <c r="DR415" s="28"/>
      <c r="DU415" s="28"/>
      <c r="DX415" s="28"/>
      <c r="EA415" s="28"/>
      <c r="ED415" s="28"/>
      <c r="EG415" s="28"/>
      <c r="EJ415" s="28"/>
      <c r="EM415" s="28"/>
      <c r="EP415" s="28"/>
      <c r="ES415" s="28"/>
      <c r="EV415" s="28"/>
      <c r="EY415" s="28"/>
      <c r="FB415" s="28"/>
      <c r="FE415" s="28"/>
      <c r="FH415" s="28"/>
      <c r="FK415" s="28"/>
      <c r="FN415" s="28"/>
      <c r="FQ415" s="28"/>
      <c r="FT415" s="28"/>
      <c r="FW415" s="28"/>
      <c r="FZ415" s="28"/>
      <c r="GC415" s="28"/>
    </row>
    <row r="416" spans="1:185" s="25" customFormat="1" x14ac:dyDescent="0.3">
      <c r="A416" s="27"/>
      <c r="B416" s="28"/>
      <c r="C416" s="27"/>
      <c r="D416" s="26"/>
      <c r="E416" s="28"/>
      <c r="H416" s="28"/>
      <c r="K416" s="28"/>
      <c r="N416" s="28"/>
      <c r="Q416" s="28"/>
      <c r="T416" s="28"/>
      <c r="W416" s="28"/>
      <c r="Z416" s="28"/>
      <c r="AC416" s="28"/>
      <c r="AF416" s="28"/>
      <c r="AI416" s="28"/>
      <c r="AL416" s="28"/>
      <c r="AO416" s="28"/>
      <c r="AR416" s="28"/>
      <c r="AU416" s="28"/>
      <c r="AX416" s="28"/>
      <c r="BA416" s="28"/>
      <c r="BD416" s="28"/>
      <c r="BG416" s="28"/>
      <c r="BJ416" s="28"/>
      <c r="BM416" s="28"/>
      <c r="BP416" s="28"/>
      <c r="BS416" s="28"/>
      <c r="BV416" s="28"/>
      <c r="BY416" s="28"/>
      <c r="CB416" s="28"/>
      <c r="CE416" s="28"/>
      <c r="CH416" s="28"/>
      <c r="CK416" s="28"/>
      <c r="CN416" s="28"/>
      <c r="CQ416" s="28"/>
      <c r="CT416" s="28"/>
      <c r="CW416" s="28"/>
      <c r="CZ416" s="28"/>
      <c r="DC416" s="28"/>
      <c r="DF416" s="28"/>
      <c r="DI416" s="28"/>
      <c r="DL416" s="28"/>
      <c r="DO416" s="28"/>
      <c r="DR416" s="28"/>
      <c r="DU416" s="28"/>
      <c r="DX416" s="28"/>
      <c r="EA416" s="28"/>
      <c r="ED416" s="28"/>
      <c r="EG416" s="28"/>
      <c r="EJ416" s="28"/>
      <c r="EM416" s="28"/>
      <c r="EP416" s="28"/>
      <c r="ES416" s="28"/>
      <c r="EV416" s="28"/>
      <c r="EY416" s="28"/>
      <c r="FB416" s="28"/>
      <c r="FE416" s="28"/>
      <c r="FH416" s="28"/>
      <c r="FK416" s="28"/>
      <c r="FN416" s="28"/>
      <c r="FQ416" s="28"/>
      <c r="FT416" s="28"/>
      <c r="FW416" s="28"/>
      <c r="FZ416" s="28"/>
      <c r="GC416" s="28"/>
    </row>
    <row r="417" spans="1:185" s="25" customFormat="1" x14ac:dyDescent="0.3">
      <c r="A417" s="27"/>
      <c r="B417" s="28"/>
      <c r="C417" s="27"/>
      <c r="D417" s="26"/>
      <c r="E417" s="28"/>
      <c r="H417" s="28"/>
      <c r="K417" s="28"/>
      <c r="N417" s="28"/>
      <c r="Q417" s="28"/>
      <c r="T417" s="28"/>
      <c r="W417" s="28"/>
      <c r="Z417" s="28"/>
      <c r="AC417" s="28"/>
      <c r="AF417" s="28"/>
      <c r="AI417" s="28"/>
      <c r="AL417" s="28"/>
      <c r="AO417" s="28"/>
      <c r="AR417" s="28"/>
      <c r="AU417" s="28"/>
      <c r="AX417" s="28"/>
      <c r="BA417" s="28"/>
      <c r="BD417" s="28"/>
      <c r="BG417" s="28"/>
      <c r="BJ417" s="28"/>
      <c r="BM417" s="28"/>
      <c r="BP417" s="28"/>
      <c r="BS417" s="28"/>
      <c r="BV417" s="28"/>
      <c r="BY417" s="28"/>
      <c r="CB417" s="28"/>
      <c r="CE417" s="28"/>
      <c r="CH417" s="28"/>
      <c r="CK417" s="28"/>
      <c r="CN417" s="28"/>
      <c r="CQ417" s="28"/>
      <c r="CT417" s="28"/>
      <c r="CW417" s="28"/>
      <c r="CZ417" s="28"/>
      <c r="DC417" s="28"/>
      <c r="DF417" s="28"/>
      <c r="DI417" s="28"/>
      <c r="DL417" s="28"/>
      <c r="DO417" s="28"/>
      <c r="DR417" s="28"/>
      <c r="DU417" s="28"/>
      <c r="DX417" s="28"/>
      <c r="EA417" s="28"/>
      <c r="ED417" s="28"/>
      <c r="EG417" s="28"/>
      <c r="EJ417" s="28"/>
      <c r="EM417" s="28"/>
      <c r="EP417" s="28"/>
      <c r="ES417" s="28"/>
      <c r="EV417" s="28"/>
      <c r="EY417" s="28"/>
      <c r="FB417" s="28"/>
      <c r="FE417" s="28"/>
      <c r="FH417" s="28"/>
      <c r="FK417" s="28"/>
      <c r="FN417" s="28"/>
      <c r="FQ417" s="28"/>
      <c r="FT417" s="28"/>
      <c r="FW417" s="28"/>
      <c r="FZ417" s="28"/>
      <c r="GC417" s="28"/>
    </row>
    <row r="418" spans="1:185" s="25" customFormat="1" x14ac:dyDescent="0.3">
      <c r="A418" s="27"/>
      <c r="B418" s="28"/>
      <c r="C418" s="27"/>
      <c r="D418" s="26"/>
      <c r="E418" s="28"/>
      <c r="H418" s="28"/>
      <c r="K418" s="28"/>
      <c r="N418" s="28"/>
      <c r="Q418" s="28"/>
      <c r="T418" s="28"/>
      <c r="W418" s="28"/>
      <c r="Z418" s="28"/>
      <c r="AC418" s="28"/>
      <c r="AF418" s="28"/>
      <c r="AI418" s="28"/>
      <c r="AL418" s="28"/>
      <c r="AO418" s="28"/>
      <c r="AR418" s="28"/>
      <c r="AU418" s="28"/>
      <c r="AX418" s="28"/>
      <c r="BA418" s="28"/>
      <c r="BD418" s="28"/>
      <c r="BG418" s="28"/>
      <c r="BJ418" s="28"/>
      <c r="BM418" s="28"/>
      <c r="BP418" s="28"/>
      <c r="BS418" s="28"/>
      <c r="BV418" s="28"/>
      <c r="BY418" s="28"/>
      <c r="CB418" s="28"/>
      <c r="CE418" s="28"/>
      <c r="CH418" s="28"/>
      <c r="CK418" s="28"/>
      <c r="CN418" s="28"/>
      <c r="CQ418" s="28"/>
      <c r="CT418" s="28"/>
      <c r="CW418" s="28"/>
      <c r="CZ418" s="28"/>
      <c r="DC418" s="28"/>
      <c r="DF418" s="28"/>
      <c r="DI418" s="28"/>
      <c r="DL418" s="28"/>
      <c r="DO418" s="28"/>
      <c r="DR418" s="28"/>
      <c r="DU418" s="28"/>
      <c r="DX418" s="28"/>
      <c r="EA418" s="28"/>
      <c r="ED418" s="28"/>
      <c r="EG418" s="28"/>
      <c r="EJ418" s="28"/>
      <c r="EM418" s="28"/>
      <c r="EP418" s="28"/>
      <c r="ES418" s="28"/>
      <c r="EV418" s="28"/>
      <c r="EY418" s="28"/>
      <c r="FB418" s="28"/>
      <c r="FE418" s="28"/>
      <c r="FH418" s="28"/>
      <c r="FK418" s="28"/>
      <c r="FN418" s="28"/>
      <c r="FQ418" s="28"/>
      <c r="FT418" s="28"/>
      <c r="FW418" s="28"/>
      <c r="FZ418" s="28"/>
      <c r="GC418" s="28"/>
    </row>
    <row r="419" spans="1:185" s="25" customFormat="1" x14ac:dyDescent="0.3">
      <c r="A419" s="27"/>
      <c r="B419" s="28"/>
      <c r="C419" s="27"/>
      <c r="D419" s="26"/>
      <c r="E419" s="28"/>
      <c r="H419" s="28"/>
      <c r="K419" s="28"/>
      <c r="N419" s="28"/>
      <c r="Q419" s="28"/>
      <c r="T419" s="28"/>
      <c r="W419" s="28"/>
      <c r="Z419" s="28"/>
      <c r="AC419" s="28"/>
      <c r="AF419" s="28"/>
      <c r="AI419" s="28"/>
      <c r="AL419" s="28"/>
      <c r="AO419" s="28"/>
      <c r="AR419" s="28"/>
      <c r="AU419" s="28"/>
      <c r="AX419" s="28"/>
      <c r="BA419" s="28"/>
      <c r="BD419" s="28"/>
      <c r="BG419" s="28"/>
      <c r="BJ419" s="28"/>
      <c r="BM419" s="28"/>
      <c r="BP419" s="28"/>
      <c r="BS419" s="28"/>
      <c r="BV419" s="28"/>
      <c r="BY419" s="28"/>
      <c r="CB419" s="28"/>
      <c r="CE419" s="28"/>
      <c r="CH419" s="28"/>
      <c r="CK419" s="28"/>
      <c r="CN419" s="28"/>
      <c r="CQ419" s="28"/>
      <c r="CT419" s="28"/>
      <c r="CW419" s="28"/>
      <c r="CZ419" s="28"/>
      <c r="DC419" s="28"/>
      <c r="DF419" s="28"/>
      <c r="DI419" s="28"/>
      <c r="DL419" s="28"/>
      <c r="DO419" s="28"/>
      <c r="DR419" s="28"/>
      <c r="DU419" s="28"/>
      <c r="DX419" s="28"/>
      <c r="EA419" s="28"/>
      <c r="ED419" s="28"/>
      <c r="EG419" s="28"/>
      <c r="EJ419" s="28"/>
      <c r="EM419" s="28"/>
      <c r="EP419" s="28"/>
      <c r="ES419" s="28"/>
      <c r="EV419" s="28"/>
      <c r="EY419" s="28"/>
      <c r="FB419" s="28"/>
      <c r="FE419" s="28"/>
      <c r="FH419" s="28"/>
      <c r="FK419" s="28"/>
      <c r="FN419" s="28"/>
      <c r="FQ419" s="28"/>
      <c r="FT419" s="28"/>
      <c r="FW419" s="28"/>
      <c r="FZ419" s="28"/>
      <c r="GC419" s="28"/>
    </row>
    <row r="420" spans="1:185" s="25" customFormat="1" x14ac:dyDescent="0.3">
      <c r="A420" s="27"/>
      <c r="B420" s="28"/>
      <c r="C420" s="27"/>
      <c r="D420" s="26"/>
      <c r="E420" s="28"/>
      <c r="H420" s="28"/>
      <c r="K420" s="28"/>
      <c r="N420" s="28"/>
      <c r="Q420" s="28"/>
      <c r="T420" s="28"/>
      <c r="W420" s="28"/>
      <c r="Z420" s="28"/>
      <c r="AC420" s="28"/>
      <c r="AF420" s="28"/>
      <c r="AI420" s="28"/>
      <c r="AL420" s="28"/>
      <c r="AO420" s="28"/>
      <c r="AR420" s="28"/>
      <c r="AU420" s="28"/>
      <c r="AX420" s="28"/>
      <c r="BA420" s="28"/>
      <c r="BD420" s="28"/>
      <c r="BG420" s="28"/>
      <c r="BJ420" s="28"/>
      <c r="BM420" s="28"/>
      <c r="BP420" s="28"/>
      <c r="BS420" s="28"/>
      <c r="BV420" s="28"/>
      <c r="BY420" s="28"/>
      <c r="CB420" s="28"/>
      <c r="CE420" s="28"/>
      <c r="CH420" s="28"/>
      <c r="CK420" s="28"/>
      <c r="CN420" s="28"/>
      <c r="CQ420" s="28"/>
      <c r="CT420" s="28"/>
      <c r="CW420" s="28"/>
      <c r="CZ420" s="28"/>
      <c r="DC420" s="28"/>
      <c r="DF420" s="28"/>
      <c r="DI420" s="28"/>
      <c r="DL420" s="28"/>
      <c r="DO420" s="28"/>
      <c r="DR420" s="28"/>
      <c r="DU420" s="28"/>
      <c r="DX420" s="28"/>
      <c r="EA420" s="28"/>
      <c r="ED420" s="28"/>
      <c r="EG420" s="28"/>
      <c r="EJ420" s="28"/>
      <c r="EM420" s="28"/>
      <c r="EP420" s="28"/>
      <c r="ES420" s="28"/>
      <c r="EV420" s="28"/>
      <c r="EY420" s="28"/>
      <c r="FB420" s="28"/>
      <c r="FE420" s="28"/>
      <c r="FH420" s="28"/>
      <c r="FK420" s="28"/>
      <c r="FN420" s="28"/>
      <c r="FQ420" s="28"/>
      <c r="FT420" s="28"/>
      <c r="FW420" s="28"/>
      <c r="FZ420" s="28"/>
      <c r="GC420" s="28"/>
    </row>
    <row r="421" spans="1:185" s="25" customFormat="1" x14ac:dyDescent="0.3">
      <c r="A421" s="27"/>
      <c r="B421" s="28"/>
      <c r="C421" s="27"/>
      <c r="D421" s="26"/>
      <c r="E421" s="28"/>
      <c r="H421" s="28"/>
      <c r="K421" s="28"/>
      <c r="N421" s="28"/>
      <c r="Q421" s="28"/>
      <c r="T421" s="28"/>
      <c r="W421" s="28"/>
      <c r="Z421" s="28"/>
      <c r="AC421" s="28"/>
      <c r="AF421" s="28"/>
      <c r="AI421" s="28"/>
      <c r="AL421" s="28"/>
      <c r="AO421" s="28"/>
      <c r="AR421" s="28"/>
      <c r="AU421" s="28"/>
      <c r="AX421" s="28"/>
      <c r="BA421" s="28"/>
      <c r="BD421" s="28"/>
      <c r="BG421" s="28"/>
      <c r="BJ421" s="28"/>
      <c r="BM421" s="28"/>
      <c r="BP421" s="28"/>
      <c r="BS421" s="28"/>
      <c r="BV421" s="28"/>
      <c r="BY421" s="28"/>
      <c r="CB421" s="28"/>
      <c r="CE421" s="28"/>
      <c r="CH421" s="28"/>
      <c r="CK421" s="28"/>
      <c r="CN421" s="28"/>
      <c r="CQ421" s="28"/>
      <c r="CT421" s="28"/>
      <c r="CW421" s="28"/>
      <c r="CZ421" s="28"/>
      <c r="DC421" s="28"/>
      <c r="DF421" s="28"/>
      <c r="DI421" s="28"/>
      <c r="DL421" s="28"/>
      <c r="DO421" s="28"/>
      <c r="DR421" s="28"/>
      <c r="DU421" s="28"/>
      <c r="DX421" s="28"/>
      <c r="EA421" s="28"/>
      <c r="ED421" s="28"/>
      <c r="EG421" s="28"/>
      <c r="EJ421" s="28"/>
      <c r="EM421" s="28"/>
      <c r="EP421" s="28"/>
      <c r="ES421" s="28"/>
      <c r="EV421" s="28"/>
      <c r="EY421" s="28"/>
      <c r="FB421" s="28"/>
      <c r="FE421" s="28"/>
      <c r="FH421" s="28"/>
      <c r="FK421" s="28"/>
      <c r="FN421" s="28"/>
      <c r="FQ421" s="28"/>
      <c r="FT421" s="28"/>
      <c r="FW421" s="28"/>
      <c r="FZ421" s="28"/>
      <c r="GC421" s="28"/>
    </row>
    <row r="422" spans="1:185" s="25" customFormat="1" x14ac:dyDescent="0.3">
      <c r="A422" s="27"/>
      <c r="B422" s="28"/>
      <c r="C422" s="27"/>
      <c r="D422" s="26"/>
      <c r="E422" s="28"/>
      <c r="H422" s="28"/>
      <c r="K422" s="28"/>
      <c r="N422" s="28"/>
      <c r="Q422" s="28"/>
      <c r="T422" s="28"/>
      <c r="W422" s="28"/>
      <c r="Z422" s="28"/>
      <c r="AC422" s="28"/>
      <c r="AF422" s="28"/>
      <c r="AI422" s="28"/>
      <c r="AL422" s="28"/>
      <c r="AO422" s="28"/>
      <c r="AR422" s="28"/>
      <c r="AU422" s="28"/>
      <c r="AX422" s="28"/>
      <c r="BA422" s="28"/>
      <c r="BD422" s="28"/>
      <c r="BG422" s="28"/>
      <c r="BJ422" s="28"/>
      <c r="BM422" s="28"/>
      <c r="BP422" s="28"/>
      <c r="BS422" s="28"/>
      <c r="BV422" s="28"/>
      <c r="BY422" s="28"/>
      <c r="CB422" s="28"/>
      <c r="CE422" s="28"/>
      <c r="CH422" s="28"/>
      <c r="CK422" s="28"/>
      <c r="CN422" s="28"/>
      <c r="CQ422" s="28"/>
      <c r="CT422" s="28"/>
      <c r="CW422" s="28"/>
      <c r="CZ422" s="28"/>
      <c r="DC422" s="28"/>
      <c r="DF422" s="28"/>
      <c r="DI422" s="28"/>
      <c r="DL422" s="28"/>
      <c r="DO422" s="28"/>
      <c r="DR422" s="28"/>
      <c r="DU422" s="28"/>
      <c r="DX422" s="28"/>
      <c r="EA422" s="28"/>
      <c r="ED422" s="28"/>
      <c r="EG422" s="28"/>
      <c r="EJ422" s="28"/>
      <c r="EM422" s="28"/>
      <c r="EP422" s="28"/>
      <c r="ES422" s="28"/>
      <c r="EV422" s="28"/>
      <c r="EY422" s="28"/>
      <c r="FB422" s="28"/>
      <c r="FE422" s="28"/>
      <c r="FH422" s="28"/>
      <c r="FK422" s="28"/>
      <c r="FN422" s="28"/>
      <c r="FQ422" s="28"/>
      <c r="FT422" s="28"/>
      <c r="FW422" s="28"/>
      <c r="FZ422" s="28"/>
      <c r="GC422" s="28"/>
    </row>
    <row r="423" spans="1:185" s="25" customFormat="1" x14ac:dyDescent="0.3">
      <c r="A423" s="27"/>
      <c r="B423" s="28"/>
      <c r="C423" s="27"/>
      <c r="D423" s="26"/>
      <c r="E423" s="28"/>
      <c r="H423" s="28"/>
      <c r="K423" s="28"/>
      <c r="N423" s="28"/>
      <c r="Q423" s="28"/>
      <c r="T423" s="28"/>
      <c r="W423" s="28"/>
      <c r="Z423" s="28"/>
      <c r="AC423" s="28"/>
      <c r="AF423" s="28"/>
      <c r="AI423" s="28"/>
      <c r="AL423" s="28"/>
      <c r="AO423" s="28"/>
      <c r="AR423" s="28"/>
      <c r="AU423" s="28"/>
      <c r="AX423" s="28"/>
      <c r="BA423" s="28"/>
      <c r="BD423" s="28"/>
      <c r="BG423" s="28"/>
      <c r="BJ423" s="28"/>
      <c r="BM423" s="28"/>
      <c r="BP423" s="28"/>
      <c r="BS423" s="28"/>
      <c r="BV423" s="28"/>
      <c r="BY423" s="28"/>
      <c r="CB423" s="28"/>
      <c r="CE423" s="28"/>
      <c r="CH423" s="28"/>
      <c r="CK423" s="28"/>
      <c r="CN423" s="28"/>
      <c r="CQ423" s="28"/>
      <c r="CT423" s="28"/>
      <c r="CW423" s="28"/>
      <c r="CZ423" s="28"/>
      <c r="DC423" s="28"/>
      <c r="DF423" s="28"/>
      <c r="DI423" s="28"/>
      <c r="DL423" s="28"/>
      <c r="DO423" s="28"/>
      <c r="DR423" s="28"/>
      <c r="DU423" s="28"/>
      <c r="DX423" s="28"/>
      <c r="EA423" s="28"/>
      <c r="ED423" s="28"/>
      <c r="EG423" s="28"/>
      <c r="EJ423" s="28"/>
      <c r="EM423" s="28"/>
      <c r="EP423" s="28"/>
      <c r="ES423" s="28"/>
      <c r="EV423" s="28"/>
      <c r="EY423" s="28"/>
      <c r="FB423" s="28"/>
      <c r="FE423" s="28"/>
      <c r="FH423" s="28"/>
      <c r="FK423" s="28"/>
      <c r="FN423" s="28"/>
      <c r="FQ423" s="28"/>
      <c r="FT423" s="28"/>
      <c r="FW423" s="28"/>
      <c r="FZ423" s="28"/>
      <c r="GC423" s="28"/>
    </row>
    <row r="424" spans="1:185" s="25" customFormat="1" x14ac:dyDescent="0.3">
      <c r="A424" s="27"/>
      <c r="B424" s="28"/>
      <c r="C424" s="27"/>
      <c r="D424" s="26"/>
      <c r="E424" s="28"/>
      <c r="H424" s="28"/>
      <c r="K424" s="28"/>
      <c r="N424" s="28"/>
      <c r="Q424" s="28"/>
      <c r="T424" s="28"/>
      <c r="W424" s="28"/>
      <c r="Z424" s="28"/>
      <c r="AC424" s="28"/>
      <c r="AF424" s="28"/>
      <c r="AI424" s="28"/>
      <c r="AL424" s="28"/>
      <c r="AO424" s="28"/>
      <c r="AR424" s="28"/>
      <c r="AU424" s="28"/>
      <c r="AX424" s="28"/>
      <c r="BA424" s="28"/>
      <c r="BD424" s="28"/>
      <c r="BG424" s="28"/>
      <c r="BJ424" s="28"/>
      <c r="BM424" s="28"/>
      <c r="BP424" s="28"/>
      <c r="BS424" s="28"/>
      <c r="BV424" s="28"/>
      <c r="BY424" s="28"/>
      <c r="CB424" s="28"/>
      <c r="CE424" s="28"/>
      <c r="CH424" s="28"/>
      <c r="CK424" s="28"/>
      <c r="CN424" s="28"/>
      <c r="CQ424" s="28"/>
      <c r="CT424" s="28"/>
      <c r="CW424" s="28"/>
      <c r="CZ424" s="28"/>
      <c r="DC424" s="28"/>
      <c r="DF424" s="28"/>
      <c r="DI424" s="28"/>
      <c r="DL424" s="28"/>
      <c r="DO424" s="28"/>
      <c r="DR424" s="28"/>
      <c r="DU424" s="28"/>
      <c r="DX424" s="28"/>
      <c r="EA424" s="28"/>
      <c r="ED424" s="28"/>
      <c r="EG424" s="28"/>
      <c r="EJ424" s="28"/>
      <c r="EM424" s="28"/>
      <c r="EP424" s="28"/>
      <c r="ES424" s="28"/>
      <c r="EV424" s="28"/>
      <c r="EY424" s="28"/>
      <c r="FB424" s="28"/>
      <c r="FE424" s="28"/>
      <c r="FH424" s="28"/>
      <c r="FK424" s="28"/>
      <c r="FN424" s="28"/>
      <c r="FQ424" s="28"/>
      <c r="FT424" s="28"/>
      <c r="FW424" s="28"/>
      <c r="FZ424" s="28"/>
      <c r="GC424" s="28"/>
    </row>
    <row r="425" spans="1:185" s="25" customFormat="1" x14ac:dyDescent="0.3">
      <c r="A425" s="27"/>
      <c r="B425" s="28"/>
      <c r="C425" s="27"/>
      <c r="D425" s="26"/>
      <c r="E425" s="28"/>
      <c r="H425" s="28"/>
      <c r="K425" s="28"/>
      <c r="N425" s="28"/>
      <c r="Q425" s="28"/>
      <c r="T425" s="28"/>
      <c r="W425" s="28"/>
      <c r="Z425" s="28"/>
      <c r="AC425" s="28"/>
      <c r="AF425" s="28"/>
      <c r="AI425" s="28"/>
      <c r="AL425" s="28"/>
      <c r="AO425" s="28"/>
      <c r="AR425" s="28"/>
      <c r="AU425" s="28"/>
      <c r="AX425" s="28"/>
      <c r="BA425" s="28"/>
      <c r="BD425" s="28"/>
      <c r="BG425" s="28"/>
      <c r="BJ425" s="28"/>
      <c r="BM425" s="28"/>
      <c r="BP425" s="28"/>
      <c r="BS425" s="28"/>
      <c r="BV425" s="28"/>
      <c r="BY425" s="28"/>
      <c r="CB425" s="28"/>
      <c r="CE425" s="28"/>
      <c r="CH425" s="28"/>
      <c r="CK425" s="28"/>
      <c r="CN425" s="28"/>
      <c r="CQ425" s="28"/>
      <c r="CT425" s="28"/>
      <c r="CW425" s="28"/>
      <c r="CZ425" s="28"/>
      <c r="DC425" s="28"/>
      <c r="DF425" s="28"/>
      <c r="DI425" s="28"/>
      <c r="DL425" s="28"/>
      <c r="DO425" s="28"/>
      <c r="DR425" s="28"/>
      <c r="DU425" s="28"/>
      <c r="DX425" s="28"/>
      <c r="EA425" s="28"/>
      <c r="ED425" s="28"/>
      <c r="EG425" s="28"/>
      <c r="EJ425" s="28"/>
      <c r="EM425" s="28"/>
      <c r="EP425" s="28"/>
      <c r="ES425" s="28"/>
      <c r="EV425" s="28"/>
      <c r="EY425" s="28"/>
      <c r="FB425" s="28"/>
      <c r="FE425" s="28"/>
      <c r="FH425" s="28"/>
      <c r="FK425" s="28"/>
      <c r="FN425" s="28"/>
      <c r="FQ425" s="28"/>
      <c r="FT425" s="28"/>
      <c r="FW425" s="28"/>
      <c r="FZ425" s="28"/>
      <c r="GC425" s="28"/>
    </row>
    <row r="426" spans="1:185" s="25" customFormat="1" x14ac:dyDescent="0.3">
      <c r="A426" s="27"/>
      <c r="B426" s="28"/>
      <c r="C426" s="27"/>
      <c r="D426" s="26"/>
      <c r="E426" s="28"/>
      <c r="H426" s="28"/>
      <c r="K426" s="28"/>
      <c r="N426" s="28"/>
      <c r="Q426" s="28"/>
      <c r="T426" s="28"/>
      <c r="W426" s="28"/>
      <c r="Z426" s="28"/>
      <c r="AC426" s="28"/>
      <c r="AF426" s="28"/>
      <c r="AI426" s="28"/>
      <c r="AL426" s="28"/>
      <c r="AO426" s="28"/>
      <c r="AR426" s="28"/>
      <c r="AU426" s="28"/>
      <c r="AX426" s="28"/>
      <c r="BA426" s="28"/>
      <c r="BD426" s="28"/>
      <c r="BG426" s="28"/>
      <c r="BJ426" s="28"/>
      <c r="BM426" s="28"/>
      <c r="BP426" s="28"/>
      <c r="BS426" s="28"/>
      <c r="BV426" s="28"/>
      <c r="BY426" s="28"/>
      <c r="CB426" s="28"/>
      <c r="CE426" s="28"/>
      <c r="CH426" s="28"/>
      <c r="CK426" s="28"/>
      <c r="CN426" s="28"/>
      <c r="CQ426" s="28"/>
      <c r="CT426" s="28"/>
      <c r="CW426" s="28"/>
      <c r="CZ426" s="28"/>
      <c r="DC426" s="28"/>
      <c r="DF426" s="28"/>
      <c r="DI426" s="28"/>
      <c r="DL426" s="28"/>
      <c r="DO426" s="28"/>
      <c r="DR426" s="28"/>
      <c r="DU426" s="28"/>
      <c r="DX426" s="28"/>
      <c r="EA426" s="28"/>
      <c r="ED426" s="28"/>
      <c r="EG426" s="28"/>
      <c r="EJ426" s="28"/>
      <c r="EM426" s="28"/>
      <c r="EP426" s="28"/>
      <c r="ES426" s="28"/>
      <c r="EV426" s="28"/>
      <c r="EY426" s="28"/>
      <c r="FB426" s="28"/>
      <c r="FE426" s="28"/>
      <c r="FH426" s="28"/>
      <c r="FK426" s="28"/>
      <c r="FN426" s="28"/>
      <c r="FQ426" s="28"/>
      <c r="FT426" s="28"/>
      <c r="FW426" s="28"/>
      <c r="FZ426" s="28"/>
      <c r="GC426" s="28"/>
    </row>
    <row r="427" spans="1:185" s="25" customFormat="1" x14ac:dyDescent="0.3">
      <c r="A427" s="27"/>
      <c r="B427" s="28"/>
      <c r="C427" s="27"/>
      <c r="D427" s="26"/>
      <c r="E427" s="28"/>
      <c r="H427" s="28"/>
      <c r="K427" s="28"/>
      <c r="N427" s="28"/>
      <c r="Q427" s="28"/>
      <c r="T427" s="28"/>
      <c r="W427" s="28"/>
      <c r="Z427" s="28"/>
      <c r="AC427" s="28"/>
      <c r="AF427" s="28"/>
      <c r="AI427" s="28"/>
      <c r="AL427" s="28"/>
      <c r="AO427" s="28"/>
      <c r="AR427" s="28"/>
      <c r="AU427" s="28"/>
      <c r="AX427" s="28"/>
      <c r="BA427" s="28"/>
      <c r="BD427" s="28"/>
      <c r="BG427" s="28"/>
      <c r="BJ427" s="28"/>
      <c r="BM427" s="28"/>
      <c r="BP427" s="28"/>
      <c r="BS427" s="28"/>
      <c r="BV427" s="28"/>
      <c r="BY427" s="28"/>
      <c r="CB427" s="28"/>
      <c r="CE427" s="28"/>
      <c r="CH427" s="28"/>
      <c r="CK427" s="28"/>
      <c r="CN427" s="28"/>
      <c r="CQ427" s="28"/>
      <c r="CT427" s="28"/>
      <c r="CW427" s="28"/>
      <c r="CZ427" s="28"/>
      <c r="DC427" s="28"/>
      <c r="DF427" s="28"/>
      <c r="DI427" s="28"/>
      <c r="DL427" s="28"/>
      <c r="DO427" s="28"/>
      <c r="DR427" s="28"/>
      <c r="DU427" s="28"/>
      <c r="DX427" s="28"/>
      <c r="EA427" s="28"/>
      <c r="ED427" s="28"/>
      <c r="EG427" s="28"/>
      <c r="EJ427" s="28"/>
      <c r="EM427" s="28"/>
      <c r="EP427" s="28"/>
      <c r="ES427" s="28"/>
      <c r="EV427" s="28"/>
      <c r="EY427" s="28"/>
      <c r="FB427" s="28"/>
      <c r="FE427" s="28"/>
      <c r="FH427" s="28"/>
      <c r="FK427" s="28"/>
      <c r="FN427" s="28"/>
      <c r="FQ427" s="28"/>
      <c r="FT427" s="28"/>
      <c r="FW427" s="28"/>
      <c r="FZ427" s="28"/>
      <c r="GC427" s="28"/>
    </row>
    <row r="428" spans="1:185" s="25" customFormat="1" x14ac:dyDescent="0.3">
      <c r="A428" s="27"/>
      <c r="B428" s="28"/>
      <c r="C428" s="27"/>
      <c r="D428" s="26"/>
      <c r="E428" s="28"/>
      <c r="H428" s="28"/>
      <c r="K428" s="28"/>
      <c r="N428" s="28"/>
      <c r="Q428" s="28"/>
      <c r="T428" s="28"/>
      <c r="W428" s="28"/>
      <c r="Z428" s="28"/>
      <c r="AC428" s="28"/>
      <c r="AF428" s="28"/>
      <c r="AI428" s="28"/>
      <c r="AL428" s="28"/>
      <c r="AO428" s="28"/>
      <c r="AR428" s="28"/>
      <c r="AU428" s="28"/>
      <c r="AX428" s="28"/>
      <c r="BA428" s="28"/>
      <c r="BD428" s="28"/>
      <c r="BG428" s="28"/>
      <c r="BJ428" s="28"/>
      <c r="BM428" s="28"/>
      <c r="BP428" s="28"/>
      <c r="BS428" s="28"/>
      <c r="BV428" s="28"/>
      <c r="BY428" s="28"/>
      <c r="CB428" s="28"/>
      <c r="CE428" s="28"/>
      <c r="CH428" s="28"/>
      <c r="CK428" s="28"/>
      <c r="CN428" s="28"/>
      <c r="CQ428" s="28"/>
      <c r="CT428" s="28"/>
      <c r="CW428" s="28"/>
      <c r="CZ428" s="28"/>
      <c r="DC428" s="28"/>
      <c r="DF428" s="28"/>
      <c r="DI428" s="28"/>
      <c r="DL428" s="28"/>
      <c r="DO428" s="28"/>
      <c r="DR428" s="28"/>
      <c r="DU428" s="28"/>
      <c r="DX428" s="28"/>
      <c r="EA428" s="28"/>
      <c r="ED428" s="28"/>
      <c r="EG428" s="28"/>
      <c r="EJ428" s="28"/>
      <c r="EM428" s="28"/>
      <c r="EP428" s="28"/>
      <c r="ES428" s="28"/>
      <c r="EV428" s="28"/>
      <c r="EY428" s="28"/>
      <c r="FB428" s="28"/>
      <c r="FE428" s="28"/>
      <c r="FH428" s="28"/>
      <c r="FK428" s="28"/>
      <c r="FN428" s="28"/>
      <c r="FQ428" s="28"/>
      <c r="FT428" s="28"/>
      <c r="FW428" s="28"/>
      <c r="FZ428" s="28"/>
      <c r="GC428" s="28"/>
    </row>
    <row r="429" spans="1:185" s="25" customFormat="1" x14ac:dyDescent="0.3">
      <c r="A429" s="27"/>
      <c r="B429" s="28"/>
      <c r="C429" s="27"/>
      <c r="D429" s="26"/>
      <c r="E429" s="28"/>
      <c r="H429" s="28"/>
      <c r="K429" s="28"/>
      <c r="N429" s="28"/>
      <c r="Q429" s="28"/>
      <c r="T429" s="28"/>
      <c r="W429" s="28"/>
      <c r="Z429" s="28"/>
      <c r="AC429" s="28"/>
      <c r="AF429" s="28"/>
      <c r="AI429" s="28"/>
      <c r="AL429" s="28"/>
      <c r="AO429" s="28"/>
      <c r="AR429" s="28"/>
      <c r="AU429" s="28"/>
      <c r="AX429" s="28"/>
      <c r="BA429" s="28"/>
      <c r="BD429" s="28"/>
      <c r="BG429" s="28"/>
      <c r="BJ429" s="28"/>
      <c r="BM429" s="28"/>
      <c r="BP429" s="28"/>
      <c r="BS429" s="28"/>
      <c r="BV429" s="28"/>
      <c r="BY429" s="28"/>
      <c r="CB429" s="28"/>
      <c r="CE429" s="28"/>
      <c r="CH429" s="28"/>
      <c r="CK429" s="28"/>
      <c r="CN429" s="28"/>
      <c r="CQ429" s="28"/>
      <c r="CT429" s="28"/>
      <c r="CW429" s="28"/>
      <c r="CZ429" s="28"/>
      <c r="DC429" s="28"/>
      <c r="DF429" s="28"/>
      <c r="DI429" s="28"/>
      <c r="DL429" s="28"/>
      <c r="DO429" s="28"/>
      <c r="DR429" s="28"/>
      <c r="DU429" s="28"/>
      <c r="DX429" s="28"/>
      <c r="EA429" s="28"/>
      <c r="ED429" s="28"/>
      <c r="EG429" s="28"/>
      <c r="EJ429" s="28"/>
      <c r="EM429" s="28"/>
      <c r="EP429" s="28"/>
      <c r="ES429" s="28"/>
      <c r="EV429" s="28"/>
      <c r="EY429" s="28"/>
      <c r="FB429" s="28"/>
      <c r="FE429" s="28"/>
      <c r="FH429" s="28"/>
      <c r="FK429" s="28"/>
      <c r="FN429" s="28"/>
      <c r="FQ429" s="28"/>
      <c r="FT429" s="28"/>
      <c r="FW429" s="28"/>
      <c r="FZ429" s="28"/>
      <c r="GC429" s="28"/>
    </row>
    <row r="430" spans="1:185" s="25" customFormat="1" x14ac:dyDescent="0.3">
      <c r="A430" s="27"/>
      <c r="B430" s="28"/>
      <c r="C430" s="27"/>
      <c r="D430" s="26"/>
      <c r="E430" s="28"/>
      <c r="H430" s="28"/>
      <c r="K430" s="28"/>
      <c r="N430" s="28"/>
      <c r="Q430" s="28"/>
      <c r="T430" s="28"/>
      <c r="W430" s="28"/>
      <c r="Z430" s="28"/>
      <c r="AC430" s="28"/>
      <c r="AF430" s="28"/>
      <c r="AI430" s="28"/>
      <c r="AL430" s="28"/>
      <c r="AO430" s="28"/>
      <c r="AR430" s="28"/>
      <c r="AU430" s="28"/>
      <c r="AX430" s="28"/>
      <c r="BA430" s="28"/>
      <c r="BD430" s="28"/>
      <c r="BG430" s="28"/>
      <c r="BJ430" s="28"/>
      <c r="BM430" s="28"/>
      <c r="BP430" s="28"/>
      <c r="BS430" s="28"/>
      <c r="BV430" s="28"/>
      <c r="BY430" s="28"/>
      <c r="CB430" s="28"/>
      <c r="CE430" s="28"/>
      <c r="CH430" s="28"/>
      <c r="CK430" s="28"/>
      <c r="CN430" s="28"/>
      <c r="CQ430" s="28"/>
      <c r="CT430" s="28"/>
      <c r="CW430" s="28"/>
      <c r="CZ430" s="28"/>
      <c r="DC430" s="28"/>
      <c r="DF430" s="28"/>
      <c r="DI430" s="28"/>
      <c r="DL430" s="28"/>
      <c r="DO430" s="28"/>
      <c r="DR430" s="28"/>
      <c r="DU430" s="28"/>
      <c r="DX430" s="28"/>
      <c r="EA430" s="28"/>
      <c r="ED430" s="28"/>
      <c r="EG430" s="28"/>
      <c r="EJ430" s="28"/>
      <c r="EM430" s="28"/>
      <c r="EP430" s="28"/>
      <c r="ES430" s="28"/>
      <c r="EV430" s="28"/>
      <c r="EY430" s="28"/>
      <c r="FB430" s="28"/>
      <c r="FE430" s="28"/>
      <c r="FH430" s="28"/>
      <c r="FK430" s="28"/>
      <c r="FN430" s="28"/>
      <c r="FQ430" s="28"/>
      <c r="FT430" s="28"/>
      <c r="FW430" s="28"/>
      <c r="FZ430" s="28"/>
      <c r="GC430" s="28"/>
    </row>
    <row r="431" spans="1:185" s="25" customFormat="1" x14ac:dyDescent="0.3">
      <c r="A431" s="27"/>
      <c r="B431" s="28"/>
      <c r="C431" s="27"/>
      <c r="D431" s="26"/>
      <c r="E431" s="28"/>
      <c r="H431" s="28"/>
      <c r="K431" s="28"/>
      <c r="N431" s="28"/>
      <c r="Q431" s="28"/>
      <c r="T431" s="28"/>
      <c r="W431" s="28"/>
      <c r="Z431" s="28"/>
      <c r="AC431" s="28"/>
      <c r="AF431" s="28"/>
      <c r="AI431" s="28"/>
      <c r="AL431" s="28"/>
      <c r="AO431" s="28"/>
      <c r="AR431" s="28"/>
      <c r="AU431" s="28"/>
      <c r="AX431" s="28"/>
      <c r="BA431" s="28"/>
      <c r="BD431" s="28"/>
      <c r="BG431" s="28"/>
      <c r="BJ431" s="28"/>
      <c r="BM431" s="28"/>
      <c r="BP431" s="28"/>
      <c r="BS431" s="28"/>
      <c r="BV431" s="28"/>
      <c r="BY431" s="28"/>
      <c r="CB431" s="28"/>
      <c r="CE431" s="28"/>
      <c r="CH431" s="28"/>
      <c r="CK431" s="28"/>
      <c r="CN431" s="28"/>
      <c r="CQ431" s="28"/>
      <c r="CT431" s="28"/>
      <c r="CW431" s="28"/>
      <c r="CZ431" s="28"/>
      <c r="DC431" s="28"/>
      <c r="DF431" s="28"/>
      <c r="DI431" s="28"/>
      <c r="DL431" s="28"/>
      <c r="DO431" s="28"/>
      <c r="DR431" s="28"/>
      <c r="DU431" s="28"/>
      <c r="DX431" s="28"/>
      <c r="EA431" s="28"/>
      <c r="ED431" s="28"/>
      <c r="EG431" s="28"/>
      <c r="EJ431" s="28"/>
      <c r="EM431" s="28"/>
      <c r="EP431" s="28"/>
      <c r="ES431" s="28"/>
      <c r="EV431" s="28"/>
      <c r="EY431" s="28"/>
      <c r="FB431" s="28"/>
      <c r="FE431" s="28"/>
      <c r="FH431" s="28"/>
      <c r="FK431" s="28"/>
      <c r="FN431" s="28"/>
      <c r="FQ431" s="28"/>
      <c r="FT431" s="28"/>
      <c r="FW431" s="28"/>
      <c r="FZ431" s="28"/>
      <c r="GC431" s="28"/>
    </row>
    <row r="432" spans="1:185" s="25" customFormat="1" x14ac:dyDescent="0.3">
      <c r="A432" s="27"/>
      <c r="B432" s="28"/>
      <c r="C432" s="27"/>
      <c r="D432" s="26"/>
      <c r="E432" s="28"/>
      <c r="H432" s="28"/>
      <c r="K432" s="28"/>
      <c r="N432" s="28"/>
      <c r="Q432" s="28"/>
      <c r="T432" s="28"/>
      <c r="W432" s="28"/>
      <c r="Z432" s="28"/>
      <c r="AC432" s="28"/>
      <c r="AF432" s="28"/>
      <c r="AI432" s="28"/>
      <c r="AL432" s="28"/>
      <c r="AO432" s="28"/>
      <c r="AR432" s="28"/>
      <c r="AU432" s="28"/>
      <c r="AX432" s="28"/>
      <c r="BA432" s="28"/>
      <c r="BD432" s="28"/>
      <c r="BG432" s="28"/>
      <c r="BJ432" s="28"/>
      <c r="BM432" s="28"/>
      <c r="BP432" s="28"/>
      <c r="BS432" s="28"/>
      <c r="BV432" s="28"/>
      <c r="BY432" s="28"/>
      <c r="CB432" s="28"/>
      <c r="CE432" s="28"/>
      <c r="CH432" s="28"/>
      <c r="CK432" s="28"/>
      <c r="CN432" s="28"/>
      <c r="CQ432" s="28"/>
      <c r="CT432" s="28"/>
      <c r="CW432" s="28"/>
      <c r="CZ432" s="28"/>
      <c r="DC432" s="28"/>
      <c r="DF432" s="28"/>
      <c r="DI432" s="28"/>
      <c r="DL432" s="28"/>
      <c r="DO432" s="28"/>
      <c r="DR432" s="28"/>
      <c r="DU432" s="28"/>
      <c r="DX432" s="28"/>
      <c r="EA432" s="28"/>
      <c r="ED432" s="28"/>
      <c r="EG432" s="28"/>
      <c r="EJ432" s="28"/>
      <c r="EM432" s="28"/>
      <c r="EP432" s="28"/>
      <c r="ES432" s="28"/>
      <c r="EV432" s="28"/>
      <c r="EY432" s="28"/>
      <c r="FB432" s="28"/>
      <c r="FE432" s="28"/>
      <c r="FH432" s="28"/>
      <c r="FK432" s="28"/>
      <c r="FN432" s="28"/>
      <c r="FQ432" s="28"/>
      <c r="FT432" s="28"/>
      <c r="FW432" s="28"/>
      <c r="FZ432" s="28"/>
      <c r="GC432" s="28"/>
    </row>
    <row r="433" spans="1:185" s="25" customFormat="1" x14ac:dyDescent="0.3">
      <c r="A433" s="27"/>
      <c r="B433" s="28"/>
      <c r="C433" s="27"/>
      <c r="D433" s="26"/>
      <c r="E433" s="28"/>
      <c r="H433" s="28"/>
      <c r="K433" s="28"/>
      <c r="N433" s="28"/>
      <c r="Q433" s="28"/>
      <c r="T433" s="28"/>
      <c r="W433" s="28"/>
      <c r="Z433" s="28"/>
      <c r="AC433" s="28"/>
      <c r="AF433" s="28"/>
      <c r="AI433" s="28"/>
      <c r="AL433" s="28"/>
      <c r="AO433" s="28"/>
      <c r="AR433" s="28"/>
      <c r="AU433" s="28"/>
      <c r="AX433" s="28"/>
      <c r="BA433" s="28"/>
      <c r="BD433" s="28"/>
      <c r="BG433" s="28"/>
      <c r="BJ433" s="28"/>
      <c r="BM433" s="28"/>
      <c r="BP433" s="28"/>
      <c r="BS433" s="28"/>
      <c r="BV433" s="28"/>
      <c r="BY433" s="28"/>
      <c r="CB433" s="28"/>
      <c r="CE433" s="28"/>
      <c r="CH433" s="28"/>
      <c r="CK433" s="28"/>
      <c r="CN433" s="28"/>
      <c r="CQ433" s="28"/>
      <c r="CT433" s="28"/>
      <c r="CW433" s="28"/>
      <c r="CZ433" s="28"/>
      <c r="DC433" s="28"/>
      <c r="DF433" s="28"/>
      <c r="DI433" s="28"/>
      <c r="DL433" s="28"/>
      <c r="DO433" s="28"/>
      <c r="DR433" s="28"/>
      <c r="DU433" s="28"/>
      <c r="DX433" s="28"/>
      <c r="EA433" s="28"/>
      <c r="ED433" s="28"/>
      <c r="EG433" s="28"/>
      <c r="EJ433" s="28"/>
      <c r="EM433" s="28"/>
      <c r="EP433" s="28"/>
      <c r="ES433" s="28"/>
      <c r="EV433" s="28"/>
      <c r="EY433" s="28"/>
      <c r="FB433" s="28"/>
      <c r="FE433" s="28"/>
      <c r="FH433" s="28"/>
      <c r="FK433" s="28"/>
      <c r="FN433" s="28"/>
      <c r="FQ433" s="28"/>
      <c r="FT433" s="28"/>
      <c r="FW433" s="28"/>
      <c r="FZ433" s="28"/>
      <c r="GC433" s="28"/>
    </row>
    <row r="434" spans="1:185" s="25" customFormat="1" x14ac:dyDescent="0.3">
      <c r="A434" s="27"/>
      <c r="B434" s="28"/>
      <c r="C434" s="27"/>
      <c r="D434" s="26"/>
      <c r="E434" s="28"/>
      <c r="H434" s="28"/>
      <c r="K434" s="28"/>
      <c r="N434" s="28"/>
      <c r="Q434" s="28"/>
      <c r="T434" s="28"/>
      <c r="W434" s="28"/>
      <c r="Z434" s="28"/>
      <c r="AC434" s="28"/>
      <c r="AF434" s="28"/>
      <c r="AI434" s="28"/>
      <c r="AL434" s="28"/>
      <c r="AO434" s="28"/>
      <c r="AR434" s="28"/>
      <c r="AU434" s="28"/>
      <c r="AX434" s="28"/>
      <c r="BA434" s="28"/>
      <c r="BD434" s="28"/>
      <c r="BG434" s="28"/>
      <c r="BJ434" s="28"/>
      <c r="BM434" s="28"/>
      <c r="BP434" s="28"/>
      <c r="BS434" s="28"/>
      <c r="BV434" s="28"/>
      <c r="BY434" s="28"/>
      <c r="CB434" s="28"/>
      <c r="CE434" s="28"/>
      <c r="CH434" s="28"/>
      <c r="CK434" s="28"/>
      <c r="CN434" s="28"/>
      <c r="CQ434" s="28"/>
      <c r="CT434" s="28"/>
      <c r="CW434" s="28"/>
      <c r="CZ434" s="28"/>
      <c r="DC434" s="28"/>
      <c r="DF434" s="28"/>
      <c r="DI434" s="28"/>
      <c r="DL434" s="28"/>
      <c r="DO434" s="28"/>
      <c r="DR434" s="28"/>
      <c r="DU434" s="28"/>
      <c r="DX434" s="28"/>
      <c r="EA434" s="28"/>
      <c r="ED434" s="28"/>
      <c r="EG434" s="28"/>
      <c r="EJ434" s="28"/>
      <c r="EM434" s="28"/>
      <c r="EP434" s="28"/>
      <c r="ES434" s="28"/>
      <c r="EV434" s="28"/>
      <c r="EY434" s="28"/>
      <c r="FB434" s="28"/>
      <c r="FE434" s="28"/>
      <c r="FH434" s="28"/>
      <c r="FK434" s="28"/>
      <c r="FN434" s="28"/>
      <c r="FQ434" s="28"/>
      <c r="FT434" s="28"/>
      <c r="FW434" s="28"/>
      <c r="FZ434" s="28"/>
      <c r="GC434" s="28"/>
    </row>
    <row r="435" spans="1:185" s="25" customFormat="1" x14ac:dyDescent="0.3">
      <c r="A435" s="27"/>
      <c r="B435" s="28"/>
      <c r="C435" s="27"/>
      <c r="D435" s="26"/>
      <c r="E435" s="28"/>
      <c r="H435" s="28"/>
      <c r="K435" s="28"/>
      <c r="N435" s="28"/>
      <c r="Q435" s="28"/>
      <c r="T435" s="28"/>
      <c r="W435" s="28"/>
      <c r="Z435" s="28"/>
      <c r="AC435" s="28"/>
      <c r="AF435" s="28"/>
      <c r="AI435" s="28"/>
      <c r="AL435" s="28"/>
      <c r="AO435" s="28"/>
      <c r="AR435" s="28"/>
      <c r="AU435" s="28"/>
      <c r="AX435" s="28"/>
      <c r="BA435" s="28"/>
      <c r="BD435" s="28"/>
      <c r="BG435" s="28"/>
      <c r="BJ435" s="28"/>
      <c r="BM435" s="28"/>
      <c r="BP435" s="28"/>
      <c r="BS435" s="28"/>
      <c r="BV435" s="28"/>
      <c r="BY435" s="28"/>
      <c r="CB435" s="28"/>
      <c r="CE435" s="28"/>
      <c r="CH435" s="28"/>
      <c r="CK435" s="28"/>
      <c r="CN435" s="28"/>
      <c r="CQ435" s="28"/>
      <c r="CT435" s="28"/>
      <c r="CW435" s="28"/>
      <c r="CZ435" s="28"/>
      <c r="DC435" s="28"/>
      <c r="DF435" s="28"/>
      <c r="DI435" s="28"/>
      <c r="DL435" s="28"/>
      <c r="DO435" s="28"/>
      <c r="DR435" s="28"/>
      <c r="DU435" s="28"/>
      <c r="DX435" s="28"/>
      <c r="EA435" s="28"/>
      <c r="ED435" s="28"/>
      <c r="EG435" s="28"/>
      <c r="EJ435" s="28"/>
      <c r="EM435" s="28"/>
      <c r="EP435" s="28"/>
      <c r="ES435" s="28"/>
      <c r="EV435" s="28"/>
      <c r="EY435" s="28"/>
      <c r="FB435" s="28"/>
      <c r="FE435" s="28"/>
      <c r="FH435" s="28"/>
      <c r="FK435" s="28"/>
      <c r="FN435" s="28"/>
      <c r="FQ435" s="28"/>
      <c r="FT435" s="28"/>
      <c r="FW435" s="28"/>
      <c r="FZ435" s="28"/>
      <c r="GC435" s="28"/>
    </row>
    <row r="436" spans="1:185" s="25" customFormat="1" x14ac:dyDescent="0.3">
      <c r="A436" s="27"/>
      <c r="B436" s="28"/>
      <c r="C436" s="27"/>
      <c r="D436" s="26"/>
      <c r="E436" s="28"/>
      <c r="H436" s="28"/>
      <c r="K436" s="28"/>
      <c r="N436" s="28"/>
      <c r="Q436" s="28"/>
      <c r="T436" s="28"/>
      <c r="W436" s="28"/>
      <c r="Z436" s="28"/>
      <c r="AC436" s="28"/>
      <c r="AF436" s="28"/>
      <c r="AI436" s="28"/>
      <c r="AL436" s="28"/>
      <c r="AO436" s="28"/>
      <c r="AR436" s="28"/>
      <c r="AU436" s="28"/>
      <c r="AX436" s="28"/>
      <c r="BA436" s="28"/>
      <c r="BD436" s="28"/>
      <c r="BG436" s="28"/>
      <c r="BJ436" s="28"/>
      <c r="BM436" s="28"/>
      <c r="BP436" s="28"/>
      <c r="BS436" s="28"/>
      <c r="BV436" s="28"/>
      <c r="BY436" s="28"/>
      <c r="CB436" s="28"/>
      <c r="CE436" s="28"/>
      <c r="CH436" s="28"/>
      <c r="CK436" s="28"/>
      <c r="CN436" s="28"/>
      <c r="CQ436" s="28"/>
      <c r="CT436" s="28"/>
      <c r="CW436" s="28"/>
      <c r="CZ436" s="28"/>
      <c r="DC436" s="28"/>
      <c r="DF436" s="28"/>
      <c r="DI436" s="28"/>
      <c r="DL436" s="28"/>
      <c r="DO436" s="28"/>
      <c r="DR436" s="28"/>
      <c r="DU436" s="28"/>
      <c r="DX436" s="28"/>
      <c r="EA436" s="28"/>
      <c r="ED436" s="28"/>
      <c r="EG436" s="28"/>
      <c r="EJ436" s="28"/>
      <c r="EM436" s="28"/>
      <c r="EP436" s="28"/>
      <c r="ES436" s="28"/>
      <c r="EV436" s="28"/>
      <c r="EY436" s="28"/>
      <c r="FB436" s="28"/>
      <c r="FE436" s="28"/>
      <c r="FH436" s="28"/>
      <c r="FK436" s="28"/>
      <c r="FN436" s="28"/>
      <c r="FQ436" s="28"/>
      <c r="FT436" s="28"/>
      <c r="FW436" s="28"/>
      <c r="FZ436" s="28"/>
      <c r="GC436" s="28"/>
    </row>
    <row r="437" spans="1:185" s="25" customFormat="1" x14ac:dyDescent="0.3">
      <c r="A437" s="27"/>
      <c r="B437" s="28"/>
      <c r="C437" s="27"/>
      <c r="D437" s="26"/>
      <c r="E437" s="28"/>
      <c r="H437" s="28"/>
      <c r="K437" s="28"/>
      <c r="N437" s="28"/>
      <c r="Q437" s="28"/>
      <c r="T437" s="28"/>
      <c r="W437" s="28"/>
      <c r="Z437" s="28"/>
      <c r="AC437" s="28"/>
      <c r="AF437" s="28"/>
      <c r="AI437" s="28"/>
      <c r="AL437" s="28"/>
      <c r="AO437" s="28"/>
      <c r="AR437" s="28"/>
      <c r="AU437" s="28"/>
      <c r="AX437" s="28"/>
      <c r="BA437" s="28"/>
      <c r="BD437" s="28"/>
      <c r="BG437" s="28"/>
      <c r="BJ437" s="28"/>
      <c r="BM437" s="28"/>
      <c r="BP437" s="28"/>
      <c r="BS437" s="28"/>
      <c r="BV437" s="28"/>
      <c r="BY437" s="28"/>
      <c r="CB437" s="28"/>
      <c r="CE437" s="28"/>
      <c r="CH437" s="28"/>
      <c r="CK437" s="28"/>
      <c r="CN437" s="28"/>
      <c r="CQ437" s="28"/>
      <c r="CT437" s="28"/>
      <c r="CW437" s="28"/>
      <c r="CZ437" s="28"/>
      <c r="DC437" s="28"/>
      <c r="DF437" s="28"/>
      <c r="DI437" s="28"/>
      <c r="DL437" s="28"/>
      <c r="DO437" s="28"/>
      <c r="DR437" s="28"/>
      <c r="DU437" s="28"/>
      <c r="DX437" s="28"/>
      <c r="EA437" s="28"/>
      <c r="ED437" s="28"/>
      <c r="EG437" s="28"/>
      <c r="EJ437" s="28"/>
      <c r="EM437" s="28"/>
      <c r="EP437" s="28"/>
      <c r="ES437" s="28"/>
      <c r="EV437" s="28"/>
      <c r="EY437" s="28"/>
      <c r="FB437" s="28"/>
      <c r="FE437" s="28"/>
      <c r="FH437" s="28"/>
      <c r="FK437" s="28"/>
      <c r="FN437" s="28"/>
      <c r="FQ437" s="28"/>
      <c r="FT437" s="28"/>
      <c r="FW437" s="28"/>
      <c r="FZ437" s="28"/>
      <c r="GC437" s="28"/>
    </row>
    <row r="438" spans="1:185" s="25" customFormat="1" x14ac:dyDescent="0.3">
      <c r="A438" s="27"/>
      <c r="B438" s="28"/>
      <c r="C438" s="27"/>
      <c r="D438" s="26"/>
      <c r="E438" s="28"/>
      <c r="H438" s="28"/>
      <c r="K438" s="28"/>
      <c r="N438" s="28"/>
      <c r="Q438" s="28"/>
      <c r="T438" s="28"/>
      <c r="W438" s="28"/>
      <c r="Z438" s="28"/>
      <c r="AC438" s="28"/>
      <c r="AF438" s="28"/>
      <c r="AI438" s="28"/>
      <c r="AL438" s="28"/>
      <c r="AO438" s="28"/>
      <c r="AR438" s="28"/>
      <c r="AU438" s="28"/>
      <c r="AX438" s="28"/>
      <c r="BA438" s="28"/>
      <c r="BD438" s="28"/>
      <c r="BG438" s="28"/>
      <c r="BJ438" s="28"/>
      <c r="BM438" s="28"/>
      <c r="BP438" s="28"/>
      <c r="BS438" s="28"/>
      <c r="BV438" s="28"/>
      <c r="BY438" s="28"/>
      <c r="CB438" s="28"/>
      <c r="CE438" s="28"/>
      <c r="CH438" s="28"/>
      <c r="CK438" s="28"/>
      <c r="CN438" s="28"/>
      <c r="CQ438" s="28"/>
      <c r="CT438" s="28"/>
      <c r="CW438" s="28"/>
      <c r="CZ438" s="28"/>
      <c r="DC438" s="28"/>
      <c r="DF438" s="28"/>
      <c r="DI438" s="28"/>
      <c r="DL438" s="28"/>
      <c r="DO438" s="28"/>
      <c r="DR438" s="28"/>
      <c r="DU438" s="28"/>
      <c r="DX438" s="28"/>
      <c r="EA438" s="28"/>
      <c r="ED438" s="28"/>
      <c r="EG438" s="28"/>
      <c r="EJ438" s="28"/>
      <c r="EM438" s="28"/>
      <c r="EP438" s="28"/>
      <c r="ES438" s="28"/>
      <c r="EV438" s="28"/>
      <c r="EY438" s="28"/>
      <c r="FB438" s="28"/>
      <c r="FE438" s="28"/>
      <c r="FH438" s="28"/>
      <c r="FK438" s="28"/>
      <c r="FN438" s="28"/>
      <c r="FQ438" s="28"/>
      <c r="FT438" s="28"/>
      <c r="FW438" s="28"/>
      <c r="FZ438" s="28"/>
      <c r="GC438" s="28"/>
    </row>
    <row r="439" spans="1:185" s="25" customFormat="1" x14ac:dyDescent="0.3">
      <c r="A439" s="27"/>
      <c r="B439" s="28"/>
      <c r="C439" s="27"/>
      <c r="D439" s="26"/>
      <c r="E439" s="28"/>
      <c r="H439" s="28"/>
      <c r="K439" s="28"/>
      <c r="N439" s="28"/>
      <c r="Q439" s="28"/>
      <c r="T439" s="28"/>
      <c r="W439" s="28"/>
      <c r="Z439" s="28"/>
      <c r="AC439" s="28"/>
      <c r="AF439" s="28"/>
      <c r="AI439" s="28"/>
      <c r="AL439" s="28"/>
      <c r="AO439" s="28"/>
      <c r="AR439" s="28"/>
      <c r="AU439" s="28"/>
      <c r="AX439" s="28"/>
      <c r="BA439" s="28"/>
      <c r="BD439" s="28"/>
      <c r="BG439" s="28"/>
      <c r="BJ439" s="28"/>
      <c r="BM439" s="28"/>
      <c r="BP439" s="28"/>
      <c r="BS439" s="28"/>
      <c r="BV439" s="28"/>
      <c r="BY439" s="28"/>
      <c r="CB439" s="28"/>
      <c r="CE439" s="28"/>
      <c r="CH439" s="28"/>
      <c r="CK439" s="28"/>
      <c r="CN439" s="28"/>
      <c r="CQ439" s="28"/>
      <c r="CT439" s="28"/>
      <c r="CW439" s="28"/>
      <c r="CZ439" s="28"/>
      <c r="DC439" s="28"/>
      <c r="DF439" s="28"/>
      <c r="DI439" s="28"/>
      <c r="DL439" s="28"/>
      <c r="DO439" s="28"/>
      <c r="DR439" s="28"/>
      <c r="DU439" s="28"/>
      <c r="DX439" s="28"/>
      <c r="EA439" s="28"/>
      <c r="ED439" s="28"/>
      <c r="EG439" s="28"/>
      <c r="EJ439" s="28"/>
      <c r="EM439" s="28"/>
      <c r="EP439" s="28"/>
      <c r="ES439" s="28"/>
      <c r="EV439" s="28"/>
      <c r="EY439" s="28"/>
      <c r="FB439" s="28"/>
      <c r="FE439" s="28"/>
      <c r="FH439" s="28"/>
      <c r="FK439" s="28"/>
      <c r="FN439" s="28"/>
      <c r="FQ439" s="28"/>
      <c r="FT439" s="28"/>
      <c r="FW439" s="28"/>
      <c r="FZ439" s="28"/>
      <c r="GC439" s="28"/>
    </row>
    <row r="440" spans="1:185" s="25" customFormat="1" x14ac:dyDescent="0.3">
      <c r="A440" s="27"/>
      <c r="B440" s="28"/>
      <c r="C440" s="27"/>
      <c r="D440" s="26"/>
      <c r="E440" s="28"/>
      <c r="H440" s="28"/>
      <c r="K440" s="28"/>
      <c r="N440" s="28"/>
      <c r="Q440" s="28"/>
      <c r="T440" s="28"/>
      <c r="W440" s="28"/>
      <c r="Z440" s="28"/>
      <c r="AC440" s="28"/>
      <c r="AF440" s="28"/>
      <c r="AI440" s="28"/>
      <c r="AL440" s="28"/>
      <c r="AO440" s="28"/>
      <c r="AR440" s="28"/>
      <c r="AU440" s="28"/>
      <c r="AX440" s="28"/>
      <c r="BA440" s="28"/>
      <c r="BD440" s="28"/>
      <c r="BG440" s="28"/>
      <c r="BJ440" s="28"/>
      <c r="BM440" s="28"/>
      <c r="BP440" s="28"/>
      <c r="BS440" s="28"/>
      <c r="BV440" s="28"/>
      <c r="BY440" s="28"/>
      <c r="CB440" s="28"/>
      <c r="CE440" s="28"/>
      <c r="CH440" s="28"/>
      <c r="CK440" s="28"/>
      <c r="CN440" s="28"/>
      <c r="CQ440" s="28"/>
      <c r="CT440" s="28"/>
      <c r="CW440" s="28"/>
      <c r="CZ440" s="28"/>
      <c r="DC440" s="28"/>
      <c r="DF440" s="28"/>
      <c r="DI440" s="28"/>
      <c r="DL440" s="28"/>
      <c r="DO440" s="28"/>
      <c r="DR440" s="28"/>
      <c r="DU440" s="28"/>
      <c r="DX440" s="28"/>
      <c r="EA440" s="28"/>
      <c r="ED440" s="28"/>
      <c r="EG440" s="28"/>
      <c r="EJ440" s="28"/>
      <c r="EM440" s="28"/>
      <c r="EP440" s="28"/>
      <c r="ES440" s="28"/>
      <c r="EV440" s="28"/>
      <c r="EY440" s="28"/>
      <c r="FB440" s="28"/>
      <c r="FE440" s="28"/>
      <c r="FH440" s="28"/>
      <c r="FK440" s="28"/>
      <c r="FN440" s="28"/>
      <c r="FQ440" s="28"/>
      <c r="FT440" s="28"/>
      <c r="FW440" s="28"/>
      <c r="FZ440" s="28"/>
      <c r="GC440" s="28"/>
    </row>
    <row r="441" spans="1:185" s="25" customFormat="1" x14ac:dyDescent="0.3">
      <c r="A441" s="27"/>
      <c r="B441" s="28"/>
      <c r="C441" s="27"/>
      <c r="D441" s="26"/>
      <c r="E441" s="28"/>
      <c r="H441" s="28"/>
      <c r="K441" s="28"/>
      <c r="N441" s="28"/>
      <c r="Q441" s="28"/>
      <c r="T441" s="28"/>
      <c r="W441" s="28"/>
      <c r="Z441" s="28"/>
      <c r="AC441" s="28"/>
      <c r="AF441" s="28"/>
      <c r="AI441" s="28"/>
      <c r="AL441" s="28"/>
      <c r="AO441" s="28"/>
      <c r="AR441" s="28"/>
      <c r="AU441" s="28"/>
      <c r="AX441" s="28"/>
      <c r="BA441" s="28"/>
      <c r="BD441" s="28"/>
      <c r="BG441" s="28"/>
      <c r="BJ441" s="28"/>
      <c r="BM441" s="28"/>
      <c r="BP441" s="28"/>
      <c r="BS441" s="28"/>
      <c r="BV441" s="28"/>
      <c r="BY441" s="28"/>
      <c r="CB441" s="28"/>
      <c r="CE441" s="28"/>
      <c r="CH441" s="28"/>
      <c r="CK441" s="28"/>
      <c r="CN441" s="28"/>
      <c r="CQ441" s="28"/>
      <c r="CT441" s="28"/>
      <c r="CW441" s="28"/>
      <c r="CZ441" s="28"/>
      <c r="DC441" s="28"/>
      <c r="DF441" s="28"/>
      <c r="DI441" s="28"/>
      <c r="DL441" s="28"/>
      <c r="DO441" s="28"/>
      <c r="DR441" s="28"/>
      <c r="DU441" s="28"/>
      <c r="DX441" s="28"/>
      <c r="EA441" s="28"/>
      <c r="ED441" s="28"/>
      <c r="EG441" s="28"/>
      <c r="EJ441" s="28"/>
      <c r="EM441" s="28"/>
      <c r="EP441" s="28"/>
      <c r="ES441" s="28"/>
      <c r="EV441" s="28"/>
      <c r="EY441" s="28"/>
      <c r="FB441" s="28"/>
      <c r="FE441" s="28"/>
      <c r="FH441" s="28"/>
      <c r="FK441" s="28"/>
      <c r="FN441" s="28"/>
      <c r="FQ441" s="28"/>
      <c r="FT441" s="28"/>
      <c r="FW441" s="28"/>
      <c r="FZ441" s="28"/>
      <c r="GC441" s="28"/>
    </row>
    <row r="442" spans="1:185" s="25" customFormat="1" x14ac:dyDescent="0.3">
      <c r="A442" s="27"/>
      <c r="B442" s="28"/>
      <c r="C442" s="27"/>
      <c r="D442" s="26"/>
      <c r="E442" s="28"/>
      <c r="H442" s="28"/>
      <c r="K442" s="28"/>
      <c r="N442" s="28"/>
      <c r="Q442" s="28"/>
      <c r="T442" s="28"/>
      <c r="W442" s="28"/>
      <c r="Z442" s="28"/>
      <c r="AC442" s="28"/>
      <c r="AF442" s="28"/>
      <c r="AI442" s="28"/>
      <c r="AL442" s="28"/>
      <c r="AO442" s="28"/>
      <c r="AR442" s="28"/>
      <c r="AU442" s="28"/>
      <c r="AX442" s="28"/>
      <c r="BA442" s="28"/>
      <c r="BD442" s="28"/>
      <c r="BG442" s="28"/>
      <c r="BJ442" s="28"/>
      <c r="BM442" s="28"/>
      <c r="BP442" s="28"/>
      <c r="BS442" s="28"/>
      <c r="BV442" s="28"/>
      <c r="BY442" s="28"/>
      <c r="CB442" s="28"/>
      <c r="CE442" s="28"/>
      <c r="CH442" s="28"/>
      <c r="CK442" s="28"/>
      <c r="CN442" s="28"/>
      <c r="CQ442" s="28"/>
      <c r="CT442" s="28"/>
      <c r="CW442" s="28"/>
      <c r="CZ442" s="28"/>
      <c r="DC442" s="28"/>
      <c r="DF442" s="28"/>
      <c r="DI442" s="28"/>
      <c r="DL442" s="28"/>
      <c r="DO442" s="28"/>
      <c r="DR442" s="28"/>
      <c r="DU442" s="28"/>
      <c r="DX442" s="28"/>
      <c r="EA442" s="28"/>
      <c r="ED442" s="28"/>
      <c r="EG442" s="28"/>
      <c r="EJ442" s="28"/>
      <c r="EM442" s="28"/>
      <c r="EP442" s="28"/>
      <c r="ES442" s="28"/>
      <c r="EV442" s="28"/>
      <c r="EY442" s="28"/>
      <c r="FB442" s="28"/>
      <c r="FE442" s="28"/>
      <c r="FH442" s="28"/>
      <c r="FK442" s="28"/>
      <c r="FN442" s="28"/>
      <c r="FQ442" s="28"/>
      <c r="FT442" s="28"/>
      <c r="FW442" s="28"/>
      <c r="FZ442" s="28"/>
      <c r="GC442" s="28"/>
    </row>
    <row r="443" spans="1:185" s="25" customFormat="1" x14ac:dyDescent="0.3">
      <c r="A443" s="27"/>
      <c r="B443" s="28"/>
      <c r="C443" s="27"/>
      <c r="D443" s="26"/>
      <c r="E443" s="28"/>
      <c r="H443" s="28"/>
      <c r="K443" s="28"/>
      <c r="N443" s="28"/>
      <c r="Q443" s="28"/>
      <c r="T443" s="28"/>
      <c r="W443" s="28"/>
      <c r="Z443" s="28"/>
      <c r="AC443" s="28"/>
      <c r="AF443" s="28"/>
      <c r="AI443" s="28"/>
      <c r="AL443" s="28"/>
      <c r="AO443" s="28"/>
      <c r="AR443" s="28"/>
      <c r="AU443" s="28"/>
      <c r="AX443" s="28"/>
      <c r="BA443" s="28"/>
      <c r="BD443" s="28"/>
      <c r="BG443" s="28"/>
      <c r="BJ443" s="28"/>
      <c r="BM443" s="28"/>
      <c r="BP443" s="28"/>
      <c r="BS443" s="28"/>
      <c r="BV443" s="28"/>
      <c r="BY443" s="28"/>
      <c r="CB443" s="28"/>
      <c r="CE443" s="28"/>
      <c r="CH443" s="28"/>
      <c r="CK443" s="28"/>
      <c r="CN443" s="28"/>
      <c r="CQ443" s="28"/>
      <c r="CT443" s="28"/>
      <c r="CW443" s="28"/>
      <c r="CZ443" s="28"/>
      <c r="DC443" s="28"/>
      <c r="DF443" s="28"/>
      <c r="DI443" s="28"/>
      <c r="DL443" s="28"/>
      <c r="DO443" s="28"/>
      <c r="DR443" s="28"/>
      <c r="DU443" s="28"/>
      <c r="DX443" s="28"/>
      <c r="EA443" s="28"/>
      <c r="ED443" s="28"/>
      <c r="EG443" s="28"/>
      <c r="EJ443" s="28"/>
      <c r="EM443" s="28"/>
      <c r="EP443" s="28"/>
      <c r="ES443" s="28"/>
      <c r="EV443" s="28"/>
      <c r="EY443" s="28"/>
      <c r="FB443" s="28"/>
      <c r="FE443" s="28"/>
      <c r="FH443" s="28"/>
      <c r="FK443" s="28"/>
      <c r="FN443" s="28"/>
      <c r="FQ443" s="28"/>
      <c r="FT443" s="28"/>
      <c r="FW443" s="28"/>
      <c r="FZ443" s="28"/>
      <c r="GC443" s="28"/>
    </row>
    <row r="444" spans="1:185" s="25" customFormat="1" x14ac:dyDescent="0.3">
      <c r="A444" s="27"/>
      <c r="B444" s="28"/>
      <c r="C444" s="27"/>
      <c r="D444" s="26"/>
      <c r="E444" s="28"/>
      <c r="H444" s="28"/>
      <c r="K444" s="28"/>
      <c r="N444" s="28"/>
      <c r="Q444" s="28"/>
      <c r="T444" s="28"/>
      <c r="W444" s="28"/>
      <c r="Z444" s="28"/>
      <c r="AC444" s="28"/>
      <c r="AF444" s="28"/>
      <c r="AI444" s="28"/>
      <c r="AL444" s="28"/>
      <c r="AO444" s="28"/>
      <c r="AR444" s="28"/>
      <c r="AU444" s="28"/>
      <c r="AX444" s="28"/>
      <c r="BA444" s="28"/>
      <c r="BD444" s="28"/>
      <c r="BG444" s="28"/>
      <c r="BJ444" s="28"/>
      <c r="BM444" s="28"/>
      <c r="BP444" s="28"/>
      <c r="BS444" s="28"/>
      <c r="BV444" s="28"/>
      <c r="BY444" s="28"/>
      <c r="CB444" s="28"/>
      <c r="CE444" s="28"/>
      <c r="CH444" s="28"/>
      <c r="CK444" s="28"/>
      <c r="CN444" s="28"/>
      <c r="CQ444" s="28"/>
      <c r="CT444" s="28"/>
      <c r="CW444" s="28"/>
      <c r="CZ444" s="28"/>
      <c r="DC444" s="28"/>
      <c r="DF444" s="28"/>
      <c r="DI444" s="28"/>
      <c r="DL444" s="28"/>
      <c r="DO444" s="28"/>
      <c r="DR444" s="28"/>
      <c r="DU444" s="28"/>
      <c r="DX444" s="28"/>
      <c r="EA444" s="28"/>
      <c r="ED444" s="28"/>
      <c r="EG444" s="28"/>
      <c r="EJ444" s="28"/>
      <c r="EM444" s="28"/>
      <c r="EP444" s="28"/>
      <c r="ES444" s="28"/>
      <c r="EV444" s="28"/>
      <c r="EY444" s="28"/>
      <c r="FB444" s="28"/>
      <c r="FE444" s="28"/>
      <c r="FH444" s="28"/>
      <c r="FK444" s="28"/>
      <c r="FN444" s="28"/>
      <c r="FQ444" s="28"/>
      <c r="FT444" s="28"/>
      <c r="FW444" s="28"/>
      <c r="FZ444" s="28"/>
      <c r="GC444" s="28"/>
    </row>
    <row r="445" spans="1:185" s="25" customFormat="1" x14ac:dyDescent="0.3">
      <c r="A445" s="27"/>
      <c r="B445" s="28"/>
      <c r="C445" s="27"/>
      <c r="D445" s="26"/>
      <c r="E445" s="28"/>
      <c r="H445" s="28"/>
      <c r="K445" s="28"/>
      <c r="N445" s="28"/>
      <c r="Q445" s="28"/>
      <c r="T445" s="28"/>
      <c r="W445" s="28"/>
      <c r="Z445" s="28"/>
      <c r="AC445" s="28"/>
      <c r="AF445" s="28"/>
      <c r="AI445" s="28"/>
      <c r="AL445" s="28"/>
      <c r="AO445" s="28"/>
      <c r="AR445" s="28"/>
      <c r="AU445" s="28"/>
      <c r="AX445" s="28"/>
      <c r="BA445" s="28"/>
      <c r="BD445" s="28"/>
      <c r="BG445" s="28"/>
      <c r="BJ445" s="28"/>
      <c r="BM445" s="28"/>
      <c r="BP445" s="28"/>
      <c r="BS445" s="28"/>
      <c r="BV445" s="28"/>
      <c r="BY445" s="28"/>
      <c r="CB445" s="28"/>
      <c r="CE445" s="28"/>
      <c r="CH445" s="28"/>
      <c r="CK445" s="28"/>
      <c r="CN445" s="28"/>
      <c r="CQ445" s="28"/>
      <c r="CT445" s="28"/>
      <c r="CW445" s="28"/>
      <c r="CZ445" s="28"/>
      <c r="DC445" s="28"/>
      <c r="DF445" s="28"/>
      <c r="DI445" s="28"/>
      <c r="DL445" s="28"/>
      <c r="DO445" s="28"/>
      <c r="DR445" s="28"/>
      <c r="DU445" s="28"/>
      <c r="DX445" s="28"/>
      <c r="EA445" s="28"/>
      <c r="ED445" s="28"/>
      <c r="EG445" s="28"/>
      <c r="EJ445" s="28"/>
      <c r="EM445" s="28"/>
      <c r="EP445" s="28"/>
      <c r="ES445" s="28"/>
      <c r="EV445" s="28"/>
      <c r="EY445" s="28"/>
      <c r="FB445" s="28"/>
      <c r="FE445" s="28"/>
      <c r="FH445" s="28"/>
      <c r="FK445" s="28"/>
      <c r="FN445" s="28"/>
      <c r="FQ445" s="28"/>
      <c r="FT445" s="28"/>
      <c r="FW445" s="28"/>
      <c r="FZ445" s="28"/>
      <c r="GC445" s="28"/>
    </row>
    <row r="446" spans="1:185" s="25" customFormat="1" x14ac:dyDescent="0.3">
      <c r="A446" s="27"/>
      <c r="B446" s="28"/>
      <c r="C446" s="27"/>
      <c r="D446" s="26"/>
      <c r="E446" s="28"/>
      <c r="H446" s="28"/>
      <c r="K446" s="28"/>
      <c r="N446" s="28"/>
      <c r="Q446" s="28"/>
      <c r="T446" s="28"/>
      <c r="W446" s="28"/>
      <c r="Z446" s="28"/>
      <c r="AC446" s="28"/>
      <c r="AF446" s="28"/>
      <c r="AI446" s="28"/>
      <c r="AL446" s="28"/>
      <c r="AO446" s="28"/>
      <c r="AR446" s="28"/>
      <c r="AU446" s="28"/>
      <c r="AX446" s="28"/>
      <c r="BA446" s="28"/>
      <c r="BD446" s="28"/>
      <c r="BG446" s="28"/>
      <c r="BJ446" s="28"/>
      <c r="BM446" s="28"/>
      <c r="BP446" s="28"/>
      <c r="BS446" s="28"/>
      <c r="BV446" s="28"/>
      <c r="BY446" s="28"/>
      <c r="CB446" s="28"/>
      <c r="CE446" s="28"/>
      <c r="CH446" s="28"/>
      <c r="CK446" s="28"/>
      <c r="CN446" s="28"/>
      <c r="CQ446" s="28"/>
      <c r="CT446" s="28"/>
      <c r="CW446" s="28"/>
      <c r="CZ446" s="28"/>
      <c r="DC446" s="28"/>
      <c r="DF446" s="28"/>
      <c r="DI446" s="28"/>
      <c r="DL446" s="28"/>
      <c r="DO446" s="28"/>
      <c r="DR446" s="28"/>
      <c r="DU446" s="28"/>
      <c r="DX446" s="28"/>
      <c r="EA446" s="28"/>
      <c r="ED446" s="28"/>
      <c r="EG446" s="28"/>
      <c r="EJ446" s="28"/>
      <c r="EM446" s="28"/>
      <c r="EP446" s="28"/>
      <c r="ES446" s="28"/>
      <c r="EV446" s="28"/>
      <c r="EY446" s="28"/>
      <c r="FB446" s="28"/>
      <c r="FE446" s="28"/>
      <c r="FH446" s="28"/>
      <c r="FK446" s="28"/>
      <c r="FN446" s="28"/>
      <c r="FQ446" s="28"/>
      <c r="FT446" s="28"/>
      <c r="FW446" s="28"/>
      <c r="FZ446" s="28"/>
      <c r="GC446" s="28"/>
    </row>
    <row r="447" spans="1:185" s="25" customFormat="1" x14ac:dyDescent="0.3">
      <c r="A447" s="27"/>
      <c r="B447" s="28"/>
      <c r="C447" s="27"/>
      <c r="D447" s="26"/>
      <c r="E447" s="28"/>
      <c r="H447" s="28"/>
      <c r="K447" s="28"/>
      <c r="N447" s="28"/>
      <c r="Q447" s="28"/>
      <c r="T447" s="28"/>
      <c r="W447" s="28"/>
      <c r="Z447" s="28"/>
      <c r="AC447" s="28"/>
      <c r="AF447" s="28"/>
      <c r="AI447" s="28"/>
      <c r="AL447" s="28"/>
      <c r="AO447" s="28"/>
      <c r="AR447" s="28"/>
      <c r="AU447" s="28"/>
      <c r="AX447" s="28"/>
      <c r="BA447" s="28"/>
      <c r="BD447" s="28"/>
      <c r="BG447" s="28"/>
      <c r="BJ447" s="28"/>
      <c r="BM447" s="28"/>
      <c r="BP447" s="28"/>
      <c r="BS447" s="28"/>
      <c r="BV447" s="28"/>
      <c r="BY447" s="28"/>
      <c r="CB447" s="28"/>
      <c r="CE447" s="28"/>
      <c r="CH447" s="28"/>
      <c r="CK447" s="28"/>
      <c r="CN447" s="28"/>
      <c r="CQ447" s="28"/>
      <c r="CT447" s="28"/>
      <c r="CW447" s="28"/>
      <c r="CZ447" s="28"/>
      <c r="DC447" s="28"/>
      <c r="DF447" s="28"/>
      <c r="DI447" s="28"/>
      <c r="DL447" s="28"/>
      <c r="DO447" s="28"/>
      <c r="DR447" s="28"/>
      <c r="DU447" s="28"/>
      <c r="DX447" s="28"/>
      <c r="EA447" s="28"/>
      <c r="ED447" s="28"/>
      <c r="EG447" s="28"/>
      <c r="EJ447" s="28"/>
      <c r="EM447" s="28"/>
      <c r="EP447" s="28"/>
      <c r="ES447" s="28"/>
      <c r="EV447" s="28"/>
      <c r="EY447" s="28"/>
      <c r="FB447" s="28"/>
      <c r="FE447" s="28"/>
      <c r="FH447" s="28"/>
      <c r="FK447" s="28"/>
      <c r="FN447" s="28"/>
      <c r="FQ447" s="28"/>
      <c r="FT447" s="28"/>
      <c r="FW447" s="28"/>
      <c r="FZ447" s="28"/>
      <c r="GC447" s="28"/>
    </row>
    <row r="448" spans="1:185" s="25" customFormat="1" x14ac:dyDescent="0.3">
      <c r="A448" s="27"/>
      <c r="B448" s="28"/>
      <c r="C448" s="27"/>
      <c r="D448" s="26"/>
      <c r="E448" s="28"/>
      <c r="H448" s="28"/>
      <c r="K448" s="28"/>
      <c r="N448" s="28"/>
      <c r="Q448" s="28"/>
      <c r="T448" s="28"/>
      <c r="W448" s="28"/>
      <c r="Z448" s="28"/>
      <c r="AC448" s="28"/>
      <c r="AF448" s="28"/>
      <c r="AI448" s="28"/>
      <c r="AL448" s="28"/>
      <c r="AO448" s="28"/>
      <c r="AR448" s="28"/>
      <c r="AU448" s="28"/>
      <c r="AX448" s="28"/>
      <c r="BA448" s="28"/>
      <c r="BD448" s="28"/>
      <c r="BG448" s="28"/>
      <c r="BJ448" s="28"/>
      <c r="BM448" s="28"/>
      <c r="BP448" s="28"/>
      <c r="BS448" s="28"/>
      <c r="BV448" s="28"/>
      <c r="BY448" s="28"/>
      <c r="CB448" s="28"/>
      <c r="CE448" s="28"/>
      <c r="CH448" s="28"/>
      <c r="CK448" s="28"/>
      <c r="CN448" s="28"/>
      <c r="CQ448" s="28"/>
      <c r="CT448" s="28"/>
      <c r="CW448" s="28"/>
      <c r="CZ448" s="28"/>
      <c r="DC448" s="28"/>
      <c r="DF448" s="28"/>
      <c r="DI448" s="28"/>
      <c r="DL448" s="28"/>
      <c r="DO448" s="28"/>
      <c r="DR448" s="28"/>
      <c r="DU448" s="28"/>
      <c r="DX448" s="28"/>
      <c r="EA448" s="28"/>
      <c r="ED448" s="28"/>
      <c r="EG448" s="28"/>
      <c r="EJ448" s="28"/>
      <c r="EM448" s="28"/>
      <c r="EP448" s="28"/>
      <c r="ES448" s="28"/>
      <c r="EV448" s="28"/>
      <c r="EY448" s="28"/>
      <c r="FB448" s="28"/>
      <c r="FE448" s="28"/>
      <c r="FH448" s="28"/>
      <c r="FK448" s="28"/>
      <c r="FN448" s="28"/>
      <c r="FQ448" s="28"/>
      <c r="FT448" s="28"/>
      <c r="FW448" s="28"/>
      <c r="FZ448" s="28"/>
      <c r="GC448" s="28"/>
    </row>
    <row r="449" spans="1:185" s="25" customFormat="1" x14ac:dyDescent="0.3">
      <c r="A449" s="27"/>
      <c r="B449" s="28"/>
      <c r="C449" s="27"/>
      <c r="D449" s="26"/>
      <c r="E449" s="28"/>
      <c r="H449" s="28"/>
      <c r="K449" s="28"/>
      <c r="N449" s="28"/>
      <c r="Q449" s="28"/>
      <c r="T449" s="28"/>
      <c r="W449" s="28"/>
      <c r="Z449" s="28"/>
      <c r="AC449" s="28"/>
      <c r="AF449" s="28"/>
      <c r="AI449" s="28"/>
      <c r="AL449" s="28"/>
      <c r="AO449" s="28"/>
      <c r="AR449" s="28"/>
      <c r="AU449" s="28"/>
      <c r="AX449" s="28"/>
      <c r="BA449" s="28"/>
      <c r="BD449" s="28"/>
      <c r="BG449" s="28"/>
      <c r="BJ449" s="28"/>
      <c r="BM449" s="28"/>
      <c r="BP449" s="28"/>
      <c r="BS449" s="28"/>
      <c r="BV449" s="28"/>
      <c r="BY449" s="28"/>
      <c r="CB449" s="28"/>
      <c r="CE449" s="28"/>
      <c r="CH449" s="28"/>
      <c r="CK449" s="28"/>
      <c r="CN449" s="28"/>
      <c r="CQ449" s="28"/>
      <c r="CT449" s="28"/>
      <c r="CW449" s="28"/>
      <c r="CZ449" s="28"/>
      <c r="DC449" s="28"/>
      <c r="DF449" s="28"/>
      <c r="DI449" s="28"/>
      <c r="DL449" s="28"/>
      <c r="DO449" s="28"/>
      <c r="DR449" s="28"/>
      <c r="DU449" s="28"/>
      <c r="DX449" s="28"/>
      <c r="EA449" s="28"/>
      <c r="ED449" s="28"/>
      <c r="EG449" s="28"/>
      <c r="EJ449" s="28"/>
      <c r="EM449" s="28"/>
      <c r="EP449" s="28"/>
      <c r="ES449" s="28"/>
      <c r="EV449" s="28"/>
      <c r="EY449" s="28"/>
      <c r="FB449" s="28"/>
      <c r="FE449" s="28"/>
      <c r="FH449" s="28"/>
      <c r="FK449" s="28"/>
      <c r="FN449" s="28"/>
      <c r="FQ449" s="28"/>
      <c r="FT449" s="28"/>
      <c r="FW449" s="28"/>
      <c r="FZ449" s="28"/>
      <c r="GC449" s="28"/>
    </row>
    <row r="450" spans="1:185" s="25" customFormat="1" x14ac:dyDescent="0.3">
      <c r="A450" s="27"/>
      <c r="B450" s="28"/>
      <c r="C450" s="27"/>
      <c r="D450" s="26"/>
      <c r="E450" s="28"/>
      <c r="H450" s="28"/>
      <c r="K450" s="28"/>
      <c r="N450" s="28"/>
      <c r="Q450" s="28"/>
      <c r="T450" s="28"/>
      <c r="W450" s="28"/>
      <c r="Z450" s="28"/>
      <c r="AC450" s="28"/>
      <c r="AF450" s="28"/>
      <c r="AI450" s="28"/>
      <c r="AL450" s="28"/>
      <c r="AO450" s="28"/>
      <c r="AR450" s="28"/>
      <c r="AU450" s="28"/>
      <c r="AX450" s="28"/>
      <c r="BA450" s="28"/>
      <c r="BD450" s="28"/>
      <c r="BG450" s="28"/>
      <c r="BJ450" s="28"/>
      <c r="BM450" s="28"/>
      <c r="BP450" s="28"/>
      <c r="BS450" s="28"/>
      <c r="BV450" s="28"/>
      <c r="BY450" s="28"/>
      <c r="CB450" s="28"/>
      <c r="CE450" s="28"/>
      <c r="CH450" s="28"/>
      <c r="CK450" s="28"/>
      <c r="CN450" s="28"/>
      <c r="CQ450" s="28"/>
      <c r="CT450" s="28"/>
      <c r="CW450" s="28"/>
      <c r="CZ450" s="28"/>
      <c r="DC450" s="28"/>
      <c r="DF450" s="28"/>
      <c r="DI450" s="28"/>
      <c r="DL450" s="28"/>
      <c r="DO450" s="28"/>
      <c r="DR450" s="28"/>
      <c r="DU450" s="28"/>
      <c r="DX450" s="28"/>
      <c r="EA450" s="28"/>
      <c r="ED450" s="28"/>
      <c r="EG450" s="28"/>
      <c r="EJ450" s="28"/>
      <c r="EM450" s="28"/>
      <c r="EP450" s="28"/>
      <c r="ES450" s="28"/>
      <c r="EV450" s="28"/>
      <c r="EY450" s="28"/>
      <c r="FB450" s="28"/>
      <c r="FE450" s="28"/>
      <c r="FH450" s="28"/>
      <c r="FK450" s="28"/>
      <c r="FN450" s="28"/>
      <c r="FQ450" s="28"/>
      <c r="FT450" s="28"/>
      <c r="FW450" s="28"/>
      <c r="FZ450" s="28"/>
      <c r="GC450" s="28"/>
    </row>
    <row r="451" spans="1:185" s="25" customFormat="1" x14ac:dyDescent="0.3">
      <c r="A451" s="27"/>
      <c r="B451" s="28"/>
      <c r="C451" s="27"/>
      <c r="D451" s="26"/>
      <c r="E451" s="28"/>
      <c r="H451" s="28"/>
      <c r="K451" s="28"/>
      <c r="N451" s="28"/>
      <c r="Q451" s="28"/>
      <c r="T451" s="28"/>
      <c r="W451" s="28"/>
      <c r="Z451" s="28"/>
      <c r="AC451" s="28"/>
      <c r="AF451" s="28"/>
      <c r="AI451" s="28"/>
      <c r="AL451" s="28"/>
      <c r="AO451" s="28"/>
      <c r="AR451" s="28"/>
      <c r="AU451" s="28"/>
      <c r="AX451" s="28"/>
      <c r="BA451" s="28"/>
      <c r="BD451" s="28"/>
      <c r="BG451" s="28"/>
      <c r="BJ451" s="28"/>
      <c r="BM451" s="28"/>
      <c r="BP451" s="28"/>
      <c r="BS451" s="28"/>
      <c r="BV451" s="28"/>
      <c r="BY451" s="28"/>
      <c r="CB451" s="28"/>
      <c r="CE451" s="28"/>
      <c r="CH451" s="28"/>
      <c r="CK451" s="28"/>
      <c r="CN451" s="28"/>
      <c r="CQ451" s="28"/>
      <c r="CT451" s="28"/>
      <c r="CW451" s="28"/>
      <c r="CZ451" s="28"/>
      <c r="DC451" s="28"/>
      <c r="DF451" s="28"/>
      <c r="DI451" s="28"/>
      <c r="DL451" s="28"/>
      <c r="DO451" s="28"/>
      <c r="DR451" s="28"/>
      <c r="DU451" s="28"/>
      <c r="DX451" s="28"/>
      <c r="EA451" s="28"/>
      <c r="ED451" s="28"/>
      <c r="EG451" s="28"/>
      <c r="EJ451" s="28"/>
      <c r="EM451" s="28"/>
      <c r="EP451" s="28"/>
      <c r="ES451" s="28"/>
      <c r="EV451" s="28"/>
      <c r="EY451" s="28"/>
      <c r="FB451" s="28"/>
      <c r="FE451" s="28"/>
      <c r="FH451" s="28"/>
      <c r="FK451" s="28"/>
      <c r="FN451" s="28"/>
      <c r="FQ451" s="28"/>
      <c r="FT451" s="28"/>
      <c r="FW451" s="28"/>
      <c r="FZ451" s="28"/>
      <c r="GC451" s="28"/>
    </row>
    <row r="452" spans="1:185" s="25" customFormat="1" x14ac:dyDescent="0.3">
      <c r="A452" s="27"/>
      <c r="B452" s="28"/>
      <c r="C452" s="27"/>
      <c r="D452" s="26"/>
      <c r="E452" s="28"/>
      <c r="H452" s="28"/>
      <c r="K452" s="28"/>
      <c r="N452" s="28"/>
      <c r="Q452" s="28"/>
      <c r="T452" s="28"/>
      <c r="W452" s="28"/>
      <c r="Z452" s="28"/>
      <c r="AC452" s="28"/>
      <c r="AF452" s="28"/>
      <c r="AI452" s="28"/>
      <c r="AL452" s="28"/>
      <c r="AO452" s="28"/>
      <c r="AR452" s="28"/>
      <c r="AU452" s="28"/>
      <c r="AX452" s="28"/>
      <c r="BA452" s="28"/>
      <c r="BD452" s="28"/>
      <c r="BG452" s="28"/>
      <c r="BJ452" s="28"/>
      <c r="BM452" s="28"/>
      <c r="BP452" s="28"/>
      <c r="BS452" s="28"/>
      <c r="BV452" s="28"/>
      <c r="BY452" s="28"/>
      <c r="CB452" s="28"/>
      <c r="CE452" s="28"/>
      <c r="CH452" s="28"/>
      <c r="CK452" s="28"/>
      <c r="CN452" s="28"/>
      <c r="CQ452" s="28"/>
      <c r="CT452" s="28"/>
      <c r="CW452" s="28"/>
      <c r="CZ452" s="28"/>
      <c r="DC452" s="28"/>
      <c r="DF452" s="28"/>
      <c r="DI452" s="28"/>
      <c r="DL452" s="28"/>
      <c r="DO452" s="28"/>
      <c r="DR452" s="28"/>
      <c r="DU452" s="28"/>
      <c r="DX452" s="28"/>
      <c r="EA452" s="28"/>
      <c r="ED452" s="28"/>
      <c r="EG452" s="28"/>
      <c r="EJ452" s="28"/>
      <c r="EM452" s="28"/>
      <c r="EP452" s="28"/>
      <c r="ES452" s="28"/>
      <c r="EV452" s="28"/>
      <c r="EY452" s="28"/>
      <c r="FB452" s="28"/>
      <c r="FE452" s="28"/>
      <c r="FH452" s="28"/>
      <c r="FK452" s="28"/>
      <c r="FN452" s="28"/>
      <c r="FQ452" s="28"/>
      <c r="FT452" s="28"/>
      <c r="FW452" s="28"/>
      <c r="FZ452" s="28"/>
      <c r="GC452" s="28"/>
    </row>
    <row r="453" spans="1:185" s="25" customFormat="1" x14ac:dyDescent="0.3">
      <c r="A453" s="27"/>
      <c r="B453" s="28"/>
      <c r="C453" s="27"/>
      <c r="D453" s="26"/>
      <c r="E453" s="28"/>
      <c r="H453" s="28"/>
      <c r="K453" s="28"/>
      <c r="N453" s="28"/>
      <c r="Q453" s="28"/>
      <c r="T453" s="28"/>
      <c r="W453" s="28"/>
      <c r="Z453" s="28"/>
      <c r="AC453" s="28"/>
      <c r="AF453" s="28"/>
      <c r="AI453" s="28"/>
      <c r="AL453" s="28"/>
      <c r="AO453" s="28"/>
      <c r="AR453" s="28"/>
      <c r="AU453" s="28"/>
      <c r="AX453" s="28"/>
      <c r="BA453" s="28"/>
      <c r="BD453" s="28"/>
      <c r="BG453" s="28"/>
      <c r="BJ453" s="28"/>
      <c r="BM453" s="28"/>
      <c r="BP453" s="28"/>
      <c r="BS453" s="28"/>
      <c r="BV453" s="28"/>
      <c r="BY453" s="28"/>
      <c r="CB453" s="28"/>
      <c r="CE453" s="28"/>
      <c r="CH453" s="28"/>
      <c r="CK453" s="28"/>
      <c r="CN453" s="28"/>
      <c r="CQ453" s="28"/>
      <c r="CT453" s="28"/>
      <c r="CW453" s="28"/>
      <c r="CZ453" s="28"/>
      <c r="DC453" s="28"/>
      <c r="DF453" s="28"/>
      <c r="DI453" s="28"/>
      <c r="DL453" s="28"/>
      <c r="DO453" s="28"/>
      <c r="DR453" s="28"/>
      <c r="DU453" s="28"/>
      <c r="DX453" s="28"/>
      <c r="EA453" s="28"/>
      <c r="ED453" s="28"/>
      <c r="EG453" s="28"/>
      <c r="EJ453" s="28"/>
      <c r="EM453" s="28"/>
      <c r="EP453" s="28"/>
      <c r="ES453" s="28"/>
      <c r="EV453" s="28"/>
      <c r="EY453" s="28"/>
      <c r="FB453" s="28"/>
      <c r="FE453" s="28"/>
      <c r="FH453" s="28"/>
      <c r="FK453" s="28"/>
      <c r="FN453" s="28"/>
      <c r="FQ453" s="28"/>
      <c r="FT453" s="28"/>
      <c r="FW453" s="28"/>
      <c r="FZ453" s="28"/>
      <c r="GC453" s="28"/>
    </row>
    <row r="454" spans="1:185" s="25" customFormat="1" x14ac:dyDescent="0.3">
      <c r="A454" s="27"/>
      <c r="B454" s="28"/>
      <c r="C454" s="27"/>
      <c r="D454" s="26"/>
      <c r="E454" s="28"/>
      <c r="H454" s="28"/>
      <c r="K454" s="28"/>
      <c r="N454" s="28"/>
      <c r="Q454" s="28"/>
      <c r="T454" s="28"/>
      <c r="W454" s="28"/>
      <c r="Z454" s="28"/>
      <c r="AC454" s="28"/>
      <c r="AF454" s="28"/>
      <c r="AI454" s="28"/>
      <c r="AL454" s="28"/>
      <c r="AO454" s="28"/>
      <c r="AR454" s="28"/>
      <c r="AU454" s="28"/>
      <c r="AX454" s="28"/>
      <c r="BA454" s="28"/>
      <c r="BD454" s="28"/>
      <c r="BG454" s="28"/>
      <c r="BJ454" s="28"/>
      <c r="BM454" s="28"/>
      <c r="BP454" s="28"/>
      <c r="BS454" s="28"/>
      <c r="BV454" s="28"/>
      <c r="BY454" s="28"/>
      <c r="CB454" s="28"/>
      <c r="CE454" s="28"/>
      <c r="CH454" s="28"/>
      <c r="CK454" s="28"/>
      <c r="CN454" s="28"/>
      <c r="CQ454" s="28"/>
      <c r="CT454" s="28"/>
      <c r="CW454" s="28"/>
      <c r="CZ454" s="28"/>
      <c r="DC454" s="28"/>
      <c r="DF454" s="28"/>
      <c r="DI454" s="28"/>
      <c r="DL454" s="28"/>
      <c r="DO454" s="28"/>
      <c r="DR454" s="28"/>
      <c r="DU454" s="28"/>
      <c r="DX454" s="28"/>
      <c r="EA454" s="28"/>
      <c r="ED454" s="28"/>
      <c r="EG454" s="28"/>
      <c r="EJ454" s="28"/>
      <c r="EM454" s="28"/>
      <c r="EP454" s="28"/>
      <c r="ES454" s="28"/>
      <c r="EV454" s="28"/>
      <c r="EY454" s="28"/>
      <c r="FB454" s="28"/>
      <c r="FE454" s="28"/>
      <c r="FH454" s="28"/>
      <c r="FK454" s="28"/>
      <c r="FN454" s="28"/>
      <c r="FQ454" s="28"/>
      <c r="FT454" s="28"/>
      <c r="FW454" s="28"/>
      <c r="FZ454" s="28"/>
      <c r="GC454" s="28"/>
    </row>
    <row r="455" spans="1:185" s="25" customFormat="1" x14ac:dyDescent="0.3">
      <c r="A455" s="27"/>
      <c r="B455" s="28"/>
      <c r="C455" s="27"/>
      <c r="D455" s="26"/>
      <c r="E455" s="28"/>
      <c r="H455" s="28"/>
      <c r="K455" s="28"/>
      <c r="N455" s="28"/>
      <c r="Q455" s="28"/>
      <c r="T455" s="28"/>
      <c r="W455" s="28"/>
      <c r="Z455" s="28"/>
      <c r="AC455" s="28"/>
      <c r="AF455" s="28"/>
      <c r="AI455" s="28"/>
      <c r="AL455" s="28"/>
      <c r="AO455" s="28"/>
      <c r="AR455" s="28"/>
      <c r="AU455" s="28"/>
      <c r="AX455" s="28"/>
      <c r="BA455" s="28"/>
      <c r="BD455" s="28"/>
      <c r="BG455" s="28"/>
      <c r="BJ455" s="28"/>
      <c r="BM455" s="28"/>
      <c r="BP455" s="28"/>
      <c r="BS455" s="28"/>
      <c r="BV455" s="28"/>
      <c r="BY455" s="28"/>
      <c r="CB455" s="28"/>
      <c r="CE455" s="28"/>
      <c r="CH455" s="28"/>
      <c r="CK455" s="28"/>
      <c r="CN455" s="28"/>
      <c r="CQ455" s="28"/>
      <c r="CT455" s="28"/>
      <c r="CW455" s="28"/>
      <c r="CZ455" s="28"/>
      <c r="DC455" s="28"/>
      <c r="DF455" s="28"/>
      <c r="DI455" s="28"/>
      <c r="DL455" s="28"/>
      <c r="DO455" s="28"/>
      <c r="DR455" s="28"/>
      <c r="DU455" s="28"/>
      <c r="DX455" s="28"/>
      <c r="EA455" s="28"/>
      <c r="ED455" s="28"/>
      <c r="EG455" s="28"/>
      <c r="EJ455" s="28"/>
      <c r="EM455" s="28"/>
      <c r="EP455" s="28"/>
      <c r="ES455" s="28"/>
      <c r="EV455" s="28"/>
      <c r="EY455" s="28"/>
      <c r="FB455" s="28"/>
      <c r="FE455" s="28"/>
      <c r="FH455" s="28"/>
      <c r="FK455" s="28"/>
      <c r="FN455" s="28"/>
      <c r="FQ455" s="28"/>
      <c r="FT455" s="28"/>
      <c r="FW455" s="28"/>
      <c r="FZ455" s="28"/>
      <c r="GC455" s="28"/>
    </row>
    <row r="456" spans="1:185" s="25" customFormat="1" x14ac:dyDescent="0.3">
      <c r="A456" s="27"/>
      <c r="B456" s="28"/>
      <c r="C456" s="27"/>
      <c r="D456" s="26"/>
      <c r="E456" s="28"/>
      <c r="H456" s="28"/>
      <c r="K456" s="28"/>
      <c r="N456" s="28"/>
      <c r="Q456" s="28"/>
      <c r="T456" s="28"/>
      <c r="W456" s="28"/>
      <c r="Z456" s="28"/>
      <c r="AC456" s="28"/>
      <c r="AF456" s="28"/>
      <c r="AI456" s="28"/>
      <c r="AL456" s="28"/>
      <c r="AO456" s="28"/>
      <c r="AR456" s="28"/>
      <c r="AU456" s="28"/>
      <c r="AX456" s="28"/>
      <c r="BA456" s="28"/>
      <c r="BD456" s="28"/>
      <c r="BG456" s="28"/>
      <c r="BJ456" s="28"/>
      <c r="BM456" s="28"/>
      <c r="BP456" s="28"/>
      <c r="BS456" s="28"/>
      <c r="BV456" s="28"/>
      <c r="BY456" s="28"/>
      <c r="CB456" s="28"/>
      <c r="CE456" s="28"/>
      <c r="CH456" s="28"/>
      <c r="CK456" s="28"/>
      <c r="CN456" s="28"/>
      <c r="CQ456" s="28"/>
      <c r="CT456" s="28"/>
      <c r="CW456" s="28"/>
      <c r="CZ456" s="28"/>
      <c r="DC456" s="28"/>
      <c r="DF456" s="28"/>
      <c r="DI456" s="28"/>
      <c r="DL456" s="28"/>
      <c r="DO456" s="28"/>
      <c r="DR456" s="28"/>
      <c r="DU456" s="28"/>
      <c r="DX456" s="28"/>
      <c r="EA456" s="28"/>
      <c r="ED456" s="28"/>
      <c r="EG456" s="28"/>
      <c r="EJ456" s="28"/>
      <c r="EM456" s="28"/>
      <c r="EP456" s="28"/>
      <c r="ES456" s="28"/>
      <c r="EV456" s="28"/>
      <c r="EY456" s="28"/>
      <c r="FB456" s="28"/>
      <c r="FE456" s="28"/>
      <c r="FH456" s="28"/>
      <c r="FK456" s="28"/>
      <c r="FN456" s="28"/>
      <c r="FQ456" s="28"/>
      <c r="FT456" s="28"/>
      <c r="FW456" s="28"/>
      <c r="FZ456" s="28"/>
      <c r="GC456" s="28"/>
    </row>
    <row r="457" spans="1:185" s="25" customFormat="1" x14ac:dyDescent="0.3">
      <c r="A457" s="27"/>
      <c r="B457" s="28"/>
      <c r="C457" s="27"/>
      <c r="D457" s="26"/>
      <c r="E457" s="28"/>
      <c r="H457" s="28"/>
      <c r="K457" s="28"/>
      <c r="N457" s="28"/>
      <c r="Q457" s="28"/>
      <c r="T457" s="28"/>
      <c r="W457" s="28"/>
      <c r="Z457" s="28"/>
      <c r="AC457" s="28"/>
      <c r="AF457" s="28"/>
      <c r="AI457" s="28"/>
      <c r="AL457" s="28"/>
      <c r="AO457" s="28"/>
      <c r="AR457" s="28"/>
      <c r="AU457" s="28"/>
      <c r="AX457" s="28"/>
      <c r="BA457" s="28"/>
      <c r="BD457" s="28"/>
      <c r="BG457" s="28"/>
      <c r="BJ457" s="28"/>
      <c r="BM457" s="28"/>
      <c r="BP457" s="28"/>
      <c r="BS457" s="28"/>
      <c r="BV457" s="28"/>
      <c r="BY457" s="28"/>
      <c r="CB457" s="28"/>
      <c r="CE457" s="28"/>
      <c r="CH457" s="28"/>
      <c r="CK457" s="28"/>
      <c r="CN457" s="28"/>
      <c r="CQ457" s="28"/>
      <c r="CT457" s="28"/>
      <c r="CW457" s="28"/>
      <c r="CZ457" s="28"/>
      <c r="DC457" s="28"/>
      <c r="DF457" s="28"/>
      <c r="DI457" s="28"/>
      <c r="DL457" s="28"/>
      <c r="DO457" s="28"/>
      <c r="DR457" s="28"/>
      <c r="DU457" s="28"/>
      <c r="DX457" s="28"/>
      <c r="EA457" s="28"/>
      <c r="ED457" s="28"/>
      <c r="EG457" s="28"/>
      <c r="EJ457" s="28"/>
      <c r="EM457" s="28"/>
      <c r="EP457" s="28"/>
      <c r="ES457" s="28"/>
      <c r="EV457" s="28"/>
      <c r="EY457" s="28"/>
      <c r="FB457" s="28"/>
      <c r="FE457" s="28"/>
      <c r="FH457" s="28"/>
      <c r="FK457" s="28"/>
      <c r="FN457" s="28"/>
      <c r="FQ457" s="28"/>
      <c r="FT457" s="28"/>
      <c r="FW457" s="28"/>
      <c r="FZ457" s="28"/>
      <c r="GC457" s="28"/>
    </row>
    <row r="458" spans="1:185" s="25" customFormat="1" x14ac:dyDescent="0.3">
      <c r="A458" s="27"/>
      <c r="B458" s="28"/>
      <c r="C458" s="27"/>
      <c r="D458" s="26"/>
      <c r="E458" s="28"/>
      <c r="H458" s="28"/>
      <c r="K458" s="28"/>
      <c r="N458" s="28"/>
      <c r="Q458" s="28"/>
      <c r="T458" s="28"/>
      <c r="W458" s="28"/>
      <c r="Z458" s="28"/>
      <c r="AC458" s="28"/>
      <c r="AF458" s="28"/>
      <c r="AI458" s="28"/>
      <c r="AL458" s="28"/>
      <c r="AO458" s="28"/>
      <c r="AR458" s="28"/>
      <c r="AU458" s="28"/>
      <c r="AX458" s="28"/>
      <c r="BA458" s="28"/>
      <c r="BD458" s="28"/>
      <c r="BG458" s="28"/>
      <c r="BJ458" s="28"/>
      <c r="BM458" s="28"/>
      <c r="BP458" s="28"/>
      <c r="BS458" s="28"/>
      <c r="BV458" s="28"/>
      <c r="BY458" s="28"/>
      <c r="CB458" s="28"/>
      <c r="CE458" s="28"/>
      <c r="CH458" s="28"/>
      <c r="CK458" s="28"/>
      <c r="CN458" s="28"/>
      <c r="CQ458" s="28"/>
      <c r="CT458" s="28"/>
      <c r="CW458" s="28"/>
      <c r="CZ458" s="28"/>
      <c r="DC458" s="28"/>
      <c r="DF458" s="28"/>
      <c r="DI458" s="28"/>
      <c r="DL458" s="28"/>
      <c r="DO458" s="28"/>
      <c r="DR458" s="28"/>
      <c r="DU458" s="28"/>
      <c r="DX458" s="28"/>
      <c r="EA458" s="28"/>
      <c r="ED458" s="28"/>
      <c r="EG458" s="28"/>
      <c r="EJ458" s="28"/>
      <c r="EM458" s="28"/>
      <c r="EP458" s="28"/>
      <c r="ES458" s="28"/>
      <c r="EV458" s="28"/>
      <c r="EY458" s="28"/>
      <c r="FB458" s="28"/>
      <c r="FE458" s="28"/>
      <c r="FH458" s="28"/>
      <c r="FK458" s="28"/>
      <c r="FN458" s="28"/>
      <c r="FQ458" s="28"/>
      <c r="FT458" s="28"/>
      <c r="FW458" s="28"/>
      <c r="FZ458" s="28"/>
      <c r="GC458" s="28"/>
    </row>
    <row r="459" spans="1:185" s="25" customFormat="1" x14ac:dyDescent="0.3">
      <c r="A459" s="27"/>
      <c r="B459" s="28"/>
      <c r="C459" s="27"/>
      <c r="D459" s="26"/>
      <c r="E459" s="28"/>
      <c r="H459" s="28"/>
      <c r="K459" s="28"/>
      <c r="N459" s="28"/>
      <c r="Q459" s="28"/>
      <c r="T459" s="28"/>
      <c r="W459" s="28"/>
      <c r="Z459" s="28"/>
      <c r="AC459" s="28"/>
      <c r="AF459" s="28"/>
      <c r="AI459" s="28"/>
      <c r="AL459" s="28"/>
      <c r="AO459" s="28"/>
      <c r="AR459" s="28"/>
      <c r="AU459" s="28"/>
      <c r="AX459" s="28"/>
      <c r="BA459" s="28"/>
      <c r="BD459" s="28"/>
      <c r="BG459" s="28"/>
      <c r="BJ459" s="28"/>
      <c r="BM459" s="28"/>
      <c r="BP459" s="28"/>
      <c r="BS459" s="28"/>
      <c r="BV459" s="28"/>
      <c r="BY459" s="28"/>
      <c r="CB459" s="28"/>
      <c r="CE459" s="28"/>
      <c r="CH459" s="28"/>
      <c r="CK459" s="28"/>
      <c r="CN459" s="28"/>
      <c r="CQ459" s="28"/>
      <c r="CT459" s="28"/>
      <c r="CW459" s="28"/>
      <c r="CZ459" s="28"/>
      <c r="DC459" s="28"/>
      <c r="DF459" s="28"/>
      <c r="DI459" s="28"/>
      <c r="DL459" s="28"/>
      <c r="DO459" s="28"/>
      <c r="DR459" s="28"/>
      <c r="DU459" s="28"/>
      <c r="DX459" s="28"/>
      <c r="EA459" s="28"/>
      <c r="ED459" s="28"/>
      <c r="EG459" s="28"/>
      <c r="EJ459" s="28"/>
      <c r="EM459" s="28"/>
      <c r="EP459" s="28"/>
      <c r="ES459" s="28"/>
      <c r="EV459" s="28"/>
      <c r="EY459" s="28"/>
      <c r="FB459" s="28"/>
      <c r="FE459" s="28"/>
      <c r="FH459" s="28"/>
      <c r="FK459" s="28"/>
      <c r="FN459" s="28"/>
      <c r="FQ459" s="28"/>
      <c r="FT459" s="28"/>
      <c r="FW459" s="28"/>
      <c r="FZ459" s="28"/>
      <c r="GC459" s="28"/>
    </row>
    <row r="460" spans="1:185" s="25" customFormat="1" x14ac:dyDescent="0.3">
      <c r="A460" s="27"/>
      <c r="B460" s="28"/>
      <c r="C460" s="27"/>
      <c r="D460" s="26"/>
      <c r="E460" s="28"/>
      <c r="H460" s="28"/>
      <c r="K460" s="28"/>
      <c r="N460" s="28"/>
      <c r="Q460" s="28"/>
      <c r="T460" s="28"/>
      <c r="W460" s="28"/>
      <c r="Z460" s="28"/>
      <c r="AC460" s="28"/>
      <c r="AF460" s="28"/>
      <c r="AI460" s="28"/>
      <c r="AL460" s="28"/>
      <c r="AO460" s="28"/>
      <c r="AR460" s="28"/>
      <c r="AU460" s="28"/>
      <c r="AX460" s="28"/>
      <c r="BA460" s="28"/>
      <c r="BD460" s="28"/>
      <c r="BG460" s="28"/>
      <c r="BJ460" s="28"/>
      <c r="BM460" s="28"/>
      <c r="BP460" s="28"/>
      <c r="BS460" s="28"/>
      <c r="BV460" s="28"/>
      <c r="BY460" s="28"/>
      <c r="CB460" s="28"/>
      <c r="CE460" s="28"/>
      <c r="CH460" s="28"/>
      <c r="CK460" s="28"/>
      <c r="CN460" s="28"/>
      <c r="CQ460" s="28"/>
      <c r="CT460" s="28"/>
      <c r="CW460" s="28"/>
      <c r="CZ460" s="28"/>
      <c r="DC460" s="28"/>
      <c r="DF460" s="28"/>
      <c r="DI460" s="28"/>
      <c r="DL460" s="28"/>
      <c r="DO460" s="28"/>
      <c r="DR460" s="28"/>
      <c r="DU460" s="28"/>
      <c r="DX460" s="28"/>
      <c r="EA460" s="28"/>
      <c r="ED460" s="28"/>
      <c r="EG460" s="28"/>
      <c r="EJ460" s="28"/>
      <c r="EM460" s="28"/>
      <c r="EP460" s="28"/>
      <c r="ES460" s="28"/>
      <c r="EV460" s="28"/>
      <c r="EY460" s="28"/>
      <c r="FB460" s="28"/>
      <c r="FE460" s="28"/>
      <c r="FH460" s="28"/>
      <c r="FK460" s="28"/>
      <c r="FN460" s="28"/>
      <c r="FQ460" s="28"/>
      <c r="FT460" s="28"/>
      <c r="FW460" s="28"/>
      <c r="FZ460" s="28"/>
      <c r="GC460" s="28"/>
    </row>
    <row r="461" spans="1:185" s="25" customFormat="1" x14ac:dyDescent="0.3">
      <c r="A461" s="27"/>
      <c r="B461" s="28"/>
      <c r="C461" s="27"/>
      <c r="D461" s="26"/>
      <c r="E461" s="28"/>
      <c r="H461" s="28"/>
      <c r="K461" s="28"/>
      <c r="N461" s="28"/>
      <c r="Q461" s="28"/>
      <c r="T461" s="28"/>
      <c r="W461" s="28"/>
      <c r="Z461" s="28"/>
      <c r="AC461" s="28"/>
      <c r="AF461" s="28"/>
      <c r="AI461" s="28"/>
      <c r="AL461" s="28"/>
      <c r="AO461" s="28"/>
      <c r="AR461" s="28"/>
      <c r="AU461" s="28"/>
      <c r="AX461" s="28"/>
      <c r="BA461" s="28"/>
      <c r="BD461" s="28"/>
      <c r="BG461" s="28"/>
      <c r="BJ461" s="28"/>
      <c r="BM461" s="28"/>
      <c r="BP461" s="28"/>
      <c r="BS461" s="28"/>
      <c r="BV461" s="28"/>
      <c r="BY461" s="28"/>
      <c r="CB461" s="28"/>
      <c r="CE461" s="28"/>
      <c r="CH461" s="28"/>
      <c r="CK461" s="28"/>
      <c r="CN461" s="28"/>
      <c r="CQ461" s="28"/>
      <c r="CT461" s="28"/>
      <c r="CW461" s="28"/>
      <c r="CZ461" s="28"/>
      <c r="DC461" s="28"/>
      <c r="DF461" s="28"/>
      <c r="DI461" s="28"/>
      <c r="DL461" s="28"/>
      <c r="DO461" s="28"/>
      <c r="DR461" s="28"/>
      <c r="DU461" s="28"/>
      <c r="DX461" s="28"/>
      <c r="EA461" s="28"/>
      <c r="ED461" s="28"/>
      <c r="EG461" s="28"/>
      <c r="EJ461" s="28"/>
      <c r="EM461" s="28"/>
      <c r="EP461" s="28"/>
      <c r="ES461" s="28"/>
      <c r="EV461" s="28"/>
      <c r="EY461" s="28"/>
      <c r="FB461" s="28"/>
      <c r="FE461" s="28"/>
      <c r="FH461" s="28"/>
      <c r="FK461" s="28"/>
      <c r="FN461" s="28"/>
      <c r="FQ461" s="28"/>
      <c r="FT461" s="28"/>
      <c r="FW461" s="28"/>
      <c r="FZ461" s="28"/>
      <c r="GC461" s="28"/>
    </row>
    <row r="462" spans="1:185" s="25" customFormat="1" x14ac:dyDescent="0.3">
      <c r="A462" s="27"/>
      <c r="B462" s="28"/>
      <c r="C462" s="27"/>
      <c r="D462" s="26"/>
      <c r="E462" s="28"/>
      <c r="H462" s="28"/>
      <c r="K462" s="28"/>
      <c r="N462" s="28"/>
      <c r="Q462" s="28"/>
      <c r="T462" s="28"/>
      <c r="W462" s="28"/>
      <c r="Z462" s="28"/>
      <c r="AC462" s="28"/>
      <c r="AF462" s="28"/>
      <c r="AI462" s="28"/>
      <c r="AL462" s="28"/>
      <c r="AO462" s="28"/>
      <c r="AR462" s="28"/>
      <c r="AU462" s="28"/>
      <c r="AX462" s="28"/>
      <c r="BA462" s="28"/>
      <c r="BD462" s="28"/>
      <c r="BG462" s="28"/>
      <c r="BJ462" s="28"/>
      <c r="BM462" s="28"/>
      <c r="BP462" s="28"/>
      <c r="BS462" s="28"/>
      <c r="BV462" s="28"/>
      <c r="BY462" s="28"/>
      <c r="CB462" s="28"/>
      <c r="CE462" s="28"/>
      <c r="CH462" s="28"/>
      <c r="CK462" s="28"/>
      <c r="CN462" s="28"/>
      <c r="CQ462" s="28"/>
      <c r="CT462" s="28"/>
      <c r="CW462" s="28"/>
      <c r="CZ462" s="28"/>
      <c r="DC462" s="28"/>
      <c r="DF462" s="28"/>
      <c r="DI462" s="28"/>
      <c r="DL462" s="28"/>
      <c r="DO462" s="28"/>
      <c r="DR462" s="28"/>
      <c r="DU462" s="28"/>
      <c r="DX462" s="28"/>
      <c r="EA462" s="28"/>
      <c r="ED462" s="28"/>
      <c r="EG462" s="28"/>
      <c r="EJ462" s="28"/>
      <c r="EM462" s="28"/>
      <c r="EP462" s="28"/>
      <c r="ES462" s="28"/>
      <c r="EV462" s="28"/>
      <c r="EY462" s="28"/>
      <c r="FB462" s="28"/>
      <c r="FE462" s="28"/>
      <c r="FH462" s="28"/>
      <c r="FK462" s="28"/>
      <c r="FN462" s="28"/>
      <c r="FQ462" s="28"/>
      <c r="FT462" s="28"/>
      <c r="FW462" s="28"/>
      <c r="FZ462" s="28"/>
      <c r="GC462" s="28"/>
    </row>
    <row r="463" spans="1:185" s="25" customFormat="1" x14ac:dyDescent="0.3">
      <c r="A463" s="27"/>
      <c r="B463" s="28"/>
      <c r="C463" s="27"/>
      <c r="D463" s="26"/>
      <c r="E463" s="28"/>
      <c r="H463" s="28"/>
      <c r="K463" s="28"/>
      <c r="N463" s="28"/>
      <c r="Q463" s="28"/>
      <c r="T463" s="28"/>
      <c r="W463" s="28"/>
      <c r="Z463" s="28"/>
      <c r="AC463" s="28"/>
      <c r="AF463" s="28"/>
      <c r="AI463" s="28"/>
      <c r="AL463" s="28"/>
      <c r="AO463" s="28"/>
      <c r="AR463" s="28"/>
      <c r="AU463" s="28"/>
      <c r="AX463" s="28"/>
      <c r="BA463" s="28"/>
      <c r="BD463" s="28"/>
      <c r="BG463" s="28"/>
      <c r="BJ463" s="28"/>
      <c r="BM463" s="28"/>
      <c r="BP463" s="28"/>
      <c r="BS463" s="28"/>
      <c r="BV463" s="28"/>
      <c r="BY463" s="28"/>
      <c r="CB463" s="28"/>
      <c r="CE463" s="28"/>
      <c r="CH463" s="28"/>
      <c r="CK463" s="28"/>
      <c r="CN463" s="28"/>
      <c r="CQ463" s="28"/>
      <c r="CT463" s="28"/>
      <c r="CW463" s="28"/>
      <c r="CZ463" s="28"/>
      <c r="DC463" s="28"/>
      <c r="DF463" s="28"/>
      <c r="DI463" s="28"/>
      <c r="DL463" s="28"/>
      <c r="DO463" s="28"/>
      <c r="DR463" s="28"/>
      <c r="DU463" s="28"/>
      <c r="DX463" s="28"/>
      <c r="EA463" s="28"/>
      <c r="ED463" s="28"/>
      <c r="EG463" s="28"/>
      <c r="EJ463" s="28"/>
      <c r="EM463" s="28"/>
      <c r="EP463" s="28"/>
      <c r="ES463" s="28"/>
      <c r="EV463" s="28"/>
      <c r="EY463" s="28"/>
      <c r="FB463" s="28"/>
      <c r="FE463" s="28"/>
      <c r="FH463" s="28"/>
      <c r="FK463" s="28"/>
      <c r="FN463" s="28"/>
      <c r="FQ463" s="28"/>
      <c r="FT463" s="28"/>
      <c r="FW463" s="28"/>
      <c r="FZ463" s="28"/>
      <c r="GC463" s="28"/>
    </row>
    <row r="464" spans="1:185" s="25" customFormat="1" x14ac:dyDescent="0.3">
      <c r="A464" s="27"/>
      <c r="B464" s="28"/>
      <c r="C464" s="27"/>
      <c r="D464" s="26"/>
      <c r="E464" s="28"/>
      <c r="H464" s="28"/>
      <c r="K464" s="28"/>
      <c r="N464" s="28"/>
      <c r="Q464" s="28"/>
      <c r="T464" s="28"/>
      <c r="W464" s="28"/>
      <c r="Z464" s="28"/>
      <c r="AC464" s="28"/>
      <c r="AF464" s="28"/>
      <c r="AI464" s="28"/>
      <c r="AL464" s="28"/>
      <c r="AO464" s="28"/>
      <c r="AR464" s="28"/>
      <c r="AU464" s="28"/>
      <c r="AX464" s="28"/>
      <c r="BA464" s="28"/>
      <c r="BD464" s="28"/>
      <c r="BG464" s="28"/>
      <c r="BJ464" s="28"/>
      <c r="BM464" s="28"/>
      <c r="BP464" s="28"/>
      <c r="BS464" s="28"/>
      <c r="BV464" s="28"/>
      <c r="BY464" s="28"/>
      <c r="CB464" s="28"/>
      <c r="CE464" s="28"/>
      <c r="CH464" s="28"/>
      <c r="CK464" s="28"/>
      <c r="CN464" s="28"/>
      <c r="CQ464" s="28"/>
      <c r="CT464" s="28"/>
      <c r="CW464" s="28"/>
      <c r="CZ464" s="28"/>
      <c r="DC464" s="28"/>
      <c r="DF464" s="28"/>
      <c r="DI464" s="28"/>
      <c r="DL464" s="28"/>
      <c r="DO464" s="28"/>
      <c r="DR464" s="28"/>
      <c r="DU464" s="28"/>
      <c r="DX464" s="28"/>
      <c r="EA464" s="28"/>
      <c r="ED464" s="28"/>
      <c r="EG464" s="28"/>
      <c r="EJ464" s="28"/>
      <c r="EM464" s="28"/>
      <c r="EP464" s="28"/>
      <c r="ES464" s="28"/>
      <c r="EV464" s="28"/>
      <c r="EY464" s="28"/>
      <c r="FB464" s="28"/>
      <c r="FE464" s="28"/>
      <c r="FH464" s="28"/>
      <c r="FK464" s="28"/>
      <c r="FN464" s="28"/>
      <c r="FQ464" s="28"/>
      <c r="FT464" s="28"/>
      <c r="FW464" s="28"/>
      <c r="FZ464" s="28"/>
      <c r="GC464" s="28"/>
    </row>
    <row r="465" spans="1:185" s="25" customFormat="1" x14ac:dyDescent="0.3">
      <c r="A465" s="27"/>
      <c r="B465" s="28"/>
      <c r="C465" s="27"/>
      <c r="D465" s="26"/>
      <c r="E465" s="28"/>
      <c r="H465" s="28"/>
      <c r="K465" s="28"/>
      <c r="N465" s="28"/>
      <c r="Q465" s="28"/>
      <c r="T465" s="28"/>
      <c r="W465" s="28"/>
      <c r="Z465" s="28"/>
      <c r="AC465" s="28"/>
      <c r="AF465" s="28"/>
      <c r="AI465" s="28"/>
      <c r="AL465" s="28"/>
      <c r="AO465" s="28"/>
      <c r="AR465" s="28"/>
      <c r="AU465" s="28"/>
      <c r="AX465" s="28"/>
      <c r="BA465" s="28"/>
      <c r="BD465" s="28"/>
      <c r="BG465" s="28"/>
      <c r="BJ465" s="28"/>
      <c r="BM465" s="28"/>
      <c r="BP465" s="28"/>
      <c r="BS465" s="28"/>
      <c r="BV465" s="28"/>
      <c r="BY465" s="28"/>
      <c r="CB465" s="28"/>
      <c r="CE465" s="28"/>
      <c r="CH465" s="28"/>
      <c r="CK465" s="28"/>
      <c r="CN465" s="28"/>
      <c r="CQ465" s="28"/>
      <c r="CT465" s="28"/>
      <c r="CW465" s="28"/>
      <c r="CZ465" s="28"/>
      <c r="DC465" s="28"/>
      <c r="DF465" s="28"/>
      <c r="DI465" s="28"/>
      <c r="DL465" s="28"/>
      <c r="DO465" s="28"/>
      <c r="DR465" s="28"/>
      <c r="DU465" s="28"/>
      <c r="DX465" s="28"/>
      <c r="EA465" s="28"/>
      <c r="ED465" s="28"/>
      <c r="EG465" s="28"/>
      <c r="EJ465" s="28"/>
      <c r="EM465" s="28"/>
      <c r="EP465" s="28"/>
      <c r="ES465" s="28"/>
      <c r="EV465" s="28"/>
      <c r="EY465" s="28"/>
      <c r="FB465" s="28"/>
      <c r="FE465" s="28"/>
      <c r="FH465" s="28"/>
      <c r="FK465" s="28"/>
      <c r="FN465" s="28"/>
      <c r="FQ465" s="28"/>
      <c r="FT465" s="28"/>
      <c r="FW465" s="28"/>
      <c r="FZ465" s="28"/>
      <c r="GC465" s="28"/>
    </row>
    <row r="466" spans="1:185" s="25" customFormat="1" x14ac:dyDescent="0.3">
      <c r="A466" s="27"/>
      <c r="B466" s="28"/>
      <c r="C466" s="27"/>
      <c r="D466" s="26"/>
      <c r="E466" s="28"/>
      <c r="H466" s="28"/>
      <c r="K466" s="28"/>
      <c r="N466" s="28"/>
      <c r="Q466" s="28"/>
      <c r="T466" s="28"/>
      <c r="W466" s="28"/>
      <c r="Z466" s="28"/>
      <c r="AC466" s="28"/>
      <c r="AF466" s="28"/>
      <c r="AI466" s="28"/>
      <c r="AL466" s="28"/>
      <c r="AO466" s="28"/>
      <c r="AR466" s="28"/>
      <c r="AU466" s="28"/>
      <c r="AX466" s="28"/>
      <c r="BA466" s="28"/>
      <c r="BD466" s="28"/>
      <c r="BG466" s="28"/>
      <c r="BJ466" s="28"/>
      <c r="BM466" s="28"/>
      <c r="BP466" s="28"/>
      <c r="BS466" s="28"/>
      <c r="BV466" s="28"/>
      <c r="BY466" s="28"/>
      <c r="CB466" s="28"/>
      <c r="CE466" s="28"/>
      <c r="CH466" s="28"/>
      <c r="CK466" s="28"/>
      <c r="CN466" s="28"/>
      <c r="CQ466" s="28"/>
      <c r="CT466" s="28"/>
      <c r="CW466" s="28"/>
      <c r="CZ466" s="28"/>
      <c r="DC466" s="28"/>
      <c r="DF466" s="28"/>
      <c r="DI466" s="28"/>
      <c r="DL466" s="28"/>
      <c r="DO466" s="28"/>
      <c r="DR466" s="28"/>
      <c r="DU466" s="28"/>
      <c r="DX466" s="28"/>
      <c r="EA466" s="28"/>
      <c r="ED466" s="28"/>
      <c r="EG466" s="28"/>
      <c r="EJ466" s="28"/>
      <c r="EM466" s="28"/>
      <c r="EP466" s="28"/>
      <c r="ES466" s="28"/>
      <c r="EV466" s="28"/>
      <c r="EY466" s="28"/>
      <c r="FB466" s="28"/>
      <c r="FE466" s="28"/>
      <c r="FH466" s="28"/>
      <c r="FK466" s="28"/>
      <c r="FN466" s="28"/>
      <c r="FQ466" s="28"/>
      <c r="FT466" s="28"/>
      <c r="FW466" s="28"/>
      <c r="FZ466" s="28"/>
      <c r="GC466" s="28"/>
    </row>
    <row r="467" spans="1:185" s="25" customFormat="1" x14ac:dyDescent="0.3">
      <c r="A467" s="27"/>
      <c r="B467" s="28"/>
      <c r="C467" s="27"/>
      <c r="D467" s="26"/>
      <c r="E467" s="28"/>
      <c r="H467" s="28"/>
      <c r="K467" s="28"/>
      <c r="N467" s="28"/>
      <c r="Q467" s="28"/>
      <c r="T467" s="28"/>
      <c r="W467" s="28"/>
      <c r="Z467" s="28"/>
      <c r="AC467" s="28"/>
      <c r="AF467" s="28"/>
      <c r="AI467" s="28"/>
      <c r="AL467" s="28"/>
      <c r="AO467" s="28"/>
      <c r="AR467" s="28"/>
      <c r="AU467" s="28"/>
      <c r="AX467" s="28"/>
      <c r="BA467" s="28"/>
      <c r="BD467" s="28"/>
      <c r="BG467" s="28"/>
      <c r="BJ467" s="28"/>
      <c r="BM467" s="28"/>
      <c r="BP467" s="28"/>
      <c r="BS467" s="28"/>
      <c r="BV467" s="28"/>
      <c r="BY467" s="28"/>
      <c r="CB467" s="28"/>
      <c r="CE467" s="28"/>
      <c r="CH467" s="28"/>
      <c r="CK467" s="28"/>
      <c r="CN467" s="28"/>
      <c r="CQ467" s="28"/>
      <c r="CT467" s="28"/>
      <c r="CW467" s="28"/>
      <c r="CZ467" s="28"/>
      <c r="DC467" s="28"/>
      <c r="DF467" s="28"/>
      <c r="DI467" s="28"/>
      <c r="DL467" s="28"/>
      <c r="DO467" s="28"/>
      <c r="DR467" s="28"/>
      <c r="DU467" s="28"/>
      <c r="DX467" s="28"/>
      <c r="EA467" s="28"/>
      <c r="ED467" s="28"/>
      <c r="EG467" s="28"/>
      <c r="EJ467" s="28"/>
      <c r="EM467" s="28"/>
      <c r="EP467" s="28"/>
      <c r="ES467" s="28"/>
      <c r="EV467" s="28"/>
      <c r="EY467" s="28"/>
      <c r="FB467" s="28"/>
      <c r="FE467" s="28"/>
      <c r="FH467" s="28"/>
      <c r="FK467" s="28"/>
      <c r="FN467" s="28"/>
      <c r="FQ467" s="28"/>
      <c r="FT467" s="28"/>
      <c r="FW467" s="28"/>
      <c r="FZ467" s="28"/>
      <c r="GC467" s="28"/>
    </row>
    <row r="468" spans="1:185" s="25" customFormat="1" x14ac:dyDescent="0.3">
      <c r="A468" s="27"/>
      <c r="B468" s="28"/>
      <c r="C468" s="27"/>
      <c r="D468" s="26"/>
      <c r="E468" s="28"/>
      <c r="H468" s="28"/>
      <c r="K468" s="28"/>
      <c r="N468" s="28"/>
      <c r="Q468" s="28"/>
      <c r="T468" s="28"/>
      <c r="W468" s="28"/>
      <c r="Z468" s="28"/>
      <c r="AC468" s="28"/>
      <c r="AF468" s="28"/>
      <c r="AI468" s="28"/>
      <c r="AL468" s="28"/>
      <c r="AO468" s="28"/>
      <c r="AR468" s="28"/>
      <c r="AU468" s="28"/>
      <c r="AX468" s="28"/>
      <c r="BA468" s="28"/>
      <c r="BD468" s="28"/>
      <c r="BG468" s="28"/>
      <c r="BJ468" s="28"/>
      <c r="BM468" s="28"/>
      <c r="BP468" s="28"/>
      <c r="BS468" s="28"/>
      <c r="BV468" s="28"/>
      <c r="BY468" s="28"/>
      <c r="CB468" s="28"/>
      <c r="CE468" s="28"/>
      <c r="CH468" s="28"/>
      <c r="CK468" s="28"/>
      <c r="CN468" s="28"/>
      <c r="CQ468" s="28"/>
      <c r="CT468" s="28"/>
      <c r="CW468" s="28"/>
      <c r="CZ468" s="28"/>
      <c r="DC468" s="28"/>
      <c r="DF468" s="28"/>
      <c r="DI468" s="28"/>
      <c r="DL468" s="28"/>
      <c r="DO468" s="28"/>
      <c r="DR468" s="28"/>
      <c r="DU468" s="28"/>
      <c r="DX468" s="28"/>
      <c r="EA468" s="28"/>
      <c r="ED468" s="28"/>
      <c r="EG468" s="28"/>
      <c r="EJ468" s="28"/>
      <c r="EM468" s="28"/>
      <c r="EP468" s="28"/>
      <c r="ES468" s="28"/>
      <c r="EV468" s="28"/>
      <c r="EY468" s="28"/>
      <c r="FB468" s="28"/>
      <c r="FE468" s="28"/>
      <c r="FH468" s="28"/>
      <c r="FK468" s="28"/>
      <c r="FN468" s="28"/>
      <c r="FQ468" s="28"/>
      <c r="FT468" s="28"/>
      <c r="FW468" s="28"/>
      <c r="FZ468" s="28"/>
      <c r="GC468" s="28"/>
    </row>
    <row r="469" spans="1:185" s="25" customFormat="1" x14ac:dyDescent="0.3">
      <c r="A469" s="27"/>
      <c r="B469" s="28"/>
      <c r="C469" s="27"/>
      <c r="D469" s="26"/>
      <c r="E469" s="28"/>
      <c r="H469" s="28"/>
      <c r="K469" s="28"/>
      <c r="N469" s="28"/>
      <c r="Q469" s="28"/>
      <c r="T469" s="28"/>
      <c r="W469" s="28"/>
      <c r="Z469" s="28"/>
      <c r="AC469" s="28"/>
      <c r="AF469" s="28"/>
      <c r="AI469" s="28"/>
      <c r="AL469" s="28"/>
      <c r="AO469" s="28"/>
      <c r="AR469" s="28"/>
      <c r="AU469" s="28"/>
      <c r="AX469" s="28"/>
      <c r="BA469" s="28"/>
      <c r="BD469" s="28"/>
      <c r="BG469" s="28"/>
      <c r="BJ469" s="28"/>
      <c r="BM469" s="28"/>
      <c r="BP469" s="28"/>
      <c r="BS469" s="28"/>
      <c r="BV469" s="28"/>
      <c r="BY469" s="28"/>
      <c r="CB469" s="28"/>
      <c r="CE469" s="28"/>
      <c r="CH469" s="28"/>
      <c r="CK469" s="28"/>
      <c r="CN469" s="28"/>
      <c r="CQ469" s="28"/>
      <c r="CT469" s="28"/>
      <c r="CW469" s="28"/>
      <c r="CZ469" s="28"/>
      <c r="DC469" s="28"/>
      <c r="DF469" s="28"/>
      <c r="DI469" s="28"/>
      <c r="DL469" s="28"/>
      <c r="DO469" s="28"/>
      <c r="DR469" s="28"/>
      <c r="DU469" s="28"/>
      <c r="DX469" s="28"/>
      <c r="EA469" s="28"/>
      <c r="ED469" s="28"/>
      <c r="EG469" s="28"/>
      <c r="EJ469" s="28"/>
      <c r="EM469" s="28"/>
      <c r="EP469" s="28"/>
      <c r="ES469" s="28"/>
      <c r="EV469" s="28"/>
      <c r="EY469" s="28"/>
      <c r="FB469" s="28"/>
      <c r="FE469" s="28"/>
      <c r="FH469" s="28"/>
      <c r="FK469" s="28"/>
      <c r="FN469" s="28"/>
      <c r="FQ469" s="28"/>
      <c r="FT469" s="28"/>
      <c r="FW469" s="28"/>
      <c r="FZ469" s="28"/>
      <c r="GC469" s="28"/>
    </row>
    <row r="470" spans="1:185" s="25" customFormat="1" x14ac:dyDescent="0.3">
      <c r="A470" s="27"/>
      <c r="B470" s="28"/>
      <c r="C470" s="27"/>
      <c r="D470" s="26"/>
      <c r="E470" s="28"/>
      <c r="H470" s="28"/>
      <c r="K470" s="28"/>
      <c r="N470" s="28"/>
      <c r="Q470" s="28"/>
      <c r="T470" s="28"/>
      <c r="W470" s="28"/>
      <c r="Z470" s="28"/>
      <c r="AC470" s="28"/>
      <c r="AF470" s="28"/>
      <c r="AI470" s="28"/>
      <c r="AL470" s="28"/>
      <c r="AO470" s="28"/>
      <c r="AR470" s="28"/>
      <c r="AU470" s="28"/>
      <c r="AX470" s="28"/>
      <c r="BA470" s="28"/>
      <c r="BD470" s="28"/>
      <c r="BG470" s="28"/>
      <c r="BJ470" s="28"/>
      <c r="BM470" s="28"/>
      <c r="BP470" s="28"/>
      <c r="BS470" s="28"/>
      <c r="BV470" s="28"/>
      <c r="BY470" s="28"/>
      <c r="CB470" s="28"/>
      <c r="CE470" s="28"/>
      <c r="CH470" s="28"/>
      <c r="CK470" s="28"/>
      <c r="CN470" s="28"/>
      <c r="CQ470" s="28"/>
      <c r="CT470" s="28"/>
      <c r="CW470" s="28"/>
      <c r="CZ470" s="28"/>
      <c r="DC470" s="28"/>
      <c r="DF470" s="28"/>
      <c r="DI470" s="28"/>
      <c r="DL470" s="28"/>
      <c r="DO470" s="28"/>
      <c r="DR470" s="28"/>
      <c r="DU470" s="28"/>
      <c r="DX470" s="28"/>
      <c r="EA470" s="28"/>
      <c r="ED470" s="28"/>
      <c r="EG470" s="28"/>
      <c r="EJ470" s="28"/>
      <c r="EM470" s="28"/>
      <c r="EP470" s="28"/>
      <c r="ES470" s="28"/>
      <c r="EV470" s="28"/>
      <c r="EY470" s="28"/>
      <c r="FB470" s="28"/>
      <c r="FE470" s="28"/>
      <c r="FH470" s="28"/>
      <c r="FK470" s="28"/>
      <c r="FN470" s="28"/>
      <c r="FQ470" s="28"/>
      <c r="FT470" s="28"/>
      <c r="FW470" s="28"/>
      <c r="FZ470" s="28"/>
      <c r="GC470" s="28"/>
    </row>
    <row r="471" spans="1:185" s="25" customFormat="1" x14ac:dyDescent="0.3">
      <c r="A471" s="27"/>
      <c r="B471" s="28"/>
      <c r="C471" s="27"/>
      <c r="D471" s="26"/>
      <c r="E471" s="28"/>
      <c r="H471" s="28"/>
      <c r="K471" s="28"/>
      <c r="N471" s="28"/>
      <c r="Q471" s="28"/>
      <c r="T471" s="28"/>
      <c r="W471" s="28"/>
      <c r="Z471" s="28"/>
      <c r="AC471" s="28"/>
      <c r="AF471" s="28"/>
      <c r="AI471" s="28"/>
      <c r="AL471" s="28"/>
      <c r="AO471" s="28"/>
      <c r="AR471" s="28"/>
      <c r="AU471" s="28"/>
      <c r="AX471" s="28"/>
      <c r="BA471" s="28"/>
      <c r="BD471" s="28"/>
      <c r="BG471" s="28"/>
      <c r="BJ471" s="28"/>
      <c r="BM471" s="28"/>
      <c r="BP471" s="28"/>
      <c r="BS471" s="28"/>
      <c r="BV471" s="28"/>
      <c r="BY471" s="28"/>
      <c r="CB471" s="28"/>
      <c r="CE471" s="28"/>
      <c r="CH471" s="28"/>
      <c r="CK471" s="28"/>
      <c r="CN471" s="28"/>
      <c r="CQ471" s="28"/>
      <c r="CT471" s="28"/>
      <c r="CW471" s="28"/>
      <c r="CZ471" s="28"/>
      <c r="DC471" s="28"/>
      <c r="DF471" s="28"/>
      <c r="DI471" s="28"/>
      <c r="DL471" s="28"/>
      <c r="DO471" s="28"/>
      <c r="DR471" s="28"/>
      <c r="DU471" s="28"/>
      <c r="DX471" s="28"/>
      <c r="EA471" s="28"/>
      <c r="ED471" s="28"/>
      <c r="EG471" s="28"/>
      <c r="EJ471" s="28"/>
      <c r="EM471" s="28"/>
      <c r="EP471" s="28"/>
      <c r="ES471" s="28"/>
      <c r="EV471" s="28"/>
      <c r="EY471" s="28"/>
      <c r="FB471" s="28"/>
      <c r="FE471" s="28"/>
      <c r="FH471" s="28"/>
      <c r="FK471" s="28"/>
      <c r="FN471" s="28"/>
      <c r="FQ471" s="28"/>
      <c r="FT471" s="28"/>
      <c r="FW471" s="28"/>
      <c r="FZ471" s="28"/>
      <c r="GC471" s="28"/>
    </row>
    <row r="472" spans="1:185" s="25" customFormat="1" x14ac:dyDescent="0.3">
      <c r="A472" s="27"/>
      <c r="B472" s="28"/>
      <c r="C472" s="27"/>
      <c r="D472" s="26"/>
      <c r="E472" s="28"/>
      <c r="H472" s="28"/>
      <c r="K472" s="28"/>
      <c r="N472" s="28"/>
      <c r="Q472" s="28"/>
      <c r="T472" s="28"/>
      <c r="W472" s="28"/>
      <c r="Z472" s="28"/>
      <c r="AC472" s="28"/>
      <c r="AF472" s="28"/>
      <c r="AI472" s="28"/>
      <c r="AL472" s="28"/>
      <c r="AO472" s="28"/>
      <c r="AR472" s="28"/>
      <c r="AU472" s="28"/>
      <c r="AX472" s="28"/>
      <c r="BA472" s="28"/>
      <c r="BD472" s="28"/>
      <c r="BG472" s="28"/>
      <c r="BJ472" s="28"/>
      <c r="BM472" s="28"/>
      <c r="BP472" s="28"/>
      <c r="BS472" s="28"/>
      <c r="BV472" s="28"/>
      <c r="BY472" s="28"/>
      <c r="CB472" s="28"/>
      <c r="CE472" s="28"/>
      <c r="CH472" s="28"/>
      <c r="CK472" s="28"/>
      <c r="CN472" s="28"/>
      <c r="CQ472" s="28"/>
      <c r="CT472" s="28"/>
      <c r="CW472" s="28"/>
      <c r="CZ472" s="28"/>
      <c r="DC472" s="28"/>
      <c r="DF472" s="28"/>
      <c r="DI472" s="28"/>
      <c r="DL472" s="28"/>
      <c r="DO472" s="28"/>
      <c r="DR472" s="28"/>
      <c r="DU472" s="28"/>
      <c r="DX472" s="28"/>
      <c r="EA472" s="28"/>
      <c r="ED472" s="28"/>
      <c r="EG472" s="28"/>
      <c r="EJ472" s="28"/>
      <c r="EM472" s="28"/>
      <c r="EP472" s="28"/>
      <c r="ES472" s="28"/>
      <c r="EV472" s="28"/>
      <c r="EY472" s="28"/>
      <c r="FB472" s="28"/>
      <c r="FE472" s="28"/>
      <c r="FH472" s="28"/>
      <c r="FK472" s="28"/>
      <c r="FN472" s="28"/>
      <c r="FQ472" s="28"/>
      <c r="FT472" s="28"/>
      <c r="FW472" s="28"/>
      <c r="FZ472" s="28"/>
      <c r="GC472" s="28"/>
    </row>
    <row r="473" spans="1:185" s="25" customFormat="1" x14ac:dyDescent="0.3">
      <c r="A473" s="27"/>
      <c r="B473" s="28"/>
      <c r="C473" s="27"/>
      <c r="D473" s="26"/>
      <c r="E473" s="28"/>
      <c r="H473" s="28"/>
      <c r="K473" s="28"/>
      <c r="N473" s="28"/>
      <c r="Q473" s="28"/>
      <c r="T473" s="28"/>
      <c r="W473" s="28"/>
      <c r="Z473" s="28"/>
      <c r="AC473" s="28"/>
      <c r="AF473" s="28"/>
      <c r="AI473" s="28"/>
      <c r="AL473" s="28"/>
      <c r="AO473" s="28"/>
      <c r="AR473" s="28"/>
      <c r="AU473" s="28"/>
      <c r="AX473" s="28"/>
      <c r="BA473" s="28"/>
      <c r="BD473" s="28"/>
      <c r="BG473" s="28"/>
      <c r="BJ473" s="28"/>
      <c r="BM473" s="28"/>
      <c r="BP473" s="28"/>
      <c r="BS473" s="28"/>
      <c r="BV473" s="28"/>
      <c r="BY473" s="28"/>
      <c r="CB473" s="28"/>
      <c r="CE473" s="28"/>
      <c r="CH473" s="28"/>
      <c r="CK473" s="28"/>
      <c r="CN473" s="28"/>
      <c r="CQ473" s="28"/>
      <c r="CT473" s="28"/>
      <c r="CW473" s="28"/>
      <c r="CZ473" s="28"/>
      <c r="DC473" s="28"/>
      <c r="DF473" s="28"/>
      <c r="DI473" s="28"/>
      <c r="DL473" s="28"/>
      <c r="DO473" s="28"/>
      <c r="DR473" s="28"/>
      <c r="DU473" s="28"/>
      <c r="DX473" s="28"/>
      <c r="EA473" s="28"/>
      <c r="ED473" s="28"/>
      <c r="EG473" s="28"/>
      <c r="EJ473" s="28"/>
      <c r="EM473" s="28"/>
      <c r="EP473" s="28"/>
      <c r="ES473" s="28"/>
      <c r="EV473" s="28"/>
      <c r="EY473" s="28"/>
      <c r="FB473" s="28"/>
      <c r="FE473" s="28"/>
      <c r="FH473" s="28"/>
      <c r="FK473" s="28"/>
      <c r="FN473" s="28"/>
      <c r="FQ473" s="28"/>
      <c r="FT473" s="28"/>
      <c r="FW473" s="28"/>
      <c r="FZ473" s="28"/>
      <c r="GC473" s="28"/>
    </row>
    <row r="474" spans="1:185" s="25" customFormat="1" x14ac:dyDescent="0.3">
      <c r="A474" s="27"/>
      <c r="B474" s="28"/>
      <c r="C474" s="27"/>
      <c r="D474" s="26"/>
      <c r="E474" s="28"/>
      <c r="H474" s="28"/>
      <c r="K474" s="28"/>
      <c r="N474" s="28"/>
      <c r="Q474" s="28"/>
      <c r="T474" s="28"/>
      <c r="W474" s="28"/>
      <c r="Z474" s="28"/>
      <c r="AC474" s="28"/>
      <c r="AF474" s="28"/>
      <c r="AI474" s="28"/>
      <c r="AL474" s="28"/>
      <c r="AO474" s="28"/>
      <c r="AR474" s="28"/>
      <c r="AU474" s="28"/>
      <c r="AX474" s="28"/>
      <c r="BA474" s="28"/>
      <c r="BD474" s="28"/>
      <c r="BG474" s="28"/>
      <c r="BJ474" s="28"/>
      <c r="BM474" s="28"/>
      <c r="BP474" s="28"/>
      <c r="BS474" s="28"/>
      <c r="BV474" s="28"/>
      <c r="BY474" s="28"/>
      <c r="CB474" s="28"/>
      <c r="CE474" s="28"/>
      <c r="CH474" s="28"/>
      <c r="CK474" s="28"/>
      <c r="CN474" s="28"/>
      <c r="CQ474" s="28"/>
      <c r="CT474" s="28"/>
      <c r="CW474" s="28"/>
      <c r="CZ474" s="28"/>
      <c r="DC474" s="28"/>
      <c r="DF474" s="28"/>
      <c r="DI474" s="28"/>
      <c r="DL474" s="28"/>
      <c r="DO474" s="28"/>
      <c r="DR474" s="28"/>
      <c r="DU474" s="28"/>
      <c r="DX474" s="28"/>
      <c r="EA474" s="28"/>
      <c r="ED474" s="28"/>
      <c r="EG474" s="28"/>
      <c r="EJ474" s="28"/>
      <c r="EM474" s="28"/>
      <c r="EP474" s="28"/>
      <c r="ES474" s="28"/>
      <c r="EV474" s="28"/>
      <c r="EY474" s="28"/>
      <c r="FB474" s="28"/>
      <c r="FE474" s="28"/>
      <c r="FH474" s="28"/>
      <c r="FK474" s="28"/>
      <c r="FN474" s="28"/>
      <c r="FQ474" s="28"/>
      <c r="FT474" s="28"/>
      <c r="FW474" s="28"/>
      <c r="FZ474" s="28"/>
      <c r="GC474" s="28"/>
    </row>
    <row r="475" spans="1:185" s="25" customFormat="1" x14ac:dyDescent="0.3">
      <c r="A475" s="27"/>
      <c r="B475" s="28"/>
      <c r="C475" s="27"/>
      <c r="D475" s="26"/>
      <c r="E475" s="28"/>
      <c r="H475" s="28"/>
      <c r="K475" s="28"/>
      <c r="N475" s="28"/>
      <c r="Q475" s="28"/>
      <c r="T475" s="28"/>
      <c r="W475" s="28"/>
      <c r="Z475" s="28"/>
      <c r="AC475" s="28"/>
      <c r="AF475" s="28"/>
      <c r="AI475" s="28"/>
      <c r="AL475" s="28"/>
      <c r="AO475" s="28"/>
      <c r="AR475" s="28"/>
      <c r="AU475" s="28"/>
      <c r="AX475" s="28"/>
      <c r="BA475" s="28"/>
      <c r="BD475" s="28"/>
      <c r="BG475" s="28"/>
      <c r="BJ475" s="28"/>
      <c r="BM475" s="28"/>
      <c r="BP475" s="28"/>
      <c r="BS475" s="28"/>
      <c r="BV475" s="28"/>
      <c r="BY475" s="28"/>
      <c r="CB475" s="28"/>
      <c r="CE475" s="28"/>
      <c r="CH475" s="28"/>
      <c r="CK475" s="28"/>
      <c r="CN475" s="28"/>
      <c r="CQ475" s="28"/>
      <c r="CT475" s="28"/>
      <c r="CW475" s="28"/>
      <c r="CZ475" s="28"/>
      <c r="DC475" s="28"/>
      <c r="DF475" s="28"/>
      <c r="DI475" s="28"/>
      <c r="DL475" s="28"/>
      <c r="DO475" s="28"/>
      <c r="DR475" s="28"/>
      <c r="DU475" s="28"/>
      <c r="DX475" s="28"/>
      <c r="EA475" s="28"/>
      <c r="ED475" s="28"/>
      <c r="EG475" s="28"/>
      <c r="EJ475" s="28"/>
      <c r="EM475" s="28"/>
      <c r="EP475" s="28"/>
      <c r="ES475" s="28"/>
      <c r="EV475" s="28"/>
      <c r="EY475" s="28"/>
      <c r="FB475" s="28"/>
      <c r="FE475" s="28"/>
      <c r="FH475" s="28"/>
      <c r="FK475" s="28"/>
      <c r="FN475" s="28"/>
      <c r="FQ475" s="28"/>
      <c r="FT475" s="28"/>
      <c r="FW475" s="28"/>
      <c r="FZ475" s="28"/>
      <c r="GC475" s="28"/>
    </row>
    <row r="476" spans="1:185" s="25" customFormat="1" x14ac:dyDescent="0.3">
      <c r="A476" s="27"/>
      <c r="B476" s="28"/>
      <c r="C476" s="27"/>
      <c r="D476" s="26"/>
      <c r="E476" s="28"/>
      <c r="H476" s="28"/>
      <c r="K476" s="28"/>
      <c r="N476" s="28"/>
      <c r="Q476" s="28"/>
      <c r="T476" s="28"/>
      <c r="W476" s="28"/>
      <c r="Z476" s="28"/>
      <c r="AC476" s="28"/>
      <c r="AF476" s="28"/>
      <c r="AI476" s="28"/>
      <c r="AL476" s="28"/>
      <c r="AO476" s="28"/>
      <c r="AR476" s="28"/>
      <c r="AU476" s="28"/>
      <c r="AX476" s="28"/>
      <c r="BA476" s="28"/>
      <c r="BD476" s="28"/>
      <c r="BG476" s="28"/>
      <c r="BJ476" s="28"/>
      <c r="BM476" s="28"/>
      <c r="BP476" s="28"/>
      <c r="BS476" s="28"/>
      <c r="BV476" s="28"/>
      <c r="BY476" s="28"/>
      <c r="CB476" s="28"/>
      <c r="CE476" s="28"/>
      <c r="CH476" s="28"/>
      <c r="CK476" s="28"/>
      <c r="CN476" s="28"/>
      <c r="CQ476" s="28"/>
      <c r="CT476" s="28"/>
      <c r="CW476" s="28"/>
      <c r="CZ476" s="28"/>
      <c r="DC476" s="28"/>
      <c r="DF476" s="28"/>
      <c r="DI476" s="28"/>
      <c r="DL476" s="28"/>
      <c r="DO476" s="28"/>
      <c r="DR476" s="28"/>
      <c r="DU476" s="28"/>
      <c r="DX476" s="28"/>
      <c r="EA476" s="28"/>
      <c r="ED476" s="28"/>
      <c r="EG476" s="28"/>
      <c r="EJ476" s="28"/>
      <c r="EM476" s="28"/>
      <c r="EP476" s="28"/>
      <c r="ES476" s="28"/>
      <c r="EV476" s="28"/>
      <c r="EY476" s="28"/>
      <c r="FB476" s="28"/>
      <c r="FE476" s="28"/>
      <c r="FH476" s="28"/>
      <c r="FK476" s="28"/>
      <c r="FN476" s="28"/>
      <c r="FQ476" s="28"/>
      <c r="FT476" s="28"/>
      <c r="FW476" s="28"/>
      <c r="FZ476" s="28"/>
      <c r="GC476" s="28"/>
    </row>
    <row r="477" spans="1:185" s="25" customFormat="1" x14ac:dyDescent="0.3">
      <c r="A477" s="27"/>
      <c r="B477" s="28"/>
      <c r="C477" s="27"/>
      <c r="D477" s="26"/>
      <c r="E477" s="28"/>
      <c r="H477" s="28"/>
      <c r="K477" s="28"/>
      <c r="N477" s="28"/>
      <c r="Q477" s="28"/>
      <c r="T477" s="28"/>
      <c r="W477" s="28"/>
      <c r="Z477" s="28"/>
      <c r="AC477" s="28"/>
      <c r="AF477" s="28"/>
      <c r="AI477" s="28"/>
      <c r="AL477" s="28"/>
      <c r="AO477" s="28"/>
      <c r="AR477" s="28"/>
      <c r="AU477" s="28"/>
      <c r="AX477" s="28"/>
      <c r="BA477" s="28"/>
      <c r="BD477" s="28"/>
      <c r="BG477" s="28"/>
      <c r="BJ477" s="28"/>
      <c r="BM477" s="28"/>
      <c r="BP477" s="28"/>
      <c r="BS477" s="28"/>
      <c r="BV477" s="28"/>
      <c r="BY477" s="28"/>
      <c r="CB477" s="28"/>
      <c r="CE477" s="28"/>
      <c r="CH477" s="28"/>
      <c r="CK477" s="28"/>
      <c r="CN477" s="28"/>
      <c r="CQ477" s="28"/>
      <c r="CT477" s="28"/>
      <c r="CW477" s="28"/>
      <c r="CZ477" s="28"/>
      <c r="DC477" s="28"/>
      <c r="DF477" s="28"/>
      <c r="DI477" s="28"/>
      <c r="DL477" s="28"/>
      <c r="DO477" s="28"/>
      <c r="DR477" s="28"/>
      <c r="DU477" s="28"/>
      <c r="DX477" s="28"/>
      <c r="EA477" s="28"/>
      <c r="ED477" s="28"/>
      <c r="EG477" s="28"/>
      <c r="EJ477" s="28"/>
      <c r="EM477" s="28"/>
      <c r="EP477" s="28"/>
      <c r="ES477" s="28"/>
      <c r="EV477" s="28"/>
      <c r="EY477" s="28"/>
      <c r="FB477" s="28"/>
      <c r="FE477" s="28"/>
      <c r="FH477" s="28"/>
      <c r="FK477" s="28"/>
      <c r="FN477" s="28"/>
      <c r="FQ477" s="28"/>
      <c r="FT477" s="28"/>
      <c r="FW477" s="28"/>
      <c r="FZ477" s="28"/>
      <c r="GC477" s="28"/>
    </row>
    <row r="478" spans="1:185" s="25" customFormat="1" x14ac:dyDescent="0.3">
      <c r="A478" s="27"/>
      <c r="B478" s="28"/>
      <c r="C478" s="27"/>
      <c r="D478" s="26"/>
      <c r="E478" s="28"/>
      <c r="H478" s="28"/>
      <c r="K478" s="28"/>
      <c r="N478" s="28"/>
      <c r="Q478" s="28"/>
      <c r="T478" s="28"/>
      <c r="W478" s="28"/>
      <c r="Z478" s="28"/>
      <c r="AC478" s="28"/>
      <c r="AF478" s="28"/>
      <c r="AI478" s="28"/>
      <c r="AL478" s="28"/>
      <c r="AO478" s="28"/>
      <c r="AR478" s="28"/>
      <c r="AU478" s="28"/>
      <c r="AX478" s="28"/>
      <c r="BA478" s="28"/>
      <c r="BD478" s="28"/>
      <c r="BG478" s="28"/>
      <c r="BJ478" s="28"/>
      <c r="BM478" s="28"/>
      <c r="BP478" s="28"/>
      <c r="BS478" s="28"/>
      <c r="BV478" s="28"/>
      <c r="BY478" s="28"/>
      <c r="CB478" s="28"/>
      <c r="CE478" s="28"/>
      <c r="CH478" s="28"/>
      <c r="CK478" s="28"/>
      <c r="CN478" s="28"/>
      <c r="CQ478" s="28"/>
      <c r="CT478" s="28"/>
      <c r="CW478" s="28"/>
      <c r="CZ478" s="28"/>
      <c r="DC478" s="28"/>
      <c r="DF478" s="28"/>
      <c r="DI478" s="28"/>
      <c r="DL478" s="28"/>
      <c r="DO478" s="28"/>
      <c r="DR478" s="28"/>
      <c r="DU478" s="28"/>
      <c r="DX478" s="28"/>
      <c r="EA478" s="28"/>
      <c r="ED478" s="28"/>
      <c r="EG478" s="28"/>
      <c r="EJ478" s="28"/>
      <c r="EM478" s="28"/>
      <c r="EP478" s="28"/>
      <c r="ES478" s="28"/>
      <c r="EV478" s="28"/>
      <c r="EY478" s="28"/>
      <c r="FB478" s="28"/>
      <c r="FE478" s="28"/>
      <c r="FH478" s="28"/>
      <c r="FK478" s="28"/>
      <c r="FN478" s="28"/>
      <c r="FQ478" s="28"/>
      <c r="FT478" s="28"/>
      <c r="FW478" s="28"/>
      <c r="FZ478" s="28"/>
      <c r="GC478" s="28"/>
    </row>
    <row r="479" spans="1:185" s="25" customFormat="1" x14ac:dyDescent="0.3">
      <c r="A479" s="27"/>
      <c r="B479" s="28"/>
      <c r="C479" s="27"/>
      <c r="D479" s="26"/>
      <c r="E479" s="28"/>
      <c r="H479" s="28"/>
      <c r="K479" s="28"/>
      <c r="N479" s="28"/>
      <c r="Q479" s="28"/>
      <c r="T479" s="28"/>
      <c r="W479" s="28"/>
      <c r="Z479" s="28"/>
      <c r="AC479" s="28"/>
      <c r="AF479" s="28"/>
      <c r="AI479" s="28"/>
      <c r="AL479" s="28"/>
      <c r="AO479" s="28"/>
      <c r="AR479" s="28"/>
      <c r="AU479" s="28"/>
      <c r="AX479" s="28"/>
      <c r="BA479" s="28"/>
      <c r="BD479" s="28"/>
      <c r="BG479" s="28"/>
      <c r="BJ479" s="28"/>
      <c r="BM479" s="28"/>
      <c r="BP479" s="28"/>
      <c r="BS479" s="28"/>
      <c r="BV479" s="28"/>
      <c r="BY479" s="28"/>
      <c r="CB479" s="28"/>
      <c r="CE479" s="28"/>
      <c r="CH479" s="28"/>
      <c r="CK479" s="28"/>
      <c r="CN479" s="28"/>
      <c r="CQ479" s="28"/>
      <c r="CT479" s="28"/>
      <c r="CW479" s="28"/>
      <c r="CZ479" s="28"/>
      <c r="DC479" s="28"/>
      <c r="DF479" s="28"/>
      <c r="DI479" s="28"/>
      <c r="DL479" s="28"/>
      <c r="DO479" s="28"/>
      <c r="DR479" s="28"/>
      <c r="DU479" s="28"/>
      <c r="DX479" s="28"/>
      <c r="EA479" s="28"/>
      <c r="ED479" s="28"/>
      <c r="EG479" s="28"/>
      <c r="EJ479" s="28"/>
      <c r="EM479" s="28"/>
      <c r="EP479" s="28"/>
      <c r="ES479" s="28"/>
      <c r="EV479" s="28"/>
      <c r="EY479" s="28"/>
      <c r="FB479" s="28"/>
      <c r="FE479" s="28"/>
      <c r="FH479" s="28"/>
      <c r="FK479" s="28"/>
      <c r="FN479" s="28"/>
      <c r="FQ479" s="28"/>
      <c r="FT479" s="28"/>
      <c r="FW479" s="28"/>
      <c r="FZ479" s="28"/>
      <c r="GC479" s="28"/>
    </row>
    <row r="480" spans="1:185" s="25" customFormat="1" x14ac:dyDescent="0.3">
      <c r="A480" s="27"/>
      <c r="B480" s="28"/>
      <c r="C480" s="27"/>
      <c r="D480" s="26"/>
      <c r="E480" s="28"/>
      <c r="H480" s="28"/>
      <c r="K480" s="28"/>
      <c r="N480" s="28"/>
      <c r="Q480" s="28"/>
      <c r="T480" s="28"/>
      <c r="W480" s="28"/>
      <c r="Z480" s="28"/>
      <c r="AC480" s="28"/>
      <c r="AF480" s="28"/>
      <c r="AI480" s="28"/>
      <c r="AL480" s="28"/>
      <c r="AO480" s="28"/>
      <c r="AR480" s="28"/>
      <c r="AU480" s="28"/>
      <c r="AX480" s="28"/>
      <c r="BA480" s="28"/>
      <c r="BD480" s="28"/>
      <c r="BG480" s="28"/>
      <c r="BJ480" s="28"/>
      <c r="BM480" s="28"/>
      <c r="BP480" s="28"/>
      <c r="BS480" s="28"/>
      <c r="BV480" s="28"/>
      <c r="BY480" s="28"/>
      <c r="CB480" s="28"/>
      <c r="CE480" s="28"/>
      <c r="CH480" s="28"/>
      <c r="CK480" s="28"/>
      <c r="CN480" s="28"/>
      <c r="CQ480" s="28"/>
      <c r="CT480" s="28"/>
      <c r="CW480" s="28"/>
      <c r="CZ480" s="28"/>
      <c r="DC480" s="28"/>
      <c r="DF480" s="28"/>
      <c r="DI480" s="28"/>
      <c r="DL480" s="28"/>
      <c r="DO480" s="28"/>
      <c r="DR480" s="28"/>
      <c r="DU480" s="28"/>
      <c r="DX480" s="28"/>
      <c r="EA480" s="28"/>
      <c r="ED480" s="28"/>
      <c r="EG480" s="28"/>
      <c r="EJ480" s="28"/>
      <c r="EM480" s="28"/>
      <c r="EP480" s="28"/>
      <c r="ES480" s="28"/>
      <c r="EV480" s="28"/>
      <c r="EY480" s="28"/>
      <c r="FB480" s="28"/>
      <c r="FE480" s="28"/>
      <c r="FH480" s="28"/>
      <c r="FK480" s="28"/>
      <c r="FN480" s="28"/>
      <c r="FQ480" s="28"/>
      <c r="FT480" s="28"/>
      <c r="FW480" s="28"/>
      <c r="FZ480" s="28"/>
      <c r="GC480" s="28"/>
    </row>
    <row r="481" spans="1:185" s="25" customFormat="1" x14ac:dyDescent="0.3">
      <c r="A481" s="27"/>
      <c r="B481" s="28"/>
      <c r="C481" s="27"/>
      <c r="D481" s="26"/>
      <c r="E481" s="28"/>
      <c r="H481" s="28"/>
      <c r="K481" s="28"/>
      <c r="N481" s="28"/>
      <c r="Q481" s="28"/>
      <c r="T481" s="28"/>
      <c r="W481" s="28"/>
      <c r="Z481" s="28"/>
      <c r="AC481" s="28"/>
      <c r="AF481" s="28"/>
      <c r="AI481" s="28"/>
      <c r="AL481" s="28"/>
      <c r="AO481" s="28"/>
      <c r="AR481" s="28"/>
      <c r="AU481" s="28"/>
      <c r="AX481" s="28"/>
      <c r="BA481" s="28"/>
      <c r="BD481" s="28"/>
      <c r="BG481" s="28"/>
      <c r="BJ481" s="28"/>
      <c r="BM481" s="28"/>
      <c r="BP481" s="28"/>
      <c r="BS481" s="28"/>
      <c r="BV481" s="28"/>
      <c r="BY481" s="28"/>
      <c r="CB481" s="28"/>
      <c r="CE481" s="28"/>
      <c r="CH481" s="28"/>
      <c r="CK481" s="28"/>
      <c r="CN481" s="28"/>
      <c r="CQ481" s="28"/>
      <c r="CT481" s="28"/>
      <c r="CW481" s="28"/>
      <c r="CZ481" s="28"/>
      <c r="DC481" s="28"/>
      <c r="DF481" s="28"/>
      <c r="DI481" s="28"/>
      <c r="DL481" s="28"/>
      <c r="DO481" s="28"/>
      <c r="DR481" s="28"/>
      <c r="DU481" s="28"/>
      <c r="DX481" s="28"/>
      <c r="EA481" s="28"/>
      <c r="ED481" s="28"/>
      <c r="EG481" s="28"/>
      <c r="EJ481" s="28"/>
      <c r="EM481" s="28"/>
      <c r="EP481" s="28"/>
      <c r="ES481" s="28"/>
      <c r="EV481" s="28"/>
      <c r="EY481" s="28"/>
      <c r="FB481" s="28"/>
      <c r="FE481" s="28"/>
      <c r="FH481" s="28"/>
      <c r="FK481" s="28"/>
      <c r="FN481" s="28"/>
      <c r="FQ481" s="28"/>
      <c r="FT481" s="28"/>
      <c r="FW481" s="28"/>
      <c r="FZ481" s="28"/>
      <c r="GC481" s="28"/>
    </row>
    <row r="482" spans="1:185" s="25" customFormat="1" x14ac:dyDescent="0.3">
      <c r="A482" s="27"/>
      <c r="B482" s="28"/>
      <c r="C482" s="27"/>
      <c r="D482" s="26"/>
      <c r="E482" s="28"/>
      <c r="H482" s="28"/>
      <c r="K482" s="28"/>
      <c r="N482" s="28"/>
      <c r="Q482" s="28"/>
      <c r="T482" s="28"/>
      <c r="W482" s="28"/>
      <c r="Z482" s="28"/>
      <c r="AC482" s="28"/>
      <c r="AF482" s="28"/>
      <c r="AI482" s="28"/>
      <c r="AL482" s="28"/>
      <c r="AO482" s="28"/>
      <c r="AR482" s="28"/>
      <c r="AU482" s="28"/>
      <c r="AX482" s="28"/>
      <c r="BA482" s="28"/>
      <c r="BD482" s="28"/>
      <c r="BG482" s="28"/>
      <c r="BJ482" s="28"/>
      <c r="BM482" s="28"/>
      <c r="BP482" s="28"/>
      <c r="BS482" s="28"/>
      <c r="BV482" s="28"/>
      <c r="BY482" s="28"/>
      <c r="CB482" s="28"/>
      <c r="CE482" s="28"/>
      <c r="CH482" s="28"/>
      <c r="CK482" s="28"/>
      <c r="CN482" s="28"/>
      <c r="CQ482" s="28"/>
      <c r="CT482" s="28"/>
      <c r="CW482" s="28"/>
      <c r="CZ482" s="28"/>
      <c r="DC482" s="28"/>
      <c r="DF482" s="28"/>
      <c r="DI482" s="28"/>
      <c r="DL482" s="28"/>
      <c r="DO482" s="28"/>
      <c r="DR482" s="28"/>
      <c r="DU482" s="28"/>
      <c r="DX482" s="28"/>
      <c r="EA482" s="28"/>
      <c r="ED482" s="28"/>
      <c r="EG482" s="28"/>
      <c r="EJ482" s="28"/>
      <c r="EM482" s="28"/>
      <c r="EP482" s="28"/>
      <c r="ES482" s="28"/>
      <c r="EV482" s="28"/>
      <c r="EY482" s="28"/>
      <c r="FB482" s="28"/>
      <c r="FE482" s="28"/>
      <c r="FH482" s="28"/>
      <c r="FK482" s="28"/>
      <c r="FN482" s="28"/>
      <c r="FQ482" s="28"/>
      <c r="FT482" s="28"/>
      <c r="FW482" s="28"/>
      <c r="FZ482" s="28"/>
      <c r="GC482" s="28"/>
    </row>
    <row r="483" spans="1:185" s="25" customFormat="1" x14ac:dyDescent="0.3">
      <c r="A483" s="27"/>
      <c r="B483" s="28"/>
      <c r="C483" s="27"/>
      <c r="D483" s="26"/>
      <c r="E483" s="28"/>
      <c r="H483" s="28"/>
      <c r="K483" s="28"/>
      <c r="N483" s="28"/>
      <c r="Q483" s="28"/>
      <c r="T483" s="28"/>
      <c r="W483" s="28"/>
      <c r="Z483" s="28"/>
      <c r="AC483" s="28"/>
      <c r="AF483" s="28"/>
      <c r="AI483" s="28"/>
      <c r="AL483" s="28"/>
      <c r="AO483" s="28"/>
      <c r="AR483" s="28"/>
      <c r="AU483" s="28"/>
      <c r="AX483" s="28"/>
      <c r="BA483" s="28"/>
      <c r="BD483" s="28"/>
      <c r="BG483" s="28"/>
      <c r="BJ483" s="28"/>
      <c r="BM483" s="28"/>
      <c r="BP483" s="28"/>
      <c r="BS483" s="28"/>
      <c r="BV483" s="28"/>
      <c r="BY483" s="28"/>
      <c r="CB483" s="28"/>
      <c r="CE483" s="28"/>
      <c r="CH483" s="28"/>
      <c r="CK483" s="28"/>
      <c r="CN483" s="28"/>
      <c r="CQ483" s="28"/>
      <c r="CT483" s="28"/>
      <c r="CW483" s="28"/>
      <c r="CZ483" s="28"/>
      <c r="DC483" s="28"/>
      <c r="DF483" s="28"/>
      <c r="DI483" s="28"/>
      <c r="DL483" s="28"/>
      <c r="DO483" s="28"/>
      <c r="DR483" s="28"/>
      <c r="DU483" s="28"/>
      <c r="DX483" s="28"/>
      <c r="EA483" s="28"/>
      <c r="ED483" s="28"/>
      <c r="EG483" s="28"/>
      <c r="EJ483" s="28"/>
      <c r="EM483" s="28"/>
      <c r="EP483" s="28"/>
      <c r="ES483" s="28"/>
      <c r="EV483" s="28"/>
      <c r="EY483" s="28"/>
      <c r="FB483" s="28"/>
      <c r="FE483" s="28"/>
      <c r="FH483" s="28"/>
      <c r="FK483" s="28"/>
      <c r="FN483" s="28"/>
      <c r="FQ483" s="28"/>
      <c r="FT483" s="28"/>
      <c r="FW483" s="28"/>
      <c r="FZ483" s="28"/>
      <c r="GC483" s="28"/>
    </row>
    <row r="484" spans="1:185" s="25" customFormat="1" x14ac:dyDescent="0.3">
      <c r="A484" s="27"/>
      <c r="B484" s="28"/>
      <c r="C484" s="27"/>
      <c r="D484" s="26"/>
      <c r="E484" s="28"/>
      <c r="H484" s="28"/>
      <c r="K484" s="28"/>
      <c r="N484" s="28"/>
      <c r="Q484" s="28"/>
      <c r="T484" s="28"/>
      <c r="W484" s="28"/>
      <c r="Z484" s="28"/>
      <c r="AC484" s="28"/>
      <c r="AF484" s="28"/>
      <c r="AI484" s="28"/>
      <c r="AL484" s="28"/>
      <c r="AO484" s="28"/>
      <c r="AR484" s="28"/>
      <c r="AU484" s="28"/>
      <c r="AX484" s="28"/>
      <c r="BA484" s="28"/>
      <c r="BD484" s="28"/>
      <c r="BG484" s="28"/>
      <c r="BJ484" s="28"/>
      <c r="BM484" s="28"/>
      <c r="BP484" s="28"/>
      <c r="BS484" s="28"/>
      <c r="BV484" s="28"/>
      <c r="BY484" s="28"/>
      <c r="CB484" s="28"/>
      <c r="CE484" s="28"/>
      <c r="CH484" s="28"/>
      <c r="CK484" s="28"/>
      <c r="CN484" s="28"/>
      <c r="CQ484" s="28"/>
      <c r="CT484" s="28"/>
      <c r="CW484" s="28"/>
      <c r="CZ484" s="28"/>
      <c r="DC484" s="28"/>
      <c r="DF484" s="28"/>
      <c r="DI484" s="28"/>
      <c r="DL484" s="28"/>
      <c r="DO484" s="28"/>
      <c r="DR484" s="28"/>
      <c r="DU484" s="28"/>
      <c r="DX484" s="28"/>
      <c r="EA484" s="28"/>
      <c r="ED484" s="28"/>
      <c r="EG484" s="28"/>
      <c r="EJ484" s="28"/>
      <c r="EM484" s="28"/>
      <c r="EP484" s="28"/>
      <c r="ES484" s="28"/>
      <c r="EV484" s="28"/>
      <c r="EY484" s="28"/>
      <c r="FB484" s="28"/>
      <c r="FE484" s="28"/>
      <c r="FH484" s="28"/>
      <c r="FK484" s="28"/>
      <c r="FN484" s="28"/>
      <c r="FQ484" s="28"/>
      <c r="FT484" s="28"/>
      <c r="FW484" s="28"/>
      <c r="FZ484" s="28"/>
      <c r="GC484" s="28"/>
    </row>
    <row r="485" spans="1:185" s="25" customFormat="1" x14ac:dyDescent="0.3">
      <c r="A485" s="27"/>
      <c r="B485" s="28"/>
      <c r="C485" s="27"/>
      <c r="D485" s="26"/>
      <c r="E485" s="28"/>
      <c r="H485" s="28"/>
      <c r="K485" s="28"/>
      <c r="N485" s="28"/>
      <c r="Q485" s="28"/>
      <c r="T485" s="28"/>
      <c r="W485" s="28"/>
      <c r="Z485" s="28"/>
      <c r="AC485" s="28"/>
      <c r="AF485" s="28"/>
      <c r="AI485" s="28"/>
      <c r="AL485" s="28"/>
      <c r="AO485" s="28"/>
      <c r="AR485" s="28"/>
      <c r="AU485" s="28"/>
      <c r="AX485" s="28"/>
      <c r="BA485" s="28"/>
      <c r="BD485" s="28"/>
      <c r="BG485" s="28"/>
      <c r="BJ485" s="28"/>
      <c r="BM485" s="28"/>
      <c r="BP485" s="28"/>
      <c r="BS485" s="28"/>
      <c r="BV485" s="28"/>
      <c r="BY485" s="28"/>
      <c r="CB485" s="28"/>
      <c r="CE485" s="28"/>
      <c r="CH485" s="28"/>
      <c r="CK485" s="28"/>
      <c r="CN485" s="28"/>
      <c r="CQ485" s="28"/>
      <c r="CT485" s="28"/>
      <c r="CW485" s="28"/>
      <c r="CZ485" s="28"/>
      <c r="DC485" s="28"/>
      <c r="DF485" s="28"/>
      <c r="DI485" s="28"/>
      <c r="DL485" s="28"/>
      <c r="DO485" s="28"/>
      <c r="DR485" s="28"/>
      <c r="DU485" s="28"/>
      <c r="DX485" s="28"/>
      <c r="EA485" s="28"/>
      <c r="ED485" s="28"/>
      <c r="EG485" s="28"/>
      <c r="EJ485" s="28"/>
      <c r="EM485" s="28"/>
      <c r="EP485" s="28"/>
      <c r="ES485" s="28"/>
      <c r="EV485" s="28"/>
      <c r="EY485" s="28"/>
      <c r="FB485" s="28"/>
      <c r="FE485" s="28"/>
      <c r="FH485" s="28"/>
      <c r="FK485" s="28"/>
      <c r="FN485" s="28"/>
      <c r="FQ485" s="28"/>
      <c r="FT485" s="28"/>
      <c r="FW485" s="28"/>
      <c r="FZ485" s="28"/>
      <c r="GC485" s="28"/>
    </row>
    <row r="486" spans="1:185" s="25" customFormat="1" x14ac:dyDescent="0.3">
      <c r="A486" s="27"/>
      <c r="B486" s="28"/>
      <c r="C486" s="27"/>
      <c r="D486" s="26"/>
      <c r="E486" s="28"/>
      <c r="H486" s="28"/>
      <c r="K486" s="28"/>
      <c r="N486" s="28"/>
      <c r="Q486" s="28"/>
      <c r="T486" s="28"/>
      <c r="W486" s="28"/>
      <c r="Z486" s="28"/>
      <c r="AC486" s="28"/>
      <c r="AF486" s="28"/>
      <c r="AI486" s="28"/>
      <c r="AL486" s="28"/>
      <c r="AO486" s="28"/>
      <c r="AR486" s="28"/>
      <c r="AU486" s="28"/>
      <c r="AX486" s="28"/>
      <c r="BA486" s="28"/>
      <c r="BD486" s="28"/>
      <c r="BG486" s="28"/>
      <c r="BJ486" s="28"/>
      <c r="BM486" s="28"/>
      <c r="BP486" s="28"/>
      <c r="BS486" s="28"/>
      <c r="BV486" s="28"/>
      <c r="BY486" s="28"/>
      <c r="CB486" s="28"/>
      <c r="CE486" s="28"/>
      <c r="CH486" s="28"/>
      <c r="CK486" s="28"/>
      <c r="CN486" s="28"/>
      <c r="CQ486" s="28"/>
      <c r="CT486" s="28"/>
      <c r="CW486" s="28"/>
      <c r="CZ486" s="28"/>
      <c r="DC486" s="28"/>
      <c r="DF486" s="28"/>
      <c r="DI486" s="28"/>
      <c r="DL486" s="28"/>
      <c r="DO486" s="28"/>
      <c r="DR486" s="28"/>
      <c r="DU486" s="28"/>
      <c r="DX486" s="28"/>
      <c r="EA486" s="28"/>
      <c r="ED486" s="28"/>
      <c r="EG486" s="28"/>
      <c r="EJ486" s="28"/>
      <c r="EM486" s="28"/>
      <c r="EP486" s="28"/>
      <c r="ES486" s="28"/>
      <c r="EV486" s="28"/>
      <c r="EY486" s="28"/>
      <c r="FB486" s="28"/>
      <c r="FE486" s="28"/>
      <c r="FH486" s="28"/>
      <c r="FK486" s="28"/>
      <c r="FN486" s="28"/>
      <c r="FQ486" s="28"/>
      <c r="FT486" s="28"/>
      <c r="FW486" s="28"/>
      <c r="FZ486" s="28"/>
      <c r="GC486" s="28"/>
    </row>
    <row r="487" spans="1:185" s="25" customFormat="1" x14ac:dyDescent="0.3">
      <c r="A487" s="27"/>
      <c r="B487" s="28"/>
      <c r="C487" s="27"/>
      <c r="D487" s="26"/>
      <c r="E487" s="28"/>
      <c r="H487" s="28"/>
      <c r="K487" s="28"/>
      <c r="N487" s="28"/>
      <c r="Q487" s="28"/>
      <c r="T487" s="28"/>
      <c r="W487" s="28"/>
      <c r="Z487" s="28"/>
      <c r="AC487" s="28"/>
      <c r="AF487" s="28"/>
      <c r="AI487" s="28"/>
      <c r="AL487" s="28"/>
      <c r="AO487" s="28"/>
      <c r="AR487" s="28"/>
      <c r="AU487" s="28"/>
      <c r="AX487" s="28"/>
      <c r="BA487" s="28"/>
      <c r="BD487" s="28"/>
      <c r="BG487" s="28"/>
      <c r="BJ487" s="28"/>
      <c r="BM487" s="28"/>
      <c r="BP487" s="28"/>
      <c r="BS487" s="28"/>
      <c r="BV487" s="28"/>
      <c r="BY487" s="28"/>
      <c r="CB487" s="28"/>
      <c r="CE487" s="28"/>
      <c r="CH487" s="28"/>
      <c r="CK487" s="28"/>
      <c r="CN487" s="28"/>
      <c r="CQ487" s="28"/>
      <c r="CT487" s="28"/>
      <c r="CW487" s="28"/>
      <c r="CZ487" s="28"/>
      <c r="DC487" s="28"/>
      <c r="DF487" s="28"/>
      <c r="DI487" s="28"/>
      <c r="DL487" s="28"/>
      <c r="DO487" s="28"/>
      <c r="DR487" s="28"/>
      <c r="DU487" s="28"/>
      <c r="DX487" s="28"/>
      <c r="EA487" s="28"/>
      <c r="ED487" s="28"/>
      <c r="EG487" s="28"/>
      <c r="EJ487" s="28"/>
      <c r="EM487" s="28"/>
      <c r="EP487" s="28"/>
      <c r="ES487" s="28"/>
      <c r="EV487" s="28"/>
      <c r="EY487" s="28"/>
      <c r="FB487" s="28"/>
      <c r="FE487" s="28"/>
      <c r="FH487" s="28"/>
      <c r="FK487" s="28"/>
      <c r="FN487" s="28"/>
      <c r="FQ487" s="28"/>
      <c r="FT487" s="28"/>
      <c r="FW487" s="28"/>
      <c r="FZ487" s="28"/>
      <c r="GC487" s="28"/>
    </row>
    <row r="488" spans="1:185" s="25" customFormat="1" x14ac:dyDescent="0.3">
      <c r="A488" s="27"/>
      <c r="B488" s="28"/>
      <c r="C488" s="27"/>
      <c r="D488" s="26"/>
      <c r="E488" s="28"/>
      <c r="H488" s="28"/>
      <c r="K488" s="28"/>
      <c r="N488" s="28"/>
      <c r="Q488" s="28"/>
      <c r="T488" s="28"/>
      <c r="W488" s="28"/>
      <c r="Z488" s="28"/>
      <c r="AC488" s="28"/>
      <c r="AF488" s="28"/>
      <c r="AI488" s="28"/>
      <c r="AL488" s="28"/>
      <c r="AO488" s="28"/>
      <c r="AR488" s="28"/>
      <c r="AU488" s="28"/>
      <c r="AX488" s="28"/>
      <c r="BA488" s="28"/>
      <c r="BD488" s="28"/>
      <c r="BG488" s="28"/>
      <c r="BJ488" s="28"/>
      <c r="BM488" s="28"/>
      <c r="BP488" s="28"/>
      <c r="BS488" s="28"/>
      <c r="BV488" s="28"/>
      <c r="BY488" s="28"/>
      <c r="CB488" s="28"/>
      <c r="CE488" s="28"/>
      <c r="CH488" s="28"/>
      <c r="CK488" s="28"/>
      <c r="CN488" s="28"/>
      <c r="CQ488" s="28"/>
      <c r="CT488" s="28"/>
      <c r="CW488" s="28"/>
      <c r="CZ488" s="28"/>
      <c r="DC488" s="28"/>
      <c r="DF488" s="28"/>
      <c r="DI488" s="28"/>
      <c r="DL488" s="28"/>
      <c r="DO488" s="28"/>
      <c r="DR488" s="28"/>
      <c r="DU488" s="28"/>
      <c r="DX488" s="28"/>
      <c r="EA488" s="28"/>
      <c r="ED488" s="28"/>
      <c r="EG488" s="28"/>
      <c r="EJ488" s="28"/>
      <c r="EM488" s="28"/>
      <c r="EP488" s="28"/>
      <c r="ES488" s="28"/>
      <c r="EV488" s="28"/>
      <c r="EY488" s="28"/>
      <c r="FB488" s="28"/>
      <c r="FE488" s="28"/>
      <c r="FH488" s="28"/>
      <c r="FK488" s="28"/>
      <c r="FN488" s="28"/>
      <c r="FQ488" s="28"/>
      <c r="FT488" s="28"/>
      <c r="FW488" s="28"/>
      <c r="FZ488" s="28"/>
      <c r="GC488" s="28"/>
    </row>
    <row r="489" spans="1:185" s="25" customFormat="1" x14ac:dyDescent="0.3">
      <c r="A489" s="27"/>
      <c r="B489" s="28"/>
      <c r="C489" s="27"/>
      <c r="D489" s="26"/>
      <c r="E489" s="28"/>
      <c r="H489" s="28"/>
      <c r="K489" s="28"/>
      <c r="N489" s="28"/>
      <c r="Q489" s="28"/>
      <c r="T489" s="28"/>
      <c r="W489" s="28"/>
      <c r="Z489" s="28"/>
      <c r="AC489" s="28"/>
      <c r="AF489" s="28"/>
      <c r="AI489" s="28"/>
      <c r="AL489" s="28"/>
      <c r="AO489" s="28"/>
      <c r="AR489" s="28"/>
      <c r="AU489" s="28"/>
      <c r="AX489" s="28"/>
      <c r="BA489" s="28"/>
      <c r="BD489" s="28"/>
      <c r="BG489" s="28"/>
      <c r="BJ489" s="28"/>
      <c r="BM489" s="28"/>
      <c r="BP489" s="28"/>
      <c r="BS489" s="28"/>
      <c r="BV489" s="28"/>
      <c r="BY489" s="28"/>
      <c r="CB489" s="28"/>
      <c r="CE489" s="28"/>
      <c r="CH489" s="28"/>
      <c r="CK489" s="28"/>
      <c r="CN489" s="28"/>
      <c r="CQ489" s="28"/>
      <c r="CT489" s="28"/>
      <c r="CW489" s="28"/>
      <c r="CZ489" s="28"/>
      <c r="DC489" s="28"/>
      <c r="DF489" s="28"/>
      <c r="DI489" s="28"/>
      <c r="DL489" s="28"/>
      <c r="DO489" s="28"/>
      <c r="DR489" s="28"/>
      <c r="DU489" s="28"/>
      <c r="DX489" s="28"/>
      <c r="EA489" s="28"/>
      <c r="ED489" s="28"/>
      <c r="EG489" s="28"/>
      <c r="EJ489" s="28"/>
      <c r="EM489" s="28"/>
      <c r="EP489" s="28"/>
      <c r="ES489" s="28"/>
      <c r="EV489" s="28"/>
      <c r="EY489" s="28"/>
      <c r="FB489" s="28"/>
      <c r="FE489" s="28"/>
      <c r="FH489" s="28"/>
      <c r="FK489" s="28"/>
      <c r="FN489" s="28"/>
      <c r="FQ489" s="28"/>
      <c r="FT489" s="28"/>
      <c r="FW489" s="28"/>
      <c r="FZ489" s="28"/>
      <c r="GC489" s="28"/>
    </row>
    <row r="490" spans="1:185" s="25" customFormat="1" x14ac:dyDescent="0.3">
      <c r="A490" s="27"/>
      <c r="B490" s="28"/>
      <c r="C490" s="27"/>
      <c r="D490" s="26"/>
      <c r="E490" s="28"/>
      <c r="H490" s="28"/>
      <c r="K490" s="28"/>
      <c r="N490" s="28"/>
      <c r="Q490" s="28"/>
      <c r="T490" s="28"/>
      <c r="W490" s="28"/>
      <c r="Z490" s="28"/>
      <c r="AC490" s="28"/>
      <c r="AF490" s="28"/>
      <c r="AI490" s="28"/>
      <c r="AL490" s="28"/>
      <c r="AO490" s="28"/>
      <c r="AR490" s="28"/>
      <c r="AU490" s="28"/>
      <c r="AX490" s="28"/>
      <c r="BA490" s="28"/>
      <c r="BD490" s="28"/>
      <c r="BG490" s="28"/>
      <c r="BJ490" s="28"/>
      <c r="BM490" s="28"/>
      <c r="BP490" s="28"/>
      <c r="BS490" s="28"/>
      <c r="BV490" s="28"/>
      <c r="BY490" s="28"/>
      <c r="CB490" s="28"/>
      <c r="CE490" s="28"/>
      <c r="CH490" s="28"/>
      <c r="CK490" s="28"/>
      <c r="CN490" s="28"/>
      <c r="CQ490" s="28"/>
      <c r="CT490" s="28"/>
      <c r="CW490" s="28"/>
      <c r="CZ490" s="28"/>
      <c r="DC490" s="28"/>
      <c r="DF490" s="28"/>
      <c r="DI490" s="28"/>
      <c r="DL490" s="28"/>
      <c r="DO490" s="28"/>
      <c r="DR490" s="28"/>
      <c r="DU490" s="28"/>
      <c r="DX490" s="28"/>
      <c r="EA490" s="28"/>
      <c r="ED490" s="28"/>
      <c r="EG490" s="28"/>
      <c r="EJ490" s="28"/>
      <c r="EM490" s="28"/>
      <c r="EP490" s="28"/>
      <c r="ES490" s="28"/>
      <c r="EV490" s="28"/>
      <c r="EY490" s="28"/>
      <c r="FB490" s="28"/>
      <c r="FE490" s="28"/>
      <c r="FH490" s="28"/>
      <c r="FK490" s="28"/>
      <c r="FN490" s="28"/>
      <c r="FQ490" s="28"/>
      <c r="FT490" s="28"/>
      <c r="FW490" s="28"/>
      <c r="FZ490" s="28"/>
      <c r="GC490" s="28"/>
    </row>
    <row r="491" spans="1:185" s="25" customFormat="1" x14ac:dyDescent="0.3">
      <c r="A491" s="27"/>
      <c r="B491" s="28"/>
      <c r="C491" s="27"/>
      <c r="D491" s="26"/>
      <c r="E491" s="28"/>
      <c r="H491" s="28"/>
      <c r="K491" s="28"/>
      <c r="N491" s="28"/>
      <c r="Q491" s="28"/>
      <c r="T491" s="28"/>
      <c r="W491" s="28"/>
      <c r="Z491" s="28"/>
      <c r="AC491" s="28"/>
      <c r="AF491" s="28"/>
      <c r="AI491" s="28"/>
      <c r="AL491" s="28"/>
      <c r="AO491" s="28"/>
      <c r="AR491" s="28"/>
      <c r="AU491" s="28"/>
      <c r="AX491" s="28"/>
      <c r="BA491" s="28"/>
      <c r="BD491" s="28"/>
      <c r="BG491" s="28"/>
      <c r="BJ491" s="28"/>
      <c r="BM491" s="28"/>
      <c r="BP491" s="28"/>
      <c r="BS491" s="28"/>
      <c r="BV491" s="28"/>
      <c r="BY491" s="28"/>
      <c r="CB491" s="28"/>
      <c r="CE491" s="28"/>
      <c r="CH491" s="28"/>
      <c r="CK491" s="28"/>
      <c r="CN491" s="28"/>
      <c r="CQ491" s="28"/>
      <c r="CT491" s="28"/>
      <c r="CW491" s="28"/>
      <c r="CZ491" s="28"/>
      <c r="DC491" s="28"/>
      <c r="DF491" s="28"/>
      <c r="DI491" s="28"/>
      <c r="DL491" s="28"/>
      <c r="DO491" s="28"/>
      <c r="DR491" s="28"/>
      <c r="DU491" s="28"/>
      <c r="DX491" s="28"/>
      <c r="EA491" s="28"/>
      <c r="ED491" s="28"/>
      <c r="EG491" s="28"/>
      <c r="EJ491" s="28"/>
      <c r="EM491" s="28"/>
      <c r="EP491" s="28"/>
      <c r="ES491" s="28"/>
      <c r="EV491" s="28"/>
      <c r="EY491" s="28"/>
      <c r="FB491" s="28"/>
      <c r="FE491" s="28"/>
      <c r="FH491" s="28"/>
      <c r="FK491" s="28"/>
      <c r="FN491" s="28"/>
      <c r="FQ491" s="28"/>
      <c r="FT491" s="28"/>
      <c r="FW491" s="28"/>
      <c r="FZ491" s="28"/>
      <c r="GC491" s="28"/>
    </row>
    <row r="492" spans="1:185" s="25" customFormat="1" x14ac:dyDescent="0.3">
      <c r="A492" s="27"/>
      <c r="B492" s="28"/>
      <c r="C492" s="27"/>
      <c r="D492" s="26"/>
      <c r="E492" s="28"/>
      <c r="H492" s="28"/>
      <c r="K492" s="28"/>
      <c r="N492" s="28"/>
      <c r="Q492" s="28"/>
      <c r="T492" s="28"/>
      <c r="W492" s="28"/>
      <c r="Z492" s="28"/>
      <c r="AC492" s="28"/>
      <c r="AF492" s="28"/>
      <c r="AI492" s="28"/>
      <c r="AL492" s="28"/>
      <c r="AO492" s="28"/>
      <c r="AR492" s="28"/>
      <c r="AU492" s="28"/>
      <c r="AX492" s="28"/>
      <c r="BA492" s="28"/>
      <c r="BD492" s="28"/>
      <c r="BG492" s="28"/>
      <c r="BJ492" s="28"/>
      <c r="BM492" s="28"/>
      <c r="BP492" s="28"/>
      <c r="BS492" s="28"/>
      <c r="BV492" s="28"/>
      <c r="BY492" s="28"/>
      <c r="CB492" s="28"/>
      <c r="CE492" s="28"/>
      <c r="CH492" s="28"/>
      <c r="CK492" s="28"/>
      <c r="CN492" s="28"/>
      <c r="CQ492" s="28"/>
      <c r="CT492" s="28"/>
      <c r="CW492" s="28"/>
      <c r="CZ492" s="28"/>
      <c r="DC492" s="28"/>
      <c r="DF492" s="28"/>
      <c r="DI492" s="28"/>
      <c r="DL492" s="28"/>
      <c r="DO492" s="28"/>
      <c r="DR492" s="28"/>
      <c r="DU492" s="28"/>
      <c r="DX492" s="28"/>
      <c r="EA492" s="28"/>
      <c r="ED492" s="28"/>
      <c r="EG492" s="28"/>
      <c r="EJ492" s="28"/>
      <c r="EM492" s="28"/>
      <c r="EP492" s="28"/>
      <c r="ES492" s="28"/>
      <c r="EV492" s="28"/>
      <c r="EY492" s="28"/>
      <c r="FB492" s="28"/>
      <c r="FE492" s="28"/>
      <c r="FH492" s="28"/>
      <c r="FK492" s="28"/>
      <c r="FN492" s="28"/>
      <c r="FQ492" s="28"/>
      <c r="FT492" s="28"/>
      <c r="FW492" s="28"/>
      <c r="FZ492" s="28"/>
      <c r="GC492" s="28"/>
    </row>
    <row r="493" spans="1:185" s="25" customFormat="1" x14ac:dyDescent="0.3">
      <c r="A493" s="27"/>
      <c r="B493" s="28"/>
      <c r="C493" s="27"/>
      <c r="D493" s="26"/>
      <c r="E493" s="28"/>
      <c r="H493" s="28"/>
      <c r="K493" s="28"/>
      <c r="N493" s="28"/>
      <c r="Q493" s="28"/>
      <c r="T493" s="28"/>
      <c r="W493" s="28"/>
      <c r="Z493" s="28"/>
      <c r="AC493" s="28"/>
      <c r="AF493" s="28"/>
      <c r="AI493" s="28"/>
      <c r="AL493" s="28"/>
      <c r="AO493" s="28"/>
      <c r="AR493" s="28"/>
      <c r="AU493" s="28"/>
      <c r="AX493" s="28"/>
      <c r="BA493" s="28"/>
      <c r="BD493" s="28"/>
      <c r="BG493" s="28"/>
      <c r="BJ493" s="28"/>
      <c r="BM493" s="28"/>
      <c r="BP493" s="28"/>
      <c r="BS493" s="28"/>
      <c r="BV493" s="28"/>
      <c r="BY493" s="28"/>
      <c r="CB493" s="28"/>
      <c r="CE493" s="28"/>
      <c r="CH493" s="28"/>
      <c r="CK493" s="28"/>
      <c r="CN493" s="28"/>
      <c r="CQ493" s="28"/>
      <c r="CT493" s="28"/>
      <c r="CW493" s="28"/>
      <c r="CZ493" s="28"/>
      <c r="DC493" s="28"/>
      <c r="DF493" s="28"/>
      <c r="DI493" s="28"/>
      <c r="DL493" s="28"/>
      <c r="DO493" s="28"/>
      <c r="DR493" s="28"/>
      <c r="DU493" s="28"/>
      <c r="DX493" s="28"/>
      <c r="EA493" s="28"/>
      <c r="ED493" s="28"/>
      <c r="EG493" s="28"/>
      <c r="EJ493" s="28"/>
      <c r="EM493" s="28"/>
      <c r="EP493" s="28"/>
      <c r="ES493" s="28"/>
      <c r="EV493" s="28"/>
      <c r="EY493" s="28"/>
      <c r="FB493" s="28"/>
      <c r="FE493" s="28"/>
      <c r="FH493" s="28"/>
      <c r="FK493" s="28"/>
      <c r="FN493" s="28"/>
      <c r="FQ493" s="28"/>
      <c r="FT493" s="28"/>
      <c r="FW493" s="28"/>
      <c r="FZ493" s="28"/>
      <c r="GC493" s="28"/>
    </row>
    <row r="494" spans="1:185" s="25" customFormat="1" x14ac:dyDescent="0.3">
      <c r="A494" s="27"/>
      <c r="B494" s="28"/>
      <c r="C494" s="27"/>
      <c r="D494" s="26"/>
      <c r="E494" s="28"/>
      <c r="H494" s="28"/>
      <c r="K494" s="28"/>
      <c r="N494" s="28"/>
      <c r="Q494" s="28"/>
      <c r="T494" s="28"/>
      <c r="W494" s="28"/>
      <c r="Z494" s="28"/>
      <c r="AC494" s="28"/>
      <c r="AF494" s="28"/>
      <c r="AI494" s="28"/>
      <c r="AL494" s="28"/>
      <c r="AO494" s="28"/>
      <c r="AR494" s="28"/>
      <c r="AU494" s="28"/>
      <c r="AX494" s="28"/>
      <c r="BA494" s="28"/>
      <c r="BD494" s="28"/>
      <c r="BG494" s="28"/>
      <c r="BJ494" s="28"/>
      <c r="BM494" s="28"/>
      <c r="BP494" s="28"/>
      <c r="BS494" s="28"/>
      <c r="BV494" s="28"/>
      <c r="BY494" s="28"/>
      <c r="CB494" s="28"/>
      <c r="CE494" s="28"/>
      <c r="CH494" s="28"/>
      <c r="CK494" s="28"/>
      <c r="CN494" s="28"/>
      <c r="CQ494" s="28"/>
      <c r="CT494" s="28"/>
      <c r="CW494" s="28"/>
      <c r="CZ494" s="28"/>
      <c r="DC494" s="28"/>
      <c r="DF494" s="28"/>
      <c r="DI494" s="28"/>
      <c r="DL494" s="28"/>
      <c r="DO494" s="28"/>
      <c r="DR494" s="28"/>
      <c r="DU494" s="28"/>
      <c r="DX494" s="28"/>
      <c r="EA494" s="28"/>
      <c r="ED494" s="28"/>
      <c r="EG494" s="28"/>
      <c r="EJ494" s="28"/>
      <c r="EM494" s="28"/>
      <c r="EP494" s="28"/>
      <c r="ES494" s="28"/>
      <c r="EV494" s="28"/>
      <c r="EY494" s="28"/>
      <c r="FB494" s="28"/>
      <c r="FE494" s="28"/>
      <c r="FH494" s="28"/>
      <c r="FK494" s="28"/>
      <c r="FN494" s="28"/>
      <c r="FQ494" s="28"/>
      <c r="FT494" s="28"/>
      <c r="FW494" s="28"/>
      <c r="FZ494" s="28"/>
      <c r="GC494" s="28"/>
    </row>
    <row r="495" spans="1:185" s="25" customFormat="1" x14ac:dyDescent="0.3">
      <c r="A495" s="27"/>
      <c r="B495" s="28"/>
      <c r="C495" s="27"/>
      <c r="D495" s="26"/>
      <c r="E495" s="28"/>
      <c r="H495" s="28"/>
      <c r="K495" s="28"/>
      <c r="N495" s="28"/>
      <c r="Q495" s="28"/>
      <c r="T495" s="28"/>
      <c r="W495" s="28"/>
      <c r="Z495" s="28"/>
      <c r="AC495" s="28"/>
      <c r="AF495" s="28"/>
      <c r="AI495" s="28"/>
      <c r="AL495" s="28"/>
      <c r="AO495" s="28"/>
      <c r="AR495" s="28"/>
      <c r="AU495" s="28"/>
      <c r="AX495" s="28"/>
      <c r="BA495" s="28"/>
      <c r="BD495" s="28"/>
      <c r="BG495" s="28"/>
      <c r="BJ495" s="28"/>
      <c r="BM495" s="28"/>
      <c r="BP495" s="28"/>
      <c r="BS495" s="28"/>
      <c r="BV495" s="28"/>
      <c r="BY495" s="28"/>
      <c r="CB495" s="28"/>
      <c r="CE495" s="28"/>
      <c r="CH495" s="28"/>
      <c r="CK495" s="28"/>
      <c r="CN495" s="28"/>
      <c r="CQ495" s="28"/>
      <c r="CT495" s="28"/>
      <c r="CW495" s="28"/>
      <c r="CZ495" s="28"/>
      <c r="DC495" s="28"/>
      <c r="DF495" s="28"/>
      <c r="DI495" s="28"/>
      <c r="DL495" s="28"/>
      <c r="DO495" s="28"/>
      <c r="DR495" s="28"/>
      <c r="DU495" s="28"/>
      <c r="DX495" s="28"/>
      <c r="EA495" s="28"/>
      <c r="ED495" s="28"/>
      <c r="EG495" s="28"/>
      <c r="EJ495" s="28"/>
      <c r="EM495" s="28"/>
      <c r="EP495" s="28"/>
      <c r="ES495" s="28"/>
      <c r="EV495" s="28"/>
      <c r="EY495" s="28"/>
      <c r="FB495" s="28"/>
      <c r="FE495" s="28"/>
      <c r="FH495" s="28"/>
      <c r="FK495" s="28"/>
      <c r="FN495" s="28"/>
      <c r="FQ495" s="28"/>
      <c r="FT495" s="28"/>
      <c r="FW495" s="28"/>
      <c r="FZ495" s="28"/>
      <c r="GC495" s="28"/>
    </row>
    <row r="496" spans="1:185" s="25" customFormat="1" x14ac:dyDescent="0.3">
      <c r="A496" s="27"/>
      <c r="B496" s="28"/>
      <c r="C496" s="27"/>
      <c r="D496" s="26"/>
      <c r="E496" s="28"/>
      <c r="H496" s="28"/>
      <c r="K496" s="28"/>
      <c r="N496" s="28"/>
      <c r="Q496" s="28"/>
      <c r="T496" s="28"/>
      <c r="W496" s="28"/>
      <c r="Z496" s="28"/>
      <c r="AC496" s="28"/>
      <c r="AF496" s="28"/>
      <c r="AI496" s="28"/>
      <c r="AL496" s="28"/>
      <c r="AO496" s="28"/>
      <c r="AR496" s="28"/>
      <c r="AU496" s="28"/>
      <c r="AX496" s="28"/>
      <c r="BA496" s="28"/>
      <c r="BD496" s="28"/>
      <c r="BG496" s="28"/>
      <c r="BJ496" s="28"/>
      <c r="BM496" s="28"/>
      <c r="BP496" s="28"/>
      <c r="BS496" s="28"/>
      <c r="BV496" s="28"/>
      <c r="BY496" s="28"/>
      <c r="CB496" s="28"/>
      <c r="CE496" s="28"/>
      <c r="CH496" s="28"/>
      <c r="CK496" s="28"/>
      <c r="CN496" s="28"/>
      <c r="CQ496" s="28"/>
      <c r="CT496" s="28"/>
      <c r="CW496" s="28"/>
      <c r="CZ496" s="28"/>
      <c r="DC496" s="28"/>
      <c r="DF496" s="28"/>
      <c r="DI496" s="28"/>
      <c r="DL496" s="28"/>
      <c r="DO496" s="28"/>
      <c r="DR496" s="28"/>
      <c r="DU496" s="28"/>
      <c r="DX496" s="28"/>
      <c r="EA496" s="28"/>
      <c r="ED496" s="28"/>
      <c r="EG496" s="28"/>
      <c r="EJ496" s="28"/>
      <c r="EM496" s="28"/>
      <c r="EP496" s="28"/>
      <c r="ES496" s="28"/>
      <c r="EV496" s="28"/>
      <c r="EY496" s="28"/>
      <c r="FB496" s="28"/>
      <c r="FE496" s="28"/>
      <c r="FH496" s="28"/>
      <c r="FK496" s="28"/>
      <c r="FN496" s="28"/>
      <c r="FQ496" s="28"/>
      <c r="FT496" s="28"/>
      <c r="FW496" s="28"/>
      <c r="FZ496" s="28"/>
      <c r="GC496" s="28"/>
    </row>
    <row r="497" spans="1:185" s="25" customFormat="1" x14ac:dyDescent="0.3">
      <c r="A497" s="27"/>
      <c r="B497" s="28"/>
      <c r="C497" s="27"/>
      <c r="D497" s="26"/>
      <c r="E497" s="28"/>
      <c r="H497" s="28"/>
      <c r="K497" s="28"/>
      <c r="N497" s="28"/>
      <c r="Q497" s="28"/>
      <c r="T497" s="28"/>
      <c r="W497" s="28"/>
      <c r="Z497" s="28"/>
      <c r="AC497" s="28"/>
      <c r="AF497" s="28"/>
      <c r="AI497" s="28"/>
      <c r="AL497" s="28"/>
      <c r="AO497" s="28"/>
      <c r="AR497" s="28"/>
      <c r="AU497" s="28"/>
      <c r="AX497" s="28"/>
      <c r="BA497" s="28"/>
      <c r="BD497" s="28"/>
      <c r="BG497" s="28"/>
      <c r="BJ497" s="28"/>
      <c r="BM497" s="28"/>
      <c r="BP497" s="28"/>
      <c r="BS497" s="28"/>
      <c r="BV497" s="28"/>
      <c r="BY497" s="28"/>
      <c r="CB497" s="28"/>
      <c r="CE497" s="28"/>
      <c r="CH497" s="28"/>
      <c r="CK497" s="28"/>
      <c r="CN497" s="28"/>
      <c r="CQ497" s="28"/>
      <c r="CT497" s="28"/>
      <c r="CW497" s="28"/>
      <c r="CZ497" s="28"/>
      <c r="DC497" s="28"/>
      <c r="DF497" s="28"/>
      <c r="DI497" s="28"/>
      <c r="DL497" s="28"/>
      <c r="DO497" s="28"/>
      <c r="DR497" s="28"/>
      <c r="DU497" s="28"/>
      <c r="DX497" s="28"/>
      <c r="EA497" s="28"/>
      <c r="ED497" s="28"/>
      <c r="EG497" s="28"/>
      <c r="EJ497" s="28"/>
      <c r="EM497" s="28"/>
      <c r="EP497" s="28"/>
      <c r="ES497" s="28"/>
      <c r="EV497" s="28"/>
      <c r="EY497" s="28"/>
      <c r="FB497" s="28"/>
      <c r="FE497" s="28"/>
      <c r="FH497" s="28"/>
      <c r="FK497" s="28"/>
      <c r="FN497" s="28"/>
      <c r="FQ497" s="28"/>
      <c r="FT497" s="28"/>
      <c r="FW497" s="28"/>
      <c r="FZ497" s="28"/>
      <c r="GC497" s="28"/>
    </row>
    <row r="498" spans="1:185" s="25" customFormat="1" x14ac:dyDescent="0.3">
      <c r="A498" s="27"/>
      <c r="B498" s="28"/>
      <c r="C498" s="27"/>
      <c r="D498" s="26"/>
      <c r="E498" s="28"/>
      <c r="H498" s="28"/>
      <c r="K498" s="28"/>
      <c r="N498" s="28"/>
      <c r="Q498" s="28"/>
      <c r="T498" s="28"/>
      <c r="W498" s="28"/>
      <c r="Z498" s="28"/>
      <c r="AC498" s="28"/>
      <c r="AF498" s="28"/>
      <c r="AI498" s="28"/>
      <c r="AL498" s="28"/>
      <c r="AO498" s="28"/>
      <c r="AR498" s="28"/>
      <c r="AU498" s="28"/>
      <c r="AX498" s="28"/>
      <c r="BA498" s="28"/>
      <c r="BD498" s="28"/>
      <c r="BG498" s="28"/>
      <c r="BJ498" s="28"/>
      <c r="BM498" s="28"/>
      <c r="BP498" s="28"/>
      <c r="BS498" s="28"/>
      <c r="BV498" s="28"/>
      <c r="BY498" s="28"/>
      <c r="CB498" s="28"/>
      <c r="CE498" s="28"/>
      <c r="CH498" s="28"/>
      <c r="CK498" s="28"/>
      <c r="CN498" s="28"/>
      <c r="CQ498" s="28"/>
      <c r="CT498" s="28"/>
      <c r="CW498" s="28"/>
      <c r="CZ498" s="28"/>
      <c r="DC498" s="28"/>
      <c r="DF498" s="28"/>
      <c r="DI498" s="28"/>
      <c r="DL498" s="28"/>
      <c r="DO498" s="28"/>
      <c r="DR498" s="28"/>
      <c r="DU498" s="28"/>
      <c r="DX498" s="28"/>
      <c r="EA498" s="28"/>
      <c r="ED498" s="28"/>
      <c r="EG498" s="28"/>
      <c r="EJ498" s="28"/>
      <c r="EM498" s="28"/>
      <c r="EP498" s="28"/>
      <c r="ES498" s="28"/>
      <c r="EV498" s="28"/>
      <c r="EY498" s="28"/>
      <c r="FB498" s="28"/>
      <c r="FE498" s="28"/>
      <c r="FH498" s="28"/>
      <c r="FK498" s="28"/>
      <c r="FN498" s="28"/>
      <c r="FQ498" s="28"/>
      <c r="FT498" s="28"/>
      <c r="FW498" s="28"/>
      <c r="FZ498" s="28"/>
      <c r="GC498" s="28"/>
    </row>
    <row r="499" spans="1:185" s="25" customFormat="1" x14ac:dyDescent="0.3">
      <c r="A499" s="27"/>
      <c r="B499" s="28"/>
      <c r="C499" s="27"/>
      <c r="D499" s="26"/>
      <c r="E499" s="28"/>
      <c r="H499" s="28"/>
      <c r="K499" s="28"/>
      <c r="N499" s="28"/>
      <c r="Q499" s="28"/>
      <c r="T499" s="28"/>
      <c r="W499" s="28"/>
      <c r="Z499" s="28"/>
      <c r="AC499" s="28"/>
      <c r="AF499" s="28"/>
      <c r="AI499" s="28"/>
      <c r="AL499" s="28"/>
      <c r="AO499" s="28"/>
      <c r="AR499" s="28"/>
      <c r="AU499" s="28"/>
      <c r="AX499" s="28"/>
      <c r="BA499" s="28"/>
      <c r="BD499" s="28"/>
      <c r="BG499" s="28"/>
      <c r="BJ499" s="28"/>
      <c r="BM499" s="28"/>
      <c r="BP499" s="28"/>
      <c r="BS499" s="28"/>
      <c r="BV499" s="28"/>
      <c r="BY499" s="28"/>
      <c r="CB499" s="28"/>
      <c r="CE499" s="28"/>
      <c r="CH499" s="28"/>
      <c r="CK499" s="28"/>
      <c r="CN499" s="28"/>
      <c r="CQ499" s="28"/>
      <c r="CT499" s="28"/>
      <c r="CW499" s="28"/>
      <c r="CZ499" s="28"/>
      <c r="DC499" s="28"/>
      <c r="DF499" s="28"/>
      <c r="DI499" s="28"/>
      <c r="DL499" s="28"/>
      <c r="DO499" s="28"/>
      <c r="DR499" s="28"/>
      <c r="DU499" s="28"/>
      <c r="DX499" s="28"/>
      <c r="EA499" s="28"/>
      <c r="ED499" s="28"/>
      <c r="EG499" s="28"/>
      <c r="EJ499" s="28"/>
      <c r="EM499" s="28"/>
      <c r="EP499" s="28"/>
      <c r="ES499" s="28"/>
      <c r="EV499" s="28"/>
      <c r="EY499" s="28"/>
      <c r="FB499" s="28"/>
      <c r="FE499" s="28"/>
      <c r="FH499" s="28"/>
      <c r="FK499" s="28"/>
      <c r="FN499" s="28"/>
      <c r="FQ499" s="28"/>
      <c r="FT499" s="28"/>
      <c r="FW499" s="28"/>
      <c r="FZ499" s="28"/>
      <c r="GC499" s="28"/>
    </row>
    <row r="500" spans="1:185" s="25" customFormat="1" x14ac:dyDescent="0.3">
      <c r="A500" s="27"/>
      <c r="B500" s="28"/>
      <c r="C500" s="27"/>
      <c r="D500" s="26"/>
      <c r="E500" s="28"/>
      <c r="H500" s="28"/>
      <c r="K500" s="28"/>
      <c r="N500" s="28"/>
      <c r="Q500" s="28"/>
      <c r="T500" s="28"/>
      <c r="W500" s="28"/>
      <c r="Z500" s="28"/>
      <c r="AC500" s="28"/>
      <c r="AF500" s="28"/>
      <c r="AI500" s="28"/>
      <c r="AL500" s="28"/>
      <c r="AO500" s="28"/>
      <c r="AR500" s="28"/>
      <c r="AU500" s="28"/>
      <c r="AX500" s="28"/>
      <c r="BA500" s="28"/>
      <c r="BD500" s="28"/>
      <c r="BG500" s="28"/>
      <c r="BJ500" s="28"/>
      <c r="BM500" s="28"/>
      <c r="BP500" s="28"/>
      <c r="BS500" s="28"/>
      <c r="BV500" s="28"/>
      <c r="BY500" s="28"/>
      <c r="CB500" s="28"/>
      <c r="CE500" s="28"/>
      <c r="CH500" s="28"/>
      <c r="CK500" s="28"/>
      <c r="CN500" s="28"/>
      <c r="CQ500" s="28"/>
      <c r="CT500" s="28"/>
      <c r="CW500" s="28"/>
      <c r="CZ500" s="28"/>
      <c r="DC500" s="28"/>
      <c r="DF500" s="28"/>
      <c r="DI500" s="28"/>
      <c r="DL500" s="28"/>
      <c r="DO500" s="28"/>
      <c r="DR500" s="28"/>
      <c r="DU500" s="28"/>
      <c r="DX500" s="28"/>
      <c r="EA500" s="28"/>
      <c r="ED500" s="28"/>
      <c r="EG500" s="28"/>
      <c r="EJ500" s="28"/>
      <c r="EM500" s="28"/>
      <c r="EP500" s="28"/>
      <c r="ES500" s="28"/>
      <c r="EV500" s="28"/>
      <c r="EY500" s="28"/>
      <c r="FB500" s="28"/>
      <c r="FE500" s="28"/>
      <c r="FH500" s="28"/>
      <c r="FK500" s="28"/>
      <c r="FN500" s="28"/>
      <c r="FQ500" s="28"/>
      <c r="FT500" s="28"/>
      <c r="FW500" s="28"/>
      <c r="FZ500" s="28"/>
      <c r="GC500" s="28"/>
    </row>
    <row r="501" spans="1:185" s="25" customFormat="1" x14ac:dyDescent="0.3">
      <c r="A501" s="27"/>
      <c r="B501" s="28"/>
      <c r="C501" s="27"/>
      <c r="D501" s="26"/>
      <c r="E501" s="28"/>
      <c r="H501" s="28"/>
      <c r="K501" s="28"/>
      <c r="N501" s="28"/>
      <c r="Q501" s="28"/>
      <c r="T501" s="28"/>
      <c r="W501" s="28"/>
      <c r="Z501" s="28"/>
      <c r="AC501" s="28"/>
      <c r="AF501" s="28"/>
      <c r="AI501" s="28"/>
      <c r="AL501" s="28"/>
      <c r="AO501" s="28"/>
      <c r="AR501" s="28"/>
      <c r="AU501" s="28"/>
      <c r="AX501" s="28"/>
      <c r="BA501" s="28"/>
      <c r="BD501" s="28"/>
      <c r="BG501" s="28"/>
      <c r="BJ501" s="28"/>
      <c r="BM501" s="28"/>
      <c r="BP501" s="28"/>
      <c r="BS501" s="28"/>
      <c r="BV501" s="28"/>
      <c r="BY501" s="28"/>
      <c r="CB501" s="28"/>
      <c r="CE501" s="28"/>
      <c r="CH501" s="28"/>
      <c r="CK501" s="28"/>
      <c r="CN501" s="28"/>
      <c r="CQ501" s="28"/>
      <c r="CT501" s="28"/>
      <c r="CW501" s="28"/>
      <c r="CZ501" s="28"/>
      <c r="DC501" s="28"/>
      <c r="DF501" s="28"/>
      <c r="DI501" s="28"/>
      <c r="DL501" s="28"/>
      <c r="DO501" s="28"/>
      <c r="DR501" s="28"/>
      <c r="DU501" s="28"/>
      <c r="DX501" s="28"/>
      <c r="EA501" s="28"/>
      <c r="ED501" s="28"/>
      <c r="EG501" s="28"/>
      <c r="EJ501" s="28"/>
      <c r="EM501" s="28"/>
      <c r="EP501" s="28"/>
      <c r="ES501" s="28"/>
      <c r="EV501" s="28"/>
      <c r="EY501" s="28"/>
      <c r="FB501" s="28"/>
      <c r="FE501" s="28"/>
      <c r="FH501" s="28"/>
      <c r="FK501" s="28"/>
      <c r="FN501" s="28"/>
      <c r="FQ501" s="28"/>
      <c r="FT501" s="28"/>
      <c r="FW501" s="28"/>
      <c r="FZ501" s="28"/>
      <c r="GC501" s="28"/>
    </row>
    <row r="502" spans="1:185" s="25" customFormat="1" x14ac:dyDescent="0.3">
      <c r="A502" s="27"/>
      <c r="B502" s="28"/>
      <c r="C502" s="27"/>
      <c r="D502" s="26"/>
      <c r="E502" s="28"/>
      <c r="H502" s="28"/>
      <c r="K502" s="28"/>
      <c r="N502" s="28"/>
      <c r="Q502" s="28"/>
      <c r="T502" s="28"/>
      <c r="W502" s="28"/>
      <c r="Z502" s="28"/>
      <c r="AC502" s="28"/>
      <c r="AF502" s="28"/>
      <c r="AI502" s="28"/>
      <c r="AL502" s="28"/>
      <c r="AO502" s="28"/>
      <c r="AR502" s="28"/>
      <c r="AU502" s="28"/>
      <c r="AX502" s="28"/>
      <c r="BA502" s="28"/>
      <c r="BD502" s="28"/>
      <c r="BG502" s="28"/>
      <c r="BJ502" s="28"/>
      <c r="BM502" s="28"/>
      <c r="BP502" s="28"/>
      <c r="BS502" s="28"/>
      <c r="BV502" s="28"/>
      <c r="BY502" s="28"/>
      <c r="CB502" s="28"/>
      <c r="CE502" s="28"/>
      <c r="CH502" s="28"/>
      <c r="CK502" s="28"/>
      <c r="CN502" s="28"/>
      <c r="CQ502" s="28"/>
      <c r="CT502" s="28"/>
      <c r="CW502" s="28"/>
      <c r="CZ502" s="28"/>
      <c r="DC502" s="28"/>
      <c r="DF502" s="28"/>
      <c r="DI502" s="28"/>
      <c r="DL502" s="28"/>
      <c r="DO502" s="28"/>
      <c r="DR502" s="28"/>
      <c r="DU502" s="28"/>
      <c r="DX502" s="28"/>
      <c r="EA502" s="28"/>
      <c r="ED502" s="28"/>
      <c r="EG502" s="28"/>
      <c r="EJ502" s="28"/>
      <c r="EM502" s="28"/>
      <c r="EP502" s="28"/>
      <c r="ES502" s="28"/>
      <c r="EV502" s="28"/>
      <c r="EY502" s="28"/>
      <c r="FB502" s="28"/>
      <c r="FE502" s="28"/>
      <c r="FH502" s="28"/>
      <c r="FK502" s="28"/>
      <c r="FN502" s="28"/>
      <c r="FQ502" s="28"/>
      <c r="FT502" s="28"/>
      <c r="FW502" s="28"/>
      <c r="FZ502" s="28"/>
      <c r="GC502" s="28"/>
    </row>
    <row r="503" spans="1:185" s="25" customFormat="1" x14ac:dyDescent="0.3">
      <c r="A503" s="27"/>
      <c r="B503" s="28"/>
      <c r="C503" s="27"/>
      <c r="D503" s="26"/>
      <c r="E503" s="28"/>
      <c r="H503" s="28"/>
      <c r="K503" s="28"/>
      <c r="N503" s="28"/>
      <c r="Q503" s="28"/>
      <c r="T503" s="28"/>
      <c r="W503" s="28"/>
      <c r="Z503" s="28"/>
      <c r="AC503" s="28"/>
      <c r="AF503" s="28"/>
      <c r="AI503" s="28"/>
      <c r="AL503" s="28"/>
      <c r="AO503" s="28"/>
      <c r="AR503" s="28"/>
      <c r="AU503" s="28"/>
      <c r="AX503" s="28"/>
      <c r="BA503" s="28"/>
      <c r="BD503" s="28"/>
      <c r="BG503" s="28"/>
      <c r="BJ503" s="28"/>
      <c r="BM503" s="28"/>
      <c r="BP503" s="28"/>
      <c r="BS503" s="28"/>
      <c r="BV503" s="28"/>
      <c r="BY503" s="28"/>
      <c r="CB503" s="28"/>
      <c r="CE503" s="28"/>
      <c r="CH503" s="28"/>
      <c r="CK503" s="28"/>
      <c r="CN503" s="28"/>
      <c r="CQ503" s="28"/>
      <c r="CT503" s="28"/>
      <c r="CW503" s="28"/>
      <c r="CZ503" s="28"/>
      <c r="DC503" s="28"/>
      <c r="DF503" s="28"/>
      <c r="DI503" s="28"/>
      <c r="DL503" s="28"/>
      <c r="DO503" s="28"/>
      <c r="DR503" s="28"/>
      <c r="DU503" s="28"/>
      <c r="DX503" s="28"/>
      <c r="EA503" s="28"/>
      <c r="ED503" s="28"/>
      <c r="EG503" s="28"/>
      <c r="EJ503" s="28"/>
      <c r="EM503" s="28"/>
      <c r="EP503" s="28"/>
      <c r="ES503" s="28"/>
      <c r="EV503" s="28"/>
      <c r="EY503" s="28"/>
      <c r="FB503" s="28"/>
      <c r="FE503" s="28"/>
      <c r="FH503" s="28"/>
      <c r="FK503" s="28"/>
      <c r="FN503" s="28"/>
      <c r="FQ503" s="28"/>
      <c r="FT503" s="28"/>
      <c r="FW503" s="28"/>
      <c r="FZ503" s="28"/>
      <c r="GC503" s="28"/>
    </row>
    <row r="504" spans="1:185" s="25" customFormat="1" x14ac:dyDescent="0.3">
      <c r="A504" s="27"/>
      <c r="B504" s="28"/>
      <c r="C504" s="27"/>
      <c r="D504" s="26"/>
      <c r="E504" s="28"/>
      <c r="H504" s="28"/>
      <c r="K504" s="28"/>
      <c r="N504" s="28"/>
      <c r="Q504" s="28"/>
      <c r="T504" s="28"/>
      <c r="W504" s="28"/>
      <c r="Z504" s="28"/>
      <c r="AC504" s="28"/>
      <c r="AF504" s="28"/>
      <c r="AI504" s="28"/>
      <c r="AL504" s="28"/>
      <c r="AO504" s="28"/>
      <c r="AR504" s="28"/>
      <c r="AU504" s="28"/>
      <c r="AX504" s="28"/>
      <c r="BA504" s="28"/>
      <c r="BD504" s="28"/>
      <c r="BG504" s="28"/>
      <c r="BJ504" s="28"/>
      <c r="BM504" s="28"/>
      <c r="BP504" s="28"/>
      <c r="BS504" s="28"/>
      <c r="BV504" s="28"/>
      <c r="BY504" s="28"/>
      <c r="CB504" s="28"/>
      <c r="CE504" s="28"/>
      <c r="CH504" s="28"/>
      <c r="CK504" s="28"/>
      <c r="CN504" s="28"/>
      <c r="CQ504" s="28"/>
      <c r="CT504" s="28"/>
      <c r="CW504" s="28"/>
      <c r="CZ504" s="28"/>
      <c r="DC504" s="28"/>
      <c r="DF504" s="28"/>
      <c r="DI504" s="28"/>
      <c r="DL504" s="28"/>
      <c r="DO504" s="28"/>
      <c r="DR504" s="28"/>
      <c r="DU504" s="28"/>
      <c r="DX504" s="28"/>
      <c r="EA504" s="28"/>
      <c r="ED504" s="28"/>
      <c r="EG504" s="28"/>
      <c r="EJ504" s="28"/>
      <c r="EM504" s="28"/>
      <c r="EP504" s="28"/>
      <c r="ES504" s="28"/>
      <c r="EV504" s="28"/>
      <c r="EY504" s="28"/>
      <c r="FB504" s="28"/>
      <c r="FE504" s="28"/>
      <c r="FH504" s="28"/>
      <c r="FK504" s="28"/>
      <c r="FN504" s="28"/>
      <c r="FQ504" s="28"/>
      <c r="FT504" s="28"/>
      <c r="FW504" s="28"/>
      <c r="FZ504" s="28"/>
      <c r="GC504" s="28"/>
    </row>
    <row r="505" spans="1:185" s="25" customFormat="1" x14ac:dyDescent="0.3">
      <c r="A505" s="27"/>
      <c r="B505" s="28"/>
      <c r="C505" s="27"/>
      <c r="D505" s="26"/>
      <c r="E505" s="28"/>
      <c r="H505" s="28"/>
      <c r="K505" s="28"/>
      <c r="N505" s="28"/>
      <c r="Q505" s="28"/>
      <c r="T505" s="28"/>
      <c r="W505" s="28"/>
      <c r="Z505" s="28"/>
      <c r="AC505" s="28"/>
      <c r="AF505" s="28"/>
      <c r="AI505" s="28"/>
      <c r="AL505" s="28"/>
      <c r="AO505" s="28"/>
      <c r="AR505" s="28"/>
      <c r="AU505" s="28"/>
      <c r="AX505" s="28"/>
      <c r="BA505" s="28"/>
      <c r="BD505" s="28"/>
      <c r="BG505" s="28"/>
      <c r="BJ505" s="28"/>
      <c r="BM505" s="28"/>
      <c r="BP505" s="28"/>
      <c r="BS505" s="28"/>
      <c r="BV505" s="28"/>
      <c r="BY505" s="28"/>
      <c r="CB505" s="28"/>
      <c r="CE505" s="28"/>
      <c r="CH505" s="28"/>
      <c r="CK505" s="28"/>
      <c r="CN505" s="28"/>
      <c r="CQ505" s="28"/>
      <c r="CT505" s="28"/>
      <c r="CW505" s="28"/>
      <c r="CZ505" s="28"/>
      <c r="DC505" s="28"/>
      <c r="DF505" s="28"/>
      <c r="DI505" s="28"/>
      <c r="DL505" s="28"/>
      <c r="DO505" s="28"/>
      <c r="DR505" s="28"/>
      <c r="DU505" s="28"/>
      <c r="DX505" s="28"/>
      <c r="EA505" s="28"/>
      <c r="ED505" s="28"/>
      <c r="EG505" s="28"/>
      <c r="EJ505" s="28"/>
      <c r="EM505" s="28"/>
      <c r="EP505" s="28"/>
      <c r="ES505" s="28"/>
      <c r="EV505" s="28"/>
      <c r="EY505" s="28"/>
      <c r="FB505" s="28"/>
      <c r="FE505" s="28"/>
      <c r="FH505" s="28"/>
      <c r="FK505" s="28"/>
      <c r="FN505" s="28"/>
      <c r="FQ505" s="28"/>
      <c r="FT505" s="28"/>
      <c r="FW505" s="28"/>
      <c r="FZ505" s="28"/>
      <c r="GC505" s="28"/>
    </row>
    <row r="506" spans="1:185" s="25" customFormat="1" x14ac:dyDescent="0.3">
      <c r="A506" s="27"/>
      <c r="B506" s="28"/>
      <c r="C506" s="27"/>
      <c r="D506" s="26"/>
      <c r="E506" s="28"/>
      <c r="H506" s="28"/>
      <c r="K506" s="28"/>
      <c r="N506" s="28"/>
      <c r="Q506" s="28"/>
      <c r="T506" s="28"/>
      <c r="W506" s="28"/>
      <c r="Z506" s="28"/>
      <c r="AC506" s="28"/>
      <c r="AF506" s="28"/>
      <c r="AI506" s="28"/>
      <c r="AL506" s="28"/>
      <c r="AO506" s="28"/>
      <c r="AR506" s="28"/>
      <c r="AU506" s="28"/>
      <c r="AX506" s="28"/>
      <c r="BA506" s="28"/>
      <c r="BD506" s="28"/>
      <c r="BG506" s="28"/>
      <c r="BJ506" s="28"/>
      <c r="BM506" s="28"/>
      <c r="BP506" s="28"/>
      <c r="BS506" s="28"/>
      <c r="BV506" s="28"/>
      <c r="BY506" s="28"/>
      <c r="CB506" s="28"/>
      <c r="CE506" s="28"/>
      <c r="CH506" s="28"/>
      <c r="CK506" s="28"/>
      <c r="CN506" s="28"/>
      <c r="CQ506" s="28"/>
      <c r="CT506" s="28"/>
      <c r="CW506" s="28"/>
      <c r="CZ506" s="28"/>
      <c r="DC506" s="28"/>
      <c r="DF506" s="28"/>
      <c r="DI506" s="28"/>
      <c r="DL506" s="28"/>
      <c r="DO506" s="28"/>
      <c r="DR506" s="28"/>
      <c r="DU506" s="28"/>
      <c r="DX506" s="28"/>
      <c r="EA506" s="28"/>
      <c r="ED506" s="28"/>
      <c r="EG506" s="28"/>
      <c r="EJ506" s="28"/>
      <c r="EM506" s="28"/>
      <c r="EP506" s="28"/>
      <c r="ES506" s="28"/>
      <c r="EV506" s="28"/>
      <c r="EY506" s="28"/>
      <c r="FB506" s="28"/>
      <c r="FE506" s="28"/>
      <c r="FH506" s="28"/>
      <c r="FK506" s="28"/>
      <c r="FN506" s="28"/>
      <c r="FQ506" s="28"/>
      <c r="FT506" s="28"/>
      <c r="FW506" s="28"/>
      <c r="FZ506" s="28"/>
      <c r="GC506" s="28"/>
    </row>
    <row r="507" spans="1:185" s="25" customFormat="1" x14ac:dyDescent="0.3">
      <c r="A507" s="27"/>
      <c r="B507" s="28"/>
      <c r="C507" s="27"/>
      <c r="D507" s="26"/>
      <c r="E507" s="28"/>
      <c r="H507" s="28"/>
      <c r="K507" s="28"/>
      <c r="N507" s="28"/>
      <c r="Q507" s="28"/>
      <c r="T507" s="28"/>
      <c r="W507" s="28"/>
      <c r="Z507" s="28"/>
      <c r="AC507" s="28"/>
      <c r="AF507" s="28"/>
      <c r="AI507" s="28"/>
      <c r="AL507" s="28"/>
      <c r="AO507" s="28"/>
      <c r="AR507" s="28"/>
      <c r="AU507" s="28"/>
      <c r="AX507" s="28"/>
      <c r="BA507" s="28"/>
      <c r="BD507" s="28"/>
      <c r="BG507" s="28"/>
      <c r="BJ507" s="28"/>
      <c r="BM507" s="28"/>
      <c r="BP507" s="28"/>
      <c r="BS507" s="28"/>
      <c r="BV507" s="28"/>
      <c r="BY507" s="28"/>
      <c r="CB507" s="28"/>
      <c r="CE507" s="28"/>
      <c r="CH507" s="28"/>
      <c r="CK507" s="28"/>
      <c r="CN507" s="28"/>
      <c r="CQ507" s="28"/>
      <c r="CT507" s="28"/>
      <c r="CW507" s="28"/>
      <c r="CZ507" s="28"/>
      <c r="DC507" s="28"/>
      <c r="DF507" s="28"/>
      <c r="DI507" s="28"/>
      <c r="DL507" s="28"/>
      <c r="DO507" s="28"/>
      <c r="DR507" s="28"/>
      <c r="DU507" s="28"/>
      <c r="DX507" s="28"/>
      <c r="EA507" s="28"/>
      <c r="ED507" s="28"/>
      <c r="EG507" s="28"/>
      <c r="EJ507" s="28"/>
      <c r="EM507" s="28"/>
      <c r="EP507" s="28"/>
      <c r="ES507" s="28"/>
      <c r="EV507" s="28"/>
      <c r="EY507" s="28"/>
      <c r="FB507" s="28"/>
      <c r="FE507" s="28"/>
      <c r="FH507" s="28"/>
      <c r="FK507" s="28"/>
      <c r="FN507" s="28"/>
      <c r="FQ507" s="28"/>
      <c r="FT507" s="28"/>
      <c r="FW507" s="28"/>
      <c r="FZ507" s="28"/>
      <c r="GC507" s="28"/>
    </row>
    <row r="508" spans="1:185" s="25" customFormat="1" x14ac:dyDescent="0.3">
      <c r="A508" s="27"/>
      <c r="B508" s="28"/>
      <c r="C508" s="27"/>
      <c r="D508" s="26"/>
      <c r="E508" s="28"/>
      <c r="H508" s="28"/>
      <c r="K508" s="28"/>
      <c r="N508" s="28"/>
      <c r="Q508" s="28"/>
      <c r="T508" s="28"/>
      <c r="W508" s="28"/>
      <c r="Z508" s="28"/>
      <c r="AC508" s="28"/>
      <c r="AF508" s="28"/>
      <c r="AI508" s="28"/>
      <c r="AL508" s="28"/>
      <c r="AO508" s="28"/>
      <c r="AR508" s="28"/>
      <c r="AU508" s="28"/>
      <c r="AX508" s="28"/>
      <c r="BA508" s="28"/>
      <c r="BD508" s="28"/>
      <c r="BG508" s="28"/>
      <c r="BJ508" s="28"/>
      <c r="BM508" s="28"/>
      <c r="BP508" s="28"/>
      <c r="BS508" s="28"/>
      <c r="BV508" s="28"/>
      <c r="BY508" s="28"/>
      <c r="CB508" s="28"/>
      <c r="CE508" s="28"/>
      <c r="CH508" s="28"/>
      <c r="CK508" s="28"/>
      <c r="CN508" s="28"/>
      <c r="CQ508" s="28"/>
      <c r="CT508" s="28"/>
      <c r="CW508" s="28"/>
      <c r="CZ508" s="28"/>
      <c r="DC508" s="28"/>
      <c r="DF508" s="28"/>
      <c r="DI508" s="28"/>
      <c r="DL508" s="28"/>
      <c r="DO508" s="28"/>
      <c r="DR508" s="28"/>
      <c r="DU508" s="28"/>
      <c r="DX508" s="28"/>
      <c r="EA508" s="28"/>
      <c r="ED508" s="28"/>
      <c r="EG508" s="28"/>
      <c r="EJ508" s="28"/>
      <c r="EM508" s="28"/>
      <c r="EP508" s="28"/>
      <c r="ES508" s="28"/>
      <c r="EV508" s="28"/>
      <c r="EY508" s="28"/>
      <c r="FB508" s="28"/>
      <c r="FE508" s="28"/>
      <c r="FH508" s="28"/>
      <c r="FK508" s="28"/>
      <c r="FN508" s="28"/>
      <c r="FQ508" s="28"/>
      <c r="FT508" s="28"/>
      <c r="FW508" s="28"/>
      <c r="FZ508" s="28"/>
      <c r="GC508" s="28"/>
    </row>
    <row r="509" spans="1:185" s="25" customFormat="1" x14ac:dyDescent="0.3">
      <c r="A509" s="27"/>
      <c r="B509" s="28"/>
      <c r="C509" s="27"/>
      <c r="D509" s="26"/>
      <c r="E509" s="28"/>
      <c r="H509" s="28"/>
      <c r="K509" s="28"/>
      <c r="N509" s="28"/>
      <c r="Q509" s="28"/>
      <c r="T509" s="28"/>
      <c r="W509" s="28"/>
      <c r="Z509" s="28"/>
      <c r="AC509" s="28"/>
      <c r="AF509" s="28"/>
      <c r="AI509" s="28"/>
      <c r="AL509" s="28"/>
      <c r="AO509" s="28"/>
      <c r="AR509" s="28"/>
      <c r="AU509" s="28"/>
      <c r="AX509" s="28"/>
      <c r="BA509" s="28"/>
      <c r="BD509" s="28"/>
      <c r="BG509" s="28"/>
      <c r="BJ509" s="28"/>
      <c r="BM509" s="28"/>
      <c r="BP509" s="28"/>
      <c r="BS509" s="28"/>
      <c r="BV509" s="28"/>
      <c r="BY509" s="28"/>
      <c r="CB509" s="28"/>
      <c r="CE509" s="28"/>
      <c r="CH509" s="28"/>
      <c r="CK509" s="28"/>
      <c r="CN509" s="28"/>
      <c r="CQ509" s="28"/>
      <c r="CT509" s="28"/>
      <c r="CW509" s="28"/>
      <c r="CZ509" s="28"/>
      <c r="DC509" s="28"/>
      <c r="DF509" s="28"/>
      <c r="DI509" s="28"/>
      <c r="DL509" s="28"/>
      <c r="DO509" s="28"/>
      <c r="DR509" s="28"/>
      <c r="DU509" s="28"/>
      <c r="DX509" s="28"/>
      <c r="EA509" s="28"/>
      <c r="ED509" s="28"/>
      <c r="EG509" s="28"/>
      <c r="EJ509" s="28"/>
      <c r="EM509" s="28"/>
      <c r="EP509" s="28"/>
      <c r="ES509" s="28"/>
      <c r="EV509" s="28"/>
      <c r="EY509" s="28"/>
      <c r="FB509" s="28"/>
      <c r="FE509" s="28"/>
      <c r="FH509" s="28"/>
      <c r="FK509" s="28"/>
      <c r="FN509" s="28"/>
      <c r="FQ509" s="28"/>
      <c r="FT509" s="28"/>
      <c r="FW509" s="28"/>
      <c r="FZ509" s="28"/>
      <c r="GC509" s="28"/>
    </row>
    <row r="510" spans="1:185" s="25" customFormat="1" x14ac:dyDescent="0.3">
      <c r="A510" s="27"/>
      <c r="B510" s="28"/>
      <c r="C510" s="27"/>
      <c r="D510" s="26"/>
      <c r="E510" s="28"/>
      <c r="H510" s="28"/>
      <c r="K510" s="28"/>
      <c r="N510" s="28"/>
      <c r="Q510" s="28"/>
      <c r="T510" s="28"/>
      <c r="W510" s="28"/>
      <c r="Z510" s="28"/>
      <c r="AC510" s="28"/>
      <c r="AF510" s="28"/>
      <c r="AI510" s="28"/>
      <c r="AL510" s="28"/>
      <c r="AO510" s="28"/>
      <c r="AR510" s="28"/>
      <c r="AU510" s="28"/>
      <c r="AX510" s="28"/>
      <c r="BA510" s="28"/>
      <c r="BD510" s="28"/>
      <c r="BG510" s="28"/>
      <c r="BJ510" s="28"/>
      <c r="BM510" s="28"/>
      <c r="BP510" s="28"/>
      <c r="BS510" s="28"/>
      <c r="BV510" s="28"/>
      <c r="BY510" s="28"/>
      <c r="CB510" s="28"/>
      <c r="CE510" s="28"/>
      <c r="CH510" s="28"/>
      <c r="CK510" s="28"/>
      <c r="CN510" s="28"/>
      <c r="CQ510" s="28"/>
      <c r="CT510" s="28"/>
      <c r="CW510" s="28"/>
      <c r="CZ510" s="28"/>
      <c r="DC510" s="28"/>
      <c r="DF510" s="28"/>
      <c r="DI510" s="28"/>
      <c r="DL510" s="28"/>
      <c r="DO510" s="28"/>
      <c r="DR510" s="28"/>
      <c r="DU510" s="28"/>
      <c r="DX510" s="28"/>
      <c r="EA510" s="28"/>
      <c r="ED510" s="28"/>
      <c r="EG510" s="28"/>
      <c r="EJ510" s="28"/>
      <c r="EM510" s="28"/>
      <c r="EP510" s="28"/>
      <c r="ES510" s="28"/>
      <c r="EV510" s="28"/>
      <c r="EY510" s="28"/>
      <c r="FB510" s="28"/>
      <c r="FE510" s="28"/>
      <c r="FH510" s="28"/>
      <c r="FK510" s="28"/>
      <c r="FN510" s="28"/>
      <c r="FQ510" s="28"/>
      <c r="FT510" s="28"/>
      <c r="FW510" s="28"/>
      <c r="FZ510" s="28"/>
      <c r="GC510" s="28"/>
    </row>
    <row r="511" spans="1:185" s="25" customFormat="1" x14ac:dyDescent="0.3">
      <c r="A511" s="27"/>
      <c r="B511" s="28"/>
      <c r="C511" s="27"/>
      <c r="D511" s="26"/>
      <c r="E511" s="28"/>
      <c r="H511" s="28"/>
      <c r="K511" s="28"/>
      <c r="N511" s="28"/>
      <c r="Q511" s="28"/>
      <c r="T511" s="28"/>
      <c r="W511" s="28"/>
      <c r="Z511" s="28"/>
      <c r="AC511" s="28"/>
      <c r="AF511" s="28"/>
      <c r="AI511" s="28"/>
      <c r="AL511" s="28"/>
      <c r="AO511" s="28"/>
      <c r="AR511" s="28"/>
      <c r="AU511" s="28"/>
      <c r="AX511" s="28"/>
      <c r="BA511" s="28"/>
      <c r="BD511" s="28"/>
      <c r="BG511" s="28"/>
      <c r="BJ511" s="28"/>
      <c r="BM511" s="28"/>
      <c r="BP511" s="28"/>
      <c r="BS511" s="28"/>
      <c r="BV511" s="28"/>
      <c r="BY511" s="28"/>
      <c r="CB511" s="28"/>
      <c r="CE511" s="28"/>
      <c r="CH511" s="28"/>
      <c r="CK511" s="28"/>
      <c r="CN511" s="28"/>
      <c r="CQ511" s="28"/>
      <c r="CT511" s="28"/>
      <c r="CW511" s="28"/>
      <c r="CZ511" s="28"/>
      <c r="DC511" s="28"/>
      <c r="DF511" s="28"/>
      <c r="DI511" s="28"/>
      <c r="DL511" s="28"/>
      <c r="DO511" s="28"/>
      <c r="DR511" s="28"/>
      <c r="DU511" s="28"/>
      <c r="DX511" s="28"/>
      <c r="EA511" s="28"/>
      <c r="ED511" s="28"/>
      <c r="EG511" s="28"/>
      <c r="EJ511" s="28"/>
      <c r="EM511" s="28"/>
      <c r="EP511" s="28"/>
      <c r="ES511" s="28"/>
      <c r="EV511" s="28"/>
      <c r="EY511" s="28"/>
      <c r="FB511" s="28"/>
      <c r="FE511" s="28"/>
      <c r="FH511" s="28"/>
      <c r="FK511" s="28"/>
      <c r="FN511" s="28"/>
      <c r="FQ511" s="28"/>
      <c r="FT511" s="28"/>
      <c r="FW511" s="28"/>
      <c r="FZ511" s="28"/>
      <c r="GC511" s="28"/>
    </row>
    <row r="512" spans="1:185" s="25" customFormat="1" x14ac:dyDescent="0.3">
      <c r="A512" s="27"/>
      <c r="B512" s="28"/>
      <c r="C512" s="27"/>
      <c r="D512" s="26"/>
      <c r="E512" s="28"/>
      <c r="H512" s="28"/>
      <c r="K512" s="28"/>
      <c r="N512" s="28"/>
      <c r="Q512" s="28"/>
      <c r="T512" s="28"/>
      <c r="W512" s="28"/>
      <c r="Z512" s="28"/>
      <c r="AC512" s="28"/>
      <c r="AF512" s="28"/>
      <c r="AI512" s="28"/>
      <c r="AL512" s="28"/>
      <c r="AO512" s="28"/>
      <c r="AR512" s="28"/>
      <c r="AU512" s="28"/>
      <c r="AX512" s="28"/>
      <c r="BA512" s="28"/>
      <c r="BD512" s="28"/>
      <c r="BG512" s="28"/>
      <c r="BJ512" s="28"/>
      <c r="BM512" s="28"/>
      <c r="BP512" s="28"/>
      <c r="BS512" s="28"/>
      <c r="BV512" s="28"/>
      <c r="BY512" s="28"/>
      <c r="CB512" s="28"/>
      <c r="CE512" s="28"/>
      <c r="CH512" s="28"/>
      <c r="CK512" s="28"/>
      <c r="CN512" s="28"/>
      <c r="CQ512" s="28"/>
      <c r="CT512" s="28"/>
      <c r="CW512" s="28"/>
      <c r="CZ512" s="28"/>
      <c r="DC512" s="28"/>
      <c r="DF512" s="28"/>
      <c r="DI512" s="28"/>
      <c r="DL512" s="28"/>
      <c r="DO512" s="28"/>
      <c r="DR512" s="28"/>
      <c r="DU512" s="28"/>
      <c r="DX512" s="28"/>
      <c r="EA512" s="28"/>
      <c r="ED512" s="28"/>
      <c r="EG512" s="28"/>
      <c r="EJ512" s="28"/>
      <c r="EM512" s="28"/>
      <c r="EP512" s="28"/>
      <c r="ES512" s="28"/>
      <c r="EV512" s="28"/>
      <c r="EY512" s="28"/>
      <c r="FB512" s="28"/>
      <c r="FE512" s="28"/>
      <c r="FH512" s="28"/>
      <c r="FK512" s="28"/>
      <c r="FN512" s="28"/>
      <c r="FQ512" s="28"/>
      <c r="FT512" s="28"/>
      <c r="FW512" s="28"/>
      <c r="FZ512" s="28"/>
      <c r="GC512" s="28"/>
    </row>
    <row r="513" spans="1:185" s="25" customFormat="1" x14ac:dyDescent="0.3">
      <c r="A513" s="27"/>
      <c r="B513" s="28"/>
      <c r="C513" s="27"/>
      <c r="D513" s="26"/>
      <c r="E513" s="28"/>
      <c r="H513" s="28"/>
      <c r="K513" s="28"/>
      <c r="N513" s="28"/>
      <c r="Q513" s="28"/>
      <c r="T513" s="28"/>
      <c r="W513" s="28"/>
      <c r="Z513" s="28"/>
      <c r="AC513" s="28"/>
      <c r="AF513" s="28"/>
      <c r="AI513" s="28"/>
      <c r="AL513" s="28"/>
      <c r="AO513" s="28"/>
      <c r="AR513" s="28"/>
      <c r="AU513" s="28"/>
      <c r="AX513" s="28"/>
      <c r="BA513" s="28"/>
      <c r="BD513" s="28"/>
      <c r="BG513" s="28"/>
      <c r="BJ513" s="28"/>
      <c r="BM513" s="28"/>
      <c r="BP513" s="28"/>
      <c r="BS513" s="28"/>
      <c r="BV513" s="28"/>
      <c r="BY513" s="28"/>
      <c r="CB513" s="28"/>
      <c r="CE513" s="28"/>
      <c r="CH513" s="28"/>
      <c r="CK513" s="28"/>
      <c r="CN513" s="28"/>
      <c r="CQ513" s="28"/>
      <c r="CT513" s="28"/>
      <c r="CW513" s="28"/>
      <c r="CZ513" s="28"/>
      <c r="DC513" s="28"/>
      <c r="DF513" s="28"/>
      <c r="DI513" s="28"/>
      <c r="DL513" s="28"/>
      <c r="DO513" s="28"/>
      <c r="DR513" s="28"/>
      <c r="DU513" s="28"/>
      <c r="DX513" s="28"/>
      <c r="EA513" s="28"/>
      <c r="ED513" s="28"/>
      <c r="EG513" s="28"/>
      <c r="EJ513" s="28"/>
      <c r="EM513" s="28"/>
      <c r="EP513" s="28"/>
      <c r="ES513" s="28"/>
      <c r="EV513" s="28"/>
      <c r="EY513" s="28"/>
      <c r="FB513" s="28"/>
      <c r="FE513" s="28"/>
      <c r="FH513" s="28"/>
      <c r="FK513" s="28"/>
      <c r="FN513" s="28"/>
      <c r="FQ513" s="28"/>
      <c r="FT513" s="28"/>
      <c r="FW513" s="28"/>
      <c r="FZ513" s="28"/>
      <c r="GC513" s="28"/>
    </row>
    <row r="514" spans="1:185" s="25" customFormat="1" x14ac:dyDescent="0.3">
      <c r="A514" s="27"/>
      <c r="B514" s="28"/>
      <c r="C514" s="27"/>
      <c r="D514" s="26"/>
      <c r="E514" s="28"/>
      <c r="H514" s="28"/>
      <c r="K514" s="28"/>
      <c r="N514" s="28"/>
      <c r="Q514" s="28"/>
      <c r="T514" s="28"/>
      <c r="W514" s="28"/>
      <c r="Z514" s="28"/>
      <c r="AC514" s="28"/>
      <c r="AF514" s="28"/>
      <c r="AI514" s="28"/>
      <c r="AL514" s="28"/>
      <c r="AO514" s="28"/>
      <c r="AR514" s="28"/>
      <c r="AU514" s="28"/>
      <c r="AX514" s="28"/>
      <c r="BA514" s="28"/>
      <c r="BD514" s="28"/>
      <c r="BG514" s="28"/>
      <c r="BJ514" s="28"/>
      <c r="BM514" s="28"/>
      <c r="BP514" s="28"/>
      <c r="BS514" s="28"/>
      <c r="BV514" s="28"/>
      <c r="BY514" s="28"/>
      <c r="CB514" s="28"/>
      <c r="CE514" s="28"/>
      <c r="CH514" s="28"/>
      <c r="CK514" s="28"/>
      <c r="CN514" s="28"/>
      <c r="CQ514" s="28"/>
      <c r="CT514" s="28"/>
      <c r="CW514" s="28"/>
      <c r="CZ514" s="28"/>
      <c r="DC514" s="28"/>
      <c r="DF514" s="28"/>
      <c r="DI514" s="28"/>
      <c r="DL514" s="28"/>
      <c r="DO514" s="28"/>
      <c r="DR514" s="28"/>
      <c r="DU514" s="28"/>
      <c r="DX514" s="28"/>
      <c r="EA514" s="28"/>
      <c r="ED514" s="28"/>
      <c r="EG514" s="28"/>
      <c r="EJ514" s="28"/>
      <c r="EM514" s="28"/>
      <c r="EP514" s="28"/>
      <c r="ES514" s="28"/>
      <c r="EV514" s="28"/>
      <c r="EY514" s="28"/>
      <c r="FB514" s="28"/>
      <c r="FE514" s="28"/>
      <c r="FH514" s="28"/>
      <c r="FK514" s="28"/>
      <c r="FN514" s="28"/>
      <c r="FQ514" s="28"/>
      <c r="FT514" s="28"/>
      <c r="FW514" s="28"/>
      <c r="FZ514" s="28"/>
      <c r="GC514" s="28"/>
    </row>
    <row r="515" spans="1:185" s="25" customFormat="1" x14ac:dyDescent="0.3">
      <c r="A515" s="27"/>
      <c r="B515" s="28"/>
      <c r="C515" s="27"/>
      <c r="D515" s="26"/>
      <c r="E515" s="28"/>
      <c r="H515" s="28"/>
      <c r="K515" s="28"/>
      <c r="N515" s="28"/>
      <c r="Q515" s="28"/>
      <c r="T515" s="28"/>
      <c r="W515" s="28"/>
      <c r="Z515" s="28"/>
      <c r="AC515" s="28"/>
      <c r="AF515" s="28"/>
      <c r="AI515" s="28"/>
      <c r="AL515" s="28"/>
      <c r="AO515" s="28"/>
      <c r="AR515" s="28"/>
      <c r="AU515" s="28"/>
      <c r="AX515" s="28"/>
      <c r="BA515" s="28"/>
      <c r="BD515" s="28"/>
      <c r="BG515" s="28"/>
      <c r="BJ515" s="28"/>
      <c r="BM515" s="28"/>
      <c r="BP515" s="28"/>
      <c r="BS515" s="28"/>
      <c r="BV515" s="28"/>
      <c r="BY515" s="28"/>
      <c r="CB515" s="28"/>
      <c r="CE515" s="28"/>
      <c r="CH515" s="28"/>
      <c r="CK515" s="28"/>
      <c r="CN515" s="28"/>
      <c r="CQ515" s="28"/>
      <c r="CT515" s="28"/>
      <c r="CW515" s="28"/>
      <c r="CZ515" s="28"/>
      <c r="DC515" s="28"/>
      <c r="DF515" s="28"/>
      <c r="DI515" s="28"/>
      <c r="DL515" s="28"/>
      <c r="DO515" s="28"/>
      <c r="DR515" s="28"/>
      <c r="DU515" s="28"/>
      <c r="DX515" s="28"/>
      <c r="EA515" s="28"/>
      <c r="ED515" s="28"/>
      <c r="EG515" s="28"/>
      <c r="EJ515" s="28"/>
      <c r="EM515" s="28"/>
      <c r="EP515" s="28"/>
      <c r="ES515" s="28"/>
      <c r="EV515" s="28"/>
      <c r="EY515" s="28"/>
      <c r="FB515" s="28"/>
      <c r="FE515" s="28"/>
      <c r="FH515" s="28"/>
      <c r="FK515" s="28"/>
      <c r="FN515" s="28"/>
      <c r="FQ515" s="28"/>
      <c r="FT515" s="28"/>
      <c r="FW515" s="28"/>
      <c r="FZ515" s="28"/>
      <c r="GC515" s="28"/>
    </row>
    <row r="516" spans="1:185" s="25" customFormat="1" x14ac:dyDescent="0.3">
      <c r="A516" s="27"/>
      <c r="B516" s="28"/>
      <c r="C516" s="27"/>
      <c r="D516" s="26"/>
      <c r="E516" s="28"/>
      <c r="H516" s="28"/>
      <c r="K516" s="28"/>
      <c r="N516" s="28"/>
      <c r="Q516" s="28"/>
      <c r="T516" s="28"/>
      <c r="W516" s="28"/>
      <c r="Z516" s="28"/>
      <c r="AC516" s="28"/>
      <c r="AF516" s="28"/>
      <c r="AI516" s="28"/>
      <c r="AL516" s="28"/>
      <c r="AO516" s="28"/>
      <c r="AR516" s="28"/>
      <c r="AU516" s="28"/>
      <c r="AX516" s="28"/>
      <c r="BA516" s="28"/>
      <c r="BD516" s="28"/>
      <c r="BG516" s="28"/>
      <c r="BJ516" s="28"/>
      <c r="BM516" s="28"/>
      <c r="BP516" s="28"/>
      <c r="BS516" s="28"/>
      <c r="BV516" s="28"/>
      <c r="BY516" s="28"/>
      <c r="CB516" s="28"/>
      <c r="CE516" s="28"/>
      <c r="CH516" s="28"/>
      <c r="CK516" s="28"/>
      <c r="CN516" s="28"/>
      <c r="CQ516" s="28"/>
      <c r="CT516" s="28"/>
      <c r="CW516" s="28"/>
      <c r="CZ516" s="28"/>
      <c r="DC516" s="28"/>
      <c r="DF516" s="28"/>
      <c r="DI516" s="28"/>
      <c r="DL516" s="28"/>
      <c r="DO516" s="28"/>
      <c r="DR516" s="28"/>
      <c r="DU516" s="28"/>
      <c r="DX516" s="28"/>
      <c r="EA516" s="28"/>
      <c r="ED516" s="28"/>
      <c r="EG516" s="28"/>
      <c r="EJ516" s="28"/>
      <c r="EM516" s="28"/>
      <c r="EP516" s="28"/>
      <c r="ES516" s="28"/>
      <c r="EV516" s="28"/>
      <c r="EY516" s="28"/>
      <c r="FB516" s="28"/>
      <c r="FE516" s="28"/>
      <c r="FH516" s="28"/>
      <c r="FK516" s="28"/>
      <c r="FN516" s="28"/>
      <c r="FQ516" s="28"/>
      <c r="FT516" s="28"/>
      <c r="FW516" s="28"/>
      <c r="FZ516" s="28"/>
      <c r="GC516" s="28"/>
    </row>
    <row r="517" spans="1:185" s="25" customFormat="1" x14ac:dyDescent="0.3">
      <c r="A517" s="27"/>
      <c r="B517" s="28"/>
      <c r="C517" s="27"/>
      <c r="D517" s="26"/>
      <c r="E517" s="28"/>
      <c r="H517" s="28"/>
      <c r="K517" s="28"/>
      <c r="N517" s="28"/>
      <c r="Q517" s="28"/>
      <c r="T517" s="28"/>
      <c r="W517" s="28"/>
      <c r="Z517" s="28"/>
      <c r="AC517" s="28"/>
      <c r="AF517" s="28"/>
      <c r="AI517" s="28"/>
      <c r="AL517" s="28"/>
      <c r="AO517" s="28"/>
      <c r="AR517" s="28"/>
      <c r="AU517" s="28"/>
      <c r="AX517" s="28"/>
      <c r="BA517" s="28"/>
      <c r="BD517" s="28"/>
      <c r="BG517" s="28"/>
      <c r="BJ517" s="28"/>
      <c r="BM517" s="28"/>
      <c r="BP517" s="28"/>
      <c r="BS517" s="28"/>
      <c r="BV517" s="28"/>
      <c r="BY517" s="28"/>
      <c r="CB517" s="28"/>
      <c r="CE517" s="28"/>
      <c r="CH517" s="28"/>
      <c r="CK517" s="28"/>
      <c r="CN517" s="28"/>
      <c r="CQ517" s="28"/>
      <c r="CT517" s="28"/>
      <c r="CW517" s="28"/>
      <c r="CZ517" s="28"/>
      <c r="DC517" s="28"/>
      <c r="DF517" s="28"/>
      <c r="DI517" s="28"/>
      <c r="DL517" s="28"/>
      <c r="DO517" s="28"/>
      <c r="DR517" s="28"/>
      <c r="DU517" s="28"/>
      <c r="DX517" s="28"/>
      <c r="EA517" s="28"/>
      <c r="ED517" s="28"/>
      <c r="EG517" s="28"/>
      <c r="EJ517" s="28"/>
      <c r="EM517" s="28"/>
      <c r="EP517" s="28"/>
      <c r="ES517" s="28"/>
      <c r="EV517" s="28"/>
      <c r="EY517" s="28"/>
      <c r="FB517" s="28"/>
      <c r="FE517" s="28"/>
      <c r="FH517" s="28"/>
      <c r="FK517" s="28"/>
      <c r="FN517" s="28"/>
      <c r="FQ517" s="28"/>
      <c r="FT517" s="28"/>
      <c r="FW517" s="28"/>
      <c r="FZ517" s="28"/>
      <c r="GC517" s="28"/>
    </row>
    <row r="518" spans="1:185" s="25" customFormat="1" x14ac:dyDescent="0.3">
      <c r="A518" s="27"/>
      <c r="B518" s="28"/>
      <c r="C518" s="27"/>
      <c r="D518" s="26"/>
      <c r="E518" s="28"/>
      <c r="H518" s="28"/>
      <c r="K518" s="28"/>
      <c r="N518" s="28"/>
      <c r="Q518" s="28"/>
      <c r="T518" s="28"/>
      <c r="W518" s="28"/>
      <c r="Z518" s="28"/>
      <c r="AC518" s="28"/>
      <c r="AF518" s="28"/>
      <c r="AI518" s="28"/>
      <c r="AL518" s="28"/>
      <c r="AO518" s="28"/>
      <c r="AR518" s="28"/>
      <c r="AU518" s="28"/>
      <c r="AX518" s="28"/>
      <c r="BA518" s="28"/>
      <c r="BD518" s="28"/>
      <c r="BG518" s="28"/>
      <c r="BJ518" s="28"/>
      <c r="BM518" s="28"/>
      <c r="BP518" s="28"/>
      <c r="BS518" s="28"/>
      <c r="BV518" s="28"/>
      <c r="BY518" s="28"/>
      <c r="CB518" s="28"/>
      <c r="CE518" s="28"/>
      <c r="CH518" s="28"/>
      <c r="CK518" s="28"/>
      <c r="CN518" s="28"/>
      <c r="CQ518" s="28"/>
      <c r="CT518" s="28"/>
      <c r="CW518" s="28"/>
      <c r="CZ518" s="28"/>
      <c r="DC518" s="28"/>
      <c r="DF518" s="28"/>
      <c r="DI518" s="28"/>
      <c r="DL518" s="28"/>
      <c r="DO518" s="28"/>
      <c r="DR518" s="28"/>
      <c r="DU518" s="28"/>
      <c r="DX518" s="28"/>
      <c r="EA518" s="28"/>
      <c r="ED518" s="28"/>
      <c r="EG518" s="28"/>
      <c r="EJ518" s="28"/>
      <c r="EM518" s="28"/>
      <c r="EP518" s="28"/>
      <c r="ES518" s="28"/>
      <c r="EV518" s="28"/>
      <c r="EY518" s="28"/>
      <c r="FB518" s="28"/>
      <c r="FE518" s="28"/>
      <c r="FH518" s="28"/>
      <c r="FK518" s="28"/>
      <c r="FN518" s="28"/>
      <c r="FQ518" s="28"/>
      <c r="FT518" s="28"/>
      <c r="FW518" s="28"/>
      <c r="FZ518" s="28"/>
      <c r="GC518" s="28"/>
    </row>
    <row r="519" spans="1:185" s="25" customFormat="1" x14ac:dyDescent="0.3">
      <c r="A519" s="27"/>
      <c r="B519" s="28"/>
      <c r="C519" s="27"/>
      <c r="D519" s="26"/>
      <c r="E519" s="28"/>
      <c r="H519" s="28"/>
      <c r="K519" s="28"/>
      <c r="N519" s="28"/>
      <c r="Q519" s="28"/>
      <c r="T519" s="28"/>
      <c r="W519" s="28"/>
      <c r="Z519" s="28"/>
      <c r="AC519" s="28"/>
      <c r="AF519" s="28"/>
      <c r="AI519" s="28"/>
      <c r="AL519" s="28"/>
      <c r="AO519" s="28"/>
      <c r="AR519" s="28"/>
      <c r="AU519" s="28"/>
      <c r="AX519" s="28"/>
      <c r="BA519" s="28"/>
      <c r="BD519" s="28"/>
      <c r="BG519" s="28"/>
      <c r="BJ519" s="28"/>
      <c r="BM519" s="28"/>
      <c r="BP519" s="28"/>
      <c r="BS519" s="28"/>
      <c r="BV519" s="28"/>
      <c r="BY519" s="28"/>
      <c r="CB519" s="28"/>
      <c r="CE519" s="28"/>
      <c r="CH519" s="28"/>
      <c r="CK519" s="28"/>
      <c r="CN519" s="28"/>
      <c r="CQ519" s="28"/>
      <c r="CT519" s="28"/>
      <c r="CW519" s="28"/>
      <c r="CZ519" s="28"/>
      <c r="DC519" s="28"/>
      <c r="DF519" s="28"/>
      <c r="DI519" s="28"/>
      <c r="DL519" s="28"/>
      <c r="DO519" s="28"/>
      <c r="DR519" s="28"/>
      <c r="DU519" s="28"/>
      <c r="DX519" s="28"/>
      <c r="EA519" s="28"/>
      <c r="ED519" s="28"/>
      <c r="EG519" s="28"/>
      <c r="EJ519" s="28"/>
      <c r="EM519" s="28"/>
      <c r="EP519" s="28"/>
      <c r="ES519" s="28"/>
      <c r="EV519" s="28"/>
      <c r="EY519" s="28"/>
      <c r="FB519" s="28"/>
      <c r="FE519" s="28"/>
      <c r="FH519" s="28"/>
      <c r="FK519" s="28"/>
      <c r="FN519" s="28"/>
      <c r="FQ519" s="28"/>
      <c r="FT519" s="28"/>
      <c r="FW519" s="28"/>
      <c r="FZ519" s="28"/>
      <c r="GC519" s="28"/>
    </row>
    <row r="520" spans="1:185" s="25" customFormat="1" x14ac:dyDescent="0.3">
      <c r="A520" s="27"/>
      <c r="B520" s="28"/>
      <c r="C520" s="27"/>
      <c r="D520" s="26"/>
      <c r="E520" s="28"/>
      <c r="H520" s="28"/>
      <c r="K520" s="28"/>
      <c r="N520" s="28"/>
      <c r="Q520" s="28"/>
      <c r="T520" s="28"/>
      <c r="W520" s="28"/>
      <c r="Z520" s="28"/>
      <c r="AC520" s="28"/>
      <c r="AF520" s="28"/>
      <c r="AI520" s="28"/>
      <c r="AL520" s="28"/>
      <c r="AO520" s="28"/>
      <c r="AR520" s="28"/>
      <c r="AU520" s="28"/>
      <c r="AX520" s="28"/>
      <c r="BA520" s="28"/>
      <c r="BD520" s="28"/>
      <c r="BG520" s="28"/>
      <c r="BJ520" s="28"/>
      <c r="BM520" s="28"/>
      <c r="BP520" s="28"/>
      <c r="BS520" s="28"/>
      <c r="BV520" s="28"/>
      <c r="BY520" s="28"/>
      <c r="CB520" s="28"/>
      <c r="CE520" s="28"/>
      <c r="CH520" s="28"/>
      <c r="CK520" s="28"/>
      <c r="CN520" s="28"/>
      <c r="CQ520" s="28"/>
      <c r="CT520" s="28"/>
      <c r="CW520" s="28"/>
      <c r="CZ520" s="28"/>
      <c r="DC520" s="28"/>
      <c r="DF520" s="28"/>
      <c r="DI520" s="28"/>
      <c r="DL520" s="28"/>
      <c r="DO520" s="28"/>
      <c r="DR520" s="28"/>
      <c r="DU520" s="28"/>
      <c r="DX520" s="28"/>
      <c r="EA520" s="28"/>
      <c r="ED520" s="28"/>
      <c r="EG520" s="28"/>
      <c r="EJ520" s="28"/>
      <c r="EM520" s="28"/>
      <c r="EP520" s="28"/>
      <c r="ES520" s="28"/>
      <c r="EV520" s="28"/>
      <c r="EY520" s="28"/>
      <c r="FB520" s="28"/>
      <c r="FE520" s="28"/>
      <c r="FH520" s="28"/>
      <c r="FK520" s="28"/>
      <c r="FN520" s="28"/>
      <c r="FQ520" s="28"/>
      <c r="FT520" s="28"/>
      <c r="FW520" s="28"/>
      <c r="FZ520" s="28"/>
      <c r="GC520" s="28"/>
    </row>
    <row r="521" spans="1:185" s="25" customFormat="1" x14ac:dyDescent="0.3">
      <c r="A521" s="27"/>
      <c r="B521" s="28"/>
      <c r="C521" s="27"/>
      <c r="D521" s="26"/>
      <c r="E521" s="28"/>
      <c r="H521" s="28"/>
      <c r="K521" s="28"/>
      <c r="N521" s="28"/>
      <c r="Q521" s="28"/>
      <c r="T521" s="28"/>
      <c r="W521" s="28"/>
      <c r="Z521" s="28"/>
      <c r="AC521" s="28"/>
      <c r="AF521" s="28"/>
      <c r="AI521" s="28"/>
      <c r="AL521" s="28"/>
      <c r="AO521" s="28"/>
      <c r="AR521" s="28"/>
      <c r="AU521" s="28"/>
      <c r="AX521" s="28"/>
      <c r="BA521" s="28"/>
      <c r="BD521" s="28"/>
      <c r="BG521" s="28"/>
      <c r="BJ521" s="28"/>
      <c r="BM521" s="28"/>
      <c r="BP521" s="28"/>
      <c r="BS521" s="28"/>
      <c r="BV521" s="28"/>
      <c r="BY521" s="28"/>
      <c r="CB521" s="28"/>
      <c r="CE521" s="28"/>
      <c r="CH521" s="28"/>
      <c r="CK521" s="28"/>
      <c r="CN521" s="28"/>
      <c r="CQ521" s="28"/>
      <c r="CT521" s="28"/>
      <c r="CW521" s="28"/>
      <c r="CZ521" s="28"/>
      <c r="DC521" s="28"/>
      <c r="DF521" s="28"/>
      <c r="DI521" s="28"/>
      <c r="DL521" s="28"/>
      <c r="DO521" s="28"/>
      <c r="DR521" s="28"/>
      <c r="DU521" s="28"/>
      <c r="DX521" s="28"/>
      <c r="EA521" s="28"/>
      <c r="ED521" s="28"/>
      <c r="EG521" s="28"/>
      <c r="EJ521" s="28"/>
      <c r="EM521" s="28"/>
      <c r="EP521" s="28"/>
      <c r="ES521" s="28"/>
      <c r="EV521" s="28"/>
      <c r="EY521" s="28"/>
      <c r="FB521" s="28"/>
      <c r="FE521" s="28"/>
      <c r="FH521" s="28"/>
      <c r="FK521" s="28"/>
      <c r="FN521" s="28"/>
      <c r="FQ521" s="28"/>
      <c r="FT521" s="28"/>
      <c r="FW521" s="28"/>
      <c r="FZ521" s="28"/>
      <c r="GC521" s="28"/>
    </row>
    <row r="522" spans="1:185" s="25" customFormat="1" x14ac:dyDescent="0.3">
      <c r="A522" s="27"/>
      <c r="B522" s="28"/>
      <c r="C522" s="27"/>
      <c r="D522" s="26"/>
      <c r="E522" s="28"/>
      <c r="H522" s="28"/>
      <c r="K522" s="28"/>
      <c r="N522" s="28"/>
      <c r="Q522" s="28"/>
      <c r="T522" s="28"/>
      <c r="W522" s="28"/>
      <c r="Z522" s="28"/>
      <c r="AC522" s="28"/>
      <c r="AF522" s="28"/>
      <c r="AI522" s="28"/>
      <c r="AL522" s="28"/>
      <c r="AO522" s="28"/>
      <c r="AR522" s="28"/>
      <c r="AU522" s="28"/>
      <c r="AX522" s="28"/>
      <c r="BA522" s="28"/>
      <c r="BD522" s="28"/>
      <c r="BG522" s="28"/>
      <c r="BJ522" s="28"/>
      <c r="BM522" s="28"/>
      <c r="BP522" s="28"/>
      <c r="BS522" s="28"/>
      <c r="BV522" s="28"/>
      <c r="BY522" s="28"/>
      <c r="CB522" s="28"/>
      <c r="CE522" s="28"/>
      <c r="CH522" s="28"/>
      <c r="CK522" s="28"/>
      <c r="CN522" s="28"/>
      <c r="CQ522" s="28"/>
      <c r="CT522" s="28"/>
      <c r="CW522" s="28"/>
      <c r="CZ522" s="28"/>
      <c r="DC522" s="28"/>
      <c r="DF522" s="28"/>
      <c r="DI522" s="28"/>
      <c r="DL522" s="28"/>
      <c r="DO522" s="28"/>
      <c r="DR522" s="28"/>
      <c r="DU522" s="28"/>
      <c r="DX522" s="28"/>
      <c r="EA522" s="28"/>
      <c r="ED522" s="28"/>
      <c r="EG522" s="28"/>
      <c r="EJ522" s="28"/>
      <c r="EM522" s="28"/>
      <c r="EP522" s="28"/>
      <c r="ES522" s="28"/>
      <c r="EV522" s="28"/>
      <c r="EY522" s="28"/>
      <c r="FB522" s="28"/>
      <c r="FE522" s="28"/>
      <c r="FH522" s="28"/>
      <c r="FK522" s="28"/>
      <c r="FN522" s="28"/>
      <c r="FQ522" s="28"/>
      <c r="FT522" s="28"/>
      <c r="FW522" s="28"/>
      <c r="FZ522" s="28"/>
      <c r="GC522" s="28"/>
    </row>
    <row r="523" spans="1:185" s="25" customFormat="1" x14ac:dyDescent="0.3">
      <c r="A523" s="27"/>
      <c r="B523" s="28"/>
      <c r="C523" s="27"/>
      <c r="D523" s="26"/>
      <c r="E523" s="28"/>
      <c r="H523" s="28"/>
      <c r="K523" s="28"/>
      <c r="N523" s="28"/>
      <c r="Q523" s="28"/>
      <c r="T523" s="28"/>
      <c r="W523" s="28"/>
      <c r="Z523" s="28"/>
      <c r="AC523" s="28"/>
      <c r="AF523" s="28"/>
      <c r="AI523" s="28"/>
      <c r="AL523" s="28"/>
      <c r="AO523" s="28"/>
      <c r="AR523" s="28"/>
      <c r="AU523" s="28"/>
      <c r="AX523" s="28"/>
      <c r="BA523" s="28"/>
      <c r="BD523" s="28"/>
      <c r="BG523" s="28"/>
      <c r="BJ523" s="28"/>
      <c r="BM523" s="28"/>
      <c r="BP523" s="28"/>
      <c r="BS523" s="28"/>
      <c r="BV523" s="28"/>
      <c r="BY523" s="28"/>
      <c r="CB523" s="28"/>
      <c r="CE523" s="28"/>
      <c r="CH523" s="28"/>
      <c r="CK523" s="28"/>
      <c r="CN523" s="28"/>
      <c r="CQ523" s="28"/>
      <c r="CT523" s="28"/>
      <c r="CW523" s="28"/>
      <c r="CZ523" s="28"/>
      <c r="DC523" s="28"/>
      <c r="DF523" s="28"/>
      <c r="DI523" s="28"/>
      <c r="DL523" s="28"/>
      <c r="DO523" s="28"/>
      <c r="DR523" s="28"/>
      <c r="DU523" s="28"/>
      <c r="DX523" s="28"/>
      <c r="EA523" s="28"/>
      <c r="ED523" s="28"/>
      <c r="EG523" s="28"/>
      <c r="EJ523" s="28"/>
      <c r="EM523" s="28"/>
      <c r="EP523" s="28"/>
      <c r="ES523" s="28"/>
      <c r="EV523" s="28"/>
      <c r="EY523" s="28"/>
      <c r="FB523" s="28"/>
      <c r="FE523" s="28"/>
      <c r="FH523" s="28"/>
      <c r="FK523" s="28"/>
      <c r="FN523" s="28"/>
      <c r="FQ523" s="28"/>
      <c r="FT523" s="28"/>
      <c r="FW523" s="28"/>
      <c r="FZ523" s="28"/>
      <c r="GC523" s="28"/>
    </row>
    <row r="524" spans="1:185" s="25" customFormat="1" x14ac:dyDescent="0.3">
      <c r="A524" s="27"/>
      <c r="B524" s="28"/>
      <c r="C524" s="27"/>
      <c r="D524" s="26"/>
      <c r="E524" s="28"/>
      <c r="H524" s="28"/>
      <c r="K524" s="28"/>
      <c r="N524" s="28"/>
      <c r="Q524" s="28"/>
      <c r="T524" s="28"/>
      <c r="W524" s="28"/>
      <c r="Z524" s="28"/>
      <c r="AC524" s="28"/>
      <c r="AF524" s="28"/>
      <c r="AI524" s="28"/>
      <c r="AL524" s="28"/>
      <c r="AO524" s="28"/>
      <c r="AR524" s="28"/>
      <c r="AU524" s="28"/>
      <c r="AX524" s="28"/>
      <c r="BA524" s="28"/>
      <c r="BD524" s="28"/>
      <c r="BG524" s="28"/>
      <c r="BJ524" s="28"/>
      <c r="BM524" s="28"/>
      <c r="BP524" s="28"/>
      <c r="BS524" s="28"/>
      <c r="BV524" s="28"/>
      <c r="BY524" s="28"/>
      <c r="CB524" s="28"/>
      <c r="CE524" s="28"/>
      <c r="CH524" s="28"/>
      <c r="CK524" s="28"/>
      <c r="CN524" s="28"/>
      <c r="CQ524" s="28"/>
      <c r="CT524" s="28"/>
      <c r="CW524" s="28"/>
      <c r="CZ524" s="28"/>
      <c r="DC524" s="28"/>
      <c r="DF524" s="28"/>
      <c r="DI524" s="28"/>
      <c r="DL524" s="28"/>
      <c r="DO524" s="28"/>
      <c r="DR524" s="28"/>
      <c r="DU524" s="28"/>
      <c r="DX524" s="28"/>
      <c r="EA524" s="28"/>
      <c r="ED524" s="28"/>
      <c r="EG524" s="28"/>
      <c r="EJ524" s="28"/>
      <c r="EM524" s="28"/>
      <c r="EP524" s="28"/>
      <c r="ES524" s="28"/>
      <c r="EV524" s="28"/>
      <c r="EY524" s="28"/>
      <c r="FB524" s="28"/>
      <c r="FE524" s="28"/>
      <c r="FH524" s="28"/>
      <c r="FK524" s="28"/>
      <c r="FN524" s="28"/>
      <c r="FQ524" s="28"/>
      <c r="FT524" s="28"/>
      <c r="FW524" s="28"/>
      <c r="FZ524" s="28"/>
      <c r="GC524" s="28"/>
    </row>
    <row r="525" spans="1:185" s="25" customFormat="1" x14ac:dyDescent="0.3">
      <c r="A525" s="27"/>
      <c r="B525" s="28"/>
      <c r="C525" s="27"/>
      <c r="D525" s="26"/>
      <c r="E525" s="28"/>
      <c r="H525" s="28"/>
      <c r="K525" s="28"/>
      <c r="N525" s="28"/>
      <c r="Q525" s="28"/>
      <c r="T525" s="28"/>
      <c r="W525" s="28"/>
      <c r="Z525" s="28"/>
      <c r="AC525" s="28"/>
      <c r="AF525" s="28"/>
      <c r="AI525" s="28"/>
      <c r="AL525" s="28"/>
      <c r="AO525" s="28"/>
      <c r="AR525" s="28"/>
      <c r="AU525" s="28"/>
      <c r="AX525" s="28"/>
      <c r="BA525" s="28"/>
      <c r="BD525" s="28"/>
      <c r="BG525" s="28"/>
      <c r="BJ525" s="28"/>
      <c r="BM525" s="28"/>
      <c r="BP525" s="28"/>
      <c r="BS525" s="28"/>
      <c r="BV525" s="28"/>
      <c r="BY525" s="28"/>
      <c r="CB525" s="28"/>
      <c r="CE525" s="28"/>
      <c r="CH525" s="28"/>
      <c r="CK525" s="28"/>
      <c r="CN525" s="28"/>
      <c r="CQ525" s="28"/>
      <c r="CT525" s="28"/>
      <c r="CW525" s="28"/>
      <c r="CZ525" s="28"/>
      <c r="DC525" s="28"/>
      <c r="DF525" s="28"/>
      <c r="DI525" s="28"/>
      <c r="DL525" s="28"/>
      <c r="DO525" s="28"/>
      <c r="DR525" s="28"/>
      <c r="DU525" s="28"/>
      <c r="DX525" s="28"/>
      <c r="EA525" s="28"/>
      <c r="ED525" s="28"/>
      <c r="EG525" s="28"/>
      <c r="EJ525" s="28"/>
      <c r="EM525" s="28"/>
      <c r="EP525" s="28"/>
      <c r="ES525" s="28"/>
      <c r="EV525" s="28"/>
      <c r="EY525" s="28"/>
      <c r="FB525" s="28"/>
      <c r="FE525" s="28"/>
      <c r="FH525" s="28"/>
      <c r="FK525" s="28"/>
      <c r="FN525" s="28"/>
      <c r="FQ525" s="28"/>
      <c r="FT525" s="28"/>
      <c r="FW525" s="28"/>
      <c r="FZ525" s="28"/>
      <c r="GC525" s="28"/>
    </row>
    <row r="526" spans="1:185" s="25" customFormat="1" x14ac:dyDescent="0.3">
      <c r="A526" s="27"/>
      <c r="B526" s="28"/>
      <c r="C526" s="27"/>
      <c r="D526" s="26"/>
      <c r="E526" s="28"/>
      <c r="H526" s="28"/>
      <c r="K526" s="28"/>
      <c r="N526" s="28"/>
      <c r="Q526" s="28"/>
      <c r="T526" s="28"/>
      <c r="W526" s="28"/>
      <c r="Z526" s="28"/>
      <c r="AC526" s="28"/>
      <c r="AF526" s="28"/>
      <c r="AI526" s="28"/>
      <c r="AL526" s="28"/>
      <c r="AO526" s="28"/>
      <c r="AR526" s="28"/>
      <c r="AU526" s="28"/>
      <c r="AX526" s="28"/>
      <c r="BA526" s="28"/>
      <c r="BD526" s="28"/>
      <c r="BG526" s="28"/>
      <c r="BJ526" s="28"/>
      <c r="BM526" s="28"/>
      <c r="BP526" s="28"/>
      <c r="BS526" s="28"/>
      <c r="BV526" s="28"/>
      <c r="BY526" s="28"/>
      <c r="CB526" s="28"/>
      <c r="CE526" s="28"/>
      <c r="CH526" s="28"/>
      <c r="CK526" s="28"/>
      <c r="CN526" s="28"/>
      <c r="CQ526" s="28"/>
      <c r="CT526" s="28"/>
      <c r="CW526" s="28"/>
      <c r="CZ526" s="28"/>
      <c r="DC526" s="28"/>
      <c r="DF526" s="28"/>
      <c r="DI526" s="28"/>
      <c r="DL526" s="28"/>
      <c r="DO526" s="28"/>
      <c r="DR526" s="28"/>
      <c r="DU526" s="28"/>
      <c r="DX526" s="28"/>
      <c r="EA526" s="28"/>
      <c r="ED526" s="28"/>
      <c r="EG526" s="28"/>
      <c r="EJ526" s="28"/>
      <c r="EM526" s="28"/>
      <c r="EP526" s="28"/>
      <c r="ES526" s="28"/>
      <c r="EV526" s="28"/>
      <c r="EY526" s="28"/>
      <c r="FB526" s="28"/>
      <c r="FE526" s="28"/>
      <c r="FH526" s="28"/>
      <c r="FK526" s="28"/>
      <c r="FN526" s="28"/>
      <c r="FQ526" s="28"/>
      <c r="FT526" s="28"/>
      <c r="FW526" s="28"/>
      <c r="FZ526" s="28"/>
      <c r="GC526" s="28"/>
    </row>
    <row r="527" spans="1:185" s="25" customFormat="1" x14ac:dyDescent="0.3">
      <c r="A527" s="27"/>
      <c r="B527" s="28"/>
      <c r="C527" s="27"/>
      <c r="D527" s="26"/>
      <c r="E527" s="28"/>
      <c r="H527" s="28"/>
      <c r="K527" s="28"/>
      <c r="N527" s="28"/>
      <c r="Q527" s="28"/>
      <c r="T527" s="28"/>
      <c r="W527" s="28"/>
      <c r="Z527" s="28"/>
      <c r="AC527" s="28"/>
      <c r="AF527" s="28"/>
      <c r="AI527" s="28"/>
      <c r="AL527" s="28"/>
      <c r="AO527" s="28"/>
      <c r="AR527" s="28"/>
      <c r="AU527" s="28"/>
      <c r="AX527" s="28"/>
      <c r="BA527" s="28"/>
      <c r="BD527" s="28"/>
      <c r="BG527" s="28"/>
      <c r="BJ527" s="28"/>
      <c r="BM527" s="28"/>
      <c r="BP527" s="28"/>
      <c r="BS527" s="28"/>
      <c r="BV527" s="28"/>
      <c r="BY527" s="28"/>
      <c r="CB527" s="28"/>
      <c r="CE527" s="28"/>
      <c r="CH527" s="28"/>
      <c r="CK527" s="28"/>
      <c r="CN527" s="28"/>
      <c r="CQ527" s="28"/>
      <c r="CT527" s="28"/>
      <c r="CW527" s="28"/>
      <c r="CZ527" s="28"/>
      <c r="DC527" s="28"/>
      <c r="DF527" s="28"/>
      <c r="DI527" s="28"/>
      <c r="DL527" s="28"/>
      <c r="DO527" s="28"/>
      <c r="DR527" s="28"/>
      <c r="DU527" s="28"/>
      <c r="DX527" s="28"/>
      <c r="EA527" s="28"/>
      <c r="ED527" s="28"/>
      <c r="EG527" s="28"/>
      <c r="EJ527" s="28"/>
      <c r="EM527" s="28"/>
      <c r="EP527" s="28"/>
      <c r="ES527" s="28"/>
      <c r="EV527" s="28"/>
      <c r="EY527" s="28"/>
      <c r="FB527" s="28"/>
      <c r="FE527" s="28"/>
      <c r="FH527" s="28"/>
      <c r="FK527" s="28"/>
      <c r="FN527" s="28"/>
      <c r="FQ527" s="28"/>
      <c r="FT527" s="28"/>
      <c r="FW527" s="28"/>
      <c r="FZ527" s="28"/>
      <c r="GC527" s="28"/>
    </row>
    <row r="528" spans="1:185" s="25" customFormat="1" x14ac:dyDescent="0.3">
      <c r="A528" s="27"/>
      <c r="B528" s="28"/>
      <c r="C528" s="27"/>
      <c r="D528" s="26"/>
      <c r="E528" s="28"/>
      <c r="H528" s="28"/>
      <c r="K528" s="28"/>
      <c r="N528" s="28"/>
      <c r="Q528" s="28"/>
      <c r="T528" s="28"/>
      <c r="W528" s="28"/>
      <c r="Z528" s="28"/>
      <c r="AC528" s="28"/>
      <c r="AF528" s="28"/>
      <c r="AI528" s="28"/>
      <c r="AL528" s="28"/>
      <c r="AO528" s="28"/>
      <c r="AR528" s="28"/>
      <c r="AU528" s="28"/>
      <c r="AX528" s="28"/>
      <c r="BA528" s="28"/>
      <c r="BD528" s="28"/>
      <c r="BG528" s="28"/>
      <c r="BJ528" s="28"/>
      <c r="BM528" s="28"/>
      <c r="BP528" s="28"/>
      <c r="BS528" s="28"/>
      <c r="BV528" s="28"/>
      <c r="BY528" s="28"/>
      <c r="CB528" s="28"/>
      <c r="CE528" s="28"/>
      <c r="CH528" s="28"/>
      <c r="CK528" s="28"/>
      <c r="CN528" s="28"/>
      <c r="CQ528" s="28"/>
      <c r="CT528" s="28"/>
      <c r="CW528" s="28"/>
      <c r="CZ528" s="28"/>
      <c r="DC528" s="28"/>
      <c r="DF528" s="28"/>
      <c r="DI528" s="28"/>
      <c r="DL528" s="28"/>
      <c r="DO528" s="28"/>
      <c r="DR528" s="28"/>
      <c r="DU528" s="28"/>
      <c r="DX528" s="28"/>
      <c r="EA528" s="28"/>
      <c r="ED528" s="28"/>
      <c r="EG528" s="28"/>
      <c r="EJ528" s="28"/>
      <c r="EM528" s="28"/>
      <c r="EP528" s="28"/>
      <c r="ES528" s="28"/>
      <c r="EV528" s="28"/>
      <c r="EY528" s="28"/>
      <c r="FB528" s="28"/>
      <c r="FE528" s="28"/>
      <c r="FH528" s="28"/>
      <c r="FK528" s="28"/>
      <c r="FN528" s="28"/>
      <c r="FQ528" s="28"/>
      <c r="FT528" s="28"/>
      <c r="FW528" s="28"/>
      <c r="FZ528" s="28"/>
      <c r="GC528" s="28"/>
    </row>
    <row r="529" spans="1:185" s="25" customFormat="1" x14ac:dyDescent="0.3">
      <c r="A529" s="27"/>
      <c r="B529" s="28"/>
      <c r="C529" s="27"/>
      <c r="D529" s="26"/>
      <c r="E529" s="28"/>
      <c r="H529" s="28"/>
      <c r="K529" s="28"/>
      <c r="N529" s="28"/>
      <c r="Q529" s="28"/>
      <c r="T529" s="28"/>
      <c r="W529" s="28"/>
      <c r="Z529" s="28"/>
      <c r="AC529" s="28"/>
      <c r="AF529" s="28"/>
      <c r="AI529" s="28"/>
      <c r="AL529" s="28"/>
      <c r="AO529" s="28"/>
      <c r="AR529" s="28"/>
      <c r="AU529" s="28"/>
      <c r="AX529" s="28"/>
      <c r="BA529" s="28"/>
      <c r="BD529" s="28"/>
      <c r="BG529" s="28"/>
      <c r="BJ529" s="28"/>
      <c r="BM529" s="28"/>
      <c r="BP529" s="28"/>
      <c r="BS529" s="28"/>
      <c r="BV529" s="28"/>
      <c r="BY529" s="28"/>
      <c r="CB529" s="28"/>
      <c r="CE529" s="28"/>
      <c r="CH529" s="28"/>
      <c r="CK529" s="28"/>
      <c r="CN529" s="28"/>
      <c r="CQ529" s="28"/>
      <c r="CT529" s="28"/>
      <c r="CW529" s="28"/>
      <c r="CZ529" s="28"/>
      <c r="DC529" s="28"/>
      <c r="DF529" s="28"/>
      <c r="DI529" s="28"/>
      <c r="DL529" s="28"/>
      <c r="DO529" s="28"/>
      <c r="DR529" s="28"/>
      <c r="DU529" s="28"/>
      <c r="DX529" s="28"/>
      <c r="EA529" s="28"/>
      <c r="ED529" s="28"/>
      <c r="EG529" s="28"/>
      <c r="EJ529" s="28"/>
      <c r="EM529" s="28"/>
      <c r="EP529" s="28"/>
      <c r="ES529" s="28"/>
      <c r="EV529" s="28"/>
      <c r="EY529" s="28"/>
      <c r="FB529" s="28"/>
      <c r="FE529" s="28"/>
      <c r="FH529" s="28"/>
      <c r="FK529" s="28"/>
      <c r="FN529" s="28"/>
      <c r="FQ529" s="28"/>
      <c r="FT529" s="28"/>
      <c r="FW529" s="28"/>
      <c r="FZ529" s="28"/>
      <c r="GC529" s="28"/>
    </row>
    <row r="530" spans="1:185" s="25" customFormat="1" x14ac:dyDescent="0.3">
      <c r="A530" s="27"/>
      <c r="B530" s="28"/>
      <c r="C530" s="27"/>
      <c r="D530" s="26"/>
      <c r="E530" s="28"/>
      <c r="H530" s="28"/>
      <c r="K530" s="28"/>
      <c r="N530" s="28"/>
      <c r="Q530" s="28"/>
      <c r="T530" s="28"/>
      <c r="W530" s="28"/>
      <c r="Z530" s="28"/>
      <c r="AC530" s="28"/>
      <c r="AF530" s="28"/>
      <c r="AI530" s="28"/>
      <c r="AL530" s="28"/>
      <c r="AO530" s="28"/>
      <c r="AR530" s="28"/>
      <c r="AU530" s="28"/>
      <c r="AX530" s="28"/>
      <c r="BA530" s="28"/>
      <c r="BD530" s="28"/>
      <c r="BG530" s="28"/>
      <c r="BJ530" s="28"/>
      <c r="BM530" s="28"/>
      <c r="BP530" s="28"/>
      <c r="BS530" s="28"/>
      <c r="BV530" s="28"/>
      <c r="BY530" s="28"/>
      <c r="CB530" s="28"/>
      <c r="CE530" s="28"/>
      <c r="CH530" s="28"/>
      <c r="CK530" s="28"/>
      <c r="CN530" s="28"/>
      <c r="CQ530" s="28"/>
      <c r="CT530" s="28"/>
      <c r="CW530" s="28"/>
      <c r="CZ530" s="28"/>
      <c r="DC530" s="28"/>
      <c r="DF530" s="28"/>
      <c r="DI530" s="28"/>
      <c r="DL530" s="28"/>
      <c r="DO530" s="28"/>
      <c r="DR530" s="28"/>
      <c r="DU530" s="28"/>
      <c r="DX530" s="28"/>
      <c r="EA530" s="28"/>
      <c r="ED530" s="28"/>
      <c r="EG530" s="28"/>
      <c r="EJ530" s="28"/>
      <c r="EM530" s="28"/>
      <c r="EP530" s="28"/>
      <c r="ES530" s="28"/>
      <c r="EV530" s="28"/>
      <c r="EY530" s="28"/>
      <c r="FB530" s="28"/>
      <c r="FE530" s="28"/>
      <c r="FH530" s="28"/>
      <c r="FK530" s="28"/>
      <c r="FN530" s="28"/>
      <c r="FQ530" s="28"/>
      <c r="FT530" s="28"/>
      <c r="FW530" s="28"/>
      <c r="FZ530" s="28"/>
      <c r="GC530" s="28"/>
    </row>
    <row r="531" spans="1:185" s="25" customFormat="1" x14ac:dyDescent="0.3">
      <c r="A531" s="27"/>
      <c r="B531" s="28"/>
      <c r="C531" s="27"/>
      <c r="D531" s="26"/>
      <c r="E531" s="28"/>
      <c r="H531" s="28"/>
      <c r="K531" s="28"/>
      <c r="N531" s="28"/>
      <c r="Q531" s="28"/>
      <c r="T531" s="28"/>
      <c r="W531" s="28"/>
      <c r="Z531" s="28"/>
      <c r="AC531" s="28"/>
      <c r="AF531" s="28"/>
      <c r="AI531" s="28"/>
      <c r="AL531" s="28"/>
      <c r="AO531" s="28"/>
      <c r="AR531" s="28"/>
      <c r="AU531" s="28"/>
      <c r="AX531" s="28"/>
      <c r="BA531" s="28"/>
      <c r="BD531" s="28"/>
      <c r="BG531" s="28"/>
      <c r="BJ531" s="28"/>
      <c r="BM531" s="28"/>
      <c r="BP531" s="28"/>
      <c r="BS531" s="28"/>
      <c r="BV531" s="28"/>
      <c r="BY531" s="28"/>
      <c r="CB531" s="28"/>
      <c r="CE531" s="28"/>
      <c r="CH531" s="28"/>
      <c r="CK531" s="28"/>
      <c r="CN531" s="28"/>
      <c r="CQ531" s="28"/>
      <c r="CT531" s="28"/>
      <c r="CW531" s="28"/>
      <c r="CZ531" s="28"/>
      <c r="DC531" s="28"/>
      <c r="DF531" s="28"/>
      <c r="DI531" s="28"/>
      <c r="DL531" s="28"/>
      <c r="DO531" s="28"/>
      <c r="DR531" s="28"/>
      <c r="DU531" s="28"/>
      <c r="DX531" s="28"/>
      <c r="EA531" s="28"/>
      <c r="ED531" s="28"/>
      <c r="EG531" s="28"/>
      <c r="EJ531" s="28"/>
      <c r="EM531" s="28"/>
      <c r="EP531" s="28"/>
      <c r="ES531" s="28"/>
      <c r="EV531" s="28"/>
      <c r="EY531" s="28"/>
      <c r="FB531" s="28"/>
      <c r="FE531" s="28"/>
      <c r="FH531" s="28"/>
      <c r="FK531" s="28"/>
      <c r="FN531" s="28"/>
      <c r="FQ531" s="28"/>
      <c r="FT531" s="28"/>
      <c r="FW531" s="28"/>
      <c r="FZ531" s="28"/>
      <c r="GC531" s="28"/>
    </row>
    <row r="532" spans="1:185" s="25" customFormat="1" x14ac:dyDescent="0.3">
      <c r="A532" s="27"/>
      <c r="B532" s="28"/>
      <c r="C532" s="27"/>
      <c r="D532" s="26"/>
      <c r="E532" s="28"/>
      <c r="H532" s="28"/>
      <c r="K532" s="28"/>
      <c r="N532" s="28"/>
      <c r="Q532" s="28"/>
      <c r="T532" s="28"/>
      <c r="W532" s="28"/>
      <c r="Z532" s="28"/>
      <c r="AC532" s="28"/>
      <c r="AF532" s="28"/>
      <c r="AI532" s="28"/>
      <c r="AL532" s="28"/>
      <c r="AO532" s="28"/>
      <c r="AR532" s="28"/>
      <c r="AU532" s="28"/>
      <c r="AX532" s="28"/>
      <c r="BA532" s="28"/>
      <c r="BD532" s="28"/>
      <c r="BG532" s="28"/>
      <c r="BJ532" s="28"/>
      <c r="BM532" s="28"/>
      <c r="BP532" s="28"/>
      <c r="BS532" s="28"/>
      <c r="BV532" s="28"/>
      <c r="BY532" s="28"/>
      <c r="CB532" s="28"/>
      <c r="CE532" s="28"/>
      <c r="CH532" s="28"/>
      <c r="CK532" s="28"/>
      <c r="CN532" s="28"/>
      <c r="CQ532" s="28"/>
      <c r="CT532" s="28"/>
      <c r="CW532" s="28"/>
      <c r="CZ532" s="28"/>
      <c r="DC532" s="28"/>
      <c r="DF532" s="28"/>
      <c r="DI532" s="28"/>
      <c r="DL532" s="28"/>
      <c r="DO532" s="28"/>
      <c r="DR532" s="28"/>
      <c r="DU532" s="28"/>
      <c r="DX532" s="28"/>
      <c r="EA532" s="28"/>
      <c r="ED532" s="28"/>
      <c r="EG532" s="28"/>
      <c r="EJ532" s="28"/>
      <c r="EM532" s="28"/>
      <c r="EP532" s="28"/>
      <c r="ES532" s="28"/>
      <c r="EV532" s="28"/>
      <c r="EY532" s="28"/>
      <c r="FB532" s="28"/>
      <c r="FE532" s="28"/>
      <c r="FH532" s="28"/>
      <c r="FK532" s="28"/>
      <c r="FN532" s="28"/>
      <c r="FQ532" s="28"/>
      <c r="FT532" s="28"/>
      <c r="FW532" s="28"/>
      <c r="FZ532" s="28"/>
      <c r="GC532" s="28"/>
    </row>
    <row r="533" spans="1:185" s="25" customFormat="1" x14ac:dyDescent="0.3">
      <c r="A533" s="27"/>
      <c r="B533" s="28"/>
      <c r="C533" s="27"/>
      <c r="D533" s="26"/>
      <c r="E533" s="28"/>
      <c r="H533" s="28"/>
      <c r="K533" s="28"/>
      <c r="N533" s="28"/>
      <c r="Q533" s="28"/>
      <c r="T533" s="28"/>
      <c r="W533" s="28"/>
      <c r="Z533" s="28"/>
      <c r="AC533" s="28"/>
      <c r="AF533" s="28"/>
      <c r="AI533" s="28"/>
      <c r="AL533" s="28"/>
      <c r="AO533" s="28"/>
      <c r="AR533" s="28"/>
      <c r="AU533" s="28"/>
      <c r="AX533" s="28"/>
      <c r="BA533" s="28"/>
      <c r="BD533" s="28"/>
      <c r="BG533" s="28"/>
      <c r="BJ533" s="28"/>
      <c r="BM533" s="28"/>
      <c r="BP533" s="28"/>
      <c r="BS533" s="28"/>
      <c r="BV533" s="28"/>
      <c r="BY533" s="28"/>
      <c r="CB533" s="28"/>
      <c r="CE533" s="28"/>
      <c r="CH533" s="28"/>
      <c r="CK533" s="28"/>
      <c r="CN533" s="28"/>
      <c r="CQ533" s="28"/>
      <c r="CT533" s="28"/>
      <c r="CW533" s="28"/>
      <c r="CZ533" s="28"/>
      <c r="DC533" s="28"/>
      <c r="DF533" s="28"/>
      <c r="DI533" s="28"/>
      <c r="DL533" s="28"/>
      <c r="DO533" s="28"/>
      <c r="DR533" s="28"/>
      <c r="DU533" s="28"/>
      <c r="DX533" s="28"/>
      <c r="EA533" s="28"/>
      <c r="ED533" s="28"/>
      <c r="EG533" s="28"/>
      <c r="EJ533" s="28"/>
      <c r="EM533" s="28"/>
      <c r="EP533" s="28"/>
      <c r="ES533" s="28"/>
      <c r="EV533" s="28"/>
      <c r="EY533" s="28"/>
      <c r="FB533" s="28"/>
      <c r="FE533" s="28"/>
      <c r="FH533" s="28"/>
      <c r="FK533" s="28"/>
      <c r="FN533" s="28"/>
      <c r="FQ533" s="28"/>
      <c r="FT533" s="28"/>
      <c r="FW533" s="28"/>
      <c r="FZ533" s="28"/>
      <c r="GC533" s="28"/>
    </row>
    <row r="534" spans="1:185" s="25" customFormat="1" x14ac:dyDescent="0.3">
      <c r="A534" s="27"/>
      <c r="B534" s="28"/>
      <c r="C534" s="27"/>
      <c r="D534" s="26"/>
      <c r="E534" s="28"/>
      <c r="H534" s="28"/>
      <c r="K534" s="28"/>
      <c r="N534" s="28"/>
      <c r="Q534" s="28"/>
      <c r="T534" s="28"/>
      <c r="W534" s="28"/>
      <c r="Z534" s="28"/>
      <c r="AC534" s="28"/>
      <c r="AF534" s="28"/>
      <c r="AI534" s="28"/>
      <c r="AL534" s="28"/>
      <c r="AO534" s="28"/>
      <c r="AR534" s="28"/>
      <c r="AU534" s="28"/>
      <c r="AX534" s="28"/>
      <c r="BA534" s="28"/>
      <c r="BD534" s="28"/>
      <c r="BG534" s="28"/>
      <c r="BJ534" s="28"/>
      <c r="BM534" s="28"/>
      <c r="BP534" s="28"/>
      <c r="BS534" s="28"/>
      <c r="BV534" s="28"/>
      <c r="BY534" s="28"/>
      <c r="CB534" s="28"/>
      <c r="CE534" s="28"/>
      <c r="CH534" s="28"/>
      <c r="CK534" s="28"/>
      <c r="CN534" s="28"/>
      <c r="CQ534" s="28"/>
      <c r="CT534" s="28"/>
      <c r="CW534" s="28"/>
      <c r="CZ534" s="28"/>
      <c r="DC534" s="28"/>
      <c r="DF534" s="28"/>
      <c r="DI534" s="28"/>
      <c r="DL534" s="28"/>
      <c r="DO534" s="28"/>
      <c r="DR534" s="28"/>
      <c r="DU534" s="28"/>
      <c r="DX534" s="28"/>
      <c r="EA534" s="28"/>
      <c r="ED534" s="28"/>
      <c r="EG534" s="28"/>
      <c r="EJ534" s="28"/>
      <c r="EM534" s="28"/>
      <c r="EP534" s="28"/>
      <c r="ES534" s="28"/>
      <c r="EV534" s="28"/>
      <c r="EY534" s="28"/>
      <c r="FB534" s="28"/>
      <c r="FE534" s="28"/>
      <c r="FH534" s="28"/>
      <c r="FK534" s="28"/>
      <c r="FN534" s="28"/>
      <c r="FQ534" s="28"/>
      <c r="FT534" s="28"/>
      <c r="FW534" s="28"/>
      <c r="FZ534" s="28"/>
      <c r="GC534" s="28"/>
    </row>
    <row r="535" spans="1:185" s="25" customFormat="1" x14ac:dyDescent="0.3">
      <c r="A535" s="27"/>
      <c r="B535" s="28"/>
      <c r="C535" s="27"/>
      <c r="D535" s="26"/>
      <c r="E535" s="28"/>
      <c r="H535" s="28"/>
      <c r="K535" s="28"/>
      <c r="N535" s="28"/>
      <c r="Q535" s="28"/>
      <c r="T535" s="28"/>
      <c r="W535" s="28"/>
      <c r="Z535" s="28"/>
      <c r="AC535" s="28"/>
      <c r="AF535" s="28"/>
      <c r="AI535" s="28"/>
      <c r="AL535" s="28"/>
      <c r="AO535" s="28"/>
      <c r="AR535" s="28"/>
      <c r="AU535" s="28"/>
      <c r="AX535" s="28"/>
      <c r="BA535" s="28"/>
      <c r="BD535" s="28"/>
      <c r="BG535" s="28"/>
      <c r="BJ535" s="28"/>
      <c r="BM535" s="28"/>
      <c r="BP535" s="28"/>
      <c r="BS535" s="28"/>
      <c r="BV535" s="28"/>
      <c r="BY535" s="28"/>
      <c r="CB535" s="28"/>
      <c r="CE535" s="28"/>
      <c r="CH535" s="28"/>
      <c r="CK535" s="28"/>
      <c r="CN535" s="28"/>
      <c r="CQ535" s="28"/>
      <c r="CT535" s="28"/>
      <c r="CW535" s="28"/>
      <c r="CZ535" s="28"/>
      <c r="DC535" s="28"/>
      <c r="DF535" s="28"/>
      <c r="DI535" s="28"/>
      <c r="DL535" s="28"/>
      <c r="DO535" s="28"/>
      <c r="DR535" s="28"/>
      <c r="DU535" s="28"/>
      <c r="DX535" s="28"/>
      <c r="EA535" s="28"/>
      <c r="ED535" s="28"/>
      <c r="EG535" s="28"/>
      <c r="EJ535" s="28"/>
      <c r="EM535" s="28"/>
      <c r="EP535" s="28"/>
      <c r="ES535" s="28"/>
      <c r="EV535" s="28"/>
      <c r="EY535" s="28"/>
      <c r="FB535" s="28"/>
      <c r="FE535" s="28"/>
      <c r="FH535" s="28"/>
      <c r="FK535" s="28"/>
      <c r="FN535" s="28"/>
      <c r="FQ535" s="28"/>
      <c r="FT535" s="28"/>
      <c r="FW535" s="28"/>
      <c r="FZ535" s="28"/>
      <c r="GC535" s="28"/>
    </row>
    <row r="536" spans="1:185" s="25" customFormat="1" x14ac:dyDescent="0.3">
      <c r="A536" s="27"/>
      <c r="B536" s="28"/>
      <c r="C536" s="27"/>
      <c r="D536" s="26"/>
      <c r="E536" s="28"/>
      <c r="H536" s="28"/>
      <c r="K536" s="28"/>
      <c r="N536" s="28"/>
      <c r="Q536" s="28"/>
      <c r="T536" s="28"/>
      <c r="W536" s="28"/>
      <c r="Z536" s="28"/>
      <c r="AC536" s="28"/>
      <c r="AF536" s="28"/>
      <c r="AI536" s="28"/>
      <c r="AL536" s="28"/>
      <c r="AO536" s="28"/>
      <c r="AR536" s="28"/>
      <c r="AU536" s="28"/>
      <c r="AX536" s="28"/>
      <c r="BA536" s="28"/>
      <c r="BD536" s="28"/>
      <c r="BG536" s="28"/>
      <c r="BJ536" s="28"/>
      <c r="BM536" s="28"/>
      <c r="BP536" s="28"/>
      <c r="BS536" s="28"/>
      <c r="BV536" s="28"/>
      <c r="BY536" s="28"/>
      <c r="CB536" s="28"/>
      <c r="CE536" s="28"/>
      <c r="CH536" s="28"/>
      <c r="CK536" s="28"/>
      <c r="CN536" s="28"/>
      <c r="CQ536" s="28"/>
      <c r="CT536" s="28"/>
      <c r="CW536" s="28"/>
      <c r="CZ536" s="28"/>
      <c r="DC536" s="28"/>
      <c r="DF536" s="28"/>
      <c r="DI536" s="28"/>
      <c r="DL536" s="28"/>
      <c r="DO536" s="28"/>
      <c r="DR536" s="28"/>
      <c r="DU536" s="28"/>
      <c r="DX536" s="28"/>
      <c r="EA536" s="28"/>
      <c r="ED536" s="28"/>
      <c r="EG536" s="28"/>
      <c r="EJ536" s="28"/>
      <c r="EM536" s="28"/>
      <c r="EP536" s="28"/>
      <c r="ES536" s="28"/>
      <c r="EV536" s="28"/>
      <c r="EY536" s="28"/>
      <c r="FB536" s="28"/>
      <c r="FE536" s="28"/>
      <c r="FH536" s="28"/>
      <c r="FK536" s="28"/>
      <c r="FN536" s="28"/>
      <c r="FQ536" s="28"/>
      <c r="FT536" s="28"/>
      <c r="FW536" s="28"/>
      <c r="FZ536" s="28"/>
      <c r="GC536" s="28"/>
    </row>
    <row r="537" spans="1:185" s="25" customFormat="1" x14ac:dyDescent="0.3">
      <c r="A537" s="27"/>
      <c r="B537" s="28"/>
      <c r="C537" s="27"/>
      <c r="D537" s="26"/>
      <c r="E537" s="28"/>
      <c r="H537" s="28"/>
      <c r="K537" s="28"/>
      <c r="N537" s="28"/>
      <c r="Q537" s="28"/>
      <c r="T537" s="28"/>
      <c r="W537" s="28"/>
      <c r="Z537" s="28"/>
      <c r="AC537" s="28"/>
      <c r="AF537" s="28"/>
      <c r="AI537" s="28"/>
      <c r="AL537" s="28"/>
      <c r="AO537" s="28"/>
      <c r="AR537" s="28"/>
      <c r="AU537" s="28"/>
      <c r="AX537" s="28"/>
      <c r="BA537" s="28"/>
      <c r="BD537" s="28"/>
      <c r="BG537" s="28"/>
      <c r="BJ537" s="28"/>
      <c r="BM537" s="28"/>
      <c r="BP537" s="28"/>
      <c r="BS537" s="28"/>
      <c r="BV537" s="28"/>
      <c r="BY537" s="28"/>
      <c r="CB537" s="28"/>
      <c r="CE537" s="28"/>
      <c r="CH537" s="28"/>
      <c r="CK537" s="28"/>
      <c r="CN537" s="28"/>
      <c r="CQ537" s="28"/>
      <c r="CT537" s="28"/>
      <c r="CW537" s="28"/>
      <c r="CZ537" s="28"/>
      <c r="DC537" s="28"/>
      <c r="DF537" s="28"/>
      <c r="DI537" s="28"/>
      <c r="DL537" s="28"/>
      <c r="DO537" s="28"/>
      <c r="DR537" s="28"/>
      <c r="DU537" s="28"/>
      <c r="DX537" s="28"/>
      <c r="EA537" s="28"/>
      <c r="ED537" s="28"/>
      <c r="EG537" s="28"/>
      <c r="EJ537" s="28"/>
      <c r="EM537" s="28"/>
      <c r="EP537" s="28"/>
      <c r="ES537" s="28"/>
      <c r="EV537" s="28"/>
      <c r="EY537" s="28"/>
      <c r="FB537" s="28"/>
      <c r="FE537" s="28"/>
      <c r="FH537" s="28"/>
      <c r="FK537" s="28"/>
      <c r="FN537" s="28"/>
      <c r="FQ537" s="28"/>
      <c r="FT537" s="28"/>
      <c r="FW537" s="28"/>
      <c r="FZ537" s="28"/>
      <c r="GC537" s="28"/>
    </row>
    <row r="538" spans="1:185" s="25" customFormat="1" x14ac:dyDescent="0.3">
      <c r="A538" s="27"/>
      <c r="B538" s="28"/>
      <c r="C538" s="27"/>
      <c r="D538" s="26"/>
      <c r="E538" s="28"/>
      <c r="H538" s="28"/>
      <c r="K538" s="28"/>
      <c r="N538" s="28"/>
      <c r="Q538" s="28"/>
      <c r="T538" s="28"/>
      <c r="W538" s="28"/>
      <c r="Z538" s="28"/>
      <c r="AC538" s="28"/>
      <c r="AF538" s="28"/>
      <c r="AI538" s="28"/>
      <c r="AL538" s="28"/>
      <c r="AO538" s="28"/>
      <c r="AR538" s="28"/>
      <c r="AU538" s="28"/>
      <c r="AX538" s="28"/>
      <c r="BA538" s="28"/>
      <c r="BD538" s="28"/>
      <c r="BG538" s="28"/>
      <c r="BJ538" s="28"/>
      <c r="BM538" s="28"/>
      <c r="BP538" s="28"/>
      <c r="BS538" s="28"/>
      <c r="BV538" s="28"/>
      <c r="BY538" s="28"/>
      <c r="CB538" s="28"/>
      <c r="CE538" s="28"/>
      <c r="CH538" s="28"/>
      <c r="CK538" s="28"/>
      <c r="CN538" s="28"/>
      <c r="CQ538" s="28"/>
      <c r="CT538" s="28"/>
      <c r="CW538" s="28"/>
      <c r="CZ538" s="28"/>
      <c r="DC538" s="28"/>
      <c r="DF538" s="28"/>
      <c r="DI538" s="28"/>
      <c r="DL538" s="28"/>
      <c r="DO538" s="28"/>
      <c r="DR538" s="28"/>
      <c r="DU538" s="28"/>
      <c r="DX538" s="28"/>
      <c r="EA538" s="28"/>
      <c r="ED538" s="28"/>
      <c r="EG538" s="28"/>
      <c r="EJ538" s="28"/>
      <c r="EM538" s="28"/>
      <c r="EP538" s="28"/>
      <c r="ES538" s="28"/>
      <c r="EV538" s="28"/>
      <c r="EY538" s="28"/>
      <c r="FB538" s="28"/>
      <c r="FE538" s="28"/>
      <c r="FH538" s="28"/>
      <c r="FK538" s="28"/>
      <c r="FN538" s="28"/>
      <c r="FQ538" s="28"/>
      <c r="FT538" s="28"/>
      <c r="FW538" s="28"/>
      <c r="FZ538" s="28"/>
      <c r="GC538" s="28"/>
    </row>
    <row r="539" spans="1:185" s="25" customFormat="1" x14ac:dyDescent="0.3">
      <c r="A539" s="27"/>
      <c r="B539" s="28"/>
      <c r="C539" s="27"/>
      <c r="D539" s="26"/>
      <c r="E539" s="28"/>
      <c r="H539" s="28"/>
      <c r="K539" s="28"/>
      <c r="N539" s="28"/>
      <c r="Q539" s="28"/>
      <c r="T539" s="28"/>
      <c r="W539" s="28"/>
      <c r="Z539" s="28"/>
      <c r="AC539" s="28"/>
      <c r="AF539" s="28"/>
      <c r="AI539" s="28"/>
      <c r="AL539" s="28"/>
      <c r="AO539" s="28"/>
      <c r="AR539" s="28"/>
      <c r="AU539" s="28"/>
      <c r="AX539" s="28"/>
      <c r="BA539" s="28"/>
      <c r="BD539" s="28"/>
      <c r="BG539" s="28"/>
      <c r="BJ539" s="28"/>
      <c r="BM539" s="28"/>
      <c r="BP539" s="28"/>
      <c r="BS539" s="28"/>
      <c r="BV539" s="28"/>
      <c r="BY539" s="28"/>
      <c r="CB539" s="28"/>
      <c r="CE539" s="28"/>
      <c r="CH539" s="28"/>
      <c r="CK539" s="28"/>
      <c r="CN539" s="28"/>
      <c r="CQ539" s="28"/>
      <c r="CT539" s="28"/>
      <c r="CW539" s="28"/>
      <c r="CZ539" s="28"/>
      <c r="DC539" s="28"/>
      <c r="DF539" s="28"/>
      <c r="DI539" s="28"/>
      <c r="DL539" s="28"/>
      <c r="DO539" s="28"/>
      <c r="DR539" s="28"/>
      <c r="DU539" s="28"/>
      <c r="DX539" s="28"/>
      <c r="EA539" s="28"/>
      <c r="ED539" s="28"/>
      <c r="EG539" s="28"/>
      <c r="EJ539" s="28"/>
      <c r="EM539" s="28"/>
      <c r="EP539" s="28"/>
      <c r="ES539" s="28"/>
      <c r="EV539" s="28"/>
      <c r="EY539" s="28"/>
      <c r="FB539" s="28"/>
      <c r="FE539" s="28"/>
      <c r="FH539" s="28"/>
      <c r="FK539" s="28"/>
      <c r="FN539" s="28"/>
      <c r="FQ539" s="28"/>
      <c r="FT539" s="28"/>
      <c r="FW539" s="28"/>
      <c r="FZ539" s="28"/>
      <c r="GC539" s="28"/>
    </row>
    <row r="540" spans="1:185" s="25" customFormat="1" x14ac:dyDescent="0.3">
      <c r="A540" s="27"/>
      <c r="B540" s="28"/>
      <c r="C540" s="27"/>
      <c r="D540" s="26"/>
      <c r="E540" s="28"/>
      <c r="H540" s="28"/>
      <c r="K540" s="28"/>
      <c r="N540" s="28"/>
      <c r="Q540" s="28"/>
      <c r="T540" s="28"/>
      <c r="W540" s="28"/>
      <c r="Z540" s="28"/>
      <c r="AC540" s="28"/>
      <c r="AF540" s="28"/>
      <c r="AI540" s="28"/>
      <c r="AL540" s="28"/>
      <c r="AO540" s="28"/>
      <c r="AR540" s="28"/>
      <c r="AU540" s="28"/>
      <c r="AX540" s="28"/>
      <c r="BA540" s="28"/>
      <c r="BD540" s="28"/>
      <c r="BG540" s="28"/>
      <c r="BJ540" s="28"/>
      <c r="BM540" s="28"/>
      <c r="BP540" s="28"/>
      <c r="BS540" s="28"/>
      <c r="BV540" s="28"/>
      <c r="BY540" s="28"/>
      <c r="CB540" s="28"/>
      <c r="CE540" s="28"/>
      <c r="CH540" s="28"/>
      <c r="CK540" s="28"/>
      <c r="CN540" s="28"/>
      <c r="CQ540" s="28"/>
      <c r="CT540" s="28"/>
      <c r="CW540" s="28"/>
      <c r="CZ540" s="28"/>
      <c r="DC540" s="28"/>
      <c r="DF540" s="28"/>
      <c r="DI540" s="28"/>
      <c r="DL540" s="28"/>
      <c r="DO540" s="28"/>
      <c r="DR540" s="28"/>
      <c r="DU540" s="28"/>
      <c r="DX540" s="28"/>
      <c r="EA540" s="28"/>
      <c r="ED540" s="28"/>
      <c r="EG540" s="28"/>
      <c r="EJ540" s="28"/>
      <c r="EM540" s="28"/>
      <c r="EP540" s="28"/>
      <c r="ES540" s="28"/>
      <c r="EV540" s="28"/>
      <c r="EY540" s="28"/>
      <c r="FB540" s="28"/>
      <c r="FE540" s="28"/>
      <c r="FH540" s="28"/>
      <c r="FK540" s="28"/>
      <c r="FN540" s="28"/>
      <c r="FQ540" s="28"/>
      <c r="FT540" s="28"/>
      <c r="FW540" s="28"/>
      <c r="FZ540" s="28"/>
      <c r="GC540" s="28"/>
    </row>
    <row r="541" spans="1:185" s="25" customFormat="1" x14ac:dyDescent="0.3">
      <c r="A541" s="27"/>
      <c r="B541" s="28"/>
      <c r="C541" s="27"/>
      <c r="D541" s="26"/>
      <c r="E541" s="28"/>
      <c r="H541" s="28"/>
      <c r="K541" s="28"/>
      <c r="N541" s="28"/>
      <c r="Q541" s="28"/>
      <c r="T541" s="28"/>
      <c r="W541" s="28"/>
      <c r="Z541" s="28"/>
      <c r="AC541" s="28"/>
      <c r="AF541" s="28"/>
      <c r="AI541" s="28"/>
      <c r="AL541" s="28"/>
      <c r="AO541" s="28"/>
      <c r="AR541" s="28"/>
      <c r="AU541" s="28"/>
      <c r="AX541" s="28"/>
      <c r="BA541" s="28"/>
      <c r="BD541" s="28"/>
      <c r="BG541" s="28"/>
      <c r="BJ541" s="28"/>
      <c r="BM541" s="28"/>
      <c r="BP541" s="28"/>
      <c r="BS541" s="28"/>
      <c r="BV541" s="28"/>
      <c r="BY541" s="28"/>
      <c r="CB541" s="28"/>
      <c r="CE541" s="28"/>
      <c r="CH541" s="28"/>
      <c r="CK541" s="28"/>
      <c r="CN541" s="28"/>
      <c r="CQ541" s="28"/>
      <c r="CT541" s="28"/>
      <c r="CW541" s="28"/>
      <c r="CZ541" s="28"/>
      <c r="DC541" s="28"/>
      <c r="DF541" s="28"/>
      <c r="DI541" s="28"/>
      <c r="DL541" s="28"/>
      <c r="DO541" s="28"/>
      <c r="DR541" s="28"/>
      <c r="DU541" s="28"/>
      <c r="DX541" s="28"/>
      <c r="EA541" s="28"/>
      <c r="ED541" s="28"/>
      <c r="EG541" s="28"/>
      <c r="EJ541" s="28"/>
      <c r="EM541" s="28"/>
      <c r="EP541" s="28"/>
      <c r="ES541" s="28"/>
      <c r="EV541" s="28"/>
      <c r="EY541" s="28"/>
      <c r="FB541" s="28"/>
      <c r="FE541" s="28"/>
      <c r="FH541" s="28"/>
      <c r="FK541" s="28"/>
      <c r="FN541" s="28"/>
      <c r="FQ541" s="28"/>
      <c r="FT541" s="28"/>
      <c r="FW541" s="28"/>
      <c r="FZ541" s="28"/>
      <c r="GC541" s="28"/>
    </row>
    <row r="542" spans="1:185" s="25" customFormat="1" x14ac:dyDescent="0.3">
      <c r="A542" s="27"/>
      <c r="B542" s="28"/>
      <c r="C542" s="27"/>
      <c r="D542" s="26"/>
      <c r="E542" s="28"/>
      <c r="H542" s="28"/>
      <c r="K542" s="28"/>
      <c r="N542" s="28"/>
      <c r="Q542" s="28"/>
      <c r="T542" s="28"/>
      <c r="W542" s="28"/>
      <c r="Z542" s="28"/>
      <c r="AC542" s="28"/>
      <c r="AF542" s="28"/>
      <c r="AI542" s="28"/>
      <c r="AL542" s="28"/>
      <c r="AO542" s="28"/>
      <c r="AR542" s="28"/>
      <c r="AU542" s="28"/>
      <c r="AX542" s="28"/>
      <c r="BA542" s="28"/>
      <c r="BD542" s="28"/>
      <c r="BG542" s="28"/>
      <c r="BJ542" s="28"/>
      <c r="BM542" s="28"/>
      <c r="BP542" s="28"/>
      <c r="BS542" s="28"/>
      <c r="BV542" s="28"/>
      <c r="BY542" s="28"/>
      <c r="CB542" s="28"/>
      <c r="CE542" s="28"/>
      <c r="CH542" s="28"/>
      <c r="CK542" s="28"/>
      <c r="CN542" s="28"/>
      <c r="CQ542" s="28"/>
      <c r="CT542" s="28"/>
      <c r="CW542" s="28"/>
      <c r="CZ542" s="28"/>
      <c r="DC542" s="28"/>
      <c r="DF542" s="28"/>
      <c r="DI542" s="28"/>
      <c r="DL542" s="28"/>
      <c r="DO542" s="28"/>
      <c r="DR542" s="28"/>
      <c r="DU542" s="28"/>
      <c r="DX542" s="28"/>
      <c r="EA542" s="28"/>
      <c r="ED542" s="28"/>
      <c r="EG542" s="28"/>
      <c r="EJ542" s="28"/>
      <c r="EM542" s="28"/>
      <c r="EP542" s="28"/>
      <c r="ES542" s="28"/>
      <c r="EV542" s="28"/>
      <c r="EY542" s="28"/>
      <c r="FB542" s="28"/>
      <c r="FE542" s="28"/>
      <c r="FH542" s="28"/>
      <c r="FK542" s="28"/>
      <c r="FN542" s="28"/>
      <c r="FQ542" s="28"/>
      <c r="FT542" s="28"/>
      <c r="FW542" s="28"/>
      <c r="FZ542" s="28"/>
      <c r="GC542" s="28"/>
    </row>
    <row r="543" spans="1:185" s="25" customFormat="1" x14ac:dyDescent="0.3">
      <c r="A543" s="27"/>
      <c r="B543" s="28"/>
      <c r="C543" s="27"/>
      <c r="D543" s="26"/>
      <c r="E543" s="28"/>
      <c r="H543" s="28"/>
      <c r="K543" s="28"/>
      <c r="N543" s="28"/>
      <c r="Q543" s="28"/>
      <c r="T543" s="28"/>
      <c r="W543" s="28"/>
      <c r="Z543" s="28"/>
      <c r="AC543" s="28"/>
      <c r="AF543" s="28"/>
      <c r="AI543" s="28"/>
      <c r="AL543" s="28"/>
      <c r="AO543" s="28"/>
      <c r="AR543" s="28"/>
      <c r="AU543" s="28"/>
      <c r="AX543" s="28"/>
      <c r="BA543" s="28"/>
      <c r="BD543" s="28"/>
      <c r="BG543" s="28"/>
      <c r="BJ543" s="28"/>
      <c r="BM543" s="28"/>
      <c r="BP543" s="28"/>
      <c r="BS543" s="28"/>
      <c r="BV543" s="28"/>
      <c r="BY543" s="28"/>
      <c r="CB543" s="28"/>
      <c r="CE543" s="28"/>
      <c r="CH543" s="28"/>
      <c r="CK543" s="28"/>
      <c r="CN543" s="28"/>
      <c r="CQ543" s="28"/>
      <c r="CT543" s="28"/>
      <c r="CW543" s="28"/>
      <c r="CZ543" s="28"/>
      <c r="DC543" s="28"/>
      <c r="DF543" s="28"/>
      <c r="DI543" s="28"/>
      <c r="DL543" s="28"/>
      <c r="DO543" s="28"/>
      <c r="DR543" s="28"/>
      <c r="DU543" s="28"/>
      <c r="DX543" s="28"/>
      <c r="EA543" s="28"/>
      <c r="ED543" s="28"/>
      <c r="EG543" s="28"/>
      <c r="EJ543" s="28"/>
      <c r="EM543" s="28"/>
      <c r="EP543" s="28"/>
      <c r="ES543" s="28"/>
      <c r="EV543" s="28"/>
      <c r="EY543" s="28"/>
      <c r="FB543" s="28"/>
      <c r="FE543" s="28"/>
      <c r="FH543" s="28"/>
      <c r="FK543" s="28"/>
      <c r="FN543" s="28"/>
      <c r="FQ543" s="28"/>
      <c r="FT543" s="28"/>
      <c r="FW543" s="28"/>
      <c r="FZ543" s="28"/>
      <c r="GC543" s="28"/>
    </row>
    <row r="544" spans="1:185" s="25" customFormat="1" x14ac:dyDescent="0.3">
      <c r="A544" s="27"/>
      <c r="B544" s="28"/>
      <c r="C544" s="27"/>
      <c r="D544" s="26"/>
      <c r="E544" s="28"/>
      <c r="H544" s="28"/>
      <c r="K544" s="28"/>
      <c r="N544" s="28"/>
      <c r="Q544" s="28"/>
      <c r="T544" s="28"/>
      <c r="W544" s="28"/>
      <c r="Z544" s="28"/>
      <c r="AC544" s="28"/>
      <c r="AF544" s="28"/>
      <c r="AI544" s="28"/>
      <c r="AL544" s="28"/>
      <c r="AO544" s="28"/>
      <c r="AR544" s="28"/>
      <c r="AU544" s="28"/>
      <c r="AX544" s="28"/>
      <c r="BA544" s="28"/>
      <c r="BD544" s="28"/>
      <c r="BG544" s="28"/>
      <c r="BJ544" s="28"/>
      <c r="BM544" s="28"/>
      <c r="BP544" s="28"/>
      <c r="BS544" s="28"/>
      <c r="BV544" s="28"/>
      <c r="BY544" s="28"/>
      <c r="CB544" s="28"/>
      <c r="CE544" s="28"/>
      <c r="CH544" s="28"/>
      <c r="CK544" s="28"/>
      <c r="CN544" s="28"/>
      <c r="CQ544" s="28"/>
      <c r="CT544" s="28"/>
      <c r="CW544" s="28"/>
      <c r="CZ544" s="28"/>
      <c r="DC544" s="28"/>
      <c r="DF544" s="28"/>
      <c r="DI544" s="28"/>
      <c r="DL544" s="28"/>
      <c r="DO544" s="28"/>
      <c r="DR544" s="28"/>
      <c r="DU544" s="28"/>
      <c r="DX544" s="28"/>
      <c r="EA544" s="28"/>
      <c r="ED544" s="28"/>
      <c r="EG544" s="28"/>
      <c r="EJ544" s="28"/>
      <c r="EM544" s="28"/>
      <c r="EP544" s="28"/>
      <c r="ES544" s="28"/>
      <c r="EV544" s="28"/>
      <c r="EY544" s="28"/>
      <c r="FB544" s="28"/>
      <c r="FE544" s="28"/>
      <c r="FH544" s="28"/>
      <c r="FK544" s="28"/>
      <c r="FN544" s="28"/>
      <c r="FQ544" s="28"/>
      <c r="FT544" s="28"/>
      <c r="FW544" s="28"/>
      <c r="FZ544" s="28"/>
      <c r="GC544" s="28"/>
    </row>
    <row r="545" spans="1:185" s="25" customFormat="1" x14ac:dyDescent="0.3">
      <c r="A545" s="27"/>
      <c r="B545" s="28"/>
      <c r="C545" s="27"/>
      <c r="D545" s="26"/>
      <c r="E545" s="28"/>
      <c r="H545" s="28"/>
      <c r="K545" s="28"/>
      <c r="N545" s="28"/>
      <c r="Q545" s="28"/>
      <c r="T545" s="28"/>
      <c r="W545" s="28"/>
      <c r="Z545" s="28"/>
      <c r="AC545" s="28"/>
      <c r="AF545" s="28"/>
      <c r="AI545" s="28"/>
      <c r="AL545" s="28"/>
      <c r="AO545" s="28"/>
      <c r="AR545" s="28"/>
      <c r="AU545" s="28"/>
      <c r="AX545" s="28"/>
      <c r="BA545" s="28"/>
      <c r="BD545" s="28"/>
      <c r="BG545" s="28"/>
      <c r="BJ545" s="28"/>
      <c r="BM545" s="28"/>
      <c r="BP545" s="28"/>
      <c r="BS545" s="28"/>
      <c r="BV545" s="28"/>
      <c r="BY545" s="28"/>
      <c r="CB545" s="28"/>
      <c r="CE545" s="28"/>
      <c r="CH545" s="28"/>
      <c r="CK545" s="28"/>
      <c r="CN545" s="28"/>
      <c r="CQ545" s="28"/>
      <c r="CT545" s="28"/>
      <c r="CW545" s="28"/>
      <c r="CZ545" s="28"/>
      <c r="DC545" s="28"/>
      <c r="DF545" s="28"/>
      <c r="DI545" s="28"/>
      <c r="DL545" s="28"/>
      <c r="DO545" s="28"/>
      <c r="DR545" s="28"/>
      <c r="DU545" s="28"/>
      <c r="DX545" s="28"/>
      <c r="EA545" s="28"/>
      <c r="ED545" s="28"/>
      <c r="EG545" s="28"/>
      <c r="EJ545" s="28"/>
      <c r="EM545" s="28"/>
      <c r="EP545" s="28"/>
      <c r="ES545" s="28"/>
      <c r="EV545" s="28"/>
      <c r="EY545" s="28"/>
      <c r="FB545" s="28"/>
      <c r="FE545" s="28"/>
      <c r="FH545" s="28"/>
      <c r="FK545" s="28"/>
      <c r="FN545" s="28"/>
      <c r="FQ545" s="28"/>
      <c r="FT545" s="28"/>
      <c r="FW545" s="28"/>
      <c r="FZ545" s="28"/>
      <c r="GC545" s="28"/>
    </row>
    <row r="546" spans="1:185" s="25" customFormat="1" x14ac:dyDescent="0.3">
      <c r="A546" s="27"/>
      <c r="B546" s="28"/>
      <c r="C546" s="27"/>
      <c r="D546" s="26"/>
      <c r="E546" s="28"/>
      <c r="H546" s="28"/>
      <c r="K546" s="28"/>
      <c r="N546" s="28"/>
      <c r="Q546" s="28"/>
      <c r="T546" s="28"/>
      <c r="W546" s="28"/>
      <c r="Z546" s="28"/>
      <c r="AC546" s="28"/>
      <c r="AF546" s="28"/>
      <c r="AI546" s="28"/>
      <c r="AL546" s="28"/>
      <c r="AO546" s="28"/>
      <c r="AR546" s="28"/>
      <c r="AU546" s="28"/>
      <c r="AX546" s="28"/>
      <c r="BA546" s="28"/>
      <c r="BD546" s="28"/>
      <c r="BG546" s="28"/>
      <c r="BJ546" s="28"/>
      <c r="BM546" s="28"/>
      <c r="BP546" s="28"/>
      <c r="BS546" s="28"/>
      <c r="BV546" s="28"/>
      <c r="BY546" s="28"/>
      <c r="CB546" s="28"/>
      <c r="CE546" s="28"/>
      <c r="CH546" s="28"/>
      <c r="CK546" s="28"/>
      <c r="CN546" s="28"/>
      <c r="CQ546" s="28"/>
      <c r="CT546" s="28"/>
      <c r="CW546" s="28"/>
      <c r="CZ546" s="28"/>
      <c r="DC546" s="28"/>
      <c r="DF546" s="28"/>
      <c r="DI546" s="28"/>
      <c r="DL546" s="28"/>
      <c r="DO546" s="28"/>
      <c r="DR546" s="28"/>
      <c r="DU546" s="28"/>
      <c r="DX546" s="28"/>
      <c r="EA546" s="28"/>
      <c r="ED546" s="28"/>
      <c r="EG546" s="28"/>
      <c r="EJ546" s="28"/>
      <c r="EM546" s="28"/>
      <c r="EP546" s="28"/>
      <c r="ES546" s="28"/>
      <c r="EV546" s="28"/>
      <c r="EY546" s="28"/>
      <c r="FB546" s="28"/>
      <c r="FE546" s="28"/>
      <c r="FH546" s="28"/>
      <c r="FK546" s="28"/>
      <c r="FN546" s="28"/>
      <c r="FQ546" s="28"/>
      <c r="FT546" s="28"/>
      <c r="FW546" s="28"/>
      <c r="FZ546" s="28"/>
      <c r="GC546" s="28"/>
    </row>
    <row r="547" spans="1:185" s="25" customFormat="1" x14ac:dyDescent="0.3">
      <c r="A547" s="27"/>
      <c r="B547" s="28"/>
      <c r="C547" s="27"/>
      <c r="D547" s="26"/>
      <c r="E547" s="28"/>
      <c r="H547" s="28"/>
      <c r="K547" s="28"/>
      <c r="N547" s="28"/>
      <c r="Q547" s="28"/>
      <c r="T547" s="28"/>
      <c r="W547" s="28"/>
      <c r="Z547" s="28"/>
      <c r="AC547" s="28"/>
      <c r="AF547" s="28"/>
      <c r="AI547" s="28"/>
      <c r="AL547" s="28"/>
      <c r="AO547" s="28"/>
      <c r="AR547" s="28"/>
      <c r="AU547" s="28"/>
      <c r="AX547" s="28"/>
      <c r="BA547" s="28"/>
      <c r="BD547" s="28"/>
      <c r="BG547" s="28"/>
      <c r="BJ547" s="28"/>
      <c r="BM547" s="28"/>
      <c r="BP547" s="28"/>
      <c r="BS547" s="28"/>
      <c r="BV547" s="28"/>
      <c r="BY547" s="28"/>
      <c r="CB547" s="28"/>
      <c r="CE547" s="28"/>
      <c r="CH547" s="28"/>
      <c r="CK547" s="28"/>
      <c r="CN547" s="28"/>
      <c r="CQ547" s="28"/>
      <c r="CT547" s="28"/>
      <c r="CW547" s="28"/>
      <c r="CZ547" s="28"/>
      <c r="DC547" s="28"/>
      <c r="DF547" s="28"/>
      <c r="DI547" s="28"/>
      <c r="DL547" s="28"/>
      <c r="DO547" s="28"/>
      <c r="DR547" s="28"/>
      <c r="DU547" s="28"/>
      <c r="DX547" s="28"/>
      <c r="EA547" s="28"/>
      <c r="ED547" s="28"/>
      <c r="EG547" s="28"/>
      <c r="EJ547" s="28"/>
      <c r="EM547" s="28"/>
      <c r="EP547" s="28"/>
      <c r="ES547" s="28"/>
      <c r="EV547" s="28"/>
      <c r="EY547" s="28"/>
      <c r="FB547" s="28"/>
      <c r="FE547" s="28"/>
      <c r="FH547" s="28"/>
      <c r="FK547" s="28"/>
      <c r="FN547" s="28"/>
      <c r="FQ547" s="28"/>
      <c r="FT547" s="28"/>
      <c r="FW547" s="28"/>
      <c r="FZ547" s="28"/>
      <c r="GC547" s="28"/>
    </row>
    <row r="548" spans="1:185" s="25" customFormat="1" x14ac:dyDescent="0.3">
      <c r="A548" s="27"/>
      <c r="B548" s="28"/>
      <c r="C548" s="27"/>
      <c r="D548" s="26"/>
      <c r="E548" s="28"/>
      <c r="H548" s="28"/>
      <c r="K548" s="28"/>
      <c r="N548" s="28"/>
      <c r="Q548" s="28"/>
      <c r="T548" s="28"/>
      <c r="W548" s="28"/>
      <c r="Z548" s="28"/>
      <c r="AC548" s="28"/>
      <c r="AF548" s="28"/>
      <c r="AI548" s="28"/>
      <c r="AL548" s="28"/>
      <c r="AO548" s="28"/>
      <c r="AR548" s="28"/>
      <c r="AU548" s="28"/>
      <c r="AX548" s="28"/>
      <c r="BA548" s="28"/>
      <c r="BD548" s="28"/>
      <c r="BG548" s="28"/>
      <c r="BJ548" s="28"/>
      <c r="BM548" s="28"/>
      <c r="BP548" s="28"/>
      <c r="BS548" s="28"/>
      <c r="BV548" s="28"/>
      <c r="BY548" s="28"/>
      <c r="CB548" s="28"/>
      <c r="CE548" s="28"/>
      <c r="CH548" s="28"/>
      <c r="CK548" s="28"/>
      <c r="CN548" s="28"/>
      <c r="CQ548" s="28"/>
      <c r="CT548" s="28"/>
      <c r="CW548" s="28"/>
      <c r="CZ548" s="28"/>
      <c r="DC548" s="28"/>
      <c r="DF548" s="28"/>
      <c r="DI548" s="28"/>
      <c r="DL548" s="28"/>
      <c r="DO548" s="28"/>
      <c r="DR548" s="28"/>
      <c r="DU548" s="28"/>
      <c r="DX548" s="28"/>
      <c r="EA548" s="28"/>
      <c r="ED548" s="28"/>
      <c r="EG548" s="28"/>
      <c r="EJ548" s="28"/>
      <c r="EM548" s="28"/>
      <c r="EP548" s="28"/>
      <c r="ES548" s="28"/>
      <c r="EV548" s="28"/>
      <c r="EY548" s="28"/>
      <c r="FB548" s="28"/>
      <c r="FE548" s="28"/>
      <c r="FH548" s="28"/>
      <c r="FK548" s="28"/>
      <c r="FN548" s="28"/>
      <c r="FQ548" s="28"/>
      <c r="FT548" s="28"/>
      <c r="FW548" s="28"/>
      <c r="FZ548" s="28"/>
      <c r="GC548" s="28"/>
    </row>
    <row r="549" spans="1:185" s="25" customFormat="1" x14ac:dyDescent="0.3">
      <c r="A549" s="27"/>
      <c r="B549" s="28"/>
      <c r="C549" s="27"/>
      <c r="D549" s="26"/>
      <c r="E549" s="28"/>
      <c r="H549" s="28"/>
      <c r="K549" s="28"/>
      <c r="N549" s="28"/>
      <c r="Q549" s="28"/>
      <c r="T549" s="28"/>
      <c r="W549" s="28"/>
      <c r="Z549" s="28"/>
      <c r="AC549" s="28"/>
      <c r="AF549" s="28"/>
      <c r="AI549" s="28"/>
      <c r="AL549" s="28"/>
      <c r="AO549" s="28"/>
      <c r="AR549" s="28"/>
      <c r="AU549" s="28"/>
      <c r="AX549" s="28"/>
      <c r="BA549" s="28"/>
      <c r="BD549" s="28"/>
      <c r="BG549" s="28"/>
      <c r="BJ549" s="28"/>
      <c r="BM549" s="28"/>
      <c r="BP549" s="28"/>
      <c r="BS549" s="28"/>
      <c r="BV549" s="28"/>
      <c r="BY549" s="28"/>
      <c r="CB549" s="28"/>
      <c r="CE549" s="28"/>
      <c r="CH549" s="28"/>
      <c r="CK549" s="28"/>
      <c r="CN549" s="28"/>
      <c r="CQ549" s="28"/>
      <c r="CT549" s="28"/>
      <c r="CW549" s="28"/>
      <c r="CZ549" s="28"/>
      <c r="DC549" s="28"/>
      <c r="DF549" s="28"/>
      <c r="DI549" s="28"/>
      <c r="DL549" s="28"/>
      <c r="DO549" s="28"/>
      <c r="DR549" s="28"/>
      <c r="DU549" s="28"/>
      <c r="DX549" s="28"/>
      <c r="EA549" s="28"/>
      <c r="ED549" s="28"/>
      <c r="EG549" s="28"/>
      <c r="EJ549" s="28"/>
      <c r="EM549" s="28"/>
      <c r="EP549" s="28"/>
      <c r="ES549" s="28"/>
      <c r="EV549" s="28"/>
      <c r="EY549" s="28"/>
      <c r="FB549" s="28"/>
      <c r="FE549" s="28"/>
      <c r="FH549" s="28"/>
      <c r="FK549" s="28"/>
      <c r="FN549" s="28"/>
      <c r="FQ549" s="28"/>
      <c r="FT549" s="28"/>
      <c r="FW549" s="28"/>
      <c r="FZ549" s="28"/>
      <c r="GC549" s="28"/>
    </row>
    <row r="550" spans="1:185" s="25" customFormat="1" x14ac:dyDescent="0.3">
      <c r="A550" s="27"/>
      <c r="B550" s="28"/>
      <c r="C550" s="27"/>
      <c r="D550" s="26"/>
      <c r="E550" s="28"/>
      <c r="H550" s="28"/>
      <c r="K550" s="28"/>
      <c r="N550" s="28"/>
      <c r="Q550" s="28"/>
      <c r="T550" s="28"/>
      <c r="W550" s="28"/>
      <c r="Z550" s="28"/>
      <c r="AC550" s="28"/>
      <c r="AF550" s="28"/>
      <c r="AI550" s="28"/>
      <c r="AL550" s="28"/>
      <c r="AO550" s="28"/>
      <c r="AR550" s="28"/>
      <c r="AU550" s="28"/>
      <c r="AX550" s="28"/>
      <c r="BA550" s="28"/>
      <c r="BD550" s="28"/>
      <c r="BG550" s="28"/>
      <c r="BJ550" s="28"/>
      <c r="BM550" s="28"/>
      <c r="BP550" s="28"/>
      <c r="BS550" s="28"/>
      <c r="BV550" s="28"/>
      <c r="BY550" s="28"/>
      <c r="CB550" s="28"/>
      <c r="CE550" s="28"/>
      <c r="CH550" s="28"/>
      <c r="CK550" s="28"/>
      <c r="CN550" s="28"/>
      <c r="CQ550" s="28"/>
      <c r="CT550" s="28"/>
      <c r="CW550" s="28"/>
      <c r="CZ550" s="28"/>
      <c r="DC550" s="28"/>
      <c r="DF550" s="28"/>
      <c r="DI550" s="28"/>
      <c r="DL550" s="28"/>
      <c r="DO550" s="28"/>
      <c r="DR550" s="28"/>
      <c r="DU550" s="28"/>
      <c r="DX550" s="28"/>
      <c r="EA550" s="28"/>
      <c r="ED550" s="28"/>
      <c r="EG550" s="28"/>
      <c r="EJ550" s="28"/>
      <c r="EM550" s="28"/>
      <c r="EP550" s="28"/>
      <c r="ES550" s="28"/>
      <c r="EV550" s="28"/>
      <c r="EY550" s="28"/>
      <c r="FB550" s="28"/>
      <c r="FE550" s="28"/>
      <c r="FH550" s="28"/>
      <c r="FK550" s="28"/>
      <c r="FN550" s="28"/>
      <c r="FQ550" s="28"/>
      <c r="FT550" s="28"/>
      <c r="FW550" s="28"/>
      <c r="FZ550" s="28"/>
      <c r="GC550" s="28"/>
    </row>
    <row r="551" spans="1:185" s="25" customFormat="1" x14ac:dyDescent="0.3">
      <c r="A551" s="27"/>
      <c r="B551" s="28"/>
      <c r="C551" s="27"/>
      <c r="D551" s="26"/>
      <c r="E551" s="28"/>
      <c r="H551" s="28"/>
      <c r="K551" s="28"/>
      <c r="N551" s="28"/>
      <c r="Q551" s="28"/>
      <c r="T551" s="28"/>
      <c r="W551" s="28"/>
      <c r="Z551" s="28"/>
      <c r="AC551" s="28"/>
      <c r="AF551" s="28"/>
      <c r="AI551" s="28"/>
      <c r="AL551" s="28"/>
      <c r="AO551" s="28"/>
      <c r="AR551" s="28"/>
      <c r="AU551" s="28"/>
      <c r="AX551" s="28"/>
      <c r="BA551" s="28"/>
      <c r="BD551" s="28"/>
      <c r="BG551" s="28"/>
      <c r="BJ551" s="28"/>
      <c r="BM551" s="28"/>
      <c r="BP551" s="28"/>
      <c r="BS551" s="28"/>
      <c r="BV551" s="28"/>
      <c r="BY551" s="28"/>
      <c r="CB551" s="28"/>
      <c r="CE551" s="28"/>
      <c r="CH551" s="28"/>
      <c r="CK551" s="28"/>
      <c r="CN551" s="28"/>
      <c r="CQ551" s="28"/>
      <c r="CT551" s="28"/>
      <c r="CW551" s="28"/>
      <c r="CZ551" s="28"/>
      <c r="DC551" s="28"/>
      <c r="DF551" s="28"/>
      <c r="DI551" s="28"/>
      <c r="DL551" s="28"/>
      <c r="DO551" s="28"/>
      <c r="DR551" s="28"/>
      <c r="DU551" s="28"/>
      <c r="DX551" s="28"/>
      <c r="EA551" s="28"/>
      <c r="ED551" s="28"/>
      <c r="EG551" s="28"/>
      <c r="EJ551" s="28"/>
      <c r="EM551" s="28"/>
      <c r="EP551" s="28"/>
      <c r="ES551" s="28"/>
      <c r="EV551" s="28"/>
      <c r="EY551" s="28"/>
      <c r="FB551" s="28"/>
      <c r="FE551" s="28"/>
      <c r="FH551" s="28"/>
      <c r="FK551" s="28"/>
      <c r="FN551" s="28"/>
      <c r="FQ551" s="28"/>
      <c r="FT551" s="28"/>
      <c r="FW551" s="28"/>
      <c r="FZ551" s="28"/>
      <c r="GC551" s="28"/>
    </row>
    <row r="552" spans="1:185" s="25" customFormat="1" x14ac:dyDescent="0.3">
      <c r="A552" s="27"/>
      <c r="B552" s="28"/>
      <c r="C552" s="27"/>
      <c r="D552" s="26"/>
      <c r="E552" s="28"/>
      <c r="H552" s="28"/>
      <c r="K552" s="28"/>
      <c r="N552" s="28"/>
      <c r="Q552" s="28"/>
      <c r="T552" s="28"/>
      <c r="W552" s="28"/>
      <c r="Z552" s="28"/>
      <c r="AC552" s="28"/>
      <c r="AF552" s="28"/>
      <c r="AI552" s="28"/>
      <c r="AL552" s="28"/>
      <c r="AO552" s="28"/>
      <c r="AR552" s="28"/>
      <c r="AU552" s="28"/>
      <c r="AX552" s="28"/>
      <c r="BA552" s="28"/>
      <c r="BD552" s="28"/>
      <c r="BG552" s="28"/>
      <c r="BJ552" s="28"/>
      <c r="BM552" s="28"/>
      <c r="BP552" s="28"/>
      <c r="BS552" s="28"/>
      <c r="BV552" s="28"/>
      <c r="BY552" s="28"/>
      <c r="CB552" s="28"/>
      <c r="CE552" s="28"/>
      <c r="CH552" s="28"/>
      <c r="CK552" s="28"/>
      <c r="CN552" s="28"/>
      <c r="CQ552" s="28"/>
      <c r="CT552" s="28"/>
      <c r="CW552" s="28"/>
      <c r="CZ552" s="28"/>
      <c r="DC552" s="28"/>
      <c r="DF552" s="28"/>
      <c r="DI552" s="28"/>
      <c r="DL552" s="28"/>
      <c r="DO552" s="28"/>
      <c r="DR552" s="28"/>
      <c r="DU552" s="28"/>
      <c r="DX552" s="28"/>
      <c r="EA552" s="28"/>
      <c r="ED552" s="28"/>
      <c r="EG552" s="28"/>
      <c r="EJ552" s="28"/>
      <c r="EM552" s="28"/>
      <c r="EP552" s="28"/>
      <c r="ES552" s="28"/>
      <c r="EV552" s="28"/>
      <c r="EY552" s="28"/>
      <c r="FB552" s="28"/>
      <c r="FE552" s="28"/>
      <c r="FH552" s="28"/>
      <c r="FK552" s="28"/>
      <c r="FN552" s="28"/>
      <c r="FQ552" s="28"/>
      <c r="FT552" s="28"/>
      <c r="FW552" s="28"/>
      <c r="FZ552" s="28"/>
      <c r="GC552" s="28"/>
    </row>
    <row r="553" spans="1:185" s="25" customFormat="1" x14ac:dyDescent="0.3">
      <c r="A553" s="27"/>
      <c r="B553" s="28"/>
      <c r="C553" s="27"/>
      <c r="D553" s="26"/>
      <c r="E553" s="28"/>
      <c r="H553" s="28"/>
      <c r="K553" s="28"/>
      <c r="N553" s="28"/>
      <c r="Q553" s="28"/>
      <c r="T553" s="28"/>
      <c r="W553" s="28"/>
      <c r="Z553" s="28"/>
      <c r="AC553" s="28"/>
      <c r="AF553" s="28"/>
      <c r="AI553" s="28"/>
      <c r="AL553" s="28"/>
      <c r="AO553" s="28"/>
      <c r="AR553" s="28"/>
      <c r="AU553" s="28"/>
      <c r="AX553" s="28"/>
      <c r="BA553" s="28"/>
      <c r="BD553" s="28"/>
      <c r="BG553" s="28"/>
      <c r="BJ553" s="28"/>
      <c r="BM553" s="28"/>
      <c r="BP553" s="28"/>
      <c r="BS553" s="28"/>
      <c r="BV553" s="28"/>
      <c r="BY553" s="28"/>
      <c r="CB553" s="28"/>
      <c r="CE553" s="28"/>
      <c r="CH553" s="28"/>
      <c r="CK553" s="28"/>
      <c r="CN553" s="28"/>
      <c r="CQ553" s="28"/>
      <c r="CT553" s="28"/>
      <c r="CW553" s="28"/>
      <c r="CZ553" s="28"/>
      <c r="DC553" s="28"/>
      <c r="DF553" s="28"/>
      <c r="DI553" s="28"/>
      <c r="DL553" s="28"/>
      <c r="DO553" s="28"/>
      <c r="DR553" s="28"/>
      <c r="DU553" s="28"/>
      <c r="DX553" s="28"/>
      <c r="EA553" s="28"/>
      <c r="ED553" s="28"/>
      <c r="EG553" s="28"/>
      <c r="EJ553" s="28"/>
      <c r="EM553" s="28"/>
      <c r="EP553" s="28"/>
      <c r="ES553" s="28"/>
      <c r="EV553" s="28"/>
      <c r="EY553" s="28"/>
      <c r="FB553" s="28"/>
      <c r="FE553" s="28"/>
      <c r="FH553" s="28"/>
      <c r="FK553" s="28"/>
      <c r="FN553" s="28"/>
      <c r="FQ553" s="28"/>
      <c r="FT553" s="28"/>
      <c r="FW553" s="28"/>
      <c r="FZ553" s="28"/>
      <c r="GC553" s="28"/>
    </row>
    <row r="554" spans="1:185" s="25" customFormat="1" x14ac:dyDescent="0.3">
      <c r="A554" s="27"/>
      <c r="B554" s="28"/>
      <c r="C554" s="27"/>
      <c r="D554" s="26"/>
      <c r="E554" s="28"/>
      <c r="H554" s="28"/>
      <c r="K554" s="28"/>
      <c r="N554" s="28"/>
      <c r="Q554" s="28"/>
      <c r="T554" s="28"/>
      <c r="W554" s="28"/>
      <c r="Z554" s="28"/>
      <c r="AC554" s="28"/>
      <c r="AF554" s="28"/>
      <c r="AI554" s="28"/>
      <c r="AL554" s="28"/>
      <c r="AO554" s="28"/>
      <c r="AR554" s="28"/>
      <c r="AU554" s="28"/>
      <c r="AX554" s="28"/>
      <c r="BA554" s="28"/>
      <c r="BD554" s="28"/>
      <c r="BG554" s="28"/>
      <c r="BJ554" s="28"/>
      <c r="BM554" s="28"/>
      <c r="BP554" s="28"/>
      <c r="BS554" s="28"/>
      <c r="BV554" s="28"/>
      <c r="BY554" s="28"/>
      <c r="CB554" s="28"/>
      <c r="CE554" s="28"/>
      <c r="CH554" s="28"/>
      <c r="CK554" s="28"/>
      <c r="CN554" s="28"/>
      <c r="CQ554" s="28"/>
      <c r="CT554" s="28"/>
      <c r="CW554" s="28"/>
      <c r="CZ554" s="28"/>
      <c r="DC554" s="28"/>
      <c r="DF554" s="28"/>
      <c r="DI554" s="28"/>
      <c r="DL554" s="28"/>
      <c r="DO554" s="28"/>
      <c r="DR554" s="28"/>
      <c r="DU554" s="28"/>
      <c r="DX554" s="28"/>
      <c r="EA554" s="28"/>
      <c r="ED554" s="28"/>
      <c r="EG554" s="28"/>
      <c r="EJ554" s="28"/>
      <c r="EM554" s="28"/>
      <c r="EP554" s="28"/>
      <c r="ES554" s="28"/>
      <c r="EV554" s="28"/>
      <c r="EY554" s="28"/>
      <c r="FB554" s="28"/>
      <c r="FE554" s="28"/>
      <c r="FH554" s="28"/>
      <c r="FK554" s="28"/>
      <c r="FN554" s="28"/>
      <c r="FQ554" s="28"/>
      <c r="FT554" s="28"/>
      <c r="FW554" s="28"/>
      <c r="FZ554" s="28"/>
      <c r="GC554" s="28"/>
    </row>
    <row r="555" spans="1:185" s="25" customFormat="1" x14ac:dyDescent="0.3">
      <c r="A555" s="27"/>
      <c r="B555" s="28"/>
      <c r="C555" s="27"/>
      <c r="D555" s="26"/>
      <c r="E555" s="28"/>
      <c r="H555" s="28"/>
      <c r="K555" s="28"/>
      <c r="N555" s="28"/>
      <c r="Q555" s="28"/>
      <c r="T555" s="28"/>
      <c r="W555" s="28"/>
      <c r="Z555" s="28"/>
      <c r="AC555" s="28"/>
      <c r="AF555" s="28"/>
      <c r="AI555" s="28"/>
      <c r="AL555" s="28"/>
      <c r="AO555" s="28"/>
      <c r="AR555" s="28"/>
      <c r="AU555" s="28"/>
      <c r="AX555" s="28"/>
      <c r="BA555" s="28"/>
      <c r="BD555" s="28"/>
      <c r="BG555" s="28"/>
      <c r="BJ555" s="28"/>
      <c r="BM555" s="28"/>
      <c r="BP555" s="28"/>
      <c r="BS555" s="28"/>
      <c r="BV555" s="28"/>
      <c r="BY555" s="28"/>
      <c r="CB555" s="28"/>
      <c r="CE555" s="28"/>
      <c r="CH555" s="28"/>
      <c r="CK555" s="28"/>
      <c r="CN555" s="28"/>
      <c r="CQ555" s="28"/>
      <c r="CT555" s="28"/>
      <c r="CW555" s="28"/>
      <c r="CZ555" s="28"/>
      <c r="DC555" s="28"/>
      <c r="DF555" s="28"/>
      <c r="DI555" s="28"/>
      <c r="DL555" s="28"/>
      <c r="DO555" s="28"/>
      <c r="DR555" s="28"/>
      <c r="DU555" s="28"/>
      <c r="DX555" s="28"/>
      <c r="EA555" s="28"/>
      <c r="ED555" s="28"/>
      <c r="EG555" s="28"/>
      <c r="EJ555" s="28"/>
      <c r="EM555" s="28"/>
      <c r="EP555" s="28"/>
      <c r="ES555" s="28"/>
      <c r="EV555" s="28"/>
      <c r="EY555" s="28"/>
      <c r="FB555" s="28"/>
      <c r="FE555" s="28"/>
      <c r="FH555" s="28"/>
      <c r="FK555" s="28"/>
      <c r="FN555" s="28"/>
      <c r="FQ555" s="28"/>
      <c r="FT555" s="28"/>
      <c r="FW555" s="28"/>
      <c r="FZ555" s="28"/>
      <c r="GC555" s="28"/>
    </row>
    <row r="556" spans="1:185" s="25" customFormat="1" x14ac:dyDescent="0.3">
      <c r="A556" s="27"/>
      <c r="B556" s="28"/>
      <c r="C556" s="27"/>
      <c r="D556" s="26"/>
      <c r="E556" s="28"/>
      <c r="H556" s="28"/>
      <c r="K556" s="28"/>
      <c r="N556" s="28"/>
      <c r="Q556" s="28"/>
      <c r="T556" s="28"/>
      <c r="W556" s="28"/>
      <c r="Z556" s="28"/>
      <c r="AC556" s="28"/>
      <c r="AF556" s="28"/>
      <c r="AI556" s="28"/>
      <c r="AL556" s="28"/>
      <c r="AO556" s="28"/>
      <c r="AR556" s="28"/>
      <c r="AU556" s="28"/>
      <c r="AX556" s="28"/>
      <c r="BA556" s="28"/>
      <c r="BD556" s="28"/>
      <c r="BG556" s="28"/>
      <c r="BJ556" s="28"/>
      <c r="BM556" s="28"/>
      <c r="BP556" s="28"/>
      <c r="BS556" s="28"/>
      <c r="BV556" s="28"/>
      <c r="BY556" s="28"/>
      <c r="CB556" s="28"/>
      <c r="CE556" s="28"/>
      <c r="CH556" s="28"/>
      <c r="CK556" s="28"/>
      <c r="CN556" s="28"/>
      <c r="CQ556" s="28"/>
      <c r="CT556" s="28"/>
      <c r="CW556" s="28"/>
      <c r="CZ556" s="28"/>
      <c r="DC556" s="28"/>
      <c r="DF556" s="28"/>
      <c r="DI556" s="28"/>
      <c r="DL556" s="28"/>
      <c r="DO556" s="28"/>
      <c r="DR556" s="28"/>
      <c r="DU556" s="28"/>
      <c r="DX556" s="28"/>
      <c r="EA556" s="28"/>
      <c r="ED556" s="28"/>
      <c r="EG556" s="28"/>
      <c r="EJ556" s="28"/>
      <c r="EM556" s="28"/>
      <c r="EP556" s="28"/>
      <c r="ES556" s="28"/>
      <c r="EV556" s="28"/>
      <c r="EY556" s="28"/>
      <c r="FB556" s="28"/>
      <c r="FE556" s="28"/>
      <c r="FH556" s="28"/>
      <c r="FK556" s="28"/>
      <c r="FN556" s="28"/>
      <c r="FQ556" s="28"/>
      <c r="FT556" s="28"/>
      <c r="FW556" s="28"/>
      <c r="FZ556" s="28"/>
      <c r="GC556" s="28"/>
    </row>
    <row r="557" spans="1:185" s="25" customFormat="1" x14ac:dyDescent="0.3">
      <c r="A557" s="27"/>
      <c r="B557" s="28"/>
      <c r="C557" s="27"/>
      <c r="D557" s="26"/>
      <c r="E557" s="28"/>
      <c r="H557" s="28"/>
      <c r="K557" s="28"/>
      <c r="N557" s="28"/>
      <c r="Q557" s="28"/>
      <c r="T557" s="28"/>
      <c r="W557" s="28"/>
      <c r="Z557" s="28"/>
      <c r="AC557" s="28"/>
      <c r="AF557" s="28"/>
      <c r="AI557" s="28"/>
      <c r="AL557" s="28"/>
      <c r="AO557" s="28"/>
      <c r="AR557" s="28"/>
      <c r="AU557" s="28"/>
      <c r="AX557" s="28"/>
      <c r="BA557" s="28"/>
      <c r="BD557" s="28"/>
      <c r="BG557" s="28"/>
      <c r="BJ557" s="28"/>
      <c r="BM557" s="28"/>
      <c r="BP557" s="28"/>
      <c r="BS557" s="28"/>
      <c r="BV557" s="28"/>
      <c r="BY557" s="28"/>
      <c r="CB557" s="28"/>
      <c r="CE557" s="28"/>
      <c r="CH557" s="28"/>
      <c r="CK557" s="28"/>
      <c r="CN557" s="28"/>
      <c r="CQ557" s="28"/>
      <c r="CT557" s="28"/>
      <c r="CW557" s="28"/>
      <c r="CZ557" s="28"/>
      <c r="DC557" s="28"/>
      <c r="DF557" s="28"/>
      <c r="DI557" s="28"/>
      <c r="DL557" s="28"/>
      <c r="DO557" s="28"/>
      <c r="DR557" s="28"/>
      <c r="DU557" s="28"/>
      <c r="DX557" s="28"/>
      <c r="EA557" s="28"/>
      <c r="ED557" s="28"/>
      <c r="EG557" s="28"/>
      <c r="EJ557" s="28"/>
      <c r="EM557" s="28"/>
      <c r="EP557" s="28"/>
      <c r="ES557" s="28"/>
      <c r="EV557" s="28"/>
      <c r="EY557" s="28"/>
      <c r="FB557" s="28"/>
      <c r="FE557" s="28"/>
      <c r="FH557" s="28"/>
      <c r="FK557" s="28"/>
      <c r="FN557" s="28"/>
      <c r="FQ557" s="28"/>
      <c r="FT557" s="28"/>
      <c r="FW557" s="28"/>
      <c r="FZ557" s="28"/>
      <c r="GC557" s="28"/>
    </row>
    <row r="558" spans="1:185" s="25" customFormat="1" x14ac:dyDescent="0.3">
      <c r="A558" s="27"/>
      <c r="B558" s="28"/>
      <c r="C558" s="27"/>
      <c r="D558" s="26"/>
      <c r="E558" s="28"/>
      <c r="H558" s="28"/>
      <c r="K558" s="28"/>
      <c r="N558" s="28"/>
      <c r="Q558" s="28"/>
      <c r="T558" s="28"/>
      <c r="W558" s="28"/>
      <c r="Z558" s="28"/>
      <c r="AC558" s="28"/>
      <c r="AF558" s="28"/>
      <c r="AI558" s="28"/>
      <c r="AL558" s="28"/>
      <c r="AO558" s="28"/>
      <c r="AR558" s="28"/>
      <c r="AU558" s="28"/>
      <c r="AX558" s="28"/>
      <c r="BA558" s="28"/>
      <c r="BD558" s="28"/>
      <c r="BG558" s="28"/>
      <c r="BJ558" s="28"/>
      <c r="BM558" s="28"/>
      <c r="BP558" s="28"/>
      <c r="BS558" s="28"/>
      <c r="BV558" s="28"/>
      <c r="BY558" s="28"/>
      <c r="CB558" s="28"/>
      <c r="CE558" s="28"/>
      <c r="CH558" s="28"/>
      <c r="CK558" s="28"/>
      <c r="CN558" s="28"/>
      <c r="CQ558" s="28"/>
      <c r="CT558" s="28"/>
      <c r="CW558" s="28"/>
      <c r="CZ558" s="28"/>
      <c r="DC558" s="28"/>
      <c r="DF558" s="28"/>
      <c r="DI558" s="28"/>
      <c r="DL558" s="28"/>
      <c r="DO558" s="28"/>
      <c r="DR558" s="28"/>
      <c r="DU558" s="28"/>
      <c r="DX558" s="28"/>
      <c r="EA558" s="28"/>
      <c r="ED558" s="28"/>
      <c r="EG558" s="28"/>
      <c r="EJ558" s="28"/>
      <c r="EM558" s="28"/>
      <c r="EP558" s="28"/>
      <c r="ES558" s="28"/>
      <c r="EV558" s="28"/>
      <c r="EY558" s="28"/>
      <c r="FB558" s="28"/>
      <c r="FE558" s="28"/>
      <c r="FH558" s="28"/>
      <c r="FK558" s="28"/>
      <c r="FN558" s="28"/>
      <c r="FQ558" s="28"/>
      <c r="FT558" s="28"/>
      <c r="FW558" s="28"/>
      <c r="FZ558" s="28"/>
      <c r="GC558" s="28"/>
    </row>
    <row r="559" spans="1:185" s="25" customFormat="1" x14ac:dyDescent="0.3">
      <c r="A559" s="27"/>
      <c r="B559" s="28"/>
      <c r="C559" s="27"/>
      <c r="D559" s="26"/>
      <c r="E559" s="28"/>
      <c r="H559" s="28"/>
      <c r="K559" s="28"/>
      <c r="N559" s="28"/>
      <c r="Q559" s="28"/>
      <c r="T559" s="28"/>
      <c r="W559" s="28"/>
      <c r="Z559" s="28"/>
      <c r="AC559" s="28"/>
      <c r="AF559" s="28"/>
      <c r="AI559" s="28"/>
      <c r="AL559" s="28"/>
      <c r="AO559" s="28"/>
      <c r="AR559" s="28"/>
      <c r="AU559" s="28"/>
      <c r="AX559" s="28"/>
      <c r="BA559" s="28"/>
      <c r="BD559" s="28"/>
      <c r="BG559" s="28"/>
      <c r="BJ559" s="28"/>
      <c r="BM559" s="28"/>
      <c r="BP559" s="28"/>
      <c r="BS559" s="28"/>
      <c r="BV559" s="28"/>
      <c r="BY559" s="28"/>
      <c r="CB559" s="28"/>
      <c r="CE559" s="28"/>
      <c r="CH559" s="28"/>
      <c r="CK559" s="28"/>
      <c r="CN559" s="28"/>
      <c r="CQ559" s="28"/>
      <c r="CT559" s="28"/>
      <c r="CW559" s="28"/>
      <c r="CZ559" s="28"/>
      <c r="DC559" s="28"/>
      <c r="DF559" s="28"/>
      <c r="DI559" s="28"/>
      <c r="DL559" s="28"/>
      <c r="DO559" s="28"/>
      <c r="DR559" s="28"/>
      <c r="DU559" s="28"/>
      <c r="DX559" s="28"/>
      <c r="EA559" s="28"/>
      <c r="ED559" s="28"/>
      <c r="EG559" s="28"/>
      <c r="EJ559" s="28"/>
      <c r="EM559" s="28"/>
      <c r="EP559" s="28"/>
      <c r="ES559" s="28"/>
      <c r="EV559" s="28"/>
      <c r="EY559" s="28"/>
      <c r="FB559" s="28"/>
      <c r="FE559" s="28"/>
      <c r="FH559" s="28"/>
      <c r="FK559" s="28"/>
      <c r="FN559" s="28"/>
      <c r="FQ559" s="28"/>
      <c r="FT559" s="28"/>
      <c r="FW559" s="28"/>
      <c r="FZ559" s="28"/>
      <c r="GC559" s="28"/>
    </row>
    <row r="560" spans="1:185" s="25" customFormat="1" x14ac:dyDescent="0.3">
      <c r="A560" s="27"/>
      <c r="B560" s="28"/>
      <c r="C560" s="27"/>
      <c r="D560" s="26"/>
      <c r="E560" s="28"/>
      <c r="H560" s="28"/>
      <c r="K560" s="28"/>
      <c r="N560" s="28"/>
      <c r="Q560" s="28"/>
      <c r="T560" s="28"/>
      <c r="W560" s="28"/>
      <c r="Z560" s="28"/>
      <c r="AC560" s="28"/>
      <c r="AF560" s="28"/>
      <c r="AI560" s="28"/>
      <c r="AL560" s="28"/>
      <c r="AO560" s="28"/>
      <c r="AR560" s="28"/>
      <c r="AU560" s="28"/>
      <c r="AX560" s="28"/>
      <c r="BA560" s="28"/>
      <c r="BD560" s="28"/>
      <c r="BG560" s="28"/>
      <c r="BJ560" s="28"/>
      <c r="BM560" s="28"/>
      <c r="BP560" s="28"/>
      <c r="BS560" s="28"/>
      <c r="BV560" s="28"/>
      <c r="BY560" s="28"/>
      <c r="CB560" s="28"/>
      <c r="CE560" s="28"/>
      <c r="CH560" s="28"/>
      <c r="CK560" s="28"/>
      <c r="CN560" s="28"/>
      <c r="CQ560" s="28"/>
      <c r="CT560" s="28"/>
      <c r="CW560" s="28"/>
      <c r="CZ560" s="28"/>
      <c r="DC560" s="28"/>
      <c r="DF560" s="28"/>
      <c r="DI560" s="28"/>
      <c r="DL560" s="28"/>
      <c r="DO560" s="28"/>
      <c r="DR560" s="28"/>
      <c r="DU560" s="28"/>
      <c r="DX560" s="28"/>
      <c r="EA560" s="28"/>
      <c r="ED560" s="28"/>
      <c r="EG560" s="28"/>
      <c r="EJ560" s="28"/>
      <c r="EM560" s="28"/>
      <c r="EP560" s="28"/>
      <c r="ES560" s="28"/>
      <c r="EV560" s="28"/>
      <c r="EY560" s="28"/>
      <c r="FB560" s="28"/>
      <c r="FE560" s="28"/>
      <c r="FH560" s="28"/>
      <c r="FK560" s="28"/>
      <c r="FN560" s="28"/>
      <c r="FQ560" s="28"/>
      <c r="FT560" s="28"/>
      <c r="FW560" s="28"/>
      <c r="FZ560" s="28"/>
      <c r="GC560" s="28"/>
    </row>
    <row r="561" spans="1:185" s="25" customFormat="1" x14ac:dyDescent="0.3">
      <c r="A561" s="27"/>
      <c r="B561" s="28"/>
      <c r="C561" s="27"/>
      <c r="D561" s="26"/>
      <c r="E561" s="28"/>
      <c r="H561" s="28"/>
      <c r="K561" s="28"/>
      <c r="N561" s="28"/>
      <c r="Q561" s="28"/>
      <c r="T561" s="28"/>
      <c r="W561" s="28"/>
      <c r="Z561" s="28"/>
      <c r="AC561" s="28"/>
      <c r="AF561" s="28"/>
      <c r="AI561" s="28"/>
      <c r="AL561" s="28"/>
      <c r="AO561" s="28"/>
      <c r="AR561" s="28"/>
      <c r="AU561" s="28"/>
      <c r="AX561" s="28"/>
      <c r="BA561" s="28"/>
      <c r="BD561" s="28"/>
      <c r="BG561" s="28"/>
      <c r="BJ561" s="28"/>
      <c r="BM561" s="28"/>
      <c r="BP561" s="28"/>
      <c r="BS561" s="28"/>
      <c r="BV561" s="28"/>
      <c r="BY561" s="28"/>
      <c r="CB561" s="28"/>
      <c r="CE561" s="28"/>
      <c r="CH561" s="28"/>
      <c r="CK561" s="28"/>
      <c r="CN561" s="28"/>
      <c r="CQ561" s="28"/>
      <c r="CT561" s="28"/>
      <c r="CW561" s="28"/>
      <c r="CZ561" s="28"/>
      <c r="DC561" s="28"/>
      <c r="DF561" s="28"/>
      <c r="DI561" s="28"/>
      <c r="DL561" s="28"/>
      <c r="DO561" s="28"/>
      <c r="DR561" s="28"/>
      <c r="DU561" s="28"/>
      <c r="DX561" s="28"/>
      <c r="EA561" s="28"/>
      <c r="ED561" s="28"/>
      <c r="EG561" s="28"/>
      <c r="EJ561" s="28"/>
      <c r="EM561" s="28"/>
      <c r="EP561" s="28"/>
      <c r="ES561" s="28"/>
      <c r="EV561" s="28"/>
      <c r="EY561" s="28"/>
      <c r="FB561" s="28"/>
      <c r="FE561" s="28"/>
      <c r="FH561" s="28"/>
      <c r="FK561" s="28"/>
      <c r="FN561" s="28"/>
      <c r="FQ561" s="28"/>
      <c r="FT561" s="28"/>
      <c r="FW561" s="28"/>
      <c r="FZ561" s="28"/>
      <c r="GC561" s="28"/>
    </row>
    <row r="562" spans="1:185" s="25" customFormat="1" x14ac:dyDescent="0.3">
      <c r="A562" s="27"/>
      <c r="B562" s="28"/>
      <c r="C562" s="27"/>
      <c r="D562" s="26"/>
      <c r="E562" s="28"/>
      <c r="H562" s="28"/>
      <c r="K562" s="28"/>
      <c r="N562" s="28"/>
      <c r="Q562" s="28"/>
      <c r="T562" s="28"/>
      <c r="W562" s="28"/>
      <c r="Z562" s="28"/>
      <c r="AC562" s="28"/>
      <c r="AF562" s="28"/>
      <c r="AI562" s="28"/>
      <c r="AL562" s="28"/>
      <c r="AO562" s="28"/>
      <c r="AR562" s="28"/>
      <c r="AU562" s="28"/>
      <c r="AX562" s="28"/>
      <c r="BA562" s="28"/>
      <c r="BD562" s="28"/>
      <c r="BG562" s="28"/>
      <c r="BJ562" s="28"/>
      <c r="BM562" s="28"/>
      <c r="BP562" s="28"/>
      <c r="BS562" s="28"/>
      <c r="BV562" s="28"/>
      <c r="BY562" s="28"/>
      <c r="CB562" s="28"/>
      <c r="CE562" s="28"/>
      <c r="CH562" s="28"/>
      <c r="CK562" s="28"/>
      <c r="CN562" s="28"/>
      <c r="CQ562" s="28"/>
      <c r="CT562" s="28"/>
      <c r="CW562" s="28"/>
      <c r="CZ562" s="28"/>
      <c r="DC562" s="28"/>
      <c r="DF562" s="28"/>
      <c r="DI562" s="28"/>
      <c r="DL562" s="28"/>
      <c r="DO562" s="28"/>
      <c r="DR562" s="28"/>
      <c r="DU562" s="28"/>
      <c r="DX562" s="28"/>
      <c r="EA562" s="28"/>
      <c r="ED562" s="28"/>
      <c r="EG562" s="28"/>
      <c r="EJ562" s="28"/>
      <c r="EM562" s="28"/>
      <c r="EP562" s="28"/>
      <c r="ES562" s="28"/>
      <c r="EV562" s="28"/>
      <c r="EY562" s="28"/>
      <c r="FB562" s="28"/>
      <c r="FE562" s="28"/>
      <c r="FH562" s="28"/>
      <c r="FK562" s="28"/>
      <c r="FN562" s="28"/>
      <c r="FQ562" s="28"/>
      <c r="FT562" s="28"/>
      <c r="FW562" s="28"/>
      <c r="FZ562" s="28"/>
      <c r="GC562" s="28"/>
    </row>
    <row r="563" spans="1:185" s="25" customFormat="1" x14ac:dyDescent="0.3">
      <c r="A563" s="27"/>
      <c r="B563" s="28"/>
      <c r="C563" s="27"/>
      <c r="D563" s="26"/>
      <c r="E563" s="28"/>
      <c r="H563" s="28"/>
      <c r="K563" s="28"/>
      <c r="N563" s="28"/>
      <c r="Q563" s="28"/>
      <c r="T563" s="28"/>
      <c r="W563" s="28"/>
      <c r="Z563" s="28"/>
      <c r="AC563" s="28"/>
      <c r="AF563" s="28"/>
      <c r="AI563" s="28"/>
      <c r="AL563" s="28"/>
      <c r="AO563" s="28"/>
      <c r="AR563" s="28"/>
      <c r="AU563" s="28"/>
      <c r="AX563" s="28"/>
      <c r="BA563" s="28"/>
      <c r="BD563" s="28"/>
      <c r="BG563" s="28"/>
      <c r="BJ563" s="28"/>
      <c r="BM563" s="28"/>
      <c r="BP563" s="28"/>
      <c r="BS563" s="28"/>
      <c r="BV563" s="28"/>
      <c r="BY563" s="28"/>
      <c r="CB563" s="28"/>
      <c r="CE563" s="28"/>
      <c r="CH563" s="28"/>
      <c r="CK563" s="28"/>
      <c r="CN563" s="28"/>
      <c r="CQ563" s="28"/>
      <c r="CT563" s="28"/>
      <c r="CW563" s="28"/>
      <c r="CZ563" s="28"/>
      <c r="DC563" s="28"/>
      <c r="DF563" s="28"/>
      <c r="DI563" s="28"/>
      <c r="DL563" s="28"/>
      <c r="DO563" s="28"/>
      <c r="DR563" s="28"/>
      <c r="DU563" s="28"/>
      <c r="DX563" s="28"/>
      <c r="EA563" s="28"/>
      <c r="ED563" s="28"/>
      <c r="EG563" s="28"/>
      <c r="EJ563" s="28"/>
      <c r="EM563" s="28"/>
      <c r="EP563" s="28"/>
      <c r="ES563" s="28"/>
      <c r="EV563" s="28"/>
      <c r="EY563" s="28"/>
      <c r="FB563" s="28"/>
      <c r="FE563" s="28"/>
      <c r="FH563" s="28"/>
      <c r="FK563" s="28"/>
      <c r="FN563" s="28"/>
      <c r="FQ563" s="28"/>
      <c r="FT563" s="28"/>
      <c r="FW563" s="28"/>
      <c r="FZ563" s="28"/>
      <c r="GC563" s="28"/>
    </row>
    <row r="564" spans="1:185" s="25" customFormat="1" x14ac:dyDescent="0.3">
      <c r="A564" s="27"/>
      <c r="B564" s="28"/>
      <c r="C564" s="27"/>
      <c r="D564" s="26"/>
      <c r="E564" s="28"/>
      <c r="H564" s="28"/>
      <c r="K564" s="28"/>
      <c r="N564" s="28"/>
      <c r="Q564" s="28"/>
      <c r="T564" s="28"/>
      <c r="W564" s="28"/>
      <c r="Z564" s="28"/>
      <c r="AC564" s="28"/>
      <c r="AF564" s="28"/>
      <c r="AI564" s="28"/>
      <c r="AL564" s="28"/>
      <c r="AO564" s="28"/>
      <c r="AR564" s="28"/>
      <c r="AU564" s="28"/>
      <c r="AX564" s="28"/>
      <c r="BA564" s="28"/>
      <c r="BD564" s="28"/>
      <c r="BG564" s="28"/>
      <c r="BJ564" s="28"/>
      <c r="BM564" s="28"/>
      <c r="BP564" s="28"/>
      <c r="BS564" s="28"/>
      <c r="BV564" s="28"/>
      <c r="BY564" s="28"/>
      <c r="CB564" s="28"/>
      <c r="CE564" s="28"/>
      <c r="CH564" s="28"/>
      <c r="CK564" s="28"/>
      <c r="CN564" s="28"/>
      <c r="CQ564" s="28"/>
      <c r="CT564" s="28"/>
      <c r="CW564" s="28"/>
      <c r="CZ564" s="28"/>
      <c r="DC564" s="28"/>
      <c r="DF564" s="28"/>
      <c r="DI564" s="28"/>
      <c r="DL564" s="28"/>
      <c r="DO564" s="28"/>
      <c r="DR564" s="28"/>
      <c r="DU564" s="28"/>
      <c r="DX564" s="28"/>
      <c r="EA564" s="28"/>
      <c r="ED564" s="28"/>
      <c r="EG564" s="28"/>
      <c r="EJ564" s="28"/>
      <c r="EM564" s="28"/>
      <c r="EP564" s="28"/>
      <c r="ES564" s="28"/>
      <c r="EV564" s="28"/>
      <c r="EY564" s="28"/>
      <c r="FB564" s="28"/>
      <c r="FE564" s="28"/>
      <c r="FH564" s="28"/>
      <c r="FK564" s="28"/>
      <c r="FN564" s="28"/>
      <c r="FQ564" s="28"/>
      <c r="FT564" s="28"/>
      <c r="FW564" s="28"/>
      <c r="FZ564" s="28"/>
      <c r="GC564" s="28"/>
    </row>
    <row r="565" spans="1:185" s="25" customFormat="1" x14ac:dyDescent="0.3">
      <c r="A565" s="27"/>
      <c r="B565" s="28"/>
      <c r="C565" s="27"/>
      <c r="D565" s="26"/>
      <c r="E565" s="28"/>
      <c r="H565" s="28"/>
      <c r="K565" s="28"/>
      <c r="N565" s="28"/>
      <c r="Q565" s="28"/>
      <c r="T565" s="28"/>
      <c r="W565" s="28"/>
      <c r="Z565" s="28"/>
      <c r="AC565" s="28"/>
      <c r="AF565" s="28"/>
      <c r="AI565" s="28"/>
      <c r="AL565" s="28"/>
      <c r="AO565" s="28"/>
      <c r="AR565" s="28"/>
      <c r="AU565" s="28"/>
      <c r="AX565" s="28"/>
      <c r="BA565" s="28"/>
      <c r="BD565" s="28"/>
      <c r="BG565" s="28"/>
      <c r="BJ565" s="28"/>
      <c r="BM565" s="28"/>
      <c r="BP565" s="28"/>
      <c r="BS565" s="28"/>
      <c r="BV565" s="28"/>
      <c r="BY565" s="28"/>
      <c r="CB565" s="28"/>
      <c r="CE565" s="28"/>
      <c r="CH565" s="28"/>
      <c r="CK565" s="28"/>
      <c r="CN565" s="28"/>
      <c r="CQ565" s="28"/>
      <c r="CT565" s="28"/>
      <c r="CW565" s="28"/>
      <c r="CZ565" s="28"/>
      <c r="DC565" s="28"/>
      <c r="DF565" s="28"/>
      <c r="DI565" s="28"/>
      <c r="DL565" s="28"/>
      <c r="DO565" s="28"/>
      <c r="DR565" s="28"/>
      <c r="DU565" s="28"/>
      <c r="DX565" s="28"/>
      <c r="EA565" s="28"/>
      <c r="ED565" s="28"/>
      <c r="EG565" s="28"/>
      <c r="EJ565" s="28"/>
      <c r="EM565" s="28"/>
      <c r="EP565" s="28"/>
      <c r="ES565" s="28"/>
      <c r="EV565" s="28"/>
      <c r="EY565" s="28"/>
      <c r="FB565" s="28"/>
      <c r="FE565" s="28"/>
      <c r="FH565" s="28"/>
      <c r="FK565" s="28"/>
      <c r="FN565" s="28"/>
      <c r="FQ565" s="28"/>
      <c r="FT565" s="28"/>
      <c r="FW565" s="28"/>
      <c r="FZ565" s="28"/>
      <c r="GC565" s="28"/>
    </row>
    <row r="566" spans="1:185" s="25" customFormat="1" x14ac:dyDescent="0.3">
      <c r="A566" s="27"/>
      <c r="B566" s="28"/>
      <c r="C566" s="27"/>
      <c r="D566" s="26"/>
      <c r="E566" s="28"/>
      <c r="H566" s="28"/>
      <c r="K566" s="28"/>
      <c r="N566" s="28"/>
      <c r="Q566" s="28"/>
      <c r="T566" s="28"/>
      <c r="W566" s="28"/>
      <c r="Z566" s="28"/>
      <c r="AC566" s="28"/>
      <c r="AF566" s="28"/>
      <c r="AI566" s="28"/>
      <c r="AL566" s="28"/>
      <c r="AO566" s="28"/>
      <c r="AR566" s="28"/>
      <c r="AU566" s="28"/>
      <c r="AX566" s="28"/>
      <c r="BA566" s="28"/>
      <c r="BD566" s="28"/>
      <c r="BG566" s="28"/>
      <c r="BJ566" s="28"/>
      <c r="BM566" s="28"/>
      <c r="BP566" s="28"/>
      <c r="BS566" s="28"/>
      <c r="BV566" s="28"/>
      <c r="BY566" s="28"/>
      <c r="CB566" s="28"/>
      <c r="CE566" s="28"/>
      <c r="CH566" s="28"/>
      <c r="CK566" s="28"/>
      <c r="CN566" s="28"/>
      <c r="CQ566" s="28"/>
      <c r="CT566" s="28"/>
      <c r="CW566" s="28"/>
      <c r="CZ566" s="28"/>
      <c r="DC566" s="28"/>
      <c r="DF566" s="28"/>
      <c r="DI566" s="28"/>
      <c r="DL566" s="28"/>
      <c r="DO566" s="28"/>
      <c r="DR566" s="28"/>
      <c r="DU566" s="28"/>
      <c r="DX566" s="28"/>
      <c r="EA566" s="28"/>
      <c r="ED566" s="28"/>
      <c r="EG566" s="28"/>
      <c r="EJ566" s="28"/>
      <c r="EM566" s="28"/>
      <c r="EP566" s="28"/>
      <c r="ES566" s="28"/>
      <c r="EV566" s="28"/>
      <c r="EY566" s="28"/>
      <c r="FB566" s="28"/>
      <c r="FE566" s="28"/>
      <c r="FH566" s="28"/>
      <c r="FK566" s="28"/>
      <c r="FN566" s="28"/>
      <c r="FQ566" s="28"/>
      <c r="FT566" s="28"/>
      <c r="FW566" s="28"/>
      <c r="FZ566" s="28"/>
      <c r="GC566" s="28"/>
    </row>
    <row r="567" spans="1:185" s="25" customFormat="1" x14ac:dyDescent="0.3">
      <c r="A567" s="27"/>
      <c r="B567" s="28"/>
      <c r="C567" s="27"/>
      <c r="D567" s="26"/>
      <c r="E567" s="28"/>
      <c r="H567" s="28"/>
      <c r="K567" s="28"/>
      <c r="N567" s="28"/>
      <c r="Q567" s="28"/>
      <c r="T567" s="28"/>
      <c r="W567" s="28"/>
      <c r="Z567" s="28"/>
      <c r="AC567" s="28"/>
      <c r="AF567" s="28"/>
      <c r="AI567" s="28"/>
      <c r="AL567" s="28"/>
      <c r="AO567" s="28"/>
      <c r="AR567" s="28"/>
      <c r="AU567" s="28"/>
      <c r="AX567" s="28"/>
      <c r="BA567" s="28"/>
      <c r="BD567" s="28"/>
      <c r="BG567" s="28"/>
      <c r="BJ567" s="28"/>
      <c r="BM567" s="28"/>
      <c r="BP567" s="28"/>
      <c r="BS567" s="28"/>
      <c r="BV567" s="28"/>
      <c r="BY567" s="28"/>
      <c r="CB567" s="28"/>
      <c r="CE567" s="28"/>
      <c r="CH567" s="28"/>
      <c r="CK567" s="28"/>
      <c r="CN567" s="28"/>
      <c r="CQ567" s="28"/>
      <c r="CT567" s="28"/>
      <c r="CW567" s="28"/>
      <c r="CZ567" s="28"/>
      <c r="DC567" s="28"/>
      <c r="DF567" s="28"/>
      <c r="DI567" s="28"/>
      <c r="DL567" s="28"/>
      <c r="DO567" s="28"/>
      <c r="DR567" s="28"/>
      <c r="DU567" s="28"/>
      <c r="DX567" s="28"/>
      <c r="EA567" s="28"/>
      <c r="ED567" s="28"/>
      <c r="EG567" s="28"/>
      <c r="EJ567" s="28"/>
      <c r="EM567" s="28"/>
      <c r="EP567" s="28"/>
      <c r="ES567" s="28"/>
      <c r="EV567" s="28"/>
      <c r="EY567" s="28"/>
      <c r="FB567" s="28"/>
      <c r="FE567" s="28"/>
      <c r="FH567" s="28"/>
      <c r="FK567" s="28"/>
      <c r="FN567" s="28"/>
      <c r="FQ567" s="28"/>
      <c r="FT567" s="28"/>
      <c r="FW567" s="28"/>
      <c r="FZ567" s="28"/>
      <c r="GC567" s="28"/>
    </row>
    <row r="568" spans="1:185" s="25" customFormat="1" x14ac:dyDescent="0.3">
      <c r="A568" s="27"/>
      <c r="B568" s="28"/>
      <c r="C568" s="27"/>
      <c r="D568" s="26"/>
      <c r="E568" s="28"/>
      <c r="H568" s="28"/>
      <c r="K568" s="28"/>
      <c r="N568" s="28"/>
      <c r="Q568" s="28"/>
      <c r="T568" s="28"/>
      <c r="W568" s="28"/>
      <c r="Z568" s="28"/>
      <c r="AC568" s="28"/>
      <c r="AF568" s="28"/>
      <c r="AI568" s="28"/>
      <c r="AL568" s="28"/>
      <c r="AO568" s="28"/>
      <c r="AR568" s="28"/>
      <c r="AU568" s="28"/>
      <c r="AX568" s="28"/>
      <c r="BA568" s="28"/>
      <c r="BD568" s="28"/>
      <c r="BG568" s="28"/>
      <c r="BJ568" s="28"/>
      <c r="BM568" s="28"/>
      <c r="BP568" s="28"/>
      <c r="BS568" s="28"/>
      <c r="BV568" s="28"/>
      <c r="BY568" s="28"/>
      <c r="CB568" s="28"/>
      <c r="CE568" s="28"/>
      <c r="CH568" s="28"/>
      <c r="CK568" s="28"/>
      <c r="CN568" s="28"/>
      <c r="CQ568" s="28"/>
      <c r="CT568" s="28"/>
      <c r="CW568" s="28"/>
      <c r="CZ568" s="28"/>
      <c r="DC568" s="28"/>
      <c r="DF568" s="28"/>
      <c r="DI568" s="28"/>
      <c r="DL568" s="28"/>
      <c r="DO568" s="28"/>
      <c r="DR568" s="28"/>
      <c r="DU568" s="28"/>
      <c r="DX568" s="28"/>
      <c r="EA568" s="28"/>
      <c r="ED568" s="28"/>
      <c r="EG568" s="28"/>
      <c r="EJ568" s="28"/>
      <c r="EM568" s="28"/>
      <c r="EP568" s="28"/>
      <c r="ES568" s="28"/>
      <c r="EV568" s="28"/>
      <c r="EY568" s="28"/>
      <c r="FB568" s="28"/>
      <c r="FE568" s="28"/>
      <c r="FH568" s="28"/>
      <c r="FK568" s="28"/>
      <c r="FN568" s="28"/>
      <c r="FQ568" s="28"/>
      <c r="FT568" s="28"/>
      <c r="FW568" s="28"/>
      <c r="FZ568" s="28"/>
      <c r="GC568" s="28"/>
    </row>
    <row r="569" spans="1:185" s="25" customFormat="1" x14ac:dyDescent="0.3">
      <c r="A569" s="27"/>
      <c r="B569" s="28"/>
      <c r="C569" s="27"/>
      <c r="D569" s="26"/>
      <c r="E569" s="28"/>
      <c r="H569" s="28"/>
      <c r="K569" s="28"/>
      <c r="N569" s="28"/>
      <c r="Q569" s="28"/>
      <c r="T569" s="28"/>
      <c r="W569" s="28"/>
      <c r="Z569" s="28"/>
      <c r="AC569" s="28"/>
      <c r="AF569" s="28"/>
      <c r="AI569" s="28"/>
      <c r="AL569" s="28"/>
      <c r="AO569" s="28"/>
      <c r="AR569" s="28"/>
      <c r="AU569" s="28"/>
      <c r="AX569" s="28"/>
      <c r="BA569" s="28"/>
      <c r="BD569" s="28"/>
      <c r="BG569" s="28"/>
      <c r="BJ569" s="28"/>
      <c r="BM569" s="28"/>
      <c r="BP569" s="28"/>
      <c r="BS569" s="28"/>
      <c r="BV569" s="28"/>
      <c r="BY569" s="28"/>
      <c r="CB569" s="28"/>
      <c r="CE569" s="28"/>
      <c r="CH569" s="28"/>
      <c r="CK569" s="28"/>
      <c r="CN569" s="28"/>
      <c r="CQ569" s="28"/>
      <c r="CT569" s="28"/>
      <c r="CW569" s="28"/>
      <c r="CZ569" s="28"/>
      <c r="DC569" s="28"/>
      <c r="DF569" s="28"/>
      <c r="DI569" s="28"/>
      <c r="DL569" s="28"/>
      <c r="DO569" s="28"/>
      <c r="DR569" s="28"/>
      <c r="DU569" s="28"/>
      <c r="DX569" s="28"/>
      <c r="EA569" s="28"/>
      <c r="ED569" s="28"/>
      <c r="EG569" s="28"/>
      <c r="EJ569" s="28"/>
      <c r="EM569" s="28"/>
      <c r="EP569" s="28"/>
      <c r="ES569" s="28"/>
      <c r="EV569" s="28"/>
      <c r="EY569" s="28"/>
      <c r="FB569" s="28"/>
      <c r="FE569" s="28"/>
      <c r="FH569" s="28"/>
      <c r="FK569" s="28"/>
      <c r="FN569" s="28"/>
      <c r="FQ569" s="28"/>
      <c r="FT569" s="28"/>
      <c r="FW569" s="28"/>
      <c r="FZ569" s="28"/>
      <c r="GC569" s="28"/>
    </row>
    <row r="570" spans="1:185" s="25" customFormat="1" x14ac:dyDescent="0.3">
      <c r="A570" s="27"/>
      <c r="B570" s="28"/>
      <c r="C570" s="27"/>
      <c r="D570" s="26"/>
      <c r="E570" s="28"/>
      <c r="H570" s="28"/>
      <c r="K570" s="28"/>
      <c r="N570" s="28"/>
      <c r="Q570" s="28"/>
      <c r="T570" s="28"/>
      <c r="W570" s="28"/>
      <c r="Z570" s="28"/>
      <c r="AC570" s="28"/>
      <c r="AF570" s="28"/>
      <c r="AI570" s="28"/>
      <c r="AL570" s="28"/>
      <c r="AO570" s="28"/>
      <c r="AR570" s="28"/>
      <c r="AU570" s="28"/>
      <c r="AX570" s="28"/>
      <c r="BA570" s="28"/>
      <c r="BD570" s="28"/>
      <c r="BG570" s="28"/>
      <c r="BJ570" s="28"/>
      <c r="BM570" s="28"/>
      <c r="BP570" s="28"/>
      <c r="BS570" s="28"/>
      <c r="BV570" s="28"/>
      <c r="BY570" s="28"/>
      <c r="CB570" s="28"/>
      <c r="CE570" s="28"/>
      <c r="CH570" s="28"/>
      <c r="CK570" s="28"/>
      <c r="CN570" s="28"/>
      <c r="CQ570" s="28"/>
      <c r="CT570" s="28"/>
      <c r="CW570" s="28"/>
      <c r="CZ570" s="28"/>
      <c r="DC570" s="28"/>
      <c r="DF570" s="28"/>
      <c r="DI570" s="28"/>
      <c r="DL570" s="28"/>
      <c r="DO570" s="28"/>
      <c r="DR570" s="28"/>
      <c r="DU570" s="28"/>
      <c r="DX570" s="28"/>
      <c r="EA570" s="28"/>
      <c r="ED570" s="28"/>
      <c r="EG570" s="28"/>
      <c r="EJ570" s="28"/>
      <c r="EM570" s="28"/>
      <c r="EP570" s="28"/>
      <c r="ES570" s="28"/>
      <c r="EV570" s="28"/>
      <c r="EY570" s="28"/>
      <c r="FB570" s="28"/>
      <c r="FE570" s="28"/>
      <c r="FH570" s="28"/>
      <c r="FK570" s="28"/>
      <c r="FN570" s="28"/>
      <c r="FQ570" s="28"/>
      <c r="FT570" s="28"/>
      <c r="FW570" s="28"/>
      <c r="FZ570" s="28"/>
      <c r="GC570" s="28"/>
    </row>
    <row r="571" spans="1:185" s="25" customFormat="1" x14ac:dyDescent="0.3">
      <c r="A571" s="27"/>
      <c r="B571" s="28"/>
      <c r="C571" s="27"/>
      <c r="D571" s="26"/>
      <c r="E571" s="28"/>
      <c r="H571" s="28"/>
      <c r="K571" s="28"/>
      <c r="N571" s="28"/>
      <c r="Q571" s="28"/>
      <c r="T571" s="28"/>
      <c r="W571" s="28"/>
      <c r="Z571" s="28"/>
      <c r="AC571" s="28"/>
      <c r="AF571" s="28"/>
      <c r="AI571" s="28"/>
      <c r="AL571" s="28"/>
      <c r="AO571" s="28"/>
      <c r="AR571" s="28"/>
      <c r="AU571" s="28"/>
      <c r="AX571" s="28"/>
      <c r="BA571" s="28"/>
      <c r="BD571" s="28"/>
      <c r="BG571" s="28"/>
      <c r="BJ571" s="28"/>
      <c r="BM571" s="28"/>
      <c r="BP571" s="28"/>
      <c r="BS571" s="28"/>
      <c r="BV571" s="28"/>
      <c r="BY571" s="28"/>
      <c r="CB571" s="28"/>
      <c r="CE571" s="28"/>
      <c r="CH571" s="28"/>
      <c r="CK571" s="28"/>
      <c r="CN571" s="28"/>
      <c r="CQ571" s="28"/>
      <c r="CT571" s="28"/>
      <c r="CW571" s="28"/>
      <c r="CZ571" s="28"/>
      <c r="DC571" s="28"/>
      <c r="DF571" s="28"/>
      <c r="DI571" s="28"/>
      <c r="DL571" s="28"/>
      <c r="DO571" s="28"/>
      <c r="DR571" s="28"/>
      <c r="DU571" s="28"/>
      <c r="DX571" s="28"/>
      <c r="EA571" s="28"/>
      <c r="ED571" s="28"/>
      <c r="EG571" s="28"/>
      <c r="EJ571" s="28"/>
      <c r="EM571" s="28"/>
      <c r="EP571" s="28"/>
      <c r="ES571" s="28"/>
      <c r="EV571" s="28"/>
      <c r="EY571" s="28"/>
      <c r="FB571" s="28"/>
      <c r="FE571" s="28"/>
      <c r="FH571" s="28"/>
      <c r="FK571" s="28"/>
      <c r="FN571" s="28"/>
      <c r="FQ571" s="28"/>
      <c r="FT571" s="28"/>
      <c r="FW571" s="28"/>
      <c r="FZ571" s="28"/>
      <c r="GC571" s="28"/>
    </row>
    <row r="572" spans="1:185" s="25" customFormat="1" x14ac:dyDescent="0.3">
      <c r="A572" s="27"/>
      <c r="B572" s="28"/>
      <c r="C572" s="27"/>
      <c r="D572" s="26"/>
      <c r="E572" s="28"/>
      <c r="H572" s="28"/>
      <c r="K572" s="28"/>
      <c r="N572" s="28"/>
      <c r="Q572" s="28"/>
      <c r="T572" s="28"/>
      <c r="W572" s="28"/>
      <c r="Z572" s="28"/>
      <c r="AC572" s="28"/>
      <c r="AF572" s="28"/>
      <c r="AI572" s="28"/>
      <c r="AL572" s="28"/>
      <c r="AO572" s="28"/>
      <c r="AR572" s="28"/>
      <c r="AU572" s="28"/>
      <c r="AX572" s="28"/>
      <c r="BA572" s="28"/>
      <c r="BD572" s="28"/>
      <c r="BG572" s="28"/>
      <c r="BJ572" s="28"/>
      <c r="BM572" s="28"/>
      <c r="BP572" s="28"/>
      <c r="BS572" s="28"/>
      <c r="BV572" s="28"/>
      <c r="BY572" s="28"/>
      <c r="CB572" s="28"/>
      <c r="CE572" s="28"/>
      <c r="CH572" s="28"/>
      <c r="CK572" s="28"/>
      <c r="CN572" s="28"/>
      <c r="CQ572" s="28"/>
      <c r="CT572" s="28"/>
      <c r="CW572" s="28"/>
      <c r="CZ572" s="28"/>
      <c r="DC572" s="28"/>
      <c r="DF572" s="28"/>
      <c r="DI572" s="28"/>
      <c r="DL572" s="28"/>
      <c r="DO572" s="28"/>
      <c r="DR572" s="28"/>
      <c r="DU572" s="28"/>
      <c r="DX572" s="28"/>
      <c r="EA572" s="28"/>
      <c r="ED572" s="28"/>
      <c r="EG572" s="28"/>
      <c r="EJ572" s="28"/>
      <c r="EM572" s="28"/>
      <c r="EP572" s="28"/>
      <c r="ES572" s="28"/>
      <c r="EV572" s="28"/>
      <c r="EY572" s="28"/>
      <c r="FB572" s="28"/>
      <c r="FE572" s="28"/>
      <c r="FH572" s="28"/>
      <c r="FK572" s="28"/>
      <c r="FN572" s="28"/>
      <c r="FQ572" s="28"/>
      <c r="FT572" s="28"/>
      <c r="FW572" s="28"/>
      <c r="FZ572" s="28"/>
      <c r="GC572" s="28"/>
    </row>
    <row r="573" spans="1:185" s="25" customFormat="1" x14ac:dyDescent="0.3">
      <c r="A573" s="27"/>
      <c r="B573" s="28"/>
      <c r="C573" s="27"/>
      <c r="D573" s="26"/>
      <c r="E573" s="28"/>
      <c r="H573" s="28"/>
      <c r="K573" s="28"/>
      <c r="N573" s="28"/>
      <c r="Q573" s="28"/>
      <c r="T573" s="28"/>
      <c r="W573" s="28"/>
      <c r="Z573" s="28"/>
      <c r="AC573" s="28"/>
      <c r="AF573" s="28"/>
      <c r="AI573" s="28"/>
      <c r="AL573" s="28"/>
      <c r="AO573" s="28"/>
      <c r="AR573" s="28"/>
      <c r="AU573" s="28"/>
      <c r="AX573" s="28"/>
      <c r="BA573" s="28"/>
      <c r="BD573" s="28"/>
      <c r="BG573" s="28"/>
      <c r="BJ573" s="28"/>
      <c r="BM573" s="28"/>
      <c r="BP573" s="28"/>
      <c r="BS573" s="28"/>
      <c r="BV573" s="28"/>
      <c r="BY573" s="28"/>
      <c r="CB573" s="28"/>
      <c r="CE573" s="28"/>
      <c r="CH573" s="28"/>
      <c r="CK573" s="28"/>
      <c r="CN573" s="28"/>
      <c r="CQ573" s="28"/>
      <c r="CT573" s="28"/>
      <c r="CW573" s="28"/>
      <c r="CZ573" s="28"/>
      <c r="DC573" s="28"/>
      <c r="DF573" s="28"/>
      <c r="DI573" s="28"/>
      <c r="DL573" s="28"/>
      <c r="DO573" s="28"/>
      <c r="DR573" s="28"/>
      <c r="DU573" s="28"/>
      <c r="DX573" s="28"/>
      <c r="EA573" s="28"/>
      <c r="ED573" s="28"/>
      <c r="EG573" s="28"/>
      <c r="EJ573" s="28"/>
      <c r="EM573" s="28"/>
      <c r="EP573" s="28"/>
      <c r="ES573" s="28"/>
      <c r="EV573" s="28"/>
      <c r="EY573" s="28"/>
      <c r="FB573" s="28"/>
      <c r="FE573" s="28"/>
      <c r="FH573" s="28"/>
      <c r="FK573" s="28"/>
      <c r="FN573" s="28"/>
      <c r="FQ573" s="28"/>
      <c r="FT573" s="28"/>
      <c r="FW573" s="28"/>
      <c r="FZ573" s="28"/>
      <c r="GC573" s="28"/>
    </row>
    <row r="574" spans="1:185" s="25" customFormat="1" x14ac:dyDescent="0.3">
      <c r="A574" s="27"/>
      <c r="B574" s="28"/>
      <c r="C574" s="27"/>
      <c r="D574" s="26"/>
      <c r="E574" s="28"/>
      <c r="H574" s="28"/>
      <c r="K574" s="28"/>
      <c r="N574" s="28"/>
      <c r="Q574" s="28"/>
      <c r="T574" s="28"/>
      <c r="W574" s="28"/>
      <c r="Z574" s="28"/>
      <c r="AC574" s="28"/>
      <c r="AF574" s="28"/>
      <c r="AI574" s="28"/>
      <c r="AL574" s="28"/>
      <c r="AO574" s="28"/>
      <c r="AR574" s="28"/>
      <c r="AU574" s="28"/>
      <c r="AX574" s="28"/>
      <c r="BA574" s="28"/>
      <c r="BD574" s="28"/>
      <c r="BG574" s="28"/>
      <c r="BJ574" s="28"/>
      <c r="BM574" s="28"/>
      <c r="BP574" s="28"/>
      <c r="BS574" s="28"/>
      <c r="BV574" s="28"/>
      <c r="BY574" s="28"/>
      <c r="CB574" s="28"/>
      <c r="CE574" s="28"/>
      <c r="CH574" s="28"/>
      <c r="CK574" s="28"/>
      <c r="CN574" s="28"/>
      <c r="CQ574" s="28"/>
      <c r="CT574" s="28"/>
      <c r="CW574" s="28"/>
      <c r="CZ574" s="28"/>
      <c r="DC574" s="28"/>
      <c r="DF574" s="28"/>
      <c r="DI574" s="28"/>
      <c r="DL574" s="28"/>
      <c r="DO574" s="28"/>
      <c r="DR574" s="28"/>
      <c r="DU574" s="28"/>
      <c r="DX574" s="28"/>
      <c r="EA574" s="28"/>
      <c r="ED574" s="28"/>
      <c r="EG574" s="28"/>
      <c r="EJ574" s="28"/>
      <c r="EM574" s="28"/>
      <c r="EP574" s="28"/>
      <c r="ES574" s="28"/>
      <c r="EV574" s="28"/>
      <c r="EY574" s="28"/>
      <c r="FB574" s="28"/>
      <c r="FE574" s="28"/>
      <c r="FH574" s="28"/>
      <c r="FK574" s="28"/>
      <c r="FN574" s="28"/>
      <c r="FQ574" s="28"/>
      <c r="FT574" s="28"/>
      <c r="FW574" s="28"/>
      <c r="FZ574" s="28"/>
      <c r="GC574" s="28"/>
    </row>
    <row r="575" spans="1:185" s="25" customFormat="1" x14ac:dyDescent="0.3">
      <c r="A575" s="27"/>
      <c r="B575" s="28"/>
      <c r="C575" s="27"/>
      <c r="D575" s="26"/>
      <c r="E575" s="28"/>
      <c r="H575" s="28"/>
      <c r="K575" s="28"/>
      <c r="N575" s="28"/>
      <c r="Q575" s="28"/>
      <c r="T575" s="28"/>
      <c r="W575" s="28"/>
      <c r="Z575" s="28"/>
      <c r="AC575" s="28"/>
      <c r="AF575" s="28"/>
      <c r="AI575" s="28"/>
      <c r="AL575" s="28"/>
      <c r="AO575" s="28"/>
      <c r="AR575" s="28"/>
      <c r="AU575" s="28"/>
      <c r="AX575" s="28"/>
      <c r="BA575" s="28"/>
      <c r="BD575" s="28"/>
      <c r="BG575" s="28"/>
      <c r="BJ575" s="28"/>
      <c r="BM575" s="28"/>
      <c r="BP575" s="28"/>
      <c r="BS575" s="28"/>
      <c r="BV575" s="28"/>
      <c r="BY575" s="28"/>
      <c r="CB575" s="28"/>
      <c r="CE575" s="28"/>
      <c r="CH575" s="28"/>
      <c r="CK575" s="28"/>
      <c r="CN575" s="28"/>
      <c r="CQ575" s="28"/>
      <c r="CT575" s="28"/>
      <c r="CW575" s="28"/>
      <c r="CZ575" s="28"/>
      <c r="DC575" s="28"/>
      <c r="DF575" s="28"/>
      <c r="DI575" s="28"/>
      <c r="DL575" s="28"/>
      <c r="DO575" s="28"/>
      <c r="DR575" s="28"/>
      <c r="DU575" s="28"/>
      <c r="DX575" s="28"/>
      <c r="EA575" s="28"/>
      <c r="ED575" s="28"/>
      <c r="EG575" s="28"/>
      <c r="EJ575" s="28"/>
      <c r="EM575" s="28"/>
      <c r="EP575" s="28"/>
      <c r="ES575" s="28"/>
      <c r="EV575" s="28"/>
      <c r="EY575" s="28"/>
      <c r="FB575" s="28"/>
      <c r="FE575" s="28"/>
      <c r="FH575" s="28"/>
      <c r="FK575" s="28"/>
      <c r="FN575" s="28"/>
      <c r="FQ575" s="28"/>
      <c r="FT575" s="28"/>
      <c r="FW575" s="28"/>
      <c r="FZ575" s="28"/>
      <c r="GC575" s="28"/>
    </row>
    <row r="576" spans="1:185" s="25" customFormat="1" x14ac:dyDescent="0.3">
      <c r="A576" s="27"/>
      <c r="B576" s="28"/>
      <c r="C576" s="27"/>
      <c r="D576" s="26"/>
      <c r="E576" s="28"/>
      <c r="H576" s="28"/>
      <c r="K576" s="28"/>
      <c r="N576" s="28"/>
      <c r="Q576" s="28"/>
      <c r="T576" s="28"/>
      <c r="W576" s="28"/>
      <c r="Z576" s="28"/>
      <c r="AC576" s="28"/>
      <c r="AF576" s="28"/>
      <c r="AI576" s="28"/>
      <c r="AL576" s="28"/>
      <c r="AO576" s="28"/>
      <c r="AR576" s="28"/>
      <c r="AU576" s="28"/>
      <c r="AX576" s="28"/>
      <c r="BA576" s="28"/>
      <c r="BD576" s="28"/>
      <c r="BG576" s="28"/>
      <c r="BJ576" s="28"/>
      <c r="BM576" s="28"/>
      <c r="BP576" s="28"/>
      <c r="BS576" s="28"/>
      <c r="BV576" s="28"/>
      <c r="BY576" s="28"/>
      <c r="CB576" s="28"/>
      <c r="CE576" s="28"/>
      <c r="CH576" s="28"/>
      <c r="CK576" s="28"/>
      <c r="CN576" s="28"/>
      <c r="CQ576" s="28"/>
      <c r="CT576" s="28"/>
      <c r="CW576" s="28"/>
      <c r="CZ576" s="28"/>
      <c r="DC576" s="28"/>
      <c r="DF576" s="28"/>
      <c r="DI576" s="28"/>
      <c r="DL576" s="28"/>
      <c r="DO576" s="28"/>
      <c r="DR576" s="28"/>
      <c r="DU576" s="28"/>
      <c r="DX576" s="28"/>
      <c r="EA576" s="28"/>
      <c r="ED576" s="28"/>
      <c r="EG576" s="28"/>
      <c r="EJ576" s="28"/>
      <c r="EM576" s="28"/>
      <c r="EP576" s="28"/>
      <c r="ES576" s="28"/>
      <c r="EV576" s="28"/>
      <c r="EY576" s="28"/>
      <c r="FB576" s="28"/>
      <c r="FE576" s="28"/>
      <c r="FH576" s="28"/>
      <c r="FK576" s="28"/>
      <c r="FN576" s="28"/>
      <c r="FQ576" s="28"/>
      <c r="FT576" s="28"/>
      <c r="FW576" s="28"/>
      <c r="FZ576" s="28"/>
      <c r="GC576" s="28"/>
    </row>
    <row r="577" spans="1:185" s="25" customFormat="1" x14ac:dyDescent="0.3">
      <c r="A577" s="27"/>
      <c r="B577" s="28"/>
      <c r="C577" s="27"/>
      <c r="D577" s="26"/>
      <c r="E577" s="28"/>
      <c r="H577" s="28"/>
      <c r="K577" s="28"/>
      <c r="N577" s="28"/>
      <c r="Q577" s="28"/>
      <c r="T577" s="28"/>
      <c r="W577" s="28"/>
      <c r="Z577" s="28"/>
      <c r="AC577" s="28"/>
      <c r="AF577" s="28"/>
      <c r="AI577" s="28"/>
      <c r="AL577" s="28"/>
      <c r="AO577" s="28"/>
      <c r="AR577" s="28"/>
      <c r="AU577" s="28"/>
      <c r="AX577" s="28"/>
      <c r="BA577" s="28"/>
      <c r="BD577" s="28"/>
      <c r="BG577" s="28"/>
      <c r="BJ577" s="28"/>
      <c r="BM577" s="28"/>
      <c r="BP577" s="28"/>
      <c r="BS577" s="28"/>
      <c r="BV577" s="28"/>
      <c r="BY577" s="28"/>
      <c r="CB577" s="28"/>
      <c r="CE577" s="28"/>
      <c r="CH577" s="28"/>
      <c r="CK577" s="28"/>
      <c r="CN577" s="28"/>
      <c r="CQ577" s="28"/>
      <c r="CT577" s="28"/>
      <c r="CW577" s="28"/>
      <c r="CZ577" s="28"/>
      <c r="DC577" s="28"/>
      <c r="DF577" s="28"/>
      <c r="DI577" s="28"/>
      <c r="DL577" s="28"/>
      <c r="DO577" s="28"/>
      <c r="DR577" s="28"/>
      <c r="DU577" s="28"/>
      <c r="DX577" s="28"/>
      <c r="EA577" s="28"/>
      <c r="ED577" s="28"/>
      <c r="EG577" s="28"/>
      <c r="EJ577" s="28"/>
      <c r="EM577" s="28"/>
      <c r="EP577" s="28"/>
      <c r="ES577" s="28"/>
      <c r="EV577" s="28"/>
      <c r="EY577" s="28"/>
      <c r="FB577" s="28"/>
      <c r="FE577" s="28"/>
      <c r="FH577" s="28"/>
      <c r="FK577" s="28"/>
      <c r="FN577" s="28"/>
      <c r="FQ577" s="28"/>
      <c r="FT577" s="28"/>
      <c r="FW577" s="28"/>
      <c r="FZ577" s="28"/>
      <c r="GC577" s="28"/>
    </row>
    <row r="578" spans="1:185" s="25" customFormat="1" x14ac:dyDescent="0.3">
      <c r="A578" s="27"/>
      <c r="B578" s="28"/>
      <c r="C578" s="27"/>
      <c r="D578" s="26"/>
      <c r="E578" s="28"/>
      <c r="H578" s="28"/>
      <c r="K578" s="28"/>
      <c r="N578" s="28"/>
      <c r="Q578" s="28"/>
      <c r="T578" s="28"/>
      <c r="W578" s="28"/>
      <c r="Z578" s="28"/>
      <c r="AC578" s="28"/>
      <c r="AF578" s="28"/>
      <c r="AI578" s="28"/>
      <c r="AL578" s="28"/>
      <c r="AO578" s="28"/>
      <c r="AR578" s="28"/>
      <c r="AU578" s="28"/>
      <c r="AX578" s="28"/>
      <c r="BA578" s="28"/>
      <c r="BD578" s="28"/>
      <c r="BG578" s="28"/>
      <c r="BJ578" s="28"/>
      <c r="BM578" s="28"/>
      <c r="BP578" s="28"/>
      <c r="BS578" s="28"/>
      <c r="BV578" s="28"/>
      <c r="BY578" s="28"/>
      <c r="CB578" s="28"/>
      <c r="CE578" s="28"/>
      <c r="CH578" s="28"/>
      <c r="CK578" s="28"/>
      <c r="CN578" s="28"/>
      <c r="CQ578" s="28"/>
      <c r="CT578" s="28"/>
      <c r="CW578" s="28"/>
      <c r="CZ578" s="28"/>
      <c r="DC578" s="28"/>
      <c r="DF578" s="28"/>
      <c r="DI578" s="28"/>
      <c r="DL578" s="28"/>
      <c r="DO578" s="28"/>
      <c r="DR578" s="28"/>
      <c r="DU578" s="28"/>
      <c r="DX578" s="28"/>
      <c r="EA578" s="28"/>
      <c r="ED578" s="28"/>
      <c r="EG578" s="28"/>
      <c r="EJ578" s="28"/>
      <c r="EM578" s="28"/>
      <c r="EP578" s="28"/>
      <c r="ES578" s="28"/>
      <c r="EV578" s="28"/>
      <c r="EY578" s="28"/>
      <c r="FB578" s="28"/>
      <c r="FE578" s="28"/>
      <c r="FH578" s="28"/>
      <c r="FK578" s="28"/>
      <c r="FN578" s="28"/>
      <c r="FQ578" s="28"/>
      <c r="FT578" s="28"/>
      <c r="FW578" s="28"/>
      <c r="FZ578" s="28"/>
      <c r="GC578" s="28"/>
    </row>
    <row r="579" spans="1:185" s="25" customFormat="1" x14ac:dyDescent="0.3">
      <c r="A579" s="27"/>
      <c r="B579" s="28"/>
      <c r="C579" s="27"/>
      <c r="D579" s="26"/>
      <c r="E579" s="28"/>
      <c r="H579" s="28"/>
      <c r="K579" s="28"/>
      <c r="N579" s="28"/>
      <c r="Q579" s="28"/>
      <c r="T579" s="28"/>
      <c r="W579" s="28"/>
      <c r="Z579" s="28"/>
      <c r="AC579" s="28"/>
      <c r="AF579" s="28"/>
      <c r="AI579" s="28"/>
      <c r="AL579" s="28"/>
      <c r="AO579" s="28"/>
      <c r="AR579" s="28"/>
      <c r="AU579" s="28"/>
      <c r="AX579" s="28"/>
      <c r="BA579" s="28"/>
      <c r="BD579" s="28"/>
      <c r="BG579" s="28"/>
      <c r="BJ579" s="28"/>
      <c r="BM579" s="28"/>
      <c r="BP579" s="28"/>
      <c r="BS579" s="28"/>
      <c r="BV579" s="28"/>
      <c r="BY579" s="28"/>
      <c r="CB579" s="28"/>
      <c r="CE579" s="28"/>
      <c r="CH579" s="28"/>
      <c r="CK579" s="28"/>
      <c r="CN579" s="28"/>
      <c r="CQ579" s="28"/>
      <c r="CT579" s="28"/>
      <c r="CW579" s="28"/>
      <c r="CZ579" s="28"/>
      <c r="DC579" s="28"/>
      <c r="DF579" s="28"/>
      <c r="DI579" s="28"/>
      <c r="DL579" s="28"/>
      <c r="DO579" s="28"/>
      <c r="DR579" s="28"/>
      <c r="DU579" s="28"/>
      <c r="DX579" s="28"/>
      <c r="EA579" s="28"/>
      <c r="ED579" s="28"/>
      <c r="EG579" s="28"/>
      <c r="EJ579" s="28"/>
      <c r="EM579" s="28"/>
      <c r="EP579" s="28"/>
      <c r="ES579" s="28"/>
      <c r="EV579" s="28"/>
      <c r="EY579" s="28"/>
      <c r="FB579" s="28"/>
      <c r="FE579" s="28"/>
      <c r="FH579" s="28"/>
      <c r="FK579" s="28"/>
      <c r="FN579" s="28"/>
      <c r="FQ579" s="28"/>
      <c r="FT579" s="28"/>
      <c r="FW579" s="28"/>
      <c r="FZ579" s="28"/>
      <c r="GC579" s="28"/>
    </row>
    <row r="580" spans="1:185" s="25" customFormat="1" x14ac:dyDescent="0.3">
      <c r="A580" s="27"/>
      <c r="B580" s="28"/>
      <c r="C580" s="27"/>
      <c r="D580" s="26"/>
      <c r="E580" s="28"/>
      <c r="H580" s="28"/>
      <c r="K580" s="28"/>
      <c r="N580" s="28"/>
      <c r="Q580" s="28"/>
      <c r="T580" s="28"/>
      <c r="W580" s="28"/>
      <c r="Z580" s="28"/>
      <c r="AC580" s="28"/>
      <c r="AF580" s="28"/>
      <c r="AI580" s="28"/>
      <c r="AL580" s="28"/>
      <c r="AO580" s="28"/>
      <c r="AR580" s="28"/>
      <c r="AU580" s="28"/>
      <c r="AX580" s="28"/>
      <c r="BA580" s="28"/>
      <c r="BD580" s="28"/>
      <c r="BG580" s="28"/>
      <c r="BJ580" s="28"/>
      <c r="BM580" s="28"/>
      <c r="BP580" s="28"/>
      <c r="BS580" s="28"/>
      <c r="BV580" s="28"/>
      <c r="BY580" s="28"/>
      <c r="CB580" s="28"/>
      <c r="CE580" s="28"/>
      <c r="CH580" s="28"/>
      <c r="CK580" s="28"/>
      <c r="CN580" s="28"/>
      <c r="CQ580" s="28"/>
      <c r="CT580" s="28"/>
      <c r="CW580" s="28"/>
      <c r="CZ580" s="28"/>
      <c r="DC580" s="28"/>
      <c r="DF580" s="28"/>
      <c r="DI580" s="28"/>
      <c r="DL580" s="28"/>
      <c r="DO580" s="28"/>
      <c r="DR580" s="28"/>
      <c r="DU580" s="28"/>
      <c r="DX580" s="28"/>
      <c r="EA580" s="28"/>
      <c r="ED580" s="28"/>
      <c r="EG580" s="28"/>
      <c r="EJ580" s="28"/>
      <c r="EM580" s="28"/>
      <c r="EP580" s="28"/>
      <c r="ES580" s="28"/>
      <c r="EV580" s="28"/>
      <c r="EY580" s="28"/>
      <c r="FB580" s="28"/>
      <c r="FE580" s="28"/>
      <c r="FH580" s="28"/>
      <c r="FK580" s="28"/>
      <c r="FN580" s="28"/>
      <c r="FQ580" s="28"/>
      <c r="FT580" s="28"/>
      <c r="FW580" s="28"/>
      <c r="FZ580" s="28"/>
      <c r="GC580" s="28"/>
    </row>
    <row r="581" spans="1:185" s="25" customFormat="1" x14ac:dyDescent="0.3">
      <c r="A581" s="27"/>
      <c r="B581" s="28"/>
      <c r="C581" s="27"/>
      <c r="D581" s="26"/>
      <c r="E581" s="28"/>
      <c r="H581" s="28"/>
      <c r="K581" s="28"/>
      <c r="N581" s="28"/>
      <c r="Q581" s="28"/>
      <c r="T581" s="28"/>
      <c r="W581" s="28"/>
      <c r="Z581" s="28"/>
      <c r="AC581" s="28"/>
      <c r="AF581" s="28"/>
      <c r="AI581" s="28"/>
      <c r="AL581" s="28"/>
      <c r="AO581" s="28"/>
      <c r="AR581" s="28"/>
      <c r="AU581" s="28"/>
      <c r="AX581" s="28"/>
      <c r="BA581" s="28"/>
      <c r="BD581" s="28"/>
      <c r="BG581" s="28"/>
      <c r="BJ581" s="28"/>
      <c r="BM581" s="28"/>
      <c r="BP581" s="28"/>
      <c r="BS581" s="28"/>
      <c r="BV581" s="28"/>
      <c r="BY581" s="28"/>
      <c r="CB581" s="28"/>
      <c r="CE581" s="28"/>
      <c r="CH581" s="28"/>
      <c r="CK581" s="28"/>
      <c r="CN581" s="28"/>
      <c r="CQ581" s="28"/>
      <c r="CT581" s="28"/>
      <c r="CW581" s="28"/>
      <c r="CZ581" s="28"/>
      <c r="DC581" s="28"/>
      <c r="DF581" s="28"/>
      <c r="DI581" s="28"/>
      <c r="DL581" s="28"/>
      <c r="DO581" s="28"/>
      <c r="DR581" s="28"/>
      <c r="DU581" s="28"/>
      <c r="DX581" s="28"/>
      <c r="EA581" s="28"/>
      <c r="ED581" s="28"/>
      <c r="EG581" s="28"/>
      <c r="EJ581" s="28"/>
      <c r="EM581" s="28"/>
      <c r="EP581" s="28"/>
      <c r="ES581" s="28"/>
      <c r="EV581" s="28"/>
      <c r="EY581" s="28"/>
      <c r="FB581" s="28"/>
      <c r="FE581" s="28"/>
      <c r="FH581" s="28"/>
      <c r="FK581" s="28"/>
      <c r="FN581" s="28"/>
      <c r="FQ581" s="28"/>
      <c r="FT581" s="28"/>
      <c r="FW581" s="28"/>
      <c r="FZ581" s="28"/>
      <c r="GC581" s="28"/>
    </row>
    <row r="582" spans="1:185" s="25" customFormat="1" x14ac:dyDescent="0.3">
      <c r="A582" s="27"/>
      <c r="B582" s="28"/>
      <c r="C582" s="27"/>
      <c r="D582" s="26"/>
      <c r="E582" s="28"/>
      <c r="H582" s="28"/>
      <c r="K582" s="28"/>
      <c r="N582" s="28"/>
      <c r="Q582" s="28"/>
      <c r="T582" s="28"/>
      <c r="W582" s="28"/>
      <c r="Z582" s="28"/>
      <c r="AC582" s="28"/>
      <c r="AF582" s="28"/>
      <c r="AI582" s="28"/>
      <c r="AL582" s="28"/>
      <c r="AO582" s="28"/>
      <c r="AR582" s="28"/>
      <c r="AU582" s="28"/>
      <c r="AX582" s="28"/>
      <c r="BA582" s="28"/>
      <c r="BD582" s="28"/>
      <c r="BG582" s="28"/>
      <c r="BJ582" s="28"/>
      <c r="BM582" s="28"/>
      <c r="BP582" s="28"/>
      <c r="BS582" s="28"/>
      <c r="BV582" s="28"/>
      <c r="BY582" s="28"/>
      <c r="CB582" s="28"/>
      <c r="CE582" s="28"/>
      <c r="CH582" s="28"/>
      <c r="CK582" s="28"/>
      <c r="CN582" s="28"/>
      <c r="CQ582" s="28"/>
      <c r="CT582" s="28"/>
      <c r="CW582" s="28"/>
      <c r="CZ582" s="28"/>
      <c r="DC582" s="28"/>
      <c r="DF582" s="28"/>
      <c r="DI582" s="28"/>
      <c r="DL582" s="28"/>
      <c r="DO582" s="28"/>
      <c r="DR582" s="28"/>
      <c r="DU582" s="28"/>
      <c r="DX582" s="28"/>
      <c r="EA582" s="28"/>
      <c r="ED582" s="28"/>
      <c r="EG582" s="28"/>
      <c r="EJ582" s="28"/>
      <c r="EM582" s="28"/>
      <c r="EP582" s="28"/>
      <c r="ES582" s="28"/>
      <c r="EV582" s="28"/>
      <c r="EY582" s="28"/>
      <c r="FB582" s="28"/>
      <c r="FE582" s="28"/>
      <c r="FH582" s="28"/>
      <c r="FK582" s="28"/>
      <c r="FN582" s="28"/>
      <c r="FQ582" s="28"/>
      <c r="FT582" s="28"/>
      <c r="FW582" s="28"/>
      <c r="FZ582" s="28"/>
      <c r="GC582" s="28"/>
    </row>
    <row r="583" spans="1:185" s="25" customFormat="1" x14ac:dyDescent="0.3">
      <c r="A583" s="27"/>
      <c r="B583" s="28"/>
      <c r="C583" s="27"/>
      <c r="D583" s="26"/>
      <c r="E583" s="28"/>
      <c r="H583" s="28"/>
      <c r="K583" s="28"/>
      <c r="N583" s="28"/>
      <c r="Q583" s="28"/>
      <c r="T583" s="28"/>
      <c r="W583" s="28"/>
      <c r="Z583" s="28"/>
      <c r="AC583" s="28"/>
      <c r="AF583" s="28"/>
      <c r="AI583" s="28"/>
      <c r="AL583" s="28"/>
      <c r="AO583" s="28"/>
      <c r="AR583" s="28"/>
      <c r="AU583" s="28"/>
      <c r="AX583" s="28"/>
      <c r="BA583" s="28"/>
      <c r="BD583" s="28"/>
      <c r="BG583" s="28"/>
      <c r="BJ583" s="28"/>
      <c r="BM583" s="28"/>
      <c r="BP583" s="28"/>
      <c r="BS583" s="28"/>
      <c r="BV583" s="28"/>
      <c r="BY583" s="28"/>
      <c r="CB583" s="28"/>
      <c r="CE583" s="28"/>
      <c r="CH583" s="28"/>
      <c r="CK583" s="28"/>
      <c r="CN583" s="28"/>
      <c r="CQ583" s="28"/>
      <c r="CT583" s="28"/>
      <c r="CW583" s="28"/>
      <c r="CZ583" s="28"/>
      <c r="DC583" s="28"/>
      <c r="DF583" s="28"/>
      <c r="DI583" s="28"/>
      <c r="DL583" s="28"/>
      <c r="DO583" s="28"/>
      <c r="DR583" s="28"/>
      <c r="DU583" s="28"/>
      <c r="DX583" s="28"/>
      <c r="EA583" s="28"/>
      <c r="ED583" s="28"/>
      <c r="EG583" s="28"/>
      <c r="EJ583" s="28"/>
      <c r="EM583" s="28"/>
      <c r="EP583" s="28"/>
      <c r="ES583" s="28"/>
      <c r="EV583" s="28"/>
      <c r="EY583" s="28"/>
      <c r="FB583" s="28"/>
      <c r="FE583" s="28"/>
      <c r="FH583" s="28"/>
      <c r="FK583" s="28"/>
      <c r="FN583" s="28"/>
      <c r="FQ583" s="28"/>
      <c r="FT583" s="28"/>
      <c r="FW583" s="28"/>
      <c r="FZ583" s="28"/>
      <c r="GC583" s="28"/>
    </row>
    <row r="584" spans="1:185" s="25" customFormat="1" x14ac:dyDescent="0.3">
      <c r="A584" s="27"/>
      <c r="B584" s="28"/>
      <c r="C584" s="27"/>
      <c r="D584" s="26"/>
      <c r="E584" s="28"/>
      <c r="H584" s="28"/>
      <c r="K584" s="28"/>
      <c r="N584" s="28"/>
      <c r="Q584" s="28"/>
      <c r="T584" s="28"/>
      <c r="W584" s="28"/>
      <c r="Z584" s="28"/>
      <c r="AC584" s="28"/>
      <c r="AF584" s="28"/>
      <c r="AI584" s="28"/>
      <c r="AL584" s="28"/>
      <c r="AO584" s="28"/>
      <c r="AR584" s="28"/>
      <c r="AU584" s="28"/>
      <c r="AX584" s="28"/>
      <c r="BA584" s="28"/>
      <c r="BD584" s="28"/>
      <c r="BG584" s="28"/>
      <c r="BJ584" s="28"/>
      <c r="BM584" s="28"/>
      <c r="BP584" s="28"/>
      <c r="BS584" s="28"/>
      <c r="BV584" s="28"/>
      <c r="BY584" s="28"/>
      <c r="CB584" s="28"/>
      <c r="CE584" s="28"/>
      <c r="CH584" s="28"/>
      <c r="CK584" s="28"/>
      <c r="CN584" s="28"/>
      <c r="CQ584" s="28"/>
      <c r="CT584" s="28"/>
      <c r="CW584" s="28"/>
      <c r="CZ584" s="28"/>
      <c r="DC584" s="28"/>
      <c r="DF584" s="28"/>
      <c r="DI584" s="28"/>
      <c r="DL584" s="28"/>
      <c r="DO584" s="28"/>
      <c r="DR584" s="28"/>
      <c r="DU584" s="28"/>
      <c r="DX584" s="28"/>
      <c r="EA584" s="28"/>
      <c r="ED584" s="28"/>
      <c r="EG584" s="28"/>
      <c r="EJ584" s="28"/>
      <c r="EM584" s="28"/>
      <c r="EP584" s="28"/>
      <c r="ES584" s="28"/>
      <c r="EV584" s="28"/>
      <c r="EY584" s="28"/>
      <c r="FB584" s="28"/>
      <c r="FE584" s="28"/>
      <c r="FH584" s="28"/>
      <c r="FK584" s="28"/>
      <c r="FN584" s="28"/>
      <c r="FQ584" s="28"/>
      <c r="FT584" s="28"/>
      <c r="FW584" s="28"/>
      <c r="FZ584" s="28"/>
      <c r="GC584" s="28"/>
    </row>
    <row r="585" spans="1:185" s="25" customFormat="1" x14ac:dyDescent="0.3">
      <c r="A585" s="27"/>
      <c r="B585" s="28"/>
      <c r="C585" s="27"/>
      <c r="D585" s="26"/>
      <c r="E585" s="28"/>
      <c r="H585" s="28"/>
      <c r="K585" s="28"/>
      <c r="N585" s="28"/>
      <c r="Q585" s="28"/>
      <c r="T585" s="28"/>
      <c r="W585" s="28"/>
      <c r="Z585" s="28"/>
      <c r="AC585" s="28"/>
      <c r="AF585" s="28"/>
      <c r="AI585" s="28"/>
      <c r="AL585" s="28"/>
      <c r="AO585" s="28"/>
      <c r="AR585" s="28"/>
      <c r="AU585" s="28"/>
      <c r="AX585" s="28"/>
      <c r="BA585" s="28"/>
      <c r="BD585" s="28"/>
      <c r="BG585" s="28"/>
      <c r="BJ585" s="28"/>
      <c r="BM585" s="28"/>
      <c r="BP585" s="28"/>
      <c r="BS585" s="28"/>
      <c r="BV585" s="28"/>
      <c r="BY585" s="28"/>
      <c r="CB585" s="28"/>
      <c r="CE585" s="28"/>
      <c r="CH585" s="28"/>
      <c r="CK585" s="28"/>
      <c r="CN585" s="28"/>
      <c r="CQ585" s="28"/>
      <c r="CT585" s="28"/>
      <c r="CW585" s="28"/>
      <c r="CZ585" s="28"/>
      <c r="DC585" s="28"/>
      <c r="DF585" s="28"/>
      <c r="DI585" s="28"/>
      <c r="DL585" s="28"/>
      <c r="DO585" s="28"/>
      <c r="DR585" s="28"/>
      <c r="DU585" s="28"/>
      <c r="DX585" s="28"/>
      <c r="EA585" s="28"/>
      <c r="ED585" s="28"/>
      <c r="EG585" s="28"/>
      <c r="EJ585" s="28"/>
      <c r="EM585" s="28"/>
      <c r="EP585" s="28"/>
      <c r="ES585" s="28"/>
      <c r="EV585" s="28"/>
      <c r="EY585" s="28"/>
      <c r="FB585" s="28"/>
      <c r="FE585" s="28"/>
      <c r="FH585" s="28"/>
      <c r="FK585" s="28"/>
      <c r="FN585" s="28"/>
      <c r="FQ585" s="28"/>
      <c r="FT585" s="28"/>
      <c r="FW585" s="28"/>
      <c r="FZ585" s="28"/>
      <c r="GC585" s="28"/>
    </row>
    <row r="586" spans="1:185" s="25" customFormat="1" x14ac:dyDescent="0.3">
      <c r="A586" s="27"/>
      <c r="B586" s="28"/>
      <c r="C586" s="27"/>
      <c r="D586" s="26"/>
      <c r="E586" s="28"/>
      <c r="H586" s="28"/>
      <c r="K586" s="28"/>
      <c r="N586" s="28"/>
      <c r="Q586" s="28"/>
      <c r="T586" s="28"/>
      <c r="W586" s="28"/>
      <c r="Z586" s="28"/>
      <c r="AC586" s="28"/>
      <c r="AF586" s="28"/>
      <c r="AI586" s="28"/>
      <c r="AL586" s="28"/>
      <c r="AO586" s="28"/>
      <c r="AR586" s="28"/>
      <c r="AU586" s="28"/>
      <c r="AX586" s="28"/>
      <c r="BA586" s="28"/>
      <c r="BD586" s="28"/>
      <c r="BG586" s="28"/>
      <c r="BJ586" s="28"/>
      <c r="BM586" s="28"/>
      <c r="BP586" s="28"/>
      <c r="BS586" s="28"/>
      <c r="BV586" s="28"/>
      <c r="BY586" s="28"/>
      <c r="CB586" s="28"/>
      <c r="CE586" s="28"/>
      <c r="CH586" s="28"/>
      <c r="CK586" s="28"/>
      <c r="CN586" s="28"/>
      <c r="CQ586" s="28"/>
      <c r="CT586" s="28"/>
      <c r="CW586" s="28"/>
      <c r="CZ586" s="28"/>
      <c r="DC586" s="28"/>
      <c r="DF586" s="28"/>
      <c r="DI586" s="28"/>
      <c r="DL586" s="28"/>
      <c r="DO586" s="28"/>
      <c r="DR586" s="28"/>
      <c r="DU586" s="28"/>
      <c r="DX586" s="28"/>
      <c r="EA586" s="28"/>
      <c r="ED586" s="28"/>
      <c r="EG586" s="28"/>
      <c r="EJ586" s="28"/>
      <c r="EM586" s="28"/>
      <c r="EP586" s="28"/>
      <c r="ES586" s="28"/>
      <c r="EV586" s="28"/>
      <c r="EY586" s="28"/>
      <c r="FB586" s="28"/>
      <c r="FE586" s="28"/>
      <c r="FH586" s="28"/>
      <c r="FK586" s="28"/>
      <c r="FN586" s="28"/>
      <c r="FQ586" s="28"/>
      <c r="FT586" s="28"/>
      <c r="FW586" s="28"/>
      <c r="FZ586" s="28"/>
      <c r="GC586" s="28"/>
    </row>
    <row r="587" spans="1:185" s="25" customFormat="1" x14ac:dyDescent="0.3">
      <c r="A587" s="27"/>
      <c r="B587" s="28"/>
      <c r="C587" s="27"/>
      <c r="D587" s="26"/>
      <c r="E587" s="28"/>
      <c r="H587" s="28"/>
      <c r="K587" s="28"/>
      <c r="N587" s="28"/>
      <c r="Q587" s="28"/>
      <c r="T587" s="28"/>
      <c r="W587" s="28"/>
      <c r="Z587" s="28"/>
      <c r="AC587" s="28"/>
      <c r="AF587" s="28"/>
      <c r="AI587" s="28"/>
      <c r="AL587" s="28"/>
      <c r="AO587" s="28"/>
      <c r="AR587" s="28"/>
      <c r="AU587" s="28"/>
      <c r="AX587" s="28"/>
      <c r="BA587" s="28"/>
      <c r="BD587" s="28"/>
      <c r="BG587" s="28"/>
      <c r="BJ587" s="28"/>
      <c r="BM587" s="28"/>
      <c r="BP587" s="28"/>
      <c r="BS587" s="28"/>
      <c r="BV587" s="28"/>
      <c r="BY587" s="28"/>
      <c r="CB587" s="28"/>
      <c r="CE587" s="28"/>
      <c r="CH587" s="28"/>
      <c r="CK587" s="28"/>
      <c r="CN587" s="28"/>
      <c r="CQ587" s="28"/>
      <c r="CT587" s="28"/>
      <c r="CW587" s="28"/>
      <c r="CZ587" s="28"/>
      <c r="DC587" s="28"/>
      <c r="DF587" s="28"/>
      <c r="DI587" s="28"/>
      <c r="DL587" s="28"/>
      <c r="DO587" s="28"/>
      <c r="DR587" s="28"/>
      <c r="DU587" s="28"/>
      <c r="DX587" s="28"/>
      <c r="EA587" s="28"/>
      <c r="ED587" s="28"/>
      <c r="EG587" s="28"/>
      <c r="EJ587" s="28"/>
      <c r="EM587" s="28"/>
      <c r="EP587" s="28"/>
      <c r="ES587" s="28"/>
      <c r="EV587" s="28"/>
      <c r="EY587" s="28"/>
      <c r="FB587" s="28"/>
      <c r="FE587" s="28"/>
      <c r="FH587" s="28"/>
      <c r="FK587" s="28"/>
      <c r="FN587" s="28"/>
      <c r="FQ587" s="28"/>
      <c r="FT587" s="28"/>
      <c r="FW587" s="28"/>
      <c r="FZ587" s="28"/>
      <c r="GC587" s="28"/>
    </row>
    <row r="588" spans="1:185" s="25" customFormat="1" x14ac:dyDescent="0.3">
      <c r="A588" s="27"/>
      <c r="B588" s="28"/>
      <c r="C588" s="27"/>
      <c r="D588" s="26"/>
      <c r="E588" s="28"/>
      <c r="H588" s="28"/>
      <c r="K588" s="28"/>
      <c r="N588" s="28"/>
      <c r="Q588" s="28"/>
      <c r="T588" s="28"/>
      <c r="W588" s="28"/>
      <c r="Z588" s="28"/>
      <c r="AC588" s="28"/>
      <c r="AF588" s="28"/>
      <c r="AI588" s="28"/>
      <c r="AL588" s="28"/>
      <c r="AO588" s="28"/>
      <c r="AR588" s="28"/>
      <c r="AU588" s="28"/>
      <c r="AX588" s="28"/>
      <c r="BA588" s="28"/>
      <c r="BD588" s="28"/>
      <c r="BG588" s="28"/>
      <c r="BJ588" s="28"/>
      <c r="BM588" s="28"/>
      <c r="BP588" s="28"/>
      <c r="BS588" s="28"/>
      <c r="BV588" s="28"/>
      <c r="BY588" s="28"/>
      <c r="CB588" s="28"/>
      <c r="CE588" s="28"/>
      <c r="CH588" s="28"/>
      <c r="CK588" s="28"/>
      <c r="CN588" s="28"/>
      <c r="CQ588" s="28"/>
      <c r="CT588" s="28"/>
      <c r="CW588" s="28"/>
      <c r="CZ588" s="28"/>
      <c r="DC588" s="28"/>
      <c r="DF588" s="28"/>
      <c r="DI588" s="28"/>
      <c r="DL588" s="28"/>
      <c r="DO588" s="28"/>
      <c r="DR588" s="28"/>
      <c r="DU588" s="28"/>
      <c r="DX588" s="28"/>
      <c r="EA588" s="28"/>
      <c r="ED588" s="28"/>
      <c r="EG588" s="28"/>
      <c r="EJ588" s="28"/>
      <c r="EM588" s="28"/>
      <c r="EP588" s="28"/>
      <c r="ES588" s="28"/>
      <c r="EV588" s="28"/>
      <c r="EY588" s="28"/>
      <c r="FB588" s="28"/>
      <c r="FE588" s="28"/>
      <c r="FH588" s="28"/>
      <c r="FK588" s="28"/>
      <c r="FN588" s="28"/>
      <c r="FQ588" s="28"/>
      <c r="FT588" s="28"/>
      <c r="FW588" s="28"/>
      <c r="FZ588" s="28"/>
      <c r="GC588" s="28"/>
    </row>
    <row r="589" spans="1:185" s="25" customFormat="1" x14ac:dyDescent="0.3">
      <c r="A589" s="27"/>
      <c r="B589" s="28"/>
      <c r="C589" s="27"/>
      <c r="D589" s="26"/>
      <c r="E589" s="28"/>
      <c r="H589" s="28"/>
      <c r="K589" s="28"/>
      <c r="N589" s="28"/>
      <c r="Q589" s="28"/>
      <c r="T589" s="28"/>
      <c r="W589" s="28"/>
      <c r="Z589" s="28"/>
      <c r="AC589" s="28"/>
      <c r="AF589" s="28"/>
      <c r="AI589" s="28"/>
      <c r="AL589" s="28"/>
      <c r="AO589" s="28"/>
      <c r="AR589" s="28"/>
      <c r="AU589" s="28"/>
      <c r="AX589" s="28"/>
      <c r="BA589" s="28"/>
      <c r="BD589" s="28"/>
      <c r="BG589" s="28"/>
      <c r="BJ589" s="28"/>
      <c r="BM589" s="28"/>
      <c r="BP589" s="28"/>
      <c r="BS589" s="28"/>
      <c r="BV589" s="28"/>
      <c r="BY589" s="28"/>
      <c r="CB589" s="28"/>
      <c r="CE589" s="28"/>
      <c r="CH589" s="28"/>
      <c r="CK589" s="28"/>
      <c r="CN589" s="28"/>
      <c r="CQ589" s="28"/>
      <c r="CT589" s="28"/>
      <c r="CW589" s="28"/>
      <c r="CZ589" s="28"/>
      <c r="DC589" s="28"/>
      <c r="DF589" s="28"/>
      <c r="DI589" s="28"/>
      <c r="DL589" s="28"/>
      <c r="DO589" s="28"/>
      <c r="DR589" s="28"/>
      <c r="DU589" s="28"/>
      <c r="DX589" s="28"/>
      <c r="EA589" s="28"/>
      <c r="ED589" s="28"/>
      <c r="EG589" s="28"/>
      <c r="EJ589" s="28"/>
      <c r="EM589" s="28"/>
      <c r="EP589" s="28"/>
      <c r="ES589" s="28"/>
      <c r="EV589" s="28"/>
      <c r="EY589" s="28"/>
      <c r="FB589" s="28"/>
      <c r="FE589" s="28"/>
      <c r="FH589" s="28"/>
      <c r="FK589" s="28"/>
      <c r="FN589" s="28"/>
      <c r="FQ589" s="28"/>
      <c r="FT589" s="28"/>
      <c r="FW589" s="28"/>
      <c r="FZ589" s="28"/>
      <c r="GC589" s="28"/>
    </row>
    <row r="590" spans="1:185" s="25" customFormat="1" x14ac:dyDescent="0.3">
      <c r="A590" s="27"/>
      <c r="B590" s="28"/>
      <c r="C590" s="27"/>
      <c r="D590" s="26"/>
      <c r="E590" s="28"/>
      <c r="H590" s="28"/>
      <c r="K590" s="28"/>
      <c r="N590" s="28"/>
      <c r="Q590" s="28"/>
      <c r="T590" s="28"/>
      <c r="W590" s="28"/>
      <c r="Z590" s="28"/>
      <c r="AC590" s="28"/>
      <c r="AF590" s="28"/>
      <c r="AI590" s="28"/>
      <c r="AL590" s="28"/>
      <c r="AO590" s="28"/>
      <c r="AR590" s="28"/>
      <c r="AU590" s="28"/>
      <c r="AX590" s="28"/>
      <c r="BA590" s="28"/>
      <c r="BD590" s="28"/>
      <c r="BG590" s="28"/>
      <c r="BJ590" s="28"/>
      <c r="BM590" s="28"/>
      <c r="BP590" s="28"/>
      <c r="BS590" s="28"/>
      <c r="BV590" s="28"/>
      <c r="BY590" s="28"/>
      <c r="CB590" s="28"/>
      <c r="CE590" s="28"/>
      <c r="CH590" s="28"/>
      <c r="CK590" s="28"/>
      <c r="CN590" s="28"/>
      <c r="CQ590" s="28"/>
      <c r="CT590" s="28"/>
      <c r="CW590" s="28"/>
      <c r="CZ590" s="28"/>
      <c r="DC590" s="28"/>
      <c r="DF590" s="28"/>
      <c r="DI590" s="28"/>
      <c r="DL590" s="28"/>
      <c r="DO590" s="28"/>
      <c r="DR590" s="28"/>
      <c r="DU590" s="28"/>
      <c r="DX590" s="28"/>
      <c r="EA590" s="28"/>
      <c r="ED590" s="28"/>
      <c r="EG590" s="28"/>
      <c r="EJ590" s="28"/>
      <c r="EM590" s="28"/>
      <c r="EP590" s="28"/>
      <c r="ES590" s="28"/>
      <c r="EV590" s="28"/>
      <c r="EY590" s="28"/>
      <c r="FB590" s="28"/>
      <c r="FE590" s="28"/>
      <c r="FH590" s="28"/>
      <c r="FK590" s="28"/>
      <c r="FN590" s="28"/>
      <c r="FQ590" s="28"/>
      <c r="FT590" s="28"/>
      <c r="FW590" s="28"/>
      <c r="FZ590" s="28"/>
      <c r="GC590" s="28"/>
    </row>
    <row r="591" spans="1:185" s="25" customFormat="1" x14ac:dyDescent="0.3">
      <c r="A591" s="27"/>
      <c r="B591" s="28"/>
      <c r="C591" s="27"/>
      <c r="D591" s="26"/>
      <c r="E591" s="28"/>
      <c r="H591" s="28"/>
      <c r="K591" s="28"/>
      <c r="N591" s="28"/>
      <c r="Q591" s="28"/>
      <c r="T591" s="28"/>
      <c r="W591" s="28"/>
      <c r="Z591" s="28"/>
      <c r="AC591" s="28"/>
      <c r="AF591" s="28"/>
      <c r="AI591" s="28"/>
      <c r="AL591" s="28"/>
      <c r="AO591" s="28"/>
      <c r="AR591" s="28"/>
      <c r="AU591" s="28"/>
      <c r="AX591" s="28"/>
      <c r="BA591" s="28"/>
      <c r="BD591" s="28"/>
      <c r="BG591" s="28"/>
      <c r="BJ591" s="28"/>
      <c r="BM591" s="28"/>
      <c r="BP591" s="28"/>
      <c r="BS591" s="28"/>
      <c r="BV591" s="28"/>
      <c r="BY591" s="28"/>
      <c r="CB591" s="28"/>
      <c r="CE591" s="28"/>
      <c r="CH591" s="28"/>
      <c r="CK591" s="28"/>
      <c r="CN591" s="28"/>
      <c r="CQ591" s="28"/>
      <c r="CT591" s="28"/>
      <c r="CW591" s="28"/>
      <c r="CZ591" s="28"/>
      <c r="DC591" s="28"/>
      <c r="DF591" s="28"/>
      <c r="DI591" s="28"/>
      <c r="DL591" s="28"/>
      <c r="DO591" s="28"/>
      <c r="DR591" s="28"/>
      <c r="DU591" s="28"/>
      <c r="DX591" s="28"/>
      <c r="EA591" s="28"/>
      <c r="ED591" s="28"/>
      <c r="EG591" s="28"/>
      <c r="EJ591" s="28"/>
      <c r="EM591" s="28"/>
      <c r="EP591" s="28"/>
      <c r="ES591" s="28"/>
      <c r="EV591" s="28"/>
      <c r="EY591" s="28"/>
      <c r="FB591" s="28"/>
      <c r="FE591" s="28"/>
      <c r="FH591" s="28"/>
      <c r="FK591" s="28"/>
      <c r="FN591" s="28"/>
      <c r="FQ591" s="28"/>
      <c r="FT591" s="28"/>
      <c r="FW591" s="28"/>
      <c r="FZ591" s="28"/>
      <c r="GC591" s="28"/>
    </row>
    <row r="592" spans="1:185" s="25" customFormat="1" x14ac:dyDescent="0.3">
      <c r="A592" s="27"/>
      <c r="B592" s="28"/>
      <c r="C592" s="27"/>
      <c r="D592" s="26"/>
      <c r="E592" s="28"/>
      <c r="H592" s="28"/>
      <c r="K592" s="28"/>
      <c r="N592" s="28"/>
      <c r="Q592" s="28"/>
      <c r="T592" s="28"/>
      <c r="W592" s="28"/>
      <c r="Z592" s="28"/>
      <c r="AC592" s="28"/>
      <c r="AF592" s="28"/>
      <c r="AI592" s="28"/>
      <c r="AL592" s="28"/>
      <c r="AO592" s="28"/>
      <c r="AR592" s="28"/>
      <c r="AU592" s="28"/>
      <c r="AX592" s="28"/>
      <c r="BA592" s="28"/>
      <c r="BD592" s="28"/>
      <c r="BG592" s="28"/>
      <c r="BJ592" s="28"/>
      <c r="BM592" s="28"/>
      <c r="BP592" s="28"/>
      <c r="BS592" s="28"/>
      <c r="BV592" s="28"/>
      <c r="BY592" s="28"/>
      <c r="CB592" s="28"/>
      <c r="CE592" s="28"/>
      <c r="CH592" s="28"/>
      <c r="CK592" s="28"/>
      <c r="CN592" s="28"/>
      <c r="CQ592" s="28"/>
      <c r="CT592" s="28"/>
      <c r="CW592" s="28"/>
      <c r="CZ592" s="28"/>
      <c r="DC592" s="28"/>
      <c r="DF592" s="28"/>
      <c r="DI592" s="28"/>
      <c r="DL592" s="28"/>
      <c r="DO592" s="28"/>
      <c r="DR592" s="28"/>
      <c r="DU592" s="28"/>
      <c r="DX592" s="28"/>
      <c r="EA592" s="28"/>
      <c r="ED592" s="28"/>
      <c r="EG592" s="28"/>
      <c r="EJ592" s="28"/>
      <c r="EM592" s="28"/>
      <c r="EP592" s="28"/>
      <c r="ES592" s="28"/>
      <c r="EV592" s="28"/>
      <c r="EY592" s="28"/>
      <c r="FB592" s="28"/>
      <c r="FE592" s="28"/>
      <c r="FH592" s="28"/>
      <c r="FK592" s="28"/>
      <c r="FN592" s="28"/>
      <c r="FQ592" s="28"/>
      <c r="FT592" s="28"/>
      <c r="FW592" s="28"/>
      <c r="FZ592" s="28"/>
      <c r="GC592" s="28"/>
    </row>
    <row r="593" spans="1:185" s="25" customFormat="1" x14ac:dyDescent="0.3">
      <c r="A593" s="27"/>
      <c r="B593" s="28"/>
      <c r="C593" s="27"/>
      <c r="D593" s="26"/>
      <c r="E593" s="28"/>
      <c r="H593" s="28"/>
      <c r="K593" s="28"/>
      <c r="N593" s="28"/>
      <c r="Q593" s="28"/>
      <c r="T593" s="28"/>
      <c r="W593" s="28"/>
      <c r="Z593" s="28"/>
      <c r="AC593" s="28"/>
      <c r="AF593" s="28"/>
      <c r="AI593" s="28"/>
      <c r="AL593" s="28"/>
      <c r="AO593" s="28"/>
      <c r="AR593" s="28"/>
      <c r="AU593" s="28"/>
      <c r="AX593" s="28"/>
      <c r="BA593" s="28"/>
      <c r="BD593" s="28"/>
      <c r="BG593" s="28"/>
      <c r="BJ593" s="28"/>
      <c r="BM593" s="28"/>
      <c r="BP593" s="28"/>
      <c r="BS593" s="28"/>
      <c r="BV593" s="28"/>
      <c r="BY593" s="28"/>
      <c r="CB593" s="28"/>
      <c r="CE593" s="28"/>
      <c r="CH593" s="28"/>
      <c r="CK593" s="28"/>
      <c r="CN593" s="28"/>
      <c r="CQ593" s="28"/>
      <c r="CT593" s="28"/>
      <c r="CW593" s="28"/>
      <c r="CZ593" s="28"/>
      <c r="DC593" s="28"/>
      <c r="DF593" s="28"/>
      <c r="DI593" s="28"/>
      <c r="DL593" s="28"/>
      <c r="DO593" s="28"/>
      <c r="DR593" s="28"/>
      <c r="DU593" s="28"/>
      <c r="DX593" s="28"/>
      <c r="EA593" s="28"/>
      <c r="ED593" s="28"/>
      <c r="EG593" s="28"/>
      <c r="EJ593" s="28"/>
      <c r="EM593" s="28"/>
      <c r="EP593" s="28"/>
      <c r="ES593" s="28"/>
      <c r="EV593" s="28"/>
      <c r="EY593" s="28"/>
      <c r="FB593" s="28"/>
      <c r="FE593" s="28"/>
      <c r="FH593" s="28"/>
      <c r="FK593" s="28"/>
      <c r="FN593" s="28"/>
      <c r="FQ593" s="28"/>
      <c r="FT593" s="28"/>
      <c r="FW593" s="28"/>
      <c r="FZ593" s="28"/>
      <c r="GC593" s="28"/>
    </row>
    <row r="594" spans="1:185" s="25" customFormat="1" x14ac:dyDescent="0.3">
      <c r="A594" s="27"/>
      <c r="B594" s="28"/>
      <c r="C594" s="27"/>
      <c r="D594" s="26"/>
      <c r="E594" s="28"/>
      <c r="H594" s="28"/>
      <c r="K594" s="28"/>
      <c r="N594" s="28"/>
      <c r="Q594" s="28"/>
      <c r="T594" s="28"/>
      <c r="W594" s="28"/>
      <c r="Z594" s="28"/>
      <c r="AC594" s="28"/>
      <c r="AF594" s="28"/>
      <c r="AI594" s="28"/>
      <c r="AL594" s="28"/>
      <c r="AO594" s="28"/>
      <c r="AR594" s="28"/>
      <c r="AU594" s="28"/>
      <c r="AX594" s="28"/>
      <c r="BA594" s="28"/>
      <c r="BD594" s="28"/>
      <c r="BG594" s="28"/>
      <c r="BJ594" s="28"/>
      <c r="BM594" s="28"/>
      <c r="BP594" s="28"/>
      <c r="BS594" s="28"/>
      <c r="BV594" s="28"/>
      <c r="BY594" s="28"/>
      <c r="CB594" s="28"/>
      <c r="CE594" s="28"/>
      <c r="CH594" s="28"/>
      <c r="CK594" s="28"/>
      <c r="CN594" s="28"/>
      <c r="CQ594" s="28"/>
      <c r="CT594" s="28"/>
      <c r="CW594" s="28"/>
      <c r="CZ594" s="28"/>
      <c r="DC594" s="28"/>
      <c r="DF594" s="28"/>
      <c r="DI594" s="28"/>
      <c r="DL594" s="28"/>
      <c r="DO594" s="28"/>
      <c r="DR594" s="28"/>
      <c r="DU594" s="28"/>
      <c r="DX594" s="28"/>
      <c r="EA594" s="28"/>
      <c r="ED594" s="28"/>
      <c r="EG594" s="28"/>
      <c r="EJ594" s="28"/>
      <c r="EM594" s="28"/>
      <c r="EP594" s="28"/>
      <c r="ES594" s="28"/>
      <c r="EV594" s="28"/>
      <c r="EY594" s="28"/>
      <c r="FB594" s="28"/>
      <c r="FE594" s="28"/>
      <c r="FH594" s="28"/>
      <c r="FK594" s="28"/>
      <c r="FN594" s="28"/>
      <c r="FQ594" s="28"/>
      <c r="FT594" s="28"/>
      <c r="FW594" s="28"/>
      <c r="FZ594" s="28"/>
      <c r="GC594" s="28"/>
    </row>
    <row r="595" spans="1:185" s="25" customFormat="1" x14ac:dyDescent="0.3">
      <c r="A595" s="27"/>
      <c r="B595" s="28"/>
      <c r="C595" s="27"/>
      <c r="D595" s="26"/>
      <c r="E595" s="28"/>
      <c r="H595" s="28"/>
      <c r="K595" s="28"/>
      <c r="N595" s="28"/>
      <c r="Q595" s="28"/>
      <c r="T595" s="28"/>
      <c r="W595" s="28"/>
      <c r="Z595" s="28"/>
      <c r="AC595" s="28"/>
      <c r="AF595" s="28"/>
      <c r="AI595" s="28"/>
      <c r="AL595" s="28"/>
      <c r="AO595" s="28"/>
      <c r="AR595" s="28"/>
      <c r="AU595" s="28"/>
      <c r="AX595" s="28"/>
      <c r="BA595" s="28"/>
      <c r="BD595" s="28"/>
      <c r="BG595" s="28"/>
      <c r="BJ595" s="28"/>
      <c r="BM595" s="28"/>
      <c r="BP595" s="28"/>
      <c r="BS595" s="28"/>
      <c r="BV595" s="28"/>
      <c r="BY595" s="28"/>
      <c r="CB595" s="28"/>
      <c r="CE595" s="28"/>
      <c r="CH595" s="28"/>
      <c r="CK595" s="28"/>
      <c r="CN595" s="28"/>
      <c r="CQ595" s="28"/>
      <c r="CT595" s="28"/>
      <c r="CW595" s="28"/>
      <c r="CZ595" s="28"/>
      <c r="DC595" s="28"/>
      <c r="DF595" s="28"/>
      <c r="DI595" s="28"/>
      <c r="DL595" s="28"/>
      <c r="DO595" s="28"/>
      <c r="DR595" s="28"/>
      <c r="DU595" s="28"/>
      <c r="DX595" s="28"/>
      <c r="EA595" s="28"/>
      <c r="ED595" s="28"/>
      <c r="EG595" s="28"/>
      <c r="EJ595" s="28"/>
      <c r="EM595" s="28"/>
      <c r="EP595" s="28"/>
      <c r="ES595" s="28"/>
      <c r="EV595" s="28"/>
      <c r="EY595" s="28"/>
      <c r="FB595" s="28"/>
      <c r="FE595" s="28"/>
      <c r="FH595" s="28"/>
      <c r="FK595" s="28"/>
      <c r="FN595" s="28"/>
      <c r="FQ595" s="28"/>
      <c r="FT595" s="28"/>
      <c r="FW595" s="28"/>
      <c r="FZ595" s="28"/>
      <c r="GC595" s="28"/>
    </row>
    <row r="596" spans="1:185" s="25" customFormat="1" x14ac:dyDescent="0.3">
      <c r="A596" s="27"/>
      <c r="B596" s="28"/>
      <c r="C596" s="27"/>
      <c r="D596" s="26"/>
      <c r="E596" s="28"/>
      <c r="H596" s="28"/>
      <c r="K596" s="28"/>
      <c r="N596" s="28"/>
      <c r="Q596" s="28"/>
      <c r="T596" s="28"/>
      <c r="W596" s="28"/>
      <c r="Z596" s="28"/>
      <c r="AC596" s="28"/>
      <c r="AF596" s="28"/>
      <c r="AI596" s="28"/>
      <c r="AL596" s="28"/>
      <c r="AO596" s="28"/>
      <c r="AR596" s="28"/>
      <c r="AU596" s="28"/>
      <c r="AX596" s="28"/>
      <c r="BA596" s="28"/>
      <c r="BD596" s="28"/>
      <c r="BG596" s="28"/>
      <c r="BJ596" s="28"/>
      <c r="BM596" s="28"/>
      <c r="BP596" s="28"/>
      <c r="BS596" s="28"/>
      <c r="BV596" s="28"/>
      <c r="BY596" s="28"/>
      <c r="CB596" s="28"/>
      <c r="CE596" s="28"/>
      <c r="CH596" s="28"/>
      <c r="CK596" s="28"/>
      <c r="CN596" s="28"/>
      <c r="CQ596" s="28"/>
      <c r="CT596" s="28"/>
      <c r="CW596" s="28"/>
      <c r="CZ596" s="28"/>
      <c r="DC596" s="28"/>
      <c r="DF596" s="28"/>
      <c r="DI596" s="28"/>
      <c r="DL596" s="28"/>
      <c r="DO596" s="28"/>
      <c r="DR596" s="28"/>
      <c r="DU596" s="28"/>
      <c r="DX596" s="28"/>
      <c r="EA596" s="28"/>
      <c r="ED596" s="28"/>
      <c r="EG596" s="28"/>
      <c r="EJ596" s="28"/>
      <c r="EM596" s="28"/>
      <c r="EP596" s="28"/>
      <c r="ES596" s="28"/>
      <c r="EV596" s="28"/>
      <c r="EY596" s="28"/>
      <c r="FB596" s="28"/>
      <c r="FE596" s="28"/>
      <c r="FH596" s="28"/>
      <c r="FK596" s="28"/>
      <c r="FN596" s="28"/>
      <c r="FQ596" s="28"/>
      <c r="FT596" s="28"/>
      <c r="FW596" s="28"/>
      <c r="FZ596" s="28"/>
      <c r="GC596" s="28"/>
    </row>
    <row r="597" spans="1:185" s="25" customFormat="1" x14ac:dyDescent="0.3">
      <c r="A597" s="27"/>
      <c r="B597" s="28"/>
      <c r="C597" s="27"/>
      <c r="D597" s="26"/>
      <c r="E597" s="28"/>
      <c r="H597" s="28"/>
      <c r="K597" s="28"/>
      <c r="N597" s="28"/>
      <c r="Q597" s="28"/>
      <c r="T597" s="28"/>
      <c r="W597" s="28"/>
      <c r="Z597" s="28"/>
      <c r="AC597" s="28"/>
      <c r="AF597" s="28"/>
      <c r="AI597" s="28"/>
      <c r="AL597" s="28"/>
      <c r="AO597" s="28"/>
      <c r="AR597" s="28"/>
      <c r="AU597" s="28"/>
      <c r="AX597" s="28"/>
      <c r="BA597" s="28"/>
      <c r="BD597" s="28"/>
      <c r="BG597" s="28"/>
      <c r="BJ597" s="28"/>
      <c r="BM597" s="28"/>
      <c r="BP597" s="28"/>
      <c r="BS597" s="28"/>
      <c r="BV597" s="28"/>
      <c r="BY597" s="28"/>
      <c r="CB597" s="28"/>
      <c r="CE597" s="28"/>
      <c r="CH597" s="28"/>
      <c r="CK597" s="28"/>
      <c r="CN597" s="28"/>
      <c r="CQ597" s="28"/>
      <c r="CT597" s="28"/>
      <c r="CW597" s="28"/>
      <c r="CZ597" s="28"/>
      <c r="DC597" s="28"/>
      <c r="DF597" s="28"/>
      <c r="DI597" s="28"/>
      <c r="DL597" s="28"/>
      <c r="DO597" s="28"/>
      <c r="DR597" s="28"/>
      <c r="DU597" s="28"/>
      <c r="DX597" s="28"/>
      <c r="EA597" s="28"/>
      <c r="ED597" s="28"/>
      <c r="EG597" s="28"/>
      <c r="EJ597" s="28"/>
      <c r="EM597" s="28"/>
      <c r="EP597" s="28"/>
      <c r="ES597" s="28"/>
      <c r="EV597" s="28"/>
      <c r="EY597" s="28"/>
      <c r="FB597" s="28"/>
      <c r="FE597" s="28"/>
      <c r="FH597" s="28"/>
      <c r="FK597" s="28"/>
      <c r="FN597" s="28"/>
      <c r="FQ597" s="28"/>
      <c r="FT597" s="28"/>
      <c r="FW597" s="28"/>
      <c r="FZ597" s="28"/>
      <c r="GC597" s="28"/>
    </row>
    <row r="598" spans="1:185" s="25" customFormat="1" x14ac:dyDescent="0.3">
      <c r="A598" s="27"/>
      <c r="B598" s="28"/>
      <c r="C598" s="27"/>
      <c r="D598" s="26"/>
      <c r="E598" s="28"/>
      <c r="H598" s="28"/>
      <c r="K598" s="28"/>
      <c r="N598" s="28"/>
      <c r="Q598" s="28"/>
      <c r="T598" s="28"/>
      <c r="W598" s="28"/>
      <c r="Z598" s="28"/>
      <c r="AC598" s="28"/>
      <c r="AF598" s="28"/>
      <c r="AI598" s="28"/>
      <c r="AL598" s="28"/>
      <c r="AO598" s="28"/>
      <c r="AR598" s="28"/>
      <c r="AU598" s="28"/>
      <c r="AX598" s="28"/>
      <c r="BA598" s="28"/>
      <c r="BD598" s="28"/>
      <c r="BG598" s="28"/>
      <c r="BJ598" s="28"/>
      <c r="BM598" s="28"/>
      <c r="BP598" s="28"/>
      <c r="BS598" s="28"/>
      <c r="BV598" s="28"/>
      <c r="BY598" s="28"/>
      <c r="CB598" s="28"/>
      <c r="CE598" s="28"/>
      <c r="CH598" s="28"/>
      <c r="CK598" s="28"/>
      <c r="CN598" s="28"/>
      <c r="CQ598" s="28"/>
      <c r="CT598" s="28"/>
      <c r="CW598" s="28"/>
      <c r="CZ598" s="28"/>
      <c r="DC598" s="28"/>
      <c r="DF598" s="28"/>
      <c r="DI598" s="28"/>
      <c r="DL598" s="28"/>
      <c r="DO598" s="28"/>
      <c r="DR598" s="28"/>
      <c r="DU598" s="28"/>
      <c r="DX598" s="28"/>
      <c r="EA598" s="28"/>
      <c r="ED598" s="28"/>
      <c r="EG598" s="28"/>
      <c r="EJ598" s="28"/>
      <c r="EM598" s="28"/>
      <c r="EP598" s="28"/>
      <c r="ES598" s="28"/>
      <c r="EV598" s="28"/>
      <c r="EY598" s="28"/>
      <c r="FB598" s="28"/>
      <c r="FE598" s="28"/>
      <c r="FH598" s="28"/>
      <c r="FK598" s="28"/>
      <c r="FN598" s="28"/>
      <c r="FQ598" s="28"/>
      <c r="FT598" s="28"/>
      <c r="FW598" s="28"/>
      <c r="FZ598" s="28"/>
      <c r="GC598" s="28"/>
    </row>
    <row r="599" spans="1:185" s="25" customFormat="1" x14ac:dyDescent="0.3">
      <c r="A599" s="27"/>
      <c r="B599" s="28"/>
      <c r="C599" s="27"/>
      <c r="D599" s="26"/>
      <c r="E599" s="28"/>
      <c r="H599" s="28"/>
      <c r="K599" s="28"/>
      <c r="N599" s="28"/>
      <c r="Q599" s="28"/>
      <c r="T599" s="28"/>
      <c r="W599" s="28"/>
      <c r="Z599" s="28"/>
      <c r="AC599" s="28"/>
      <c r="AF599" s="28"/>
      <c r="AI599" s="28"/>
      <c r="AL599" s="28"/>
      <c r="AO599" s="28"/>
      <c r="AR599" s="28"/>
      <c r="AU599" s="28"/>
      <c r="AX599" s="28"/>
      <c r="BA599" s="28"/>
      <c r="BD599" s="28"/>
      <c r="BG599" s="28"/>
      <c r="BJ599" s="28"/>
      <c r="BM599" s="28"/>
      <c r="BP599" s="28"/>
      <c r="BS599" s="28"/>
      <c r="BV599" s="28"/>
      <c r="BY599" s="28"/>
      <c r="CB599" s="28"/>
      <c r="CE599" s="28"/>
      <c r="CH599" s="28"/>
      <c r="CK599" s="28"/>
      <c r="CN599" s="28"/>
      <c r="CQ599" s="28"/>
      <c r="CT599" s="28"/>
      <c r="CW599" s="28"/>
      <c r="CZ599" s="28"/>
      <c r="DC599" s="28"/>
      <c r="DF599" s="28"/>
      <c r="DI599" s="28"/>
      <c r="DL599" s="28"/>
      <c r="DO599" s="28"/>
      <c r="DR599" s="28"/>
      <c r="DU599" s="28"/>
      <c r="DX599" s="28"/>
      <c r="EA599" s="28"/>
      <c r="ED599" s="28"/>
      <c r="EG599" s="28"/>
      <c r="EJ599" s="28"/>
      <c r="EM599" s="28"/>
      <c r="EP599" s="28"/>
      <c r="ES599" s="28"/>
      <c r="EV599" s="28"/>
      <c r="EY599" s="28"/>
      <c r="FB599" s="28"/>
      <c r="FE599" s="28"/>
      <c r="FH599" s="28"/>
      <c r="FK599" s="28"/>
      <c r="FN599" s="28"/>
      <c r="FQ599" s="28"/>
      <c r="FT599" s="28"/>
      <c r="FW599" s="28"/>
      <c r="FZ599" s="28"/>
      <c r="GC599" s="28"/>
    </row>
    <row r="600" spans="1:185" s="25" customFormat="1" x14ac:dyDescent="0.3">
      <c r="A600" s="27"/>
      <c r="B600" s="28"/>
      <c r="C600" s="27"/>
      <c r="D600" s="26"/>
      <c r="E600" s="28"/>
      <c r="H600" s="28"/>
      <c r="K600" s="28"/>
      <c r="N600" s="28"/>
      <c r="Q600" s="28"/>
      <c r="T600" s="28"/>
      <c r="W600" s="28"/>
      <c r="Z600" s="28"/>
      <c r="AC600" s="28"/>
      <c r="AF600" s="28"/>
      <c r="AI600" s="28"/>
      <c r="AL600" s="28"/>
      <c r="AO600" s="28"/>
      <c r="AR600" s="28"/>
      <c r="AU600" s="28"/>
      <c r="AX600" s="28"/>
      <c r="BA600" s="28"/>
      <c r="BD600" s="28"/>
      <c r="BG600" s="28"/>
      <c r="BJ600" s="28"/>
      <c r="BM600" s="28"/>
      <c r="BP600" s="28"/>
      <c r="BS600" s="28"/>
      <c r="BV600" s="28"/>
      <c r="BY600" s="28"/>
      <c r="CB600" s="28"/>
      <c r="CE600" s="28"/>
      <c r="CH600" s="28"/>
      <c r="CK600" s="28"/>
      <c r="CN600" s="28"/>
      <c r="CQ600" s="28"/>
      <c r="CT600" s="28"/>
      <c r="CW600" s="28"/>
      <c r="CZ600" s="28"/>
      <c r="DC600" s="28"/>
      <c r="DF600" s="28"/>
      <c r="DI600" s="28"/>
      <c r="DL600" s="28"/>
      <c r="DO600" s="28"/>
      <c r="DR600" s="28"/>
      <c r="DU600" s="28"/>
      <c r="DX600" s="28"/>
      <c r="EA600" s="28"/>
      <c r="ED600" s="28"/>
      <c r="EG600" s="28"/>
      <c r="EJ600" s="28"/>
      <c r="EM600" s="28"/>
      <c r="EP600" s="28"/>
      <c r="ES600" s="28"/>
      <c r="EV600" s="28"/>
      <c r="EY600" s="28"/>
      <c r="FB600" s="28"/>
      <c r="FE600" s="28"/>
      <c r="FH600" s="28"/>
      <c r="FK600" s="28"/>
      <c r="FN600" s="28"/>
      <c r="FQ600" s="28"/>
      <c r="FT600" s="28"/>
      <c r="FW600" s="28"/>
      <c r="FZ600" s="28"/>
      <c r="GC600" s="28"/>
    </row>
    <row r="601" spans="1:185" s="25" customFormat="1" x14ac:dyDescent="0.3">
      <c r="A601" s="27"/>
      <c r="B601" s="28"/>
      <c r="C601" s="27"/>
      <c r="D601" s="26"/>
      <c r="E601" s="28"/>
      <c r="H601" s="28"/>
      <c r="K601" s="28"/>
      <c r="N601" s="28"/>
      <c r="Q601" s="28"/>
      <c r="T601" s="28"/>
      <c r="W601" s="28"/>
      <c r="Z601" s="28"/>
      <c r="AC601" s="28"/>
      <c r="AF601" s="28"/>
      <c r="AI601" s="28"/>
      <c r="AL601" s="28"/>
      <c r="AO601" s="28"/>
      <c r="AR601" s="28"/>
      <c r="AU601" s="28"/>
      <c r="AX601" s="28"/>
      <c r="BA601" s="28"/>
      <c r="BD601" s="28"/>
      <c r="BG601" s="28"/>
      <c r="BJ601" s="28"/>
      <c r="BM601" s="28"/>
      <c r="BP601" s="28"/>
      <c r="BS601" s="28"/>
      <c r="BV601" s="28"/>
      <c r="BY601" s="28"/>
      <c r="CB601" s="28"/>
      <c r="CE601" s="28"/>
      <c r="CH601" s="28"/>
      <c r="CK601" s="28"/>
      <c r="CN601" s="28"/>
      <c r="CQ601" s="28"/>
      <c r="CT601" s="28"/>
      <c r="CW601" s="28"/>
      <c r="CZ601" s="28"/>
      <c r="DC601" s="28"/>
      <c r="DF601" s="28"/>
      <c r="DI601" s="28"/>
      <c r="DL601" s="28"/>
      <c r="DO601" s="28"/>
      <c r="DR601" s="28"/>
      <c r="DU601" s="28"/>
      <c r="DX601" s="28"/>
      <c r="EA601" s="28"/>
      <c r="ED601" s="28"/>
      <c r="EG601" s="28"/>
      <c r="EJ601" s="28"/>
      <c r="EM601" s="28"/>
      <c r="EP601" s="28"/>
      <c r="ES601" s="28"/>
      <c r="EV601" s="28"/>
      <c r="EY601" s="28"/>
      <c r="FB601" s="28"/>
      <c r="FE601" s="28"/>
      <c r="FH601" s="28"/>
      <c r="FK601" s="28"/>
      <c r="FN601" s="28"/>
      <c r="FQ601" s="28"/>
      <c r="FT601" s="28"/>
      <c r="FW601" s="28"/>
      <c r="FZ601" s="28"/>
      <c r="GC601" s="28"/>
    </row>
    <row r="602" spans="1:185" s="25" customFormat="1" x14ac:dyDescent="0.3">
      <c r="A602" s="27"/>
      <c r="B602" s="28"/>
      <c r="C602" s="27"/>
      <c r="D602" s="26"/>
      <c r="E602" s="28"/>
      <c r="H602" s="28"/>
      <c r="K602" s="28"/>
      <c r="N602" s="28"/>
      <c r="Q602" s="28"/>
      <c r="T602" s="28"/>
      <c r="W602" s="28"/>
      <c r="Z602" s="28"/>
      <c r="AC602" s="28"/>
      <c r="AF602" s="28"/>
      <c r="AI602" s="28"/>
      <c r="AL602" s="28"/>
      <c r="AO602" s="28"/>
      <c r="AR602" s="28"/>
      <c r="AU602" s="28"/>
      <c r="AX602" s="28"/>
      <c r="BA602" s="28"/>
      <c r="BD602" s="28"/>
      <c r="BG602" s="28"/>
      <c r="BJ602" s="28"/>
      <c r="BM602" s="28"/>
      <c r="BP602" s="28"/>
      <c r="BS602" s="28"/>
      <c r="BV602" s="28"/>
      <c r="BY602" s="28"/>
      <c r="CB602" s="28"/>
      <c r="CE602" s="28"/>
      <c r="CH602" s="28"/>
      <c r="CK602" s="28"/>
      <c r="CN602" s="28"/>
      <c r="CQ602" s="28"/>
      <c r="CT602" s="28"/>
      <c r="CW602" s="28"/>
      <c r="CZ602" s="28"/>
      <c r="DC602" s="28"/>
      <c r="DF602" s="28"/>
      <c r="DI602" s="28"/>
      <c r="DL602" s="28"/>
      <c r="DO602" s="28"/>
      <c r="DR602" s="28"/>
      <c r="DU602" s="28"/>
      <c r="DX602" s="28"/>
      <c r="EA602" s="28"/>
      <c r="ED602" s="28"/>
      <c r="EG602" s="28"/>
      <c r="EJ602" s="28"/>
      <c r="EM602" s="28"/>
      <c r="EP602" s="28"/>
      <c r="ES602" s="28"/>
      <c r="EV602" s="28"/>
      <c r="EY602" s="28"/>
      <c r="FB602" s="28"/>
      <c r="FE602" s="28"/>
      <c r="FH602" s="28"/>
      <c r="FK602" s="28"/>
      <c r="FN602" s="28"/>
      <c r="FQ602" s="28"/>
      <c r="FT602" s="28"/>
      <c r="FW602" s="28"/>
      <c r="FZ602" s="28"/>
      <c r="GC602" s="28"/>
    </row>
    <row r="603" spans="1:185" s="25" customFormat="1" x14ac:dyDescent="0.3">
      <c r="A603" s="27"/>
      <c r="B603" s="28"/>
      <c r="C603" s="27"/>
      <c r="D603" s="26"/>
      <c r="E603" s="28"/>
      <c r="H603" s="28"/>
      <c r="K603" s="28"/>
      <c r="N603" s="28"/>
      <c r="Q603" s="28"/>
      <c r="T603" s="28"/>
      <c r="W603" s="28"/>
      <c r="Z603" s="28"/>
      <c r="AC603" s="28"/>
      <c r="AF603" s="28"/>
      <c r="AI603" s="28"/>
      <c r="AL603" s="28"/>
      <c r="AO603" s="28"/>
      <c r="AR603" s="28"/>
      <c r="AU603" s="28"/>
      <c r="AX603" s="28"/>
      <c r="BA603" s="28"/>
      <c r="BD603" s="28"/>
      <c r="BG603" s="28"/>
      <c r="BJ603" s="28"/>
      <c r="BM603" s="28"/>
      <c r="BP603" s="28"/>
      <c r="BS603" s="28"/>
      <c r="BV603" s="28"/>
      <c r="BY603" s="28"/>
      <c r="CB603" s="28"/>
      <c r="CE603" s="28"/>
      <c r="CH603" s="28"/>
      <c r="CK603" s="28"/>
      <c r="CN603" s="28"/>
      <c r="CQ603" s="28"/>
      <c r="CT603" s="28"/>
      <c r="CW603" s="28"/>
      <c r="CZ603" s="28"/>
      <c r="DC603" s="28"/>
      <c r="DF603" s="28"/>
      <c r="DI603" s="28"/>
      <c r="DL603" s="28"/>
      <c r="DO603" s="28"/>
      <c r="DR603" s="28"/>
      <c r="DU603" s="28"/>
      <c r="DX603" s="28"/>
      <c r="EA603" s="28"/>
      <c r="ED603" s="28"/>
      <c r="EG603" s="28"/>
      <c r="EJ603" s="28"/>
      <c r="EM603" s="28"/>
      <c r="EP603" s="28"/>
      <c r="ES603" s="28"/>
      <c r="EV603" s="28"/>
      <c r="EY603" s="28"/>
      <c r="FB603" s="28"/>
      <c r="FE603" s="28"/>
      <c r="FH603" s="28"/>
      <c r="FK603" s="28"/>
      <c r="FN603" s="28"/>
      <c r="FQ603" s="28"/>
      <c r="FT603" s="28"/>
      <c r="FW603" s="28"/>
      <c r="FZ603" s="28"/>
      <c r="GC603" s="28"/>
    </row>
    <row r="604" spans="1:185" s="25" customFormat="1" x14ac:dyDescent="0.3">
      <c r="A604" s="27"/>
      <c r="B604" s="28"/>
      <c r="C604" s="27"/>
      <c r="D604" s="26"/>
      <c r="E604" s="28"/>
      <c r="H604" s="28"/>
      <c r="K604" s="28"/>
      <c r="N604" s="28"/>
      <c r="Q604" s="28"/>
      <c r="T604" s="28"/>
      <c r="W604" s="28"/>
      <c r="Z604" s="28"/>
      <c r="AC604" s="28"/>
      <c r="AF604" s="28"/>
      <c r="AI604" s="28"/>
      <c r="AL604" s="28"/>
      <c r="AO604" s="28"/>
      <c r="AR604" s="28"/>
      <c r="AU604" s="28"/>
      <c r="AX604" s="28"/>
      <c r="BA604" s="28"/>
      <c r="BD604" s="28"/>
      <c r="BG604" s="28"/>
      <c r="BJ604" s="28"/>
      <c r="BM604" s="28"/>
      <c r="BP604" s="28"/>
      <c r="BS604" s="28"/>
      <c r="BV604" s="28"/>
      <c r="BY604" s="28"/>
      <c r="CB604" s="28"/>
      <c r="CE604" s="28"/>
      <c r="CH604" s="28"/>
      <c r="CK604" s="28"/>
      <c r="CN604" s="28"/>
      <c r="CQ604" s="28"/>
      <c r="CT604" s="28"/>
      <c r="CW604" s="28"/>
      <c r="CZ604" s="28"/>
      <c r="DC604" s="28"/>
      <c r="DF604" s="28"/>
      <c r="DI604" s="28"/>
      <c r="DL604" s="28"/>
      <c r="DO604" s="28"/>
      <c r="DR604" s="28"/>
      <c r="DU604" s="28"/>
      <c r="DX604" s="28"/>
      <c r="EA604" s="28"/>
      <c r="ED604" s="28"/>
      <c r="EG604" s="28"/>
      <c r="EJ604" s="28"/>
      <c r="EM604" s="28"/>
      <c r="EP604" s="28"/>
      <c r="ES604" s="28"/>
      <c r="EV604" s="28"/>
      <c r="EY604" s="28"/>
      <c r="FB604" s="28"/>
      <c r="FE604" s="28"/>
      <c r="FH604" s="28"/>
      <c r="FK604" s="28"/>
      <c r="FN604" s="28"/>
      <c r="FQ604" s="28"/>
      <c r="FT604" s="28"/>
      <c r="FW604" s="28"/>
      <c r="FZ604" s="28"/>
      <c r="GC604" s="28"/>
    </row>
    <row r="605" spans="1:185" s="25" customFormat="1" x14ac:dyDescent="0.3">
      <c r="A605" s="27"/>
      <c r="B605" s="28"/>
      <c r="C605" s="27"/>
      <c r="D605" s="26"/>
      <c r="E605" s="28"/>
      <c r="H605" s="28"/>
      <c r="K605" s="28"/>
      <c r="N605" s="28"/>
      <c r="Q605" s="28"/>
      <c r="T605" s="28"/>
      <c r="W605" s="28"/>
      <c r="Z605" s="28"/>
      <c r="AC605" s="28"/>
      <c r="AF605" s="28"/>
      <c r="AI605" s="28"/>
      <c r="AL605" s="28"/>
      <c r="AO605" s="28"/>
      <c r="AR605" s="28"/>
      <c r="AU605" s="28"/>
      <c r="AX605" s="28"/>
      <c r="BA605" s="28"/>
      <c r="BD605" s="28"/>
      <c r="BG605" s="28"/>
      <c r="BJ605" s="28"/>
      <c r="BM605" s="28"/>
      <c r="BP605" s="28"/>
      <c r="BS605" s="28"/>
      <c r="BV605" s="28"/>
      <c r="BY605" s="28"/>
      <c r="CB605" s="28"/>
      <c r="CE605" s="28"/>
      <c r="CH605" s="28"/>
      <c r="CK605" s="28"/>
      <c r="CN605" s="28"/>
      <c r="CQ605" s="28"/>
      <c r="CT605" s="28"/>
      <c r="CW605" s="28"/>
      <c r="CZ605" s="28"/>
      <c r="DC605" s="28"/>
      <c r="DF605" s="28"/>
      <c r="DI605" s="28"/>
      <c r="DL605" s="28"/>
      <c r="DO605" s="28"/>
      <c r="DR605" s="28"/>
      <c r="DU605" s="28"/>
      <c r="DX605" s="28"/>
      <c r="EA605" s="28"/>
      <c r="ED605" s="28"/>
      <c r="EG605" s="28"/>
      <c r="EJ605" s="28"/>
      <c r="EM605" s="28"/>
      <c r="EP605" s="28"/>
      <c r="ES605" s="28"/>
      <c r="EV605" s="28"/>
      <c r="EY605" s="28"/>
      <c r="FB605" s="28"/>
      <c r="FE605" s="28"/>
      <c r="FH605" s="28"/>
      <c r="FK605" s="28"/>
      <c r="FN605" s="28"/>
      <c r="FQ605" s="28"/>
      <c r="FT605" s="28"/>
      <c r="FW605" s="28"/>
      <c r="FZ605" s="28"/>
      <c r="GC605" s="28"/>
    </row>
    <row r="606" spans="1:185" s="25" customFormat="1" x14ac:dyDescent="0.3">
      <c r="A606" s="27"/>
      <c r="B606" s="28"/>
      <c r="C606" s="27"/>
      <c r="D606" s="26"/>
      <c r="E606" s="28"/>
      <c r="H606" s="28"/>
      <c r="K606" s="28"/>
      <c r="N606" s="28"/>
      <c r="Q606" s="28"/>
      <c r="T606" s="28"/>
      <c r="W606" s="28"/>
      <c r="Z606" s="28"/>
      <c r="AC606" s="28"/>
      <c r="AF606" s="28"/>
      <c r="AI606" s="28"/>
      <c r="AL606" s="28"/>
      <c r="AO606" s="28"/>
      <c r="AR606" s="28"/>
      <c r="AU606" s="28"/>
      <c r="AX606" s="28"/>
      <c r="BA606" s="28"/>
      <c r="BD606" s="28"/>
      <c r="BG606" s="28"/>
      <c r="BJ606" s="28"/>
      <c r="BM606" s="28"/>
      <c r="BP606" s="28"/>
      <c r="BS606" s="28"/>
      <c r="BV606" s="28"/>
      <c r="BY606" s="28"/>
      <c r="CB606" s="28"/>
      <c r="CE606" s="28"/>
      <c r="CH606" s="28"/>
      <c r="CK606" s="28"/>
      <c r="CN606" s="28"/>
      <c r="CQ606" s="28"/>
      <c r="CT606" s="28"/>
      <c r="CW606" s="28"/>
      <c r="CZ606" s="28"/>
      <c r="DC606" s="28"/>
      <c r="DF606" s="28"/>
      <c r="DI606" s="28"/>
      <c r="DL606" s="28"/>
      <c r="DO606" s="28"/>
      <c r="DR606" s="28"/>
      <c r="DU606" s="28"/>
      <c r="DX606" s="28"/>
      <c r="EA606" s="28"/>
      <c r="ED606" s="28"/>
      <c r="EG606" s="28"/>
      <c r="EJ606" s="28"/>
      <c r="EM606" s="28"/>
      <c r="EP606" s="28"/>
      <c r="ES606" s="28"/>
      <c r="EV606" s="28"/>
      <c r="EY606" s="28"/>
      <c r="FB606" s="28"/>
      <c r="FE606" s="28"/>
      <c r="FH606" s="28"/>
      <c r="FK606" s="28"/>
      <c r="FN606" s="28"/>
      <c r="FQ606" s="28"/>
      <c r="FT606" s="28"/>
      <c r="FW606" s="28"/>
      <c r="FZ606" s="28"/>
      <c r="GC606" s="28"/>
    </row>
    <row r="607" spans="1:185" s="25" customFormat="1" x14ac:dyDescent="0.3">
      <c r="A607" s="27"/>
      <c r="B607" s="28"/>
      <c r="C607" s="27"/>
      <c r="D607" s="26"/>
      <c r="E607" s="28"/>
      <c r="H607" s="28"/>
      <c r="K607" s="28"/>
      <c r="N607" s="28"/>
      <c r="Q607" s="28"/>
      <c r="T607" s="28"/>
      <c r="W607" s="28"/>
      <c r="Z607" s="28"/>
      <c r="AC607" s="28"/>
      <c r="AF607" s="28"/>
      <c r="AI607" s="28"/>
      <c r="AL607" s="28"/>
      <c r="AO607" s="28"/>
      <c r="AR607" s="28"/>
      <c r="AU607" s="28"/>
      <c r="AX607" s="28"/>
      <c r="BA607" s="28"/>
      <c r="BD607" s="28"/>
      <c r="BG607" s="28"/>
      <c r="BJ607" s="28"/>
      <c r="BM607" s="28"/>
      <c r="BP607" s="28"/>
      <c r="BS607" s="28"/>
      <c r="BV607" s="28"/>
      <c r="BY607" s="28"/>
      <c r="CB607" s="28"/>
      <c r="CE607" s="28"/>
      <c r="CH607" s="28"/>
      <c r="CK607" s="28"/>
      <c r="CN607" s="28"/>
      <c r="CQ607" s="28"/>
      <c r="CT607" s="28"/>
      <c r="CW607" s="28"/>
      <c r="CZ607" s="28"/>
      <c r="DC607" s="28"/>
      <c r="DF607" s="28"/>
      <c r="DI607" s="28"/>
      <c r="DL607" s="28"/>
      <c r="DO607" s="28"/>
      <c r="DR607" s="28"/>
      <c r="DU607" s="28"/>
      <c r="DX607" s="28"/>
      <c r="EA607" s="28"/>
      <c r="ED607" s="28"/>
      <c r="EG607" s="28"/>
      <c r="EJ607" s="28"/>
      <c r="EM607" s="28"/>
      <c r="EP607" s="28"/>
      <c r="ES607" s="28"/>
      <c r="EV607" s="28"/>
      <c r="EY607" s="28"/>
      <c r="FB607" s="28"/>
      <c r="FE607" s="28"/>
      <c r="FH607" s="28"/>
      <c r="FK607" s="28"/>
      <c r="FN607" s="28"/>
      <c r="FQ607" s="28"/>
      <c r="FT607" s="28"/>
      <c r="FW607" s="28"/>
      <c r="FZ607" s="28"/>
      <c r="GC607" s="28"/>
    </row>
    <row r="608" spans="1:185" s="25" customFormat="1" x14ac:dyDescent="0.3">
      <c r="A608" s="27"/>
      <c r="B608" s="28"/>
      <c r="C608" s="27"/>
      <c r="D608" s="26"/>
      <c r="E608" s="28"/>
      <c r="H608" s="28"/>
      <c r="K608" s="28"/>
      <c r="N608" s="28"/>
      <c r="Q608" s="28"/>
      <c r="T608" s="28"/>
      <c r="W608" s="28"/>
      <c r="Z608" s="28"/>
      <c r="AC608" s="28"/>
      <c r="AF608" s="28"/>
      <c r="AI608" s="28"/>
      <c r="AL608" s="28"/>
      <c r="AO608" s="28"/>
      <c r="AR608" s="28"/>
      <c r="AU608" s="28"/>
      <c r="AX608" s="28"/>
      <c r="BA608" s="28"/>
      <c r="BD608" s="28"/>
      <c r="BG608" s="28"/>
      <c r="BJ608" s="28"/>
      <c r="BM608" s="28"/>
      <c r="BP608" s="28"/>
      <c r="BS608" s="28"/>
      <c r="BV608" s="28"/>
      <c r="BY608" s="28"/>
      <c r="CB608" s="28"/>
      <c r="CE608" s="28"/>
      <c r="CH608" s="28"/>
      <c r="CK608" s="28"/>
      <c r="CN608" s="28"/>
      <c r="CQ608" s="28"/>
      <c r="CT608" s="28"/>
      <c r="CW608" s="28"/>
      <c r="CZ608" s="28"/>
      <c r="DC608" s="28"/>
      <c r="DF608" s="28"/>
      <c r="DI608" s="28"/>
      <c r="DL608" s="28"/>
      <c r="DO608" s="28"/>
      <c r="DR608" s="28"/>
      <c r="DU608" s="28"/>
      <c r="DX608" s="28"/>
      <c r="EA608" s="28"/>
      <c r="ED608" s="28"/>
      <c r="EG608" s="28"/>
      <c r="EJ608" s="28"/>
      <c r="EM608" s="28"/>
      <c r="EP608" s="28"/>
      <c r="ES608" s="28"/>
      <c r="EV608" s="28"/>
      <c r="EY608" s="28"/>
      <c r="FB608" s="28"/>
      <c r="FE608" s="28"/>
      <c r="FH608" s="28"/>
      <c r="FK608" s="28"/>
      <c r="FN608" s="28"/>
      <c r="FQ608" s="28"/>
      <c r="FT608" s="28"/>
      <c r="FW608" s="28"/>
      <c r="FZ608" s="28"/>
      <c r="GC608" s="28"/>
    </row>
    <row r="609" spans="1:185" s="25" customFormat="1" x14ac:dyDescent="0.3">
      <c r="A609" s="27"/>
      <c r="B609" s="28"/>
      <c r="C609" s="27"/>
      <c r="D609" s="26"/>
      <c r="E609" s="28"/>
      <c r="H609" s="28"/>
      <c r="K609" s="28"/>
      <c r="N609" s="28"/>
      <c r="Q609" s="28"/>
      <c r="T609" s="28"/>
      <c r="W609" s="28"/>
      <c r="Z609" s="28"/>
      <c r="AC609" s="28"/>
      <c r="AF609" s="28"/>
      <c r="AI609" s="28"/>
      <c r="AL609" s="28"/>
      <c r="AO609" s="28"/>
      <c r="AR609" s="28"/>
      <c r="AU609" s="28"/>
      <c r="AX609" s="28"/>
      <c r="BA609" s="28"/>
      <c r="BD609" s="28"/>
      <c r="BG609" s="28"/>
      <c r="BJ609" s="28"/>
      <c r="BM609" s="28"/>
      <c r="BP609" s="28"/>
      <c r="BS609" s="28"/>
      <c r="BV609" s="28"/>
      <c r="BY609" s="28"/>
      <c r="CB609" s="28"/>
      <c r="CE609" s="28"/>
      <c r="CH609" s="28"/>
      <c r="CK609" s="28"/>
      <c r="CN609" s="28"/>
      <c r="CQ609" s="28"/>
      <c r="CT609" s="28"/>
      <c r="CW609" s="28"/>
      <c r="CZ609" s="28"/>
      <c r="DC609" s="28"/>
      <c r="DF609" s="28"/>
      <c r="DI609" s="28"/>
      <c r="DL609" s="28"/>
      <c r="DO609" s="28"/>
      <c r="DR609" s="28"/>
      <c r="DU609" s="28"/>
      <c r="DX609" s="28"/>
      <c r="EA609" s="28"/>
      <c r="ED609" s="28"/>
      <c r="EG609" s="28"/>
      <c r="EJ609" s="28"/>
      <c r="EM609" s="28"/>
      <c r="EP609" s="28"/>
      <c r="ES609" s="28"/>
      <c r="EV609" s="28"/>
      <c r="EY609" s="28"/>
      <c r="FB609" s="28"/>
      <c r="FE609" s="28"/>
      <c r="FH609" s="28"/>
      <c r="FK609" s="28"/>
      <c r="FN609" s="28"/>
      <c r="FQ609" s="28"/>
      <c r="FT609" s="28"/>
      <c r="FW609" s="28"/>
      <c r="FZ609" s="28"/>
      <c r="GC609" s="28"/>
    </row>
    <row r="610" spans="1:185" s="25" customFormat="1" x14ac:dyDescent="0.3">
      <c r="A610" s="27"/>
      <c r="B610" s="28"/>
      <c r="C610" s="27"/>
      <c r="D610" s="26"/>
      <c r="E610" s="28"/>
      <c r="H610" s="28"/>
      <c r="K610" s="28"/>
      <c r="N610" s="28"/>
      <c r="Q610" s="28"/>
      <c r="T610" s="28"/>
      <c r="W610" s="28"/>
      <c r="Z610" s="28"/>
      <c r="AC610" s="28"/>
      <c r="AF610" s="28"/>
      <c r="AI610" s="28"/>
      <c r="AL610" s="28"/>
      <c r="AO610" s="28"/>
      <c r="AR610" s="28"/>
      <c r="AU610" s="28"/>
      <c r="AX610" s="28"/>
      <c r="BA610" s="28"/>
      <c r="BD610" s="28"/>
      <c r="BG610" s="28"/>
      <c r="BJ610" s="28"/>
      <c r="BM610" s="28"/>
      <c r="BP610" s="28"/>
      <c r="BS610" s="28"/>
      <c r="BV610" s="28"/>
      <c r="BY610" s="28"/>
      <c r="CB610" s="28"/>
      <c r="CE610" s="28"/>
      <c r="CH610" s="28"/>
      <c r="CK610" s="28"/>
      <c r="CN610" s="28"/>
      <c r="CQ610" s="28"/>
      <c r="CT610" s="28"/>
      <c r="CW610" s="28"/>
      <c r="CZ610" s="28"/>
      <c r="DC610" s="28"/>
      <c r="DF610" s="28"/>
      <c r="DI610" s="28"/>
      <c r="DL610" s="28"/>
      <c r="DO610" s="28"/>
      <c r="DR610" s="28"/>
      <c r="DU610" s="28"/>
      <c r="DX610" s="28"/>
      <c r="EA610" s="28"/>
      <c r="ED610" s="28"/>
      <c r="EG610" s="28"/>
      <c r="EJ610" s="28"/>
      <c r="EM610" s="28"/>
      <c r="EP610" s="28"/>
      <c r="ES610" s="28"/>
      <c r="EV610" s="28"/>
      <c r="EY610" s="28"/>
      <c r="FB610" s="28"/>
      <c r="FE610" s="28"/>
      <c r="FH610" s="28"/>
      <c r="FK610" s="28"/>
      <c r="FN610" s="28"/>
      <c r="FQ610" s="28"/>
      <c r="FT610" s="28"/>
      <c r="FW610" s="28"/>
      <c r="FZ610" s="28"/>
      <c r="GC610" s="28"/>
    </row>
    <row r="611" spans="1:185" s="25" customFormat="1" x14ac:dyDescent="0.3">
      <c r="A611" s="27"/>
      <c r="B611" s="28"/>
      <c r="C611" s="27"/>
      <c r="D611" s="26"/>
      <c r="E611" s="28"/>
      <c r="H611" s="28"/>
      <c r="K611" s="28"/>
      <c r="N611" s="28"/>
      <c r="Q611" s="28"/>
      <c r="T611" s="28"/>
      <c r="W611" s="28"/>
      <c r="Z611" s="28"/>
      <c r="AC611" s="28"/>
      <c r="AF611" s="28"/>
      <c r="AI611" s="28"/>
      <c r="AL611" s="28"/>
      <c r="AO611" s="28"/>
      <c r="AR611" s="28"/>
      <c r="AU611" s="28"/>
      <c r="AX611" s="28"/>
      <c r="BA611" s="28"/>
      <c r="BD611" s="28"/>
      <c r="BG611" s="28"/>
      <c r="BJ611" s="28"/>
      <c r="BM611" s="28"/>
      <c r="BP611" s="28"/>
      <c r="BS611" s="28"/>
      <c r="BV611" s="28"/>
      <c r="BY611" s="28"/>
      <c r="CB611" s="28"/>
      <c r="CE611" s="28"/>
      <c r="CH611" s="28"/>
      <c r="CK611" s="28"/>
      <c r="CN611" s="28"/>
      <c r="CQ611" s="28"/>
      <c r="CT611" s="28"/>
      <c r="CW611" s="28"/>
      <c r="CZ611" s="28"/>
      <c r="DC611" s="28"/>
      <c r="DF611" s="28"/>
      <c r="DI611" s="28"/>
      <c r="DL611" s="28"/>
      <c r="DO611" s="28"/>
      <c r="DR611" s="28"/>
      <c r="DU611" s="28"/>
      <c r="DX611" s="28"/>
      <c r="EA611" s="28"/>
      <c r="ED611" s="28"/>
      <c r="EG611" s="28"/>
      <c r="EJ611" s="28"/>
      <c r="EM611" s="28"/>
      <c r="EP611" s="28"/>
      <c r="ES611" s="28"/>
      <c r="EV611" s="28"/>
      <c r="EY611" s="28"/>
      <c r="FB611" s="28"/>
      <c r="FE611" s="28"/>
      <c r="FH611" s="28"/>
      <c r="FK611" s="28"/>
      <c r="FN611" s="28"/>
      <c r="FQ611" s="28"/>
      <c r="FT611" s="28"/>
      <c r="FW611" s="28"/>
      <c r="FZ611" s="28"/>
      <c r="GC611" s="28"/>
    </row>
    <row r="612" spans="1:185" s="25" customFormat="1" x14ac:dyDescent="0.3">
      <c r="A612" s="27"/>
      <c r="B612" s="28"/>
      <c r="C612" s="27"/>
      <c r="D612" s="26"/>
      <c r="E612" s="28"/>
      <c r="H612" s="28"/>
      <c r="K612" s="28"/>
      <c r="N612" s="28"/>
      <c r="Q612" s="28"/>
      <c r="T612" s="28"/>
      <c r="W612" s="28"/>
      <c r="Z612" s="28"/>
      <c r="AC612" s="28"/>
      <c r="AF612" s="28"/>
      <c r="AI612" s="28"/>
      <c r="AL612" s="28"/>
      <c r="AO612" s="28"/>
      <c r="AR612" s="28"/>
      <c r="AU612" s="28"/>
      <c r="AX612" s="28"/>
      <c r="BA612" s="28"/>
      <c r="BD612" s="28"/>
      <c r="BG612" s="28"/>
      <c r="BJ612" s="28"/>
      <c r="BM612" s="28"/>
      <c r="BP612" s="28"/>
      <c r="BS612" s="28"/>
      <c r="BV612" s="28"/>
      <c r="BY612" s="28"/>
      <c r="CB612" s="28"/>
      <c r="CE612" s="28"/>
      <c r="CH612" s="28"/>
      <c r="CK612" s="28"/>
      <c r="CN612" s="28"/>
      <c r="CQ612" s="28"/>
      <c r="CT612" s="28"/>
      <c r="CW612" s="28"/>
      <c r="CZ612" s="28"/>
      <c r="DC612" s="28"/>
      <c r="DF612" s="28"/>
      <c r="DI612" s="28"/>
      <c r="DL612" s="28"/>
      <c r="DO612" s="28"/>
      <c r="DR612" s="28"/>
      <c r="DU612" s="28"/>
      <c r="DX612" s="28"/>
      <c r="EA612" s="28"/>
      <c r="ED612" s="28"/>
      <c r="EG612" s="28"/>
      <c r="EJ612" s="28"/>
      <c r="EM612" s="28"/>
      <c r="EP612" s="28"/>
      <c r="ES612" s="28"/>
      <c r="EV612" s="28"/>
      <c r="EY612" s="28"/>
      <c r="FB612" s="28"/>
      <c r="FE612" s="28"/>
      <c r="FH612" s="28"/>
      <c r="FK612" s="28"/>
      <c r="FN612" s="28"/>
      <c r="FQ612" s="28"/>
      <c r="FT612" s="28"/>
      <c r="FW612" s="28"/>
      <c r="FZ612" s="28"/>
      <c r="GC612" s="28"/>
    </row>
    <row r="613" spans="1:185" s="25" customFormat="1" x14ac:dyDescent="0.3">
      <c r="A613" s="27"/>
      <c r="B613" s="28"/>
      <c r="C613" s="27"/>
      <c r="D613" s="26"/>
      <c r="E613" s="28"/>
      <c r="H613" s="28"/>
      <c r="K613" s="28"/>
      <c r="N613" s="28"/>
      <c r="Q613" s="28"/>
      <c r="T613" s="28"/>
      <c r="W613" s="28"/>
      <c r="Z613" s="28"/>
      <c r="AC613" s="28"/>
      <c r="AF613" s="28"/>
      <c r="AI613" s="28"/>
      <c r="AL613" s="28"/>
      <c r="AO613" s="28"/>
      <c r="AR613" s="28"/>
      <c r="AU613" s="28"/>
      <c r="AX613" s="28"/>
      <c r="BA613" s="28"/>
      <c r="BD613" s="28"/>
      <c r="BG613" s="28"/>
      <c r="BJ613" s="28"/>
      <c r="BM613" s="28"/>
      <c r="BP613" s="28"/>
      <c r="BS613" s="28"/>
      <c r="BV613" s="28"/>
      <c r="BY613" s="28"/>
      <c r="CB613" s="28"/>
      <c r="CE613" s="28"/>
      <c r="CH613" s="28"/>
      <c r="CK613" s="28"/>
      <c r="CN613" s="28"/>
      <c r="CQ613" s="28"/>
      <c r="CT613" s="28"/>
      <c r="CW613" s="28"/>
      <c r="CZ613" s="28"/>
      <c r="DC613" s="28"/>
      <c r="DF613" s="28"/>
      <c r="DI613" s="28"/>
      <c r="DL613" s="28"/>
      <c r="DO613" s="28"/>
      <c r="DR613" s="28"/>
      <c r="DU613" s="28"/>
      <c r="DX613" s="28"/>
      <c r="EA613" s="28"/>
      <c r="ED613" s="28"/>
      <c r="EG613" s="28"/>
      <c r="EJ613" s="28"/>
      <c r="EM613" s="28"/>
      <c r="EP613" s="28"/>
      <c r="ES613" s="28"/>
      <c r="EV613" s="28"/>
      <c r="EY613" s="28"/>
      <c r="FB613" s="28"/>
      <c r="FE613" s="28"/>
      <c r="FH613" s="28"/>
      <c r="FK613" s="28"/>
      <c r="FN613" s="28"/>
      <c r="FQ613" s="28"/>
      <c r="FT613" s="28"/>
      <c r="FW613" s="28"/>
      <c r="FZ613" s="28"/>
      <c r="GC613" s="28"/>
    </row>
    <row r="614" spans="1:185" s="25" customFormat="1" x14ac:dyDescent="0.3">
      <c r="A614" s="27"/>
      <c r="B614" s="28"/>
      <c r="C614" s="27"/>
      <c r="D614" s="26"/>
      <c r="E614" s="28"/>
      <c r="H614" s="28"/>
      <c r="K614" s="28"/>
      <c r="N614" s="28"/>
      <c r="Q614" s="28"/>
      <c r="T614" s="28"/>
      <c r="W614" s="28"/>
      <c r="Z614" s="28"/>
      <c r="AC614" s="28"/>
      <c r="AF614" s="28"/>
      <c r="AI614" s="28"/>
      <c r="AL614" s="28"/>
      <c r="AO614" s="28"/>
      <c r="AR614" s="28"/>
      <c r="AU614" s="28"/>
      <c r="AX614" s="28"/>
      <c r="BA614" s="28"/>
      <c r="BD614" s="28"/>
      <c r="BG614" s="28"/>
      <c r="BJ614" s="28"/>
      <c r="BM614" s="28"/>
      <c r="BP614" s="28"/>
      <c r="BS614" s="28"/>
      <c r="BV614" s="28"/>
      <c r="BY614" s="28"/>
      <c r="CB614" s="28"/>
      <c r="CE614" s="28"/>
      <c r="CH614" s="28"/>
      <c r="CK614" s="28"/>
      <c r="CN614" s="28"/>
      <c r="CQ614" s="28"/>
      <c r="CT614" s="28"/>
      <c r="CW614" s="28"/>
      <c r="CZ614" s="28"/>
      <c r="DC614" s="28"/>
      <c r="DF614" s="28"/>
      <c r="DI614" s="28"/>
      <c r="DL614" s="28"/>
      <c r="DO614" s="28"/>
      <c r="DR614" s="28"/>
      <c r="DU614" s="28"/>
      <c r="DX614" s="28"/>
      <c r="EA614" s="28"/>
      <c r="ED614" s="28"/>
      <c r="EG614" s="28"/>
      <c r="EJ614" s="28"/>
      <c r="EM614" s="28"/>
      <c r="EP614" s="28"/>
      <c r="ES614" s="28"/>
      <c r="EV614" s="28"/>
      <c r="EY614" s="28"/>
      <c r="FB614" s="28"/>
      <c r="FE614" s="28"/>
      <c r="FH614" s="28"/>
      <c r="FK614" s="28"/>
      <c r="FN614" s="28"/>
      <c r="FQ614" s="28"/>
      <c r="FT614" s="28"/>
      <c r="FW614" s="28"/>
      <c r="FZ614" s="28"/>
      <c r="GC614" s="28"/>
    </row>
    <row r="615" spans="1:185" s="25" customFormat="1" x14ac:dyDescent="0.3">
      <c r="A615" s="27"/>
      <c r="B615" s="28"/>
      <c r="C615" s="27"/>
      <c r="D615" s="26"/>
      <c r="E615" s="28"/>
      <c r="H615" s="28"/>
      <c r="K615" s="28"/>
      <c r="N615" s="28"/>
      <c r="Q615" s="28"/>
      <c r="T615" s="28"/>
      <c r="W615" s="28"/>
      <c r="Z615" s="28"/>
      <c r="AC615" s="28"/>
      <c r="AF615" s="28"/>
      <c r="AI615" s="28"/>
      <c r="AL615" s="28"/>
      <c r="AO615" s="28"/>
      <c r="AR615" s="28"/>
      <c r="AU615" s="28"/>
      <c r="AX615" s="28"/>
      <c r="BA615" s="28"/>
      <c r="BD615" s="28"/>
      <c r="BG615" s="28"/>
      <c r="BJ615" s="28"/>
      <c r="BM615" s="28"/>
      <c r="BP615" s="28"/>
      <c r="BS615" s="28"/>
      <c r="BV615" s="28"/>
      <c r="BY615" s="28"/>
      <c r="CB615" s="28"/>
      <c r="CE615" s="28"/>
      <c r="CH615" s="28"/>
      <c r="CK615" s="28"/>
      <c r="CN615" s="28"/>
      <c r="CQ615" s="28"/>
      <c r="CT615" s="28"/>
      <c r="CW615" s="28"/>
      <c r="CZ615" s="28"/>
      <c r="DC615" s="28"/>
      <c r="DF615" s="28"/>
      <c r="DI615" s="28"/>
      <c r="DL615" s="28"/>
      <c r="DO615" s="28"/>
      <c r="DR615" s="28"/>
      <c r="DU615" s="28"/>
      <c r="DX615" s="28"/>
      <c r="EA615" s="28"/>
      <c r="ED615" s="28"/>
      <c r="EG615" s="28"/>
      <c r="EJ615" s="28"/>
      <c r="EM615" s="28"/>
      <c r="EP615" s="28"/>
      <c r="ES615" s="28"/>
      <c r="EV615" s="28"/>
      <c r="EY615" s="28"/>
      <c r="FB615" s="28"/>
      <c r="FE615" s="28"/>
      <c r="FH615" s="28"/>
      <c r="FK615" s="28"/>
      <c r="FN615" s="28"/>
      <c r="FQ615" s="28"/>
      <c r="FT615" s="28"/>
      <c r="FW615" s="28"/>
      <c r="FZ615" s="28"/>
      <c r="GC615" s="28"/>
    </row>
    <row r="616" spans="1:185" s="25" customFormat="1" x14ac:dyDescent="0.3">
      <c r="A616" s="27"/>
      <c r="B616" s="28"/>
      <c r="C616" s="27"/>
      <c r="D616" s="26"/>
      <c r="E616" s="28"/>
      <c r="H616" s="28"/>
      <c r="K616" s="28"/>
      <c r="N616" s="28"/>
      <c r="Q616" s="28"/>
      <c r="T616" s="28"/>
      <c r="W616" s="28"/>
      <c r="Z616" s="28"/>
      <c r="AC616" s="28"/>
      <c r="AF616" s="28"/>
      <c r="AI616" s="28"/>
      <c r="AL616" s="28"/>
      <c r="AO616" s="28"/>
      <c r="AR616" s="28"/>
      <c r="AU616" s="28"/>
      <c r="AX616" s="28"/>
      <c r="BA616" s="28"/>
      <c r="BD616" s="28"/>
      <c r="BG616" s="28"/>
      <c r="BJ616" s="28"/>
      <c r="BM616" s="28"/>
      <c r="BP616" s="28"/>
      <c r="BS616" s="28"/>
      <c r="BV616" s="28"/>
      <c r="BY616" s="28"/>
      <c r="CB616" s="28"/>
      <c r="CE616" s="28"/>
      <c r="CH616" s="28"/>
      <c r="CK616" s="28"/>
      <c r="CN616" s="28"/>
      <c r="CQ616" s="28"/>
      <c r="CT616" s="28"/>
      <c r="CW616" s="28"/>
      <c r="CZ616" s="28"/>
      <c r="DC616" s="28"/>
      <c r="DF616" s="28"/>
      <c r="DI616" s="28"/>
      <c r="DL616" s="28"/>
      <c r="DO616" s="28"/>
      <c r="DR616" s="28"/>
      <c r="DU616" s="28"/>
      <c r="DX616" s="28"/>
      <c r="EA616" s="28"/>
      <c r="ED616" s="28"/>
      <c r="EG616" s="28"/>
      <c r="EJ616" s="28"/>
      <c r="EM616" s="28"/>
      <c r="EP616" s="28"/>
      <c r="ES616" s="28"/>
      <c r="EV616" s="28"/>
      <c r="EY616" s="28"/>
      <c r="FB616" s="28"/>
      <c r="FE616" s="28"/>
      <c r="FH616" s="28"/>
      <c r="FK616" s="28"/>
      <c r="FN616" s="28"/>
      <c r="FQ616" s="28"/>
      <c r="FT616" s="28"/>
      <c r="FW616" s="28"/>
      <c r="FZ616" s="28"/>
      <c r="GC616" s="28"/>
    </row>
    <row r="617" spans="1:185" s="25" customFormat="1" x14ac:dyDescent="0.3">
      <c r="A617" s="27"/>
      <c r="B617" s="28"/>
      <c r="C617" s="27"/>
      <c r="D617" s="26"/>
      <c r="E617" s="28"/>
      <c r="H617" s="28"/>
      <c r="K617" s="28"/>
      <c r="N617" s="28"/>
      <c r="Q617" s="28"/>
      <c r="T617" s="28"/>
      <c r="W617" s="28"/>
      <c r="Z617" s="28"/>
      <c r="AC617" s="28"/>
      <c r="AF617" s="28"/>
      <c r="AI617" s="28"/>
      <c r="AL617" s="28"/>
      <c r="AO617" s="28"/>
      <c r="AR617" s="28"/>
      <c r="AU617" s="28"/>
      <c r="AX617" s="28"/>
      <c r="BA617" s="28"/>
      <c r="BD617" s="28"/>
      <c r="BG617" s="28"/>
      <c r="BJ617" s="28"/>
      <c r="BM617" s="28"/>
      <c r="BP617" s="28"/>
      <c r="BS617" s="28"/>
      <c r="BV617" s="28"/>
      <c r="BY617" s="28"/>
      <c r="CB617" s="28"/>
      <c r="CE617" s="28"/>
      <c r="CH617" s="28"/>
      <c r="CK617" s="28"/>
      <c r="CN617" s="28"/>
      <c r="CQ617" s="28"/>
      <c r="CT617" s="28"/>
      <c r="CW617" s="28"/>
      <c r="CZ617" s="28"/>
      <c r="DC617" s="28"/>
      <c r="DF617" s="28"/>
      <c r="DI617" s="28"/>
      <c r="DL617" s="28"/>
      <c r="DO617" s="28"/>
      <c r="DR617" s="28"/>
      <c r="DU617" s="28"/>
      <c r="DX617" s="28"/>
      <c r="EA617" s="28"/>
      <c r="ED617" s="28"/>
      <c r="EG617" s="28"/>
      <c r="EJ617" s="28"/>
      <c r="EM617" s="28"/>
      <c r="EP617" s="28"/>
      <c r="ES617" s="28"/>
      <c r="EV617" s="28"/>
      <c r="EY617" s="28"/>
      <c r="FB617" s="28"/>
      <c r="FE617" s="28"/>
      <c r="FH617" s="28"/>
      <c r="FK617" s="28"/>
      <c r="FN617" s="28"/>
      <c r="FQ617" s="28"/>
      <c r="FT617" s="28"/>
      <c r="FW617" s="28"/>
      <c r="FZ617" s="28"/>
      <c r="GC617" s="28"/>
    </row>
    <row r="618" spans="1:185" s="25" customFormat="1" x14ac:dyDescent="0.3">
      <c r="A618" s="27"/>
      <c r="B618" s="28"/>
      <c r="C618" s="27"/>
      <c r="D618" s="26"/>
      <c r="E618" s="28"/>
      <c r="H618" s="28"/>
      <c r="K618" s="28"/>
      <c r="N618" s="28"/>
      <c r="Q618" s="28"/>
      <c r="T618" s="28"/>
      <c r="W618" s="28"/>
      <c r="Z618" s="28"/>
      <c r="AC618" s="28"/>
      <c r="AF618" s="28"/>
      <c r="AI618" s="28"/>
      <c r="AL618" s="28"/>
      <c r="AO618" s="28"/>
      <c r="AR618" s="28"/>
      <c r="AU618" s="28"/>
      <c r="AX618" s="28"/>
      <c r="BA618" s="28"/>
      <c r="BD618" s="28"/>
      <c r="BG618" s="28"/>
      <c r="BJ618" s="28"/>
      <c r="BM618" s="28"/>
      <c r="BP618" s="28"/>
      <c r="BS618" s="28"/>
      <c r="BV618" s="28"/>
      <c r="BY618" s="28"/>
      <c r="CB618" s="28"/>
      <c r="CE618" s="28"/>
      <c r="CH618" s="28"/>
      <c r="CK618" s="28"/>
      <c r="CN618" s="28"/>
      <c r="CQ618" s="28"/>
      <c r="CT618" s="28"/>
      <c r="CW618" s="28"/>
      <c r="CZ618" s="28"/>
      <c r="DC618" s="28"/>
      <c r="DF618" s="28"/>
      <c r="DI618" s="28"/>
      <c r="DL618" s="28"/>
      <c r="DO618" s="28"/>
      <c r="DR618" s="28"/>
      <c r="DU618" s="28"/>
      <c r="DX618" s="28"/>
      <c r="EA618" s="28"/>
      <c r="ED618" s="28"/>
      <c r="EG618" s="28"/>
      <c r="EJ618" s="28"/>
      <c r="EM618" s="28"/>
      <c r="EP618" s="28"/>
      <c r="ES618" s="28"/>
      <c r="EV618" s="28"/>
      <c r="EY618" s="28"/>
      <c r="FB618" s="28"/>
      <c r="FE618" s="28"/>
      <c r="FH618" s="28"/>
      <c r="FK618" s="28"/>
      <c r="FN618" s="28"/>
      <c r="FQ618" s="28"/>
      <c r="FT618" s="28"/>
      <c r="FW618" s="28"/>
      <c r="FZ618" s="28"/>
      <c r="GC618" s="28"/>
    </row>
    <row r="619" spans="1:185" s="25" customFormat="1" x14ac:dyDescent="0.3">
      <c r="A619" s="27"/>
      <c r="B619" s="28"/>
      <c r="C619" s="27"/>
      <c r="D619" s="26"/>
      <c r="E619" s="28"/>
      <c r="H619" s="28"/>
      <c r="K619" s="28"/>
      <c r="N619" s="28"/>
      <c r="Q619" s="28"/>
      <c r="T619" s="28"/>
      <c r="W619" s="28"/>
      <c r="Z619" s="28"/>
      <c r="AC619" s="28"/>
      <c r="AF619" s="28"/>
      <c r="AI619" s="28"/>
      <c r="AL619" s="28"/>
      <c r="AO619" s="28"/>
      <c r="AR619" s="28"/>
      <c r="AU619" s="28"/>
      <c r="AX619" s="28"/>
      <c r="BA619" s="28"/>
      <c r="BD619" s="28"/>
      <c r="BG619" s="28"/>
      <c r="BJ619" s="28"/>
      <c r="BM619" s="28"/>
      <c r="BP619" s="28"/>
      <c r="BS619" s="28"/>
      <c r="BV619" s="28"/>
      <c r="BY619" s="28"/>
      <c r="CB619" s="28"/>
      <c r="CE619" s="28"/>
      <c r="CH619" s="28"/>
      <c r="CK619" s="28"/>
      <c r="CN619" s="28"/>
      <c r="CQ619" s="28"/>
      <c r="CT619" s="28"/>
      <c r="CW619" s="28"/>
      <c r="CZ619" s="28"/>
      <c r="DC619" s="28"/>
      <c r="DF619" s="28"/>
      <c r="DI619" s="28"/>
      <c r="DL619" s="28"/>
      <c r="DO619" s="28"/>
      <c r="DR619" s="28"/>
      <c r="DU619" s="28"/>
      <c r="DX619" s="28"/>
      <c r="EA619" s="28"/>
      <c r="ED619" s="28"/>
      <c r="EG619" s="28"/>
      <c r="EJ619" s="28"/>
      <c r="EM619" s="28"/>
      <c r="EP619" s="28"/>
      <c r="ES619" s="28"/>
      <c r="EV619" s="28"/>
      <c r="EY619" s="28"/>
      <c r="FB619" s="28"/>
      <c r="FE619" s="28"/>
      <c r="FH619" s="28"/>
      <c r="FK619" s="28"/>
      <c r="FN619" s="28"/>
      <c r="FQ619" s="28"/>
      <c r="FT619" s="28"/>
      <c r="FW619" s="28"/>
      <c r="FZ619" s="28"/>
      <c r="GC619" s="28"/>
    </row>
    <row r="620" spans="1:185" s="25" customFormat="1" x14ac:dyDescent="0.3">
      <c r="A620" s="27"/>
      <c r="B620" s="28"/>
      <c r="C620" s="27"/>
      <c r="D620" s="26"/>
      <c r="E620" s="28"/>
      <c r="H620" s="28"/>
      <c r="K620" s="28"/>
      <c r="N620" s="28"/>
      <c r="Q620" s="28"/>
      <c r="T620" s="28"/>
      <c r="W620" s="28"/>
      <c r="Z620" s="28"/>
      <c r="AC620" s="28"/>
      <c r="AF620" s="28"/>
      <c r="AI620" s="28"/>
      <c r="AL620" s="28"/>
      <c r="AO620" s="28"/>
      <c r="AR620" s="28"/>
      <c r="AU620" s="28"/>
      <c r="AX620" s="28"/>
      <c r="BA620" s="28"/>
      <c r="BD620" s="28"/>
      <c r="BG620" s="28"/>
      <c r="BJ620" s="28"/>
      <c r="BM620" s="28"/>
      <c r="BP620" s="28"/>
      <c r="BS620" s="28"/>
      <c r="BV620" s="28"/>
      <c r="BY620" s="28"/>
      <c r="CB620" s="28"/>
      <c r="CE620" s="28"/>
      <c r="CH620" s="28"/>
      <c r="CK620" s="28"/>
      <c r="CN620" s="28"/>
      <c r="CQ620" s="28"/>
      <c r="CT620" s="28"/>
      <c r="CW620" s="28"/>
      <c r="CZ620" s="28"/>
      <c r="DC620" s="28"/>
      <c r="DF620" s="28"/>
      <c r="DI620" s="28"/>
      <c r="DL620" s="28"/>
      <c r="DO620" s="28"/>
      <c r="DR620" s="28"/>
      <c r="DU620" s="28"/>
      <c r="DX620" s="28"/>
      <c r="EA620" s="28"/>
      <c r="ED620" s="28"/>
      <c r="EG620" s="28"/>
      <c r="EJ620" s="28"/>
      <c r="EM620" s="28"/>
      <c r="EP620" s="28"/>
      <c r="ES620" s="28"/>
      <c r="EV620" s="28"/>
      <c r="EY620" s="28"/>
      <c r="FB620" s="28"/>
      <c r="FE620" s="28"/>
      <c r="FH620" s="28"/>
      <c r="FK620" s="28"/>
      <c r="FN620" s="28"/>
      <c r="FQ620" s="28"/>
      <c r="FT620" s="28"/>
      <c r="FW620" s="28"/>
      <c r="FZ620" s="28"/>
      <c r="GC620" s="28"/>
    </row>
    <row r="621" spans="1:185" s="25" customFormat="1" x14ac:dyDescent="0.3">
      <c r="A621" s="27"/>
      <c r="B621" s="28"/>
      <c r="C621" s="27"/>
      <c r="D621" s="26"/>
      <c r="E621" s="28"/>
      <c r="H621" s="28"/>
      <c r="K621" s="28"/>
      <c r="N621" s="28"/>
      <c r="Q621" s="28"/>
      <c r="T621" s="28"/>
      <c r="W621" s="28"/>
      <c r="Z621" s="28"/>
      <c r="AC621" s="28"/>
      <c r="AF621" s="28"/>
      <c r="AI621" s="28"/>
      <c r="AL621" s="28"/>
      <c r="AO621" s="28"/>
      <c r="AR621" s="28"/>
      <c r="AU621" s="28"/>
      <c r="AX621" s="28"/>
      <c r="BA621" s="28"/>
      <c r="BD621" s="28"/>
      <c r="BG621" s="28"/>
      <c r="BJ621" s="28"/>
      <c r="BM621" s="28"/>
      <c r="BP621" s="28"/>
      <c r="BS621" s="28"/>
      <c r="BV621" s="28"/>
      <c r="BY621" s="28"/>
      <c r="CB621" s="28"/>
      <c r="CE621" s="28"/>
      <c r="CH621" s="28"/>
      <c r="CK621" s="28"/>
      <c r="CN621" s="28"/>
      <c r="CQ621" s="28"/>
      <c r="CT621" s="28"/>
      <c r="CW621" s="28"/>
      <c r="CZ621" s="28"/>
      <c r="DC621" s="28"/>
      <c r="DF621" s="28"/>
      <c r="DI621" s="28"/>
      <c r="DL621" s="28"/>
      <c r="DO621" s="28"/>
      <c r="DR621" s="28"/>
      <c r="DU621" s="28"/>
      <c r="DX621" s="28"/>
      <c r="EA621" s="28"/>
      <c r="ED621" s="28"/>
      <c r="EG621" s="28"/>
      <c r="EJ621" s="28"/>
      <c r="EM621" s="28"/>
      <c r="EP621" s="28"/>
      <c r="ES621" s="28"/>
      <c r="EV621" s="28"/>
      <c r="EY621" s="28"/>
      <c r="FB621" s="28"/>
      <c r="FE621" s="28"/>
      <c r="FH621" s="28"/>
      <c r="FK621" s="28"/>
      <c r="FN621" s="28"/>
      <c r="FQ621" s="28"/>
      <c r="FT621" s="28"/>
      <c r="FW621" s="28"/>
      <c r="FZ621" s="28"/>
      <c r="GC621" s="28"/>
    </row>
    <row r="622" spans="1:185" s="25" customFormat="1" x14ac:dyDescent="0.3">
      <c r="A622" s="27"/>
      <c r="B622" s="28"/>
      <c r="C622" s="27"/>
      <c r="D622" s="26"/>
      <c r="E622" s="28"/>
      <c r="H622" s="28"/>
      <c r="K622" s="28"/>
      <c r="N622" s="28"/>
      <c r="Q622" s="28"/>
      <c r="T622" s="28"/>
      <c r="W622" s="28"/>
      <c r="Z622" s="28"/>
      <c r="AC622" s="28"/>
      <c r="AF622" s="28"/>
      <c r="AI622" s="28"/>
      <c r="AL622" s="28"/>
      <c r="AO622" s="28"/>
      <c r="AR622" s="28"/>
      <c r="AU622" s="28"/>
      <c r="AX622" s="28"/>
      <c r="BA622" s="28"/>
      <c r="BD622" s="28"/>
      <c r="BG622" s="28"/>
      <c r="BJ622" s="28"/>
      <c r="BM622" s="28"/>
      <c r="BP622" s="28"/>
      <c r="BS622" s="28"/>
      <c r="BV622" s="28"/>
      <c r="BY622" s="28"/>
      <c r="CB622" s="28"/>
      <c r="CE622" s="28"/>
      <c r="CH622" s="28"/>
      <c r="CK622" s="28"/>
      <c r="CN622" s="28"/>
      <c r="CQ622" s="28"/>
      <c r="CT622" s="28"/>
      <c r="CW622" s="28"/>
      <c r="CZ622" s="28"/>
      <c r="DC622" s="28"/>
      <c r="DF622" s="28"/>
      <c r="DI622" s="28"/>
      <c r="DL622" s="28"/>
      <c r="DO622" s="28"/>
      <c r="DR622" s="28"/>
      <c r="DU622" s="28"/>
      <c r="DX622" s="28"/>
      <c r="EA622" s="28"/>
      <c r="ED622" s="28"/>
      <c r="EG622" s="28"/>
      <c r="EJ622" s="28"/>
      <c r="EM622" s="28"/>
      <c r="EP622" s="28"/>
      <c r="ES622" s="28"/>
      <c r="EV622" s="28"/>
      <c r="EY622" s="28"/>
      <c r="FB622" s="28"/>
      <c r="FE622" s="28"/>
      <c r="FH622" s="28"/>
      <c r="FK622" s="28"/>
      <c r="FN622" s="28"/>
      <c r="FQ622" s="28"/>
      <c r="FT622" s="28"/>
      <c r="FW622" s="28"/>
      <c r="FZ622" s="28"/>
      <c r="GC622" s="28"/>
    </row>
    <row r="623" spans="1:185" s="25" customFormat="1" x14ac:dyDescent="0.3">
      <c r="A623" s="27"/>
      <c r="B623" s="28"/>
      <c r="C623" s="27"/>
      <c r="D623" s="26"/>
      <c r="E623" s="28"/>
      <c r="H623" s="28"/>
      <c r="K623" s="28"/>
      <c r="N623" s="28"/>
      <c r="Q623" s="28"/>
      <c r="T623" s="28"/>
      <c r="W623" s="28"/>
      <c r="Z623" s="28"/>
      <c r="AC623" s="28"/>
      <c r="AF623" s="28"/>
      <c r="AI623" s="28"/>
      <c r="AL623" s="28"/>
      <c r="AO623" s="28"/>
      <c r="AR623" s="28"/>
      <c r="AU623" s="28"/>
      <c r="AX623" s="28"/>
      <c r="BA623" s="28"/>
      <c r="BD623" s="28"/>
      <c r="BG623" s="28"/>
      <c r="BJ623" s="28"/>
      <c r="BM623" s="28"/>
      <c r="BP623" s="28"/>
      <c r="BS623" s="28"/>
      <c r="BV623" s="28"/>
      <c r="BY623" s="28"/>
      <c r="CB623" s="28"/>
      <c r="CE623" s="28"/>
      <c r="CH623" s="28"/>
      <c r="CK623" s="28"/>
      <c r="CN623" s="28"/>
      <c r="CQ623" s="28"/>
      <c r="CT623" s="28"/>
      <c r="CW623" s="28"/>
      <c r="CZ623" s="28"/>
      <c r="DC623" s="28"/>
      <c r="DF623" s="28"/>
      <c r="DI623" s="28"/>
      <c r="DL623" s="28"/>
      <c r="DO623" s="28"/>
      <c r="DR623" s="28"/>
      <c r="DU623" s="28"/>
      <c r="DX623" s="28"/>
      <c r="EA623" s="28"/>
      <c r="ED623" s="28"/>
      <c r="EG623" s="28"/>
      <c r="EJ623" s="28"/>
      <c r="EM623" s="28"/>
      <c r="EP623" s="28"/>
      <c r="ES623" s="28"/>
      <c r="EV623" s="28"/>
      <c r="EY623" s="28"/>
      <c r="FB623" s="28"/>
      <c r="FE623" s="28"/>
      <c r="FH623" s="28"/>
      <c r="FK623" s="28"/>
      <c r="FN623" s="28"/>
      <c r="FQ623" s="28"/>
      <c r="FT623" s="28"/>
      <c r="FW623" s="28"/>
      <c r="FZ623" s="28"/>
      <c r="GC623" s="28"/>
    </row>
    <row r="624" spans="1:185" s="25" customFormat="1" x14ac:dyDescent="0.3">
      <c r="A624" s="27"/>
      <c r="B624" s="28"/>
      <c r="C624" s="27"/>
      <c r="D624" s="26"/>
      <c r="E624" s="28"/>
      <c r="H624" s="28"/>
      <c r="K624" s="28"/>
      <c r="N624" s="28"/>
      <c r="Q624" s="28"/>
      <c r="T624" s="28"/>
      <c r="W624" s="28"/>
      <c r="Z624" s="28"/>
      <c r="AC624" s="28"/>
      <c r="AF624" s="28"/>
      <c r="AI624" s="28"/>
      <c r="AL624" s="28"/>
      <c r="AO624" s="28"/>
      <c r="AR624" s="28"/>
      <c r="AU624" s="28"/>
      <c r="AX624" s="28"/>
      <c r="BA624" s="28"/>
      <c r="BD624" s="28"/>
      <c r="BG624" s="28"/>
      <c r="BJ624" s="28"/>
      <c r="BM624" s="28"/>
      <c r="BP624" s="28"/>
      <c r="BS624" s="28"/>
      <c r="BV624" s="28"/>
      <c r="BY624" s="28"/>
      <c r="CB624" s="28"/>
      <c r="CE624" s="28"/>
      <c r="CH624" s="28"/>
      <c r="CK624" s="28"/>
      <c r="CN624" s="28"/>
      <c r="CQ624" s="28"/>
      <c r="CT624" s="28"/>
      <c r="CW624" s="28"/>
      <c r="CZ624" s="28"/>
      <c r="DC624" s="28"/>
      <c r="DF624" s="28"/>
      <c r="DI624" s="28"/>
      <c r="DL624" s="28"/>
      <c r="DO624" s="28"/>
      <c r="DR624" s="28"/>
      <c r="DU624" s="28"/>
      <c r="DX624" s="28"/>
      <c r="EA624" s="28"/>
      <c r="ED624" s="28"/>
      <c r="EG624" s="28"/>
      <c r="EJ624" s="28"/>
      <c r="EM624" s="28"/>
      <c r="EP624" s="28"/>
      <c r="ES624" s="28"/>
      <c r="EV624" s="28"/>
      <c r="EY624" s="28"/>
      <c r="FB624" s="28"/>
      <c r="FE624" s="28"/>
      <c r="FH624" s="28"/>
      <c r="FK624" s="28"/>
      <c r="FN624" s="28"/>
      <c r="FQ624" s="28"/>
      <c r="FT624" s="28"/>
      <c r="FW624" s="28"/>
      <c r="FZ624" s="28"/>
      <c r="GC624" s="28"/>
    </row>
    <row r="625" spans="1:185" s="25" customFormat="1" x14ac:dyDescent="0.3">
      <c r="A625" s="27"/>
      <c r="B625" s="28"/>
      <c r="C625" s="27"/>
      <c r="D625" s="26"/>
      <c r="E625" s="28"/>
      <c r="H625" s="28"/>
      <c r="K625" s="28"/>
      <c r="N625" s="28"/>
      <c r="Q625" s="28"/>
      <c r="T625" s="28"/>
      <c r="W625" s="28"/>
      <c r="Z625" s="28"/>
      <c r="AC625" s="28"/>
      <c r="AF625" s="28"/>
      <c r="AI625" s="28"/>
      <c r="AL625" s="28"/>
      <c r="AO625" s="28"/>
      <c r="AR625" s="28"/>
      <c r="AU625" s="28"/>
      <c r="AX625" s="28"/>
      <c r="BA625" s="28"/>
      <c r="BD625" s="28"/>
      <c r="BG625" s="28"/>
      <c r="BJ625" s="28"/>
      <c r="BM625" s="28"/>
      <c r="BP625" s="28"/>
      <c r="BS625" s="28"/>
      <c r="BV625" s="28"/>
      <c r="BY625" s="28"/>
      <c r="CB625" s="28"/>
      <c r="CE625" s="28"/>
      <c r="CH625" s="28"/>
      <c r="CK625" s="28"/>
      <c r="CN625" s="28"/>
      <c r="CQ625" s="28"/>
      <c r="CT625" s="28"/>
      <c r="CW625" s="28"/>
      <c r="CZ625" s="28"/>
      <c r="DC625" s="28"/>
      <c r="DF625" s="28"/>
      <c r="DI625" s="28"/>
      <c r="DL625" s="28"/>
      <c r="DO625" s="28"/>
      <c r="DR625" s="28"/>
      <c r="DU625" s="28"/>
      <c r="DX625" s="28"/>
      <c r="EA625" s="28"/>
      <c r="ED625" s="28"/>
      <c r="EG625" s="28"/>
      <c r="EJ625" s="28"/>
      <c r="EM625" s="28"/>
      <c r="EP625" s="28"/>
      <c r="ES625" s="28"/>
      <c r="EV625" s="28"/>
      <c r="EY625" s="28"/>
      <c r="FB625" s="28"/>
      <c r="FE625" s="28"/>
      <c r="FH625" s="28"/>
      <c r="FK625" s="28"/>
      <c r="FN625" s="28"/>
      <c r="FQ625" s="28"/>
      <c r="FT625" s="28"/>
      <c r="FW625" s="28"/>
      <c r="FZ625" s="28"/>
      <c r="GC625" s="28"/>
    </row>
    <row r="626" spans="1:185" s="25" customFormat="1" x14ac:dyDescent="0.3">
      <c r="A626" s="27"/>
      <c r="B626" s="28"/>
      <c r="C626" s="27"/>
      <c r="D626" s="26"/>
      <c r="E626" s="28"/>
      <c r="H626" s="28"/>
      <c r="K626" s="28"/>
      <c r="N626" s="28"/>
      <c r="Q626" s="28"/>
      <c r="T626" s="28"/>
      <c r="W626" s="28"/>
      <c r="Z626" s="28"/>
      <c r="AC626" s="28"/>
      <c r="AF626" s="28"/>
      <c r="AI626" s="28"/>
      <c r="AL626" s="28"/>
      <c r="AO626" s="28"/>
      <c r="AR626" s="28"/>
      <c r="AU626" s="28"/>
      <c r="AX626" s="28"/>
      <c r="BA626" s="28"/>
      <c r="BD626" s="28"/>
      <c r="BG626" s="28"/>
      <c r="BJ626" s="28"/>
      <c r="BM626" s="28"/>
      <c r="BP626" s="28"/>
      <c r="BS626" s="28"/>
      <c r="BV626" s="28"/>
      <c r="BY626" s="28"/>
      <c r="CB626" s="28"/>
      <c r="CE626" s="28"/>
      <c r="CH626" s="28"/>
      <c r="CK626" s="28"/>
      <c r="CN626" s="28"/>
      <c r="CQ626" s="28"/>
      <c r="CT626" s="28"/>
      <c r="CW626" s="28"/>
      <c r="CZ626" s="28"/>
      <c r="DC626" s="28"/>
      <c r="DF626" s="28"/>
      <c r="DI626" s="28"/>
      <c r="DL626" s="28"/>
      <c r="DO626" s="28"/>
      <c r="DR626" s="28"/>
      <c r="DU626" s="28"/>
      <c r="DX626" s="28"/>
      <c r="EA626" s="28"/>
      <c r="ED626" s="28"/>
      <c r="EG626" s="28"/>
      <c r="EJ626" s="28"/>
      <c r="EM626" s="28"/>
      <c r="EP626" s="28"/>
      <c r="ES626" s="28"/>
      <c r="EV626" s="28"/>
      <c r="EY626" s="28"/>
      <c r="FB626" s="28"/>
      <c r="FE626" s="28"/>
      <c r="FH626" s="28"/>
      <c r="FK626" s="28"/>
      <c r="FN626" s="28"/>
      <c r="FQ626" s="28"/>
      <c r="FT626" s="28"/>
      <c r="FW626" s="28"/>
      <c r="FZ626" s="28"/>
      <c r="GC626" s="28"/>
    </row>
    <row r="627" spans="1:185" s="25" customFormat="1" x14ac:dyDescent="0.3">
      <c r="A627" s="27"/>
      <c r="B627" s="28"/>
      <c r="C627" s="27"/>
      <c r="D627" s="26"/>
      <c r="E627" s="28"/>
      <c r="H627" s="28"/>
      <c r="K627" s="28"/>
      <c r="N627" s="28"/>
      <c r="Q627" s="28"/>
      <c r="T627" s="28"/>
      <c r="W627" s="28"/>
      <c r="Z627" s="28"/>
      <c r="AC627" s="28"/>
      <c r="AF627" s="28"/>
      <c r="AI627" s="28"/>
      <c r="AL627" s="28"/>
      <c r="AO627" s="28"/>
      <c r="AR627" s="28"/>
      <c r="AU627" s="28"/>
      <c r="AX627" s="28"/>
      <c r="BA627" s="28"/>
      <c r="BD627" s="28"/>
      <c r="BG627" s="28"/>
      <c r="BJ627" s="28"/>
      <c r="BM627" s="28"/>
      <c r="BP627" s="28"/>
      <c r="BS627" s="28"/>
      <c r="BV627" s="28"/>
      <c r="BY627" s="28"/>
      <c r="CB627" s="28"/>
      <c r="CE627" s="28"/>
      <c r="CH627" s="28"/>
      <c r="CK627" s="28"/>
      <c r="CN627" s="28"/>
      <c r="CQ627" s="28"/>
      <c r="CT627" s="28"/>
      <c r="CW627" s="28"/>
      <c r="CZ627" s="28"/>
      <c r="DC627" s="28"/>
      <c r="DF627" s="28"/>
      <c r="DI627" s="28"/>
      <c r="DL627" s="28"/>
      <c r="DO627" s="28"/>
      <c r="DR627" s="28"/>
      <c r="DU627" s="28"/>
      <c r="DX627" s="28"/>
      <c r="EA627" s="28"/>
      <c r="ED627" s="28"/>
      <c r="EG627" s="28"/>
      <c r="EJ627" s="28"/>
      <c r="EM627" s="28"/>
      <c r="EP627" s="28"/>
      <c r="ES627" s="28"/>
      <c r="EV627" s="28"/>
      <c r="EY627" s="28"/>
      <c r="FB627" s="28"/>
      <c r="FE627" s="28"/>
      <c r="FH627" s="28"/>
      <c r="FK627" s="28"/>
      <c r="FN627" s="28"/>
      <c r="FQ627" s="28"/>
      <c r="FT627" s="28"/>
      <c r="FW627" s="28"/>
      <c r="FZ627" s="28"/>
      <c r="GC627" s="28"/>
    </row>
    <row r="628" spans="1:185" s="25" customFormat="1" x14ac:dyDescent="0.3">
      <c r="A628" s="27"/>
      <c r="B628" s="28"/>
      <c r="C628" s="27"/>
      <c r="D628" s="26"/>
      <c r="E628" s="28"/>
      <c r="H628" s="28"/>
      <c r="K628" s="28"/>
      <c r="N628" s="28"/>
      <c r="Q628" s="28"/>
      <c r="T628" s="28"/>
      <c r="W628" s="28"/>
      <c r="Z628" s="28"/>
      <c r="AC628" s="28"/>
      <c r="AF628" s="28"/>
      <c r="AI628" s="28"/>
      <c r="AL628" s="28"/>
      <c r="AO628" s="28"/>
      <c r="AR628" s="28"/>
      <c r="AU628" s="28"/>
      <c r="AX628" s="28"/>
      <c r="BA628" s="28"/>
      <c r="BD628" s="28"/>
      <c r="BG628" s="28"/>
      <c r="BJ628" s="28"/>
      <c r="BM628" s="28"/>
      <c r="BP628" s="28"/>
      <c r="BS628" s="28"/>
      <c r="BV628" s="28"/>
      <c r="BY628" s="28"/>
      <c r="CB628" s="28"/>
      <c r="CE628" s="28"/>
      <c r="CH628" s="28"/>
      <c r="CK628" s="28"/>
      <c r="CN628" s="28"/>
      <c r="CQ628" s="28"/>
      <c r="CT628" s="28"/>
      <c r="CW628" s="28"/>
      <c r="CZ628" s="28"/>
      <c r="DC628" s="28"/>
      <c r="DF628" s="28"/>
      <c r="DI628" s="28"/>
      <c r="DL628" s="28"/>
      <c r="DO628" s="28"/>
      <c r="DR628" s="28"/>
      <c r="DU628" s="28"/>
      <c r="DX628" s="28"/>
      <c r="EA628" s="28"/>
      <c r="ED628" s="28"/>
      <c r="EG628" s="28"/>
      <c r="EJ628" s="28"/>
      <c r="EM628" s="28"/>
      <c r="EP628" s="28"/>
      <c r="ES628" s="28"/>
      <c r="EV628" s="28"/>
      <c r="EY628" s="28"/>
      <c r="FB628" s="28"/>
      <c r="FE628" s="28"/>
      <c r="FH628" s="28"/>
      <c r="FK628" s="28"/>
      <c r="FN628" s="28"/>
      <c r="FQ628" s="28"/>
      <c r="FT628" s="28"/>
      <c r="FW628" s="28"/>
      <c r="FZ628" s="28"/>
      <c r="GC628" s="28"/>
    </row>
    <row r="629" spans="1:185" s="25" customFormat="1" x14ac:dyDescent="0.3">
      <c r="A629" s="27"/>
      <c r="B629" s="28"/>
      <c r="C629" s="27"/>
      <c r="D629" s="26"/>
      <c r="E629" s="28"/>
      <c r="H629" s="28"/>
      <c r="K629" s="28"/>
      <c r="N629" s="28"/>
      <c r="Q629" s="28"/>
      <c r="T629" s="28"/>
      <c r="W629" s="28"/>
      <c r="Z629" s="28"/>
      <c r="AC629" s="28"/>
      <c r="AF629" s="28"/>
      <c r="AI629" s="28"/>
      <c r="AL629" s="28"/>
      <c r="AO629" s="28"/>
      <c r="AR629" s="28"/>
      <c r="AU629" s="28"/>
      <c r="AX629" s="28"/>
      <c r="BA629" s="28"/>
      <c r="BD629" s="28"/>
      <c r="BG629" s="28"/>
      <c r="BJ629" s="28"/>
      <c r="BM629" s="28"/>
      <c r="BP629" s="28"/>
      <c r="BS629" s="28"/>
      <c r="BV629" s="28"/>
      <c r="BY629" s="28"/>
      <c r="CB629" s="28"/>
      <c r="CE629" s="28"/>
      <c r="CH629" s="28"/>
      <c r="CK629" s="28"/>
      <c r="CN629" s="28"/>
      <c r="CQ629" s="28"/>
      <c r="CT629" s="28"/>
      <c r="CW629" s="28"/>
      <c r="CZ629" s="28"/>
      <c r="DC629" s="28"/>
      <c r="DF629" s="28"/>
      <c r="DI629" s="28"/>
      <c r="DL629" s="28"/>
      <c r="DO629" s="28"/>
      <c r="DR629" s="28"/>
      <c r="DU629" s="28"/>
      <c r="DX629" s="28"/>
      <c r="EA629" s="28"/>
      <c r="ED629" s="28"/>
      <c r="EG629" s="28"/>
      <c r="EJ629" s="28"/>
      <c r="EM629" s="28"/>
      <c r="EP629" s="28"/>
      <c r="ES629" s="28"/>
      <c r="EV629" s="28"/>
      <c r="EY629" s="28"/>
      <c r="FB629" s="28"/>
      <c r="FE629" s="28"/>
      <c r="FH629" s="28"/>
      <c r="FK629" s="28"/>
      <c r="FN629" s="28"/>
      <c r="FQ629" s="28"/>
      <c r="FT629" s="28"/>
      <c r="FW629" s="28"/>
      <c r="FZ629" s="28"/>
      <c r="GC629" s="28"/>
    </row>
    <row r="630" spans="1:185" s="25" customFormat="1" x14ac:dyDescent="0.3">
      <c r="A630" s="27"/>
      <c r="B630" s="28"/>
      <c r="C630" s="27"/>
      <c r="D630" s="26"/>
      <c r="E630" s="28"/>
      <c r="H630" s="28"/>
      <c r="K630" s="28"/>
      <c r="N630" s="28"/>
      <c r="Q630" s="28"/>
      <c r="T630" s="28"/>
      <c r="W630" s="28"/>
      <c r="Z630" s="28"/>
      <c r="AC630" s="28"/>
      <c r="AF630" s="28"/>
      <c r="AI630" s="28"/>
      <c r="AL630" s="28"/>
      <c r="AO630" s="28"/>
      <c r="AR630" s="28"/>
      <c r="AU630" s="28"/>
      <c r="AX630" s="28"/>
      <c r="BA630" s="28"/>
      <c r="BD630" s="28"/>
      <c r="BG630" s="28"/>
      <c r="BJ630" s="28"/>
      <c r="BM630" s="28"/>
      <c r="BP630" s="28"/>
      <c r="BS630" s="28"/>
      <c r="BV630" s="28"/>
      <c r="BY630" s="28"/>
      <c r="CB630" s="28"/>
      <c r="CE630" s="28"/>
      <c r="CH630" s="28"/>
      <c r="CK630" s="28"/>
      <c r="CN630" s="28"/>
      <c r="CQ630" s="28"/>
      <c r="CT630" s="28"/>
      <c r="CW630" s="28"/>
      <c r="CZ630" s="28"/>
      <c r="DC630" s="28"/>
      <c r="DF630" s="28"/>
      <c r="DI630" s="28"/>
      <c r="DL630" s="28"/>
      <c r="DO630" s="28"/>
      <c r="DR630" s="28"/>
      <c r="DU630" s="28"/>
      <c r="DX630" s="28"/>
      <c r="EA630" s="28"/>
      <c r="ED630" s="28"/>
      <c r="EG630" s="28"/>
      <c r="EJ630" s="28"/>
      <c r="EM630" s="28"/>
      <c r="EP630" s="28"/>
      <c r="ES630" s="28"/>
      <c r="EV630" s="28"/>
      <c r="EY630" s="28"/>
      <c r="FB630" s="28"/>
      <c r="FE630" s="28"/>
      <c r="FH630" s="28"/>
      <c r="FK630" s="28"/>
      <c r="FN630" s="28"/>
      <c r="FQ630" s="28"/>
      <c r="FT630" s="28"/>
      <c r="FW630" s="28"/>
      <c r="FZ630" s="28"/>
      <c r="GC630" s="28"/>
    </row>
    <row r="631" spans="1:185" s="25" customFormat="1" x14ac:dyDescent="0.3">
      <c r="A631" s="27"/>
      <c r="B631" s="28"/>
      <c r="C631" s="27"/>
      <c r="D631" s="26"/>
      <c r="E631" s="28"/>
      <c r="H631" s="28"/>
      <c r="K631" s="28"/>
      <c r="N631" s="28"/>
      <c r="Q631" s="28"/>
      <c r="T631" s="28"/>
      <c r="W631" s="28"/>
      <c r="Z631" s="28"/>
      <c r="AC631" s="28"/>
      <c r="AF631" s="28"/>
      <c r="AI631" s="28"/>
      <c r="AL631" s="28"/>
      <c r="AO631" s="28"/>
      <c r="AR631" s="28"/>
      <c r="AU631" s="28"/>
      <c r="AX631" s="28"/>
      <c r="BA631" s="28"/>
      <c r="BD631" s="28"/>
      <c r="BG631" s="28"/>
      <c r="BJ631" s="28"/>
      <c r="BM631" s="28"/>
      <c r="BP631" s="28"/>
      <c r="BS631" s="28"/>
      <c r="BV631" s="28"/>
      <c r="BY631" s="28"/>
      <c r="CB631" s="28"/>
      <c r="CE631" s="28"/>
      <c r="CH631" s="28"/>
      <c r="CK631" s="28"/>
      <c r="CN631" s="28"/>
      <c r="CQ631" s="28"/>
      <c r="CT631" s="28"/>
      <c r="CW631" s="28"/>
      <c r="CZ631" s="28"/>
      <c r="DC631" s="28"/>
      <c r="DF631" s="28"/>
      <c r="DI631" s="28"/>
      <c r="DL631" s="28"/>
      <c r="DO631" s="28"/>
      <c r="DR631" s="28"/>
      <c r="DU631" s="28"/>
      <c r="DX631" s="28"/>
      <c r="EA631" s="28"/>
      <c r="ED631" s="28"/>
      <c r="EG631" s="28"/>
      <c r="EJ631" s="28"/>
      <c r="EM631" s="28"/>
      <c r="EP631" s="28"/>
      <c r="ES631" s="28"/>
      <c r="EV631" s="28"/>
      <c r="EY631" s="28"/>
      <c r="FB631" s="28"/>
      <c r="FE631" s="28"/>
      <c r="FH631" s="28"/>
      <c r="FK631" s="28"/>
      <c r="FN631" s="28"/>
      <c r="FQ631" s="28"/>
      <c r="FT631" s="28"/>
      <c r="FW631" s="28"/>
      <c r="FZ631" s="28"/>
      <c r="GC631" s="28"/>
    </row>
    <row r="632" spans="1:185" s="25" customFormat="1" x14ac:dyDescent="0.3">
      <c r="A632" s="27"/>
      <c r="B632" s="28"/>
      <c r="C632" s="27"/>
      <c r="D632" s="26"/>
      <c r="E632" s="28"/>
      <c r="H632" s="28"/>
      <c r="K632" s="28"/>
      <c r="N632" s="28"/>
      <c r="Q632" s="28"/>
      <c r="T632" s="28"/>
      <c r="W632" s="28"/>
      <c r="Z632" s="28"/>
      <c r="AC632" s="28"/>
      <c r="AF632" s="28"/>
      <c r="AI632" s="28"/>
      <c r="AL632" s="28"/>
      <c r="AO632" s="28"/>
      <c r="AR632" s="28"/>
      <c r="AU632" s="28"/>
      <c r="AX632" s="28"/>
      <c r="BA632" s="28"/>
      <c r="BD632" s="28"/>
      <c r="BG632" s="28"/>
      <c r="BJ632" s="28"/>
      <c r="BM632" s="28"/>
      <c r="BP632" s="28"/>
      <c r="BS632" s="28"/>
      <c r="BV632" s="28"/>
      <c r="BY632" s="28"/>
      <c r="CB632" s="28"/>
      <c r="CE632" s="28"/>
      <c r="CH632" s="28"/>
      <c r="CK632" s="28"/>
      <c r="CN632" s="28"/>
      <c r="CQ632" s="28"/>
      <c r="CT632" s="28"/>
      <c r="CW632" s="28"/>
      <c r="CZ632" s="28"/>
      <c r="DC632" s="28"/>
      <c r="DF632" s="28"/>
      <c r="DI632" s="28"/>
      <c r="DL632" s="28"/>
      <c r="DO632" s="28"/>
      <c r="DR632" s="28"/>
      <c r="DU632" s="28"/>
      <c r="DX632" s="28"/>
      <c r="EA632" s="28"/>
      <c r="ED632" s="28"/>
      <c r="EG632" s="28"/>
      <c r="EJ632" s="28"/>
      <c r="EM632" s="28"/>
      <c r="EP632" s="28"/>
      <c r="ES632" s="28"/>
      <c r="EV632" s="28"/>
      <c r="EY632" s="28"/>
      <c r="FB632" s="28"/>
      <c r="FE632" s="28"/>
      <c r="FH632" s="28"/>
      <c r="FK632" s="28"/>
      <c r="FN632" s="28"/>
      <c r="FQ632" s="28"/>
      <c r="FT632" s="28"/>
      <c r="FW632" s="28"/>
      <c r="FZ632" s="28"/>
      <c r="GC632" s="28"/>
    </row>
    <row r="633" spans="1:185" s="25" customFormat="1" x14ac:dyDescent="0.3">
      <c r="A633" s="27"/>
      <c r="B633" s="28"/>
      <c r="C633" s="27"/>
      <c r="D633" s="26"/>
      <c r="E633" s="28"/>
      <c r="H633" s="28"/>
      <c r="K633" s="28"/>
      <c r="N633" s="28"/>
      <c r="Q633" s="28"/>
      <c r="T633" s="28"/>
      <c r="W633" s="28"/>
      <c r="Z633" s="28"/>
      <c r="AC633" s="28"/>
      <c r="AF633" s="28"/>
      <c r="AI633" s="28"/>
      <c r="AL633" s="28"/>
      <c r="AO633" s="28"/>
      <c r="AR633" s="28"/>
      <c r="AU633" s="28"/>
      <c r="AX633" s="28"/>
      <c r="BA633" s="28"/>
      <c r="BD633" s="28"/>
      <c r="BG633" s="28"/>
      <c r="BJ633" s="28"/>
      <c r="BM633" s="28"/>
      <c r="BP633" s="28"/>
      <c r="BS633" s="28"/>
      <c r="BV633" s="28"/>
      <c r="BY633" s="28"/>
      <c r="CB633" s="28"/>
      <c r="CE633" s="28"/>
      <c r="CH633" s="28"/>
      <c r="CK633" s="28"/>
      <c r="CN633" s="28"/>
      <c r="CQ633" s="28"/>
      <c r="CT633" s="28"/>
      <c r="CW633" s="28"/>
      <c r="CZ633" s="28"/>
      <c r="DC633" s="28"/>
      <c r="DF633" s="28"/>
      <c r="DI633" s="28"/>
      <c r="DL633" s="28"/>
      <c r="DO633" s="28"/>
      <c r="DR633" s="28"/>
      <c r="DU633" s="28"/>
      <c r="DX633" s="28"/>
      <c r="EA633" s="28"/>
      <c r="ED633" s="28"/>
      <c r="EG633" s="28"/>
      <c r="EJ633" s="28"/>
      <c r="EM633" s="28"/>
      <c r="EP633" s="28"/>
      <c r="ES633" s="28"/>
      <c r="EV633" s="28"/>
      <c r="EY633" s="28"/>
      <c r="FB633" s="28"/>
      <c r="FE633" s="28"/>
      <c r="FH633" s="28"/>
      <c r="FK633" s="28"/>
      <c r="FN633" s="28"/>
      <c r="FQ633" s="28"/>
      <c r="FT633" s="28"/>
      <c r="FW633" s="28"/>
      <c r="FZ633" s="28"/>
      <c r="GC633" s="28"/>
    </row>
    <row r="634" spans="1:185" s="25" customFormat="1" x14ac:dyDescent="0.3">
      <c r="A634" s="27"/>
      <c r="B634" s="28"/>
      <c r="C634" s="27"/>
      <c r="D634" s="26"/>
      <c r="E634" s="28"/>
      <c r="H634" s="28"/>
      <c r="K634" s="28"/>
      <c r="N634" s="28"/>
      <c r="Q634" s="28"/>
      <c r="T634" s="28"/>
      <c r="W634" s="28"/>
      <c r="Z634" s="28"/>
      <c r="AC634" s="28"/>
      <c r="AF634" s="28"/>
      <c r="AI634" s="28"/>
      <c r="AL634" s="28"/>
      <c r="AO634" s="28"/>
      <c r="AR634" s="28"/>
      <c r="AU634" s="28"/>
      <c r="AX634" s="28"/>
      <c r="BA634" s="28"/>
      <c r="BD634" s="28"/>
      <c r="BG634" s="28"/>
      <c r="BJ634" s="28"/>
      <c r="BM634" s="28"/>
      <c r="BP634" s="28"/>
      <c r="BS634" s="28"/>
      <c r="BV634" s="28"/>
      <c r="BY634" s="28"/>
      <c r="CB634" s="28"/>
      <c r="CE634" s="28"/>
      <c r="CH634" s="28"/>
      <c r="CK634" s="28"/>
      <c r="CN634" s="28"/>
      <c r="CQ634" s="28"/>
      <c r="CT634" s="28"/>
      <c r="CW634" s="28"/>
      <c r="CZ634" s="28"/>
      <c r="DC634" s="28"/>
      <c r="DF634" s="28"/>
      <c r="DI634" s="28"/>
      <c r="DL634" s="28"/>
      <c r="DO634" s="28"/>
      <c r="DR634" s="28"/>
      <c r="DU634" s="28"/>
      <c r="DX634" s="28"/>
      <c r="EA634" s="28"/>
      <c r="ED634" s="28"/>
      <c r="EG634" s="28"/>
      <c r="EJ634" s="28"/>
      <c r="EM634" s="28"/>
      <c r="EP634" s="28"/>
      <c r="ES634" s="28"/>
      <c r="EV634" s="28"/>
      <c r="EY634" s="28"/>
      <c r="FB634" s="28"/>
      <c r="FE634" s="28"/>
      <c r="FH634" s="28"/>
      <c r="FK634" s="28"/>
      <c r="FN634" s="28"/>
      <c r="FQ634" s="28"/>
      <c r="FT634" s="28"/>
      <c r="FW634" s="28"/>
      <c r="FZ634" s="28"/>
      <c r="GC634" s="28"/>
    </row>
    <row r="635" spans="1:185" s="25" customFormat="1" x14ac:dyDescent="0.3">
      <c r="A635" s="27"/>
      <c r="B635" s="28"/>
      <c r="C635" s="27"/>
      <c r="D635" s="26"/>
      <c r="E635" s="28"/>
      <c r="H635" s="28"/>
      <c r="K635" s="28"/>
      <c r="N635" s="28"/>
      <c r="Q635" s="28"/>
      <c r="T635" s="28"/>
      <c r="W635" s="28"/>
      <c r="Z635" s="28"/>
      <c r="AC635" s="28"/>
      <c r="AF635" s="28"/>
      <c r="AI635" s="28"/>
      <c r="AL635" s="28"/>
      <c r="AO635" s="28"/>
      <c r="AR635" s="28"/>
      <c r="AU635" s="28"/>
      <c r="AX635" s="28"/>
      <c r="BA635" s="28"/>
      <c r="BD635" s="28"/>
      <c r="BG635" s="28"/>
      <c r="BJ635" s="28"/>
      <c r="BM635" s="28"/>
      <c r="BP635" s="28"/>
      <c r="BS635" s="28"/>
      <c r="BV635" s="28"/>
      <c r="BY635" s="28"/>
      <c r="CB635" s="28"/>
      <c r="CE635" s="28"/>
      <c r="CH635" s="28"/>
      <c r="CK635" s="28"/>
      <c r="CN635" s="28"/>
      <c r="CQ635" s="28"/>
      <c r="CT635" s="28"/>
      <c r="CW635" s="28"/>
      <c r="CZ635" s="28"/>
      <c r="DC635" s="28"/>
      <c r="DF635" s="28"/>
      <c r="DI635" s="28"/>
      <c r="DL635" s="28"/>
      <c r="DO635" s="28"/>
      <c r="DR635" s="28"/>
      <c r="DU635" s="28"/>
      <c r="DX635" s="28"/>
      <c r="EA635" s="28"/>
      <c r="ED635" s="28"/>
      <c r="EG635" s="28"/>
      <c r="EJ635" s="28"/>
      <c r="EM635" s="28"/>
      <c r="EP635" s="28"/>
      <c r="ES635" s="28"/>
      <c r="EV635" s="28"/>
      <c r="EY635" s="28"/>
      <c r="FB635" s="28"/>
      <c r="FE635" s="28"/>
      <c r="FH635" s="28"/>
      <c r="FK635" s="28"/>
      <c r="FN635" s="28"/>
      <c r="FQ635" s="28"/>
      <c r="FT635" s="28"/>
      <c r="FW635" s="28"/>
      <c r="FZ635" s="28"/>
      <c r="GC635" s="28"/>
    </row>
    <row r="636" spans="1:185" s="25" customFormat="1" x14ac:dyDescent="0.3">
      <c r="A636" s="27"/>
      <c r="B636" s="28"/>
      <c r="C636" s="27"/>
      <c r="D636" s="26"/>
      <c r="E636" s="28"/>
      <c r="H636" s="28"/>
      <c r="K636" s="28"/>
      <c r="N636" s="28"/>
      <c r="Q636" s="28"/>
      <c r="T636" s="28"/>
      <c r="W636" s="28"/>
      <c r="Z636" s="28"/>
      <c r="AC636" s="28"/>
      <c r="AF636" s="28"/>
      <c r="AI636" s="28"/>
      <c r="AL636" s="28"/>
      <c r="AO636" s="28"/>
      <c r="AR636" s="28"/>
      <c r="AU636" s="28"/>
      <c r="AX636" s="28"/>
      <c r="BA636" s="28"/>
      <c r="BD636" s="28"/>
      <c r="BG636" s="28"/>
      <c r="BJ636" s="28"/>
      <c r="BM636" s="28"/>
      <c r="BP636" s="28"/>
      <c r="BS636" s="28"/>
      <c r="BV636" s="28"/>
      <c r="BY636" s="28"/>
      <c r="CB636" s="28"/>
      <c r="CE636" s="28"/>
      <c r="CH636" s="28"/>
      <c r="CK636" s="28"/>
      <c r="CN636" s="28"/>
      <c r="CQ636" s="28"/>
      <c r="CT636" s="28"/>
      <c r="CW636" s="28"/>
      <c r="CZ636" s="28"/>
      <c r="DC636" s="28"/>
      <c r="DF636" s="28"/>
      <c r="DI636" s="28"/>
      <c r="DL636" s="28"/>
      <c r="DO636" s="28"/>
      <c r="DR636" s="28"/>
      <c r="DU636" s="28"/>
      <c r="DX636" s="28"/>
      <c r="EA636" s="28"/>
      <c r="ED636" s="28"/>
      <c r="EG636" s="28"/>
      <c r="EJ636" s="28"/>
      <c r="EM636" s="28"/>
      <c r="EP636" s="28"/>
      <c r="ES636" s="28"/>
      <c r="EV636" s="28"/>
      <c r="EY636" s="28"/>
      <c r="FB636" s="28"/>
      <c r="FE636" s="28"/>
      <c r="FH636" s="28"/>
      <c r="FK636" s="28"/>
      <c r="FN636" s="28"/>
      <c r="FQ636" s="28"/>
      <c r="FT636" s="28"/>
      <c r="FW636" s="28"/>
      <c r="FZ636" s="28"/>
      <c r="GC636" s="28"/>
    </row>
    <row r="637" spans="1:185" s="25" customFormat="1" x14ac:dyDescent="0.3">
      <c r="A637" s="27"/>
      <c r="B637" s="28"/>
      <c r="C637" s="27"/>
      <c r="D637" s="26"/>
      <c r="E637" s="28"/>
      <c r="H637" s="28"/>
      <c r="K637" s="28"/>
      <c r="N637" s="28"/>
      <c r="Q637" s="28"/>
      <c r="T637" s="28"/>
      <c r="W637" s="28"/>
      <c r="Z637" s="28"/>
      <c r="AC637" s="28"/>
      <c r="AF637" s="28"/>
      <c r="AI637" s="28"/>
      <c r="AL637" s="28"/>
      <c r="AO637" s="28"/>
      <c r="AR637" s="28"/>
      <c r="AU637" s="28"/>
      <c r="AX637" s="28"/>
      <c r="BA637" s="28"/>
      <c r="BD637" s="28"/>
      <c r="BG637" s="28"/>
      <c r="BJ637" s="28"/>
      <c r="BM637" s="28"/>
      <c r="BP637" s="28"/>
      <c r="BS637" s="28"/>
      <c r="BV637" s="28"/>
      <c r="BY637" s="28"/>
      <c r="CB637" s="28"/>
      <c r="CE637" s="28"/>
      <c r="CH637" s="28"/>
      <c r="CK637" s="28"/>
      <c r="CN637" s="28"/>
      <c r="CQ637" s="28"/>
      <c r="CT637" s="28"/>
      <c r="CW637" s="28"/>
      <c r="CZ637" s="28"/>
      <c r="DC637" s="28"/>
      <c r="DF637" s="28"/>
      <c r="DI637" s="28"/>
      <c r="DL637" s="28"/>
      <c r="DO637" s="28"/>
      <c r="DR637" s="28"/>
      <c r="DU637" s="28"/>
      <c r="DX637" s="28"/>
      <c r="EA637" s="28"/>
      <c r="ED637" s="28"/>
      <c r="EG637" s="28"/>
      <c r="EJ637" s="28"/>
      <c r="EM637" s="28"/>
      <c r="EP637" s="28"/>
      <c r="ES637" s="28"/>
      <c r="EV637" s="28"/>
      <c r="EY637" s="28"/>
      <c r="FB637" s="28"/>
      <c r="FE637" s="28"/>
      <c r="FH637" s="28"/>
      <c r="FK637" s="28"/>
      <c r="FN637" s="28"/>
      <c r="FQ637" s="28"/>
      <c r="FT637" s="28"/>
      <c r="FW637" s="28"/>
      <c r="FZ637" s="28"/>
      <c r="GC637" s="28"/>
    </row>
    <row r="638" spans="1:185" s="25" customFormat="1" x14ac:dyDescent="0.3">
      <c r="A638" s="27"/>
      <c r="B638" s="28"/>
      <c r="C638" s="27"/>
      <c r="D638" s="26"/>
      <c r="E638" s="28"/>
      <c r="H638" s="28"/>
      <c r="K638" s="28"/>
      <c r="N638" s="28"/>
      <c r="Q638" s="28"/>
      <c r="T638" s="28"/>
      <c r="W638" s="28"/>
      <c r="Z638" s="28"/>
      <c r="AC638" s="28"/>
      <c r="AF638" s="28"/>
      <c r="AI638" s="28"/>
      <c r="AL638" s="28"/>
      <c r="AO638" s="28"/>
      <c r="AR638" s="28"/>
      <c r="AU638" s="28"/>
      <c r="AX638" s="28"/>
      <c r="BA638" s="28"/>
      <c r="BD638" s="28"/>
      <c r="BG638" s="28"/>
      <c r="BJ638" s="28"/>
      <c r="BM638" s="28"/>
      <c r="BP638" s="28"/>
      <c r="BS638" s="28"/>
      <c r="BV638" s="28"/>
      <c r="BY638" s="28"/>
      <c r="CB638" s="28"/>
      <c r="CE638" s="28"/>
      <c r="CH638" s="28"/>
      <c r="CK638" s="28"/>
      <c r="CN638" s="28"/>
      <c r="CQ638" s="28"/>
      <c r="CT638" s="28"/>
      <c r="CW638" s="28"/>
      <c r="CZ638" s="28"/>
      <c r="DC638" s="28"/>
      <c r="DF638" s="28"/>
      <c r="DI638" s="28"/>
      <c r="DL638" s="28"/>
      <c r="DO638" s="28"/>
      <c r="DR638" s="28"/>
      <c r="DU638" s="28"/>
      <c r="DX638" s="28"/>
      <c r="EA638" s="28"/>
      <c r="ED638" s="28"/>
      <c r="EG638" s="28"/>
      <c r="EJ638" s="28"/>
      <c r="EM638" s="28"/>
      <c r="EP638" s="28"/>
      <c r="ES638" s="28"/>
      <c r="EV638" s="28"/>
      <c r="EY638" s="28"/>
      <c r="FB638" s="28"/>
      <c r="FE638" s="28"/>
      <c r="FH638" s="28"/>
      <c r="FK638" s="28"/>
      <c r="FN638" s="28"/>
      <c r="FQ638" s="28"/>
      <c r="FT638" s="28"/>
      <c r="FW638" s="28"/>
      <c r="FZ638" s="28"/>
      <c r="GC638" s="28"/>
    </row>
    <row r="639" spans="1:185" s="25" customFormat="1" x14ac:dyDescent="0.3">
      <c r="A639" s="27"/>
      <c r="B639" s="28"/>
      <c r="C639" s="27"/>
      <c r="D639" s="26"/>
      <c r="E639" s="28"/>
      <c r="H639" s="28"/>
      <c r="K639" s="28"/>
      <c r="N639" s="28"/>
      <c r="Q639" s="28"/>
      <c r="T639" s="28"/>
      <c r="W639" s="28"/>
      <c r="Z639" s="28"/>
      <c r="AC639" s="28"/>
      <c r="AF639" s="28"/>
      <c r="AI639" s="28"/>
      <c r="AL639" s="28"/>
      <c r="AO639" s="28"/>
      <c r="AR639" s="28"/>
      <c r="AU639" s="28"/>
      <c r="AX639" s="28"/>
      <c r="BA639" s="28"/>
      <c r="BD639" s="28"/>
      <c r="BG639" s="28"/>
      <c r="BJ639" s="28"/>
      <c r="BM639" s="28"/>
      <c r="BP639" s="28"/>
      <c r="BS639" s="28"/>
      <c r="BV639" s="28"/>
      <c r="BY639" s="28"/>
      <c r="CB639" s="28"/>
      <c r="CE639" s="28"/>
      <c r="CH639" s="28"/>
      <c r="CK639" s="28"/>
      <c r="CN639" s="28"/>
      <c r="CQ639" s="28"/>
      <c r="CT639" s="28"/>
      <c r="CW639" s="28"/>
      <c r="CZ639" s="28"/>
      <c r="DC639" s="28"/>
      <c r="DF639" s="28"/>
      <c r="DI639" s="28"/>
      <c r="DL639" s="28"/>
      <c r="DO639" s="28"/>
      <c r="DR639" s="28"/>
      <c r="DU639" s="28"/>
      <c r="DX639" s="28"/>
      <c r="EA639" s="28"/>
      <c r="ED639" s="28"/>
      <c r="EG639" s="28"/>
      <c r="EJ639" s="28"/>
      <c r="EM639" s="28"/>
      <c r="EP639" s="28"/>
      <c r="ES639" s="28"/>
      <c r="EV639" s="28"/>
      <c r="EY639" s="28"/>
      <c r="FB639" s="28"/>
      <c r="FE639" s="28"/>
      <c r="FH639" s="28"/>
      <c r="FK639" s="28"/>
      <c r="FN639" s="28"/>
      <c r="FQ639" s="28"/>
      <c r="FT639" s="28"/>
      <c r="FW639" s="28"/>
      <c r="FZ639" s="28"/>
      <c r="GC639" s="28"/>
    </row>
    <row r="640" spans="1:185" s="25" customFormat="1" x14ac:dyDescent="0.3">
      <c r="A640" s="27"/>
      <c r="B640" s="28"/>
      <c r="C640" s="27"/>
      <c r="D640" s="26"/>
      <c r="E640" s="28"/>
      <c r="H640" s="28"/>
      <c r="K640" s="28"/>
      <c r="N640" s="28"/>
      <c r="Q640" s="28"/>
      <c r="T640" s="28"/>
      <c r="W640" s="28"/>
      <c r="Z640" s="28"/>
      <c r="AC640" s="28"/>
      <c r="AF640" s="28"/>
      <c r="AI640" s="28"/>
      <c r="AL640" s="28"/>
      <c r="AO640" s="28"/>
      <c r="AR640" s="28"/>
      <c r="AU640" s="28"/>
      <c r="AX640" s="28"/>
      <c r="BA640" s="28"/>
      <c r="BD640" s="28"/>
      <c r="BG640" s="28"/>
      <c r="BJ640" s="28"/>
      <c r="BM640" s="28"/>
      <c r="BP640" s="28"/>
      <c r="BS640" s="28"/>
      <c r="BV640" s="28"/>
      <c r="BY640" s="28"/>
      <c r="CB640" s="28"/>
      <c r="CE640" s="28"/>
      <c r="CH640" s="28"/>
      <c r="CK640" s="28"/>
      <c r="CN640" s="28"/>
      <c r="CQ640" s="28"/>
      <c r="CT640" s="28"/>
      <c r="CW640" s="28"/>
      <c r="CZ640" s="28"/>
      <c r="DC640" s="28"/>
      <c r="DF640" s="28"/>
      <c r="DI640" s="28"/>
      <c r="DL640" s="28"/>
      <c r="DO640" s="28"/>
      <c r="DR640" s="28"/>
      <c r="DU640" s="28"/>
      <c r="DX640" s="28"/>
      <c r="EA640" s="28"/>
      <c r="ED640" s="28"/>
      <c r="EG640" s="28"/>
      <c r="EJ640" s="28"/>
      <c r="EM640" s="28"/>
      <c r="EP640" s="28"/>
      <c r="ES640" s="28"/>
      <c r="EV640" s="28"/>
      <c r="EY640" s="28"/>
      <c r="FB640" s="28"/>
      <c r="FE640" s="28"/>
      <c r="FH640" s="28"/>
      <c r="FK640" s="28"/>
      <c r="FN640" s="28"/>
      <c r="FQ640" s="28"/>
      <c r="FT640" s="28"/>
      <c r="FW640" s="28"/>
      <c r="FZ640" s="28"/>
      <c r="GC640" s="28"/>
    </row>
    <row r="641" spans="1:185" s="25" customFormat="1" x14ac:dyDescent="0.3">
      <c r="A641" s="27"/>
      <c r="B641" s="28"/>
      <c r="C641" s="27"/>
      <c r="D641" s="26"/>
      <c r="E641" s="28"/>
      <c r="H641" s="28"/>
      <c r="K641" s="28"/>
      <c r="N641" s="28"/>
      <c r="Q641" s="28"/>
      <c r="T641" s="28"/>
      <c r="W641" s="28"/>
      <c r="Z641" s="28"/>
      <c r="AC641" s="28"/>
      <c r="AF641" s="28"/>
      <c r="AI641" s="28"/>
      <c r="AL641" s="28"/>
      <c r="AO641" s="28"/>
      <c r="AR641" s="28"/>
      <c r="AU641" s="28"/>
      <c r="AX641" s="28"/>
      <c r="BA641" s="28"/>
      <c r="BD641" s="28"/>
      <c r="BG641" s="28"/>
      <c r="BJ641" s="28"/>
      <c r="BM641" s="28"/>
      <c r="BP641" s="28"/>
      <c r="BS641" s="28"/>
      <c r="BV641" s="28"/>
      <c r="BY641" s="28"/>
      <c r="CB641" s="28"/>
      <c r="CE641" s="28"/>
      <c r="CH641" s="28"/>
      <c r="CK641" s="28"/>
      <c r="CN641" s="28"/>
      <c r="CQ641" s="28"/>
      <c r="CT641" s="28"/>
      <c r="CW641" s="28"/>
      <c r="CZ641" s="28"/>
      <c r="DC641" s="28"/>
      <c r="DF641" s="28"/>
      <c r="DI641" s="28"/>
      <c r="DL641" s="28"/>
      <c r="DO641" s="28"/>
      <c r="DR641" s="28"/>
      <c r="DU641" s="28"/>
      <c r="DX641" s="28"/>
      <c r="EA641" s="28"/>
      <c r="ED641" s="28"/>
      <c r="EG641" s="28"/>
      <c r="EJ641" s="28"/>
      <c r="EM641" s="28"/>
      <c r="EP641" s="28"/>
      <c r="ES641" s="28"/>
      <c r="EV641" s="28"/>
      <c r="EY641" s="28"/>
      <c r="FB641" s="28"/>
      <c r="FE641" s="28"/>
      <c r="FH641" s="28"/>
      <c r="FK641" s="28"/>
      <c r="FN641" s="28"/>
      <c r="FQ641" s="28"/>
      <c r="FT641" s="28"/>
      <c r="FW641" s="28"/>
      <c r="FZ641" s="28"/>
      <c r="GC641" s="28"/>
    </row>
    <row r="642" spans="1:185" s="25" customFormat="1" x14ac:dyDescent="0.3">
      <c r="A642" s="27"/>
      <c r="B642" s="28"/>
      <c r="C642" s="27"/>
      <c r="D642" s="26"/>
      <c r="E642" s="28"/>
      <c r="H642" s="28"/>
      <c r="K642" s="28"/>
      <c r="N642" s="28"/>
      <c r="Q642" s="28"/>
      <c r="T642" s="28"/>
      <c r="W642" s="28"/>
      <c r="Z642" s="28"/>
      <c r="AC642" s="28"/>
      <c r="AF642" s="28"/>
      <c r="AI642" s="28"/>
      <c r="AL642" s="28"/>
      <c r="AO642" s="28"/>
      <c r="AR642" s="28"/>
      <c r="AU642" s="28"/>
      <c r="AX642" s="28"/>
      <c r="BA642" s="28"/>
      <c r="BD642" s="28"/>
      <c r="BG642" s="28"/>
      <c r="BJ642" s="28"/>
      <c r="BM642" s="28"/>
      <c r="BP642" s="28"/>
      <c r="BS642" s="28"/>
      <c r="BV642" s="28"/>
      <c r="BY642" s="28"/>
      <c r="CB642" s="28"/>
      <c r="CE642" s="28"/>
      <c r="CH642" s="28"/>
      <c r="CK642" s="28"/>
      <c r="CN642" s="28"/>
      <c r="CQ642" s="28"/>
      <c r="CT642" s="28"/>
      <c r="CW642" s="28"/>
      <c r="CZ642" s="28"/>
      <c r="DC642" s="28"/>
      <c r="DF642" s="28"/>
      <c r="DI642" s="28"/>
      <c r="DL642" s="28"/>
      <c r="DO642" s="28"/>
      <c r="DR642" s="28"/>
      <c r="DU642" s="28"/>
      <c r="DX642" s="28"/>
      <c r="EA642" s="28"/>
      <c r="ED642" s="28"/>
      <c r="EG642" s="28"/>
      <c r="EJ642" s="28"/>
      <c r="EM642" s="28"/>
      <c r="EP642" s="28"/>
      <c r="ES642" s="28"/>
      <c r="EV642" s="28"/>
      <c r="EY642" s="28"/>
      <c r="FB642" s="28"/>
      <c r="FE642" s="28"/>
      <c r="FH642" s="28"/>
      <c r="FK642" s="28"/>
      <c r="FN642" s="28"/>
      <c r="FQ642" s="28"/>
      <c r="FT642" s="28"/>
      <c r="FW642" s="28"/>
      <c r="FZ642" s="28"/>
      <c r="GC642" s="28"/>
    </row>
    <row r="643" spans="1:185" s="25" customFormat="1" x14ac:dyDescent="0.3">
      <c r="A643" s="27"/>
      <c r="B643" s="28"/>
      <c r="C643" s="27"/>
      <c r="D643" s="26"/>
      <c r="E643" s="28"/>
      <c r="H643" s="28"/>
      <c r="K643" s="28"/>
      <c r="N643" s="28"/>
      <c r="Q643" s="28"/>
      <c r="T643" s="28"/>
      <c r="W643" s="28"/>
      <c r="Z643" s="28"/>
      <c r="AC643" s="28"/>
      <c r="AF643" s="28"/>
      <c r="AI643" s="28"/>
      <c r="AL643" s="28"/>
      <c r="AO643" s="28"/>
      <c r="AR643" s="28"/>
      <c r="AU643" s="28"/>
      <c r="AX643" s="28"/>
      <c r="BA643" s="28"/>
      <c r="BD643" s="28"/>
      <c r="BG643" s="28"/>
      <c r="BJ643" s="28"/>
      <c r="BM643" s="28"/>
      <c r="BP643" s="28"/>
      <c r="BS643" s="28"/>
      <c r="BV643" s="28"/>
      <c r="BY643" s="28"/>
      <c r="CB643" s="28"/>
      <c r="CE643" s="28"/>
      <c r="CH643" s="28"/>
      <c r="CK643" s="28"/>
      <c r="CN643" s="28"/>
      <c r="CQ643" s="28"/>
      <c r="CT643" s="28"/>
      <c r="CW643" s="28"/>
      <c r="CZ643" s="28"/>
      <c r="DC643" s="28"/>
      <c r="DF643" s="28"/>
      <c r="DI643" s="28"/>
      <c r="DL643" s="28"/>
      <c r="DO643" s="28"/>
      <c r="DR643" s="28"/>
      <c r="DU643" s="28"/>
      <c r="DX643" s="28"/>
      <c r="EA643" s="28"/>
      <c r="ED643" s="28"/>
      <c r="EG643" s="28"/>
      <c r="EJ643" s="28"/>
      <c r="EM643" s="28"/>
      <c r="EP643" s="28"/>
      <c r="ES643" s="28"/>
      <c r="EV643" s="28"/>
      <c r="EY643" s="28"/>
      <c r="FB643" s="28"/>
      <c r="FE643" s="28"/>
      <c r="FH643" s="28"/>
      <c r="FK643" s="28"/>
      <c r="FN643" s="28"/>
      <c r="FQ643" s="28"/>
      <c r="FT643" s="28"/>
      <c r="FW643" s="28"/>
      <c r="FZ643" s="28"/>
      <c r="GC643" s="28"/>
    </row>
    <row r="644" spans="1:185" s="25" customFormat="1" x14ac:dyDescent="0.3">
      <c r="A644" s="27"/>
      <c r="B644" s="28"/>
      <c r="C644" s="27"/>
      <c r="D644" s="26"/>
      <c r="E644" s="28"/>
      <c r="H644" s="28"/>
      <c r="K644" s="28"/>
      <c r="N644" s="28"/>
      <c r="Q644" s="28"/>
      <c r="T644" s="28"/>
      <c r="W644" s="28"/>
      <c r="Z644" s="28"/>
      <c r="AC644" s="28"/>
      <c r="AF644" s="28"/>
      <c r="AI644" s="28"/>
      <c r="AL644" s="28"/>
      <c r="AO644" s="28"/>
      <c r="AR644" s="28"/>
      <c r="AU644" s="28"/>
      <c r="AX644" s="28"/>
      <c r="BA644" s="28"/>
      <c r="BD644" s="28"/>
      <c r="BG644" s="28"/>
      <c r="BJ644" s="28"/>
      <c r="BM644" s="28"/>
      <c r="BP644" s="28"/>
      <c r="BS644" s="28"/>
      <c r="BV644" s="28"/>
      <c r="BY644" s="28"/>
      <c r="CB644" s="28"/>
      <c r="CE644" s="28"/>
      <c r="CH644" s="28"/>
      <c r="CK644" s="28"/>
      <c r="CN644" s="28"/>
      <c r="CQ644" s="28"/>
      <c r="CT644" s="28"/>
      <c r="CW644" s="28"/>
      <c r="CZ644" s="28"/>
      <c r="DC644" s="28"/>
      <c r="DF644" s="28"/>
      <c r="DI644" s="28"/>
      <c r="DL644" s="28"/>
      <c r="DO644" s="28"/>
      <c r="DR644" s="28"/>
      <c r="DU644" s="28"/>
      <c r="DX644" s="28"/>
      <c r="EA644" s="28"/>
      <c r="ED644" s="28"/>
      <c r="EG644" s="28"/>
      <c r="EJ644" s="28"/>
      <c r="EM644" s="28"/>
      <c r="EP644" s="28"/>
      <c r="ES644" s="28"/>
      <c r="EV644" s="28"/>
      <c r="EY644" s="28"/>
      <c r="FB644" s="28"/>
      <c r="FE644" s="28"/>
      <c r="FH644" s="28"/>
      <c r="FK644" s="28"/>
      <c r="FN644" s="28"/>
      <c r="FQ644" s="28"/>
      <c r="FT644" s="28"/>
      <c r="FW644" s="28"/>
      <c r="FZ644" s="28"/>
      <c r="GC644" s="28"/>
    </row>
    <row r="645" spans="1:185" s="25" customFormat="1" x14ac:dyDescent="0.3">
      <c r="A645" s="27"/>
      <c r="B645" s="28"/>
      <c r="C645" s="27"/>
      <c r="D645" s="26"/>
      <c r="E645" s="28"/>
      <c r="H645" s="28"/>
      <c r="K645" s="28"/>
      <c r="N645" s="28"/>
      <c r="Q645" s="28"/>
      <c r="T645" s="28"/>
      <c r="W645" s="28"/>
      <c r="Z645" s="28"/>
      <c r="AC645" s="28"/>
      <c r="AF645" s="28"/>
      <c r="AI645" s="28"/>
      <c r="AL645" s="28"/>
      <c r="AO645" s="28"/>
      <c r="AR645" s="28"/>
      <c r="AU645" s="28"/>
      <c r="AX645" s="28"/>
      <c r="BA645" s="28"/>
      <c r="BD645" s="28"/>
      <c r="BG645" s="28"/>
      <c r="BJ645" s="28"/>
      <c r="BM645" s="28"/>
      <c r="BP645" s="28"/>
      <c r="BS645" s="28"/>
      <c r="BV645" s="28"/>
      <c r="BY645" s="28"/>
      <c r="CB645" s="28"/>
      <c r="CE645" s="28"/>
      <c r="CH645" s="28"/>
      <c r="CK645" s="28"/>
      <c r="CN645" s="28"/>
      <c r="CQ645" s="28"/>
      <c r="CT645" s="28"/>
      <c r="CW645" s="28"/>
      <c r="CZ645" s="28"/>
      <c r="DC645" s="28"/>
      <c r="DF645" s="28"/>
      <c r="DI645" s="28"/>
      <c r="DL645" s="28"/>
      <c r="DO645" s="28"/>
      <c r="DR645" s="28"/>
      <c r="DU645" s="28"/>
      <c r="DX645" s="28"/>
      <c r="EA645" s="28"/>
      <c r="ED645" s="28"/>
      <c r="EG645" s="28"/>
      <c r="EJ645" s="28"/>
      <c r="EM645" s="28"/>
      <c r="EP645" s="28"/>
      <c r="ES645" s="28"/>
      <c r="EV645" s="28"/>
      <c r="EY645" s="28"/>
      <c r="FB645" s="28"/>
      <c r="FE645" s="28"/>
      <c r="FH645" s="28"/>
      <c r="FK645" s="28"/>
      <c r="FN645" s="28"/>
      <c r="FQ645" s="28"/>
      <c r="FT645" s="28"/>
      <c r="FW645" s="28"/>
      <c r="FZ645" s="28"/>
      <c r="GC645" s="28"/>
    </row>
    <row r="646" spans="1:185" s="25" customFormat="1" x14ac:dyDescent="0.3">
      <c r="A646" s="27"/>
      <c r="B646" s="28"/>
      <c r="C646" s="27"/>
      <c r="D646" s="26"/>
      <c r="E646" s="28"/>
      <c r="H646" s="28"/>
      <c r="K646" s="28"/>
      <c r="N646" s="28"/>
      <c r="Q646" s="28"/>
      <c r="T646" s="28"/>
      <c r="W646" s="28"/>
      <c r="Z646" s="28"/>
      <c r="AC646" s="28"/>
      <c r="AF646" s="28"/>
      <c r="AI646" s="28"/>
      <c r="AL646" s="28"/>
      <c r="AO646" s="28"/>
      <c r="AR646" s="28"/>
      <c r="AU646" s="28"/>
      <c r="AX646" s="28"/>
      <c r="BA646" s="28"/>
      <c r="BD646" s="28"/>
      <c r="BG646" s="28"/>
      <c r="BJ646" s="28"/>
      <c r="BM646" s="28"/>
      <c r="BP646" s="28"/>
      <c r="BS646" s="28"/>
      <c r="BV646" s="28"/>
      <c r="BY646" s="28"/>
      <c r="CB646" s="28"/>
      <c r="CE646" s="28"/>
      <c r="CH646" s="28"/>
      <c r="CK646" s="28"/>
      <c r="CN646" s="28"/>
      <c r="CQ646" s="28"/>
      <c r="CT646" s="28"/>
      <c r="CW646" s="28"/>
      <c r="CZ646" s="28"/>
      <c r="DC646" s="28"/>
      <c r="DF646" s="28"/>
      <c r="DI646" s="28"/>
      <c r="DL646" s="28"/>
      <c r="DO646" s="28"/>
      <c r="DR646" s="28"/>
      <c r="DU646" s="28"/>
      <c r="DX646" s="28"/>
      <c r="EA646" s="28"/>
      <c r="ED646" s="28"/>
      <c r="EG646" s="28"/>
      <c r="EJ646" s="28"/>
      <c r="EM646" s="28"/>
      <c r="EP646" s="28"/>
      <c r="ES646" s="28"/>
      <c r="EV646" s="28"/>
      <c r="EY646" s="28"/>
      <c r="FB646" s="28"/>
      <c r="FE646" s="28"/>
      <c r="FH646" s="28"/>
      <c r="FK646" s="28"/>
      <c r="FN646" s="28"/>
      <c r="FQ646" s="28"/>
      <c r="FT646" s="28"/>
      <c r="FW646" s="28"/>
      <c r="FZ646" s="28"/>
      <c r="GC646" s="28"/>
    </row>
    <row r="647" spans="1:185" s="25" customFormat="1" x14ac:dyDescent="0.3">
      <c r="A647" s="27"/>
      <c r="B647" s="28"/>
      <c r="C647" s="27"/>
      <c r="D647" s="26"/>
      <c r="E647" s="28"/>
      <c r="H647" s="28"/>
      <c r="K647" s="28"/>
      <c r="N647" s="28"/>
      <c r="Q647" s="28"/>
      <c r="T647" s="28"/>
      <c r="W647" s="28"/>
      <c r="Z647" s="28"/>
      <c r="AC647" s="28"/>
      <c r="AF647" s="28"/>
      <c r="AI647" s="28"/>
      <c r="AL647" s="28"/>
      <c r="AO647" s="28"/>
      <c r="AR647" s="28"/>
      <c r="AU647" s="28"/>
      <c r="AX647" s="28"/>
      <c r="BA647" s="28"/>
      <c r="BD647" s="28"/>
      <c r="BG647" s="28"/>
      <c r="BJ647" s="28"/>
      <c r="BM647" s="28"/>
      <c r="BP647" s="28"/>
      <c r="BS647" s="28"/>
      <c r="BV647" s="28"/>
      <c r="BY647" s="28"/>
      <c r="CB647" s="28"/>
      <c r="CE647" s="28"/>
      <c r="CH647" s="28"/>
      <c r="CK647" s="28"/>
      <c r="CN647" s="28"/>
      <c r="CQ647" s="28"/>
      <c r="CT647" s="28"/>
      <c r="CW647" s="28"/>
      <c r="CZ647" s="28"/>
      <c r="DC647" s="28"/>
      <c r="DF647" s="28"/>
      <c r="DI647" s="28"/>
      <c r="DL647" s="28"/>
      <c r="DO647" s="28"/>
      <c r="DR647" s="28"/>
      <c r="DU647" s="28"/>
      <c r="DX647" s="28"/>
      <c r="EA647" s="28"/>
      <c r="ED647" s="28"/>
      <c r="EG647" s="28"/>
      <c r="EJ647" s="28"/>
      <c r="EM647" s="28"/>
      <c r="EP647" s="28"/>
      <c r="ES647" s="28"/>
      <c r="EV647" s="28"/>
      <c r="EY647" s="28"/>
      <c r="FB647" s="28"/>
      <c r="FE647" s="28"/>
      <c r="FH647" s="28"/>
      <c r="FK647" s="28"/>
      <c r="FN647" s="28"/>
      <c r="FQ647" s="28"/>
      <c r="FT647" s="28"/>
      <c r="FW647" s="28"/>
      <c r="FZ647" s="28"/>
      <c r="GC647" s="28"/>
    </row>
    <row r="648" spans="1:185" s="25" customFormat="1" x14ac:dyDescent="0.3">
      <c r="A648" s="27"/>
      <c r="B648" s="28"/>
      <c r="C648" s="27"/>
      <c r="D648" s="26"/>
      <c r="E648" s="28"/>
      <c r="H648" s="28"/>
      <c r="K648" s="28"/>
      <c r="N648" s="28"/>
      <c r="Q648" s="28"/>
      <c r="T648" s="28"/>
      <c r="W648" s="28"/>
      <c r="Z648" s="28"/>
      <c r="AC648" s="28"/>
      <c r="AF648" s="28"/>
      <c r="AI648" s="28"/>
      <c r="AL648" s="28"/>
      <c r="AO648" s="28"/>
      <c r="AR648" s="28"/>
      <c r="AU648" s="28"/>
      <c r="AX648" s="28"/>
      <c r="BA648" s="28"/>
      <c r="BD648" s="28"/>
      <c r="BG648" s="28"/>
      <c r="BJ648" s="28"/>
      <c r="BM648" s="28"/>
      <c r="BP648" s="28"/>
      <c r="BS648" s="28"/>
      <c r="BV648" s="28"/>
      <c r="BY648" s="28"/>
      <c r="CB648" s="28"/>
      <c r="CE648" s="28"/>
      <c r="CH648" s="28"/>
      <c r="CK648" s="28"/>
      <c r="CN648" s="28"/>
      <c r="CQ648" s="28"/>
      <c r="CT648" s="28"/>
      <c r="CW648" s="28"/>
      <c r="CZ648" s="28"/>
      <c r="DC648" s="28"/>
      <c r="DF648" s="28"/>
      <c r="DI648" s="28"/>
      <c r="DL648" s="28"/>
      <c r="DO648" s="28"/>
      <c r="DR648" s="28"/>
      <c r="DU648" s="28"/>
      <c r="DX648" s="28"/>
      <c r="EA648" s="28"/>
      <c r="ED648" s="28"/>
      <c r="EG648" s="28"/>
      <c r="EJ648" s="28"/>
      <c r="EM648" s="28"/>
      <c r="EP648" s="28"/>
      <c r="ES648" s="28"/>
      <c r="EV648" s="28"/>
      <c r="EY648" s="28"/>
      <c r="FB648" s="28"/>
      <c r="FE648" s="28"/>
      <c r="FH648" s="28"/>
      <c r="FK648" s="28"/>
      <c r="FN648" s="28"/>
      <c r="FQ648" s="28"/>
      <c r="FT648" s="28"/>
      <c r="FW648" s="28"/>
      <c r="FZ648" s="28"/>
      <c r="GC648" s="28"/>
    </row>
    <row r="649" spans="1:185" s="25" customFormat="1" x14ac:dyDescent="0.3">
      <c r="A649" s="27"/>
      <c r="B649" s="28"/>
      <c r="C649" s="27"/>
      <c r="D649" s="26"/>
      <c r="E649" s="28"/>
      <c r="H649" s="28"/>
      <c r="K649" s="28"/>
      <c r="N649" s="28"/>
      <c r="Q649" s="28"/>
      <c r="T649" s="28"/>
      <c r="W649" s="28"/>
      <c r="Z649" s="28"/>
      <c r="AC649" s="28"/>
      <c r="AF649" s="28"/>
      <c r="AI649" s="28"/>
      <c r="AL649" s="28"/>
      <c r="AO649" s="28"/>
      <c r="AR649" s="28"/>
      <c r="AU649" s="28"/>
      <c r="AX649" s="28"/>
      <c r="BA649" s="28"/>
      <c r="BD649" s="28"/>
      <c r="BG649" s="28"/>
      <c r="BJ649" s="28"/>
      <c r="BM649" s="28"/>
      <c r="BP649" s="28"/>
      <c r="BS649" s="28"/>
      <c r="BV649" s="28"/>
      <c r="BY649" s="28"/>
      <c r="CB649" s="28"/>
      <c r="CE649" s="28"/>
      <c r="CH649" s="28"/>
      <c r="CK649" s="28"/>
      <c r="CN649" s="28"/>
      <c r="CQ649" s="28"/>
      <c r="CT649" s="28"/>
      <c r="CW649" s="28"/>
      <c r="CZ649" s="28"/>
      <c r="DC649" s="28"/>
      <c r="DF649" s="28"/>
      <c r="DI649" s="28"/>
      <c r="DL649" s="28"/>
      <c r="DO649" s="28"/>
      <c r="DR649" s="28"/>
      <c r="DU649" s="28"/>
      <c r="DX649" s="28"/>
      <c r="EA649" s="28"/>
      <c r="ED649" s="28"/>
      <c r="EG649" s="28"/>
      <c r="EJ649" s="28"/>
      <c r="EM649" s="28"/>
      <c r="EP649" s="28"/>
      <c r="ES649" s="28"/>
      <c r="EV649" s="28"/>
      <c r="EY649" s="28"/>
      <c r="FB649" s="28"/>
      <c r="FE649" s="28"/>
      <c r="FH649" s="28"/>
      <c r="FK649" s="28"/>
      <c r="FN649" s="28"/>
      <c r="FQ649" s="28"/>
      <c r="FT649" s="28"/>
      <c r="FW649" s="28"/>
      <c r="FZ649" s="28"/>
      <c r="GC649" s="28"/>
    </row>
    <row r="650" spans="1:185" s="25" customFormat="1" x14ac:dyDescent="0.3">
      <c r="A650" s="27"/>
      <c r="B650" s="28"/>
      <c r="C650" s="27"/>
      <c r="D650" s="26"/>
      <c r="E650" s="28"/>
      <c r="H650" s="28"/>
      <c r="K650" s="28"/>
      <c r="N650" s="28"/>
      <c r="Q650" s="28"/>
      <c r="T650" s="28"/>
      <c r="W650" s="28"/>
      <c r="Z650" s="28"/>
      <c r="AC650" s="28"/>
      <c r="AF650" s="28"/>
      <c r="AI650" s="28"/>
      <c r="AL650" s="28"/>
      <c r="AO650" s="28"/>
      <c r="AR650" s="28"/>
      <c r="AU650" s="28"/>
      <c r="AX650" s="28"/>
      <c r="BA650" s="28"/>
      <c r="BD650" s="28"/>
      <c r="BG650" s="28"/>
      <c r="BJ650" s="28"/>
      <c r="BM650" s="28"/>
      <c r="BP650" s="28"/>
      <c r="BS650" s="28"/>
      <c r="BV650" s="28"/>
      <c r="BY650" s="28"/>
      <c r="CB650" s="28"/>
      <c r="CE650" s="28"/>
      <c r="CH650" s="28"/>
      <c r="CK650" s="28"/>
      <c r="CN650" s="28"/>
      <c r="CQ650" s="28"/>
      <c r="CT650" s="28"/>
      <c r="CW650" s="28"/>
      <c r="CZ650" s="28"/>
      <c r="DC650" s="28"/>
      <c r="DF650" s="28"/>
      <c r="DI650" s="28"/>
      <c r="DL650" s="28"/>
      <c r="DO650" s="28"/>
      <c r="DR650" s="28"/>
      <c r="DU650" s="28"/>
      <c r="DX650" s="28"/>
      <c r="EA650" s="28"/>
      <c r="ED650" s="28"/>
      <c r="EG650" s="28"/>
      <c r="EJ650" s="28"/>
      <c r="EM650" s="28"/>
      <c r="EP650" s="28"/>
      <c r="ES650" s="28"/>
      <c r="EV650" s="28"/>
      <c r="EY650" s="28"/>
      <c r="FB650" s="28"/>
      <c r="FE650" s="28"/>
      <c r="FH650" s="28"/>
      <c r="FK650" s="28"/>
      <c r="FN650" s="28"/>
      <c r="FQ650" s="28"/>
      <c r="FT650" s="28"/>
      <c r="FW650" s="28"/>
      <c r="FZ650" s="28"/>
      <c r="GC650" s="28"/>
    </row>
    <row r="651" spans="1:185" s="25" customFormat="1" x14ac:dyDescent="0.3">
      <c r="A651" s="27"/>
      <c r="B651" s="28"/>
      <c r="C651" s="27"/>
      <c r="D651" s="26"/>
      <c r="E651" s="28"/>
      <c r="H651" s="28"/>
      <c r="K651" s="28"/>
      <c r="N651" s="28"/>
      <c r="Q651" s="28"/>
      <c r="T651" s="28"/>
      <c r="W651" s="28"/>
      <c r="Z651" s="28"/>
      <c r="AC651" s="28"/>
      <c r="AF651" s="28"/>
      <c r="AI651" s="28"/>
      <c r="AL651" s="28"/>
      <c r="AO651" s="28"/>
      <c r="AR651" s="28"/>
      <c r="AU651" s="28"/>
      <c r="AX651" s="28"/>
      <c r="BA651" s="28"/>
      <c r="BD651" s="28"/>
      <c r="BG651" s="28"/>
      <c r="BJ651" s="28"/>
      <c r="BM651" s="28"/>
      <c r="BP651" s="28"/>
      <c r="BS651" s="28"/>
      <c r="BV651" s="28"/>
      <c r="BY651" s="28"/>
      <c r="CB651" s="28"/>
      <c r="CE651" s="28"/>
      <c r="CH651" s="28"/>
      <c r="CK651" s="28"/>
      <c r="CN651" s="28"/>
      <c r="CQ651" s="28"/>
      <c r="CT651" s="28"/>
      <c r="CW651" s="28"/>
      <c r="CZ651" s="28"/>
      <c r="DC651" s="28"/>
      <c r="DF651" s="28"/>
      <c r="DI651" s="28"/>
      <c r="DL651" s="28"/>
      <c r="DO651" s="28"/>
      <c r="DR651" s="28"/>
      <c r="DU651" s="28"/>
      <c r="DX651" s="28"/>
      <c r="EA651" s="28"/>
      <c r="ED651" s="28"/>
      <c r="EG651" s="28"/>
      <c r="EJ651" s="28"/>
      <c r="EM651" s="28"/>
      <c r="EP651" s="28"/>
      <c r="ES651" s="28"/>
      <c r="EV651" s="28"/>
      <c r="EY651" s="28"/>
      <c r="FB651" s="28"/>
      <c r="FE651" s="28"/>
      <c r="FH651" s="28"/>
      <c r="FK651" s="28"/>
      <c r="FN651" s="28"/>
      <c r="FQ651" s="28"/>
      <c r="FT651" s="28"/>
      <c r="FW651" s="28"/>
      <c r="FZ651" s="28"/>
      <c r="GC651" s="28"/>
    </row>
    <row r="652" spans="1:185" s="25" customFormat="1" x14ac:dyDescent="0.3">
      <c r="A652" s="27"/>
      <c r="B652" s="28"/>
      <c r="C652" s="27"/>
      <c r="D652" s="26"/>
      <c r="E652" s="28"/>
      <c r="H652" s="28"/>
      <c r="K652" s="28"/>
      <c r="N652" s="28"/>
      <c r="Q652" s="28"/>
      <c r="T652" s="28"/>
      <c r="W652" s="28"/>
      <c r="Z652" s="28"/>
      <c r="AC652" s="28"/>
      <c r="AF652" s="28"/>
      <c r="AI652" s="28"/>
      <c r="AL652" s="28"/>
      <c r="AO652" s="28"/>
      <c r="AR652" s="28"/>
      <c r="AU652" s="28"/>
      <c r="AX652" s="28"/>
      <c r="BA652" s="28"/>
      <c r="BD652" s="28"/>
      <c r="BG652" s="28"/>
      <c r="BJ652" s="28"/>
      <c r="BM652" s="28"/>
      <c r="BP652" s="28"/>
      <c r="BS652" s="28"/>
      <c r="BV652" s="28"/>
      <c r="BY652" s="28"/>
      <c r="CB652" s="28"/>
      <c r="CE652" s="28"/>
      <c r="CH652" s="28"/>
      <c r="CK652" s="28"/>
      <c r="CN652" s="28"/>
      <c r="CQ652" s="28"/>
      <c r="CT652" s="28"/>
      <c r="CW652" s="28"/>
      <c r="CZ652" s="28"/>
      <c r="DC652" s="28"/>
      <c r="DF652" s="28"/>
      <c r="DI652" s="28"/>
      <c r="DL652" s="28"/>
      <c r="DO652" s="28"/>
      <c r="DR652" s="28"/>
      <c r="DU652" s="28"/>
      <c r="DX652" s="28"/>
      <c r="EA652" s="28"/>
      <c r="ED652" s="28"/>
      <c r="EG652" s="28"/>
      <c r="EJ652" s="28"/>
      <c r="EM652" s="28"/>
      <c r="EP652" s="28"/>
      <c r="ES652" s="28"/>
      <c r="EV652" s="28"/>
      <c r="EY652" s="28"/>
      <c r="FB652" s="28"/>
      <c r="FE652" s="28"/>
      <c r="FH652" s="28"/>
      <c r="FK652" s="28"/>
      <c r="FN652" s="28"/>
      <c r="FQ652" s="28"/>
      <c r="FT652" s="28"/>
      <c r="FW652" s="28"/>
      <c r="FZ652" s="28"/>
      <c r="GC652" s="28"/>
    </row>
    <row r="653" spans="1:185" s="25" customFormat="1" x14ac:dyDescent="0.3">
      <c r="A653" s="27"/>
      <c r="B653" s="28"/>
      <c r="C653" s="27"/>
      <c r="D653" s="26"/>
      <c r="E653" s="28"/>
      <c r="H653" s="28"/>
      <c r="K653" s="28"/>
      <c r="N653" s="28"/>
      <c r="Q653" s="28"/>
      <c r="T653" s="28"/>
      <c r="W653" s="28"/>
      <c r="Z653" s="28"/>
      <c r="AC653" s="28"/>
      <c r="AF653" s="28"/>
      <c r="AI653" s="28"/>
      <c r="AL653" s="28"/>
      <c r="AO653" s="28"/>
      <c r="AR653" s="28"/>
      <c r="AU653" s="28"/>
      <c r="AX653" s="28"/>
      <c r="BA653" s="28"/>
      <c r="BD653" s="28"/>
      <c r="BG653" s="28"/>
      <c r="BJ653" s="28"/>
      <c r="BM653" s="28"/>
      <c r="BP653" s="28"/>
      <c r="BS653" s="28"/>
      <c r="BV653" s="28"/>
      <c r="BY653" s="28"/>
      <c r="CB653" s="28"/>
      <c r="CE653" s="28"/>
      <c r="CH653" s="28"/>
      <c r="CK653" s="28"/>
      <c r="CN653" s="28"/>
      <c r="CQ653" s="28"/>
      <c r="CT653" s="28"/>
      <c r="CW653" s="28"/>
      <c r="CZ653" s="28"/>
      <c r="DC653" s="28"/>
      <c r="DF653" s="28"/>
      <c r="DI653" s="28"/>
      <c r="DL653" s="28"/>
      <c r="DO653" s="28"/>
      <c r="DR653" s="28"/>
      <c r="DU653" s="28"/>
      <c r="DX653" s="28"/>
      <c r="EA653" s="28"/>
      <c r="ED653" s="28"/>
      <c r="EG653" s="28"/>
      <c r="EJ653" s="28"/>
      <c r="EM653" s="28"/>
      <c r="EP653" s="28"/>
      <c r="ES653" s="28"/>
      <c r="EV653" s="28"/>
      <c r="EY653" s="28"/>
      <c r="FB653" s="28"/>
      <c r="FE653" s="28"/>
      <c r="FH653" s="28"/>
      <c r="FK653" s="28"/>
      <c r="FN653" s="28"/>
      <c r="FQ653" s="28"/>
      <c r="FT653" s="28"/>
      <c r="FW653" s="28"/>
      <c r="FZ653" s="28"/>
      <c r="GC653" s="28"/>
    </row>
    <row r="654" spans="1:185" s="25" customFormat="1" x14ac:dyDescent="0.3">
      <c r="A654" s="27"/>
      <c r="B654" s="28"/>
      <c r="C654" s="27"/>
      <c r="D654" s="26"/>
      <c r="E654" s="28"/>
      <c r="H654" s="28"/>
      <c r="K654" s="28"/>
      <c r="N654" s="28"/>
      <c r="Q654" s="28"/>
      <c r="T654" s="28"/>
      <c r="W654" s="28"/>
      <c r="Z654" s="28"/>
      <c r="AC654" s="28"/>
      <c r="AF654" s="28"/>
      <c r="AI654" s="28"/>
      <c r="AL654" s="28"/>
      <c r="AO654" s="28"/>
      <c r="AR654" s="28"/>
      <c r="AU654" s="28"/>
      <c r="AX654" s="28"/>
      <c r="BA654" s="28"/>
      <c r="BD654" s="28"/>
      <c r="BG654" s="28"/>
      <c r="BJ654" s="28"/>
      <c r="BM654" s="28"/>
      <c r="BP654" s="28"/>
      <c r="BS654" s="28"/>
      <c r="BV654" s="28"/>
      <c r="BY654" s="28"/>
      <c r="CB654" s="28"/>
      <c r="CE654" s="28"/>
      <c r="CH654" s="28"/>
      <c r="CK654" s="28"/>
      <c r="CN654" s="28"/>
      <c r="CQ654" s="28"/>
      <c r="CT654" s="28"/>
      <c r="CW654" s="28"/>
      <c r="CZ654" s="28"/>
      <c r="DC654" s="28"/>
      <c r="DF654" s="28"/>
      <c r="DI654" s="28"/>
      <c r="DL654" s="28"/>
      <c r="DO654" s="28"/>
      <c r="DR654" s="28"/>
      <c r="DU654" s="28"/>
      <c r="DX654" s="28"/>
      <c r="EA654" s="28"/>
      <c r="ED654" s="28"/>
      <c r="EG654" s="28"/>
      <c r="EJ654" s="28"/>
      <c r="EM654" s="28"/>
      <c r="EP654" s="28"/>
      <c r="ES654" s="28"/>
      <c r="EV654" s="28"/>
      <c r="EY654" s="28"/>
      <c r="FB654" s="28"/>
      <c r="FE654" s="28"/>
      <c r="FH654" s="28"/>
      <c r="FK654" s="28"/>
      <c r="FN654" s="28"/>
      <c r="FQ654" s="28"/>
      <c r="FT654" s="28"/>
      <c r="FW654" s="28"/>
      <c r="FZ654" s="28"/>
      <c r="GC654" s="28"/>
    </row>
    <row r="655" spans="1:185" s="25" customFormat="1" x14ac:dyDescent="0.3">
      <c r="A655" s="27"/>
      <c r="B655" s="28"/>
      <c r="C655" s="27"/>
      <c r="D655" s="26"/>
      <c r="E655" s="28"/>
      <c r="H655" s="28"/>
      <c r="K655" s="28"/>
      <c r="N655" s="28"/>
      <c r="Q655" s="28"/>
      <c r="T655" s="28"/>
      <c r="W655" s="28"/>
      <c r="Z655" s="28"/>
      <c r="AC655" s="28"/>
      <c r="AF655" s="28"/>
      <c r="AI655" s="28"/>
      <c r="AL655" s="28"/>
      <c r="AO655" s="28"/>
      <c r="AR655" s="28"/>
      <c r="AU655" s="28"/>
      <c r="AX655" s="28"/>
      <c r="BA655" s="28"/>
      <c r="BD655" s="28"/>
      <c r="BG655" s="28"/>
      <c r="BJ655" s="28"/>
      <c r="BM655" s="28"/>
      <c r="BP655" s="28"/>
      <c r="BS655" s="28"/>
      <c r="BV655" s="28"/>
      <c r="BY655" s="28"/>
      <c r="CB655" s="28"/>
      <c r="CE655" s="28"/>
      <c r="CH655" s="28"/>
      <c r="CK655" s="28"/>
      <c r="CN655" s="28"/>
      <c r="CQ655" s="28"/>
      <c r="CT655" s="28"/>
      <c r="CW655" s="28"/>
      <c r="CZ655" s="28"/>
      <c r="DC655" s="28"/>
      <c r="DF655" s="28"/>
      <c r="DI655" s="28"/>
      <c r="DL655" s="28"/>
      <c r="DO655" s="28"/>
      <c r="DR655" s="28"/>
      <c r="DU655" s="28"/>
      <c r="DX655" s="28"/>
      <c r="EA655" s="28"/>
      <c r="ED655" s="28"/>
      <c r="EG655" s="28"/>
      <c r="EJ655" s="28"/>
      <c r="EM655" s="28"/>
      <c r="EP655" s="28"/>
      <c r="ES655" s="28"/>
      <c r="EV655" s="28"/>
      <c r="EY655" s="28"/>
      <c r="FB655" s="28"/>
      <c r="FE655" s="28"/>
      <c r="FH655" s="28"/>
      <c r="FK655" s="28"/>
      <c r="FN655" s="28"/>
      <c r="FQ655" s="28"/>
      <c r="FT655" s="28"/>
      <c r="FW655" s="28"/>
      <c r="FZ655" s="28"/>
      <c r="GC655" s="28"/>
    </row>
    <row r="656" spans="1:185" s="25" customFormat="1" x14ac:dyDescent="0.3">
      <c r="A656" s="27"/>
      <c r="B656" s="28"/>
      <c r="C656" s="27"/>
      <c r="D656" s="26"/>
      <c r="E656" s="28"/>
      <c r="H656" s="28"/>
      <c r="K656" s="28"/>
      <c r="N656" s="28"/>
      <c r="Q656" s="28"/>
      <c r="T656" s="28"/>
      <c r="W656" s="28"/>
      <c r="Z656" s="28"/>
      <c r="AC656" s="28"/>
      <c r="AF656" s="28"/>
      <c r="AI656" s="28"/>
      <c r="AL656" s="28"/>
      <c r="AO656" s="28"/>
      <c r="AR656" s="28"/>
      <c r="AU656" s="28"/>
      <c r="AX656" s="28"/>
      <c r="BA656" s="28"/>
      <c r="BD656" s="28"/>
      <c r="BG656" s="28"/>
      <c r="BJ656" s="28"/>
      <c r="BM656" s="28"/>
      <c r="BP656" s="28"/>
      <c r="BS656" s="28"/>
      <c r="BV656" s="28"/>
      <c r="BY656" s="28"/>
      <c r="CB656" s="28"/>
      <c r="CE656" s="28"/>
      <c r="CH656" s="28"/>
      <c r="CK656" s="28"/>
      <c r="CN656" s="28"/>
      <c r="CQ656" s="28"/>
      <c r="CT656" s="28"/>
      <c r="CW656" s="28"/>
      <c r="CZ656" s="28"/>
      <c r="DC656" s="28"/>
      <c r="DF656" s="28"/>
      <c r="DI656" s="28"/>
      <c r="DL656" s="28"/>
      <c r="DO656" s="28"/>
      <c r="DR656" s="28"/>
      <c r="DU656" s="28"/>
      <c r="DX656" s="28"/>
      <c r="EA656" s="28"/>
      <c r="ED656" s="28"/>
      <c r="EG656" s="28"/>
      <c r="EJ656" s="28"/>
      <c r="EM656" s="28"/>
      <c r="EP656" s="28"/>
      <c r="ES656" s="28"/>
      <c r="EV656" s="28"/>
      <c r="EY656" s="28"/>
      <c r="FB656" s="28"/>
      <c r="FE656" s="28"/>
      <c r="FH656" s="28"/>
      <c r="FK656" s="28"/>
      <c r="FN656" s="28"/>
      <c r="FQ656" s="28"/>
      <c r="FT656" s="28"/>
      <c r="FW656" s="28"/>
      <c r="FZ656" s="28"/>
      <c r="GC656" s="28"/>
    </row>
    <row r="657" spans="1:185" s="25" customFormat="1" x14ac:dyDescent="0.3">
      <c r="A657" s="27"/>
      <c r="B657" s="28"/>
      <c r="C657" s="27"/>
      <c r="D657" s="26"/>
      <c r="E657" s="28"/>
      <c r="H657" s="28"/>
      <c r="K657" s="28"/>
      <c r="N657" s="28"/>
      <c r="Q657" s="28"/>
      <c r="T657" s="28"/>
      <c r="W657" s="28"/>
      <c r="Z657" s="28"/>
      <c r="AC657" s="28"/>
      <c r="AF657" s="28"/>
      <c r="AI657" s="28"/>
      <c r="AL657" s="28"/>
      <c r="AO657" s="28"/>
      <c r="AR657" s="28"/>
      <c r="AU657" s="28"/>
      <c r="AX657" s="28"/>
      <c r="BA657" s="28"/>
      <c r="BD657" s="28"/>
      <c r="BG657" s="28"/>
      <c r="BJ657" s="28"/>
      <c r="BM657" s="28"/>
      <c r="BP657" s="28"/>
      <c r="BS657" s="28"/>
      <c r="BV657" s="28"/>
      <c r="BY657" s="28"/>
      <c r="CB657" s="28"/>
      <c r="CE657" s="28"/>
      <c r="CH657" s="28"/>
      <c r="CK657" s="28"/>
      <c r="CN657" s="28"/>
      <c r="CQ657" s="28"/>
      <c r="CT657" s="28"/>
      <c r="CW657" s="28"/>
      <c r="CZ657" s="28"/>
      <c r="DC657" s="28"/>
      <c r="DF657" s="28"/>
      <c r="DI657" s="28"/>
      <c r="DL657" s="28"/>
      <c r="DO657" s="28"/>
      <c r="DR657" s="28"/>
      <c r="DU657" s="28"/>
      <c r="DX657" s="28"/>
      <c r="EA657" s="28"/>
      <c r="ED657" s="28"/>
      <c r="EG657" s="28"/>
      <c r="EJ657" s="28"/>
      <c r="EM657" s="28"/>
      <c r="EP657" s="28"/>
      <c r="ES657" s="28"/>
      <c r="EV657" s="28"/>
      <c r="EY657" s="28"/>
      <c r="FB657" s="28"/>
      <c r="FE657" s="28"/>
      <c r="FH657" s="28"/>
      <c r="FK657" s="28"/>
      <c r="FN657" s="28"/>
      <c r="FQ657" s="28"/>
      <c r="FT657" s="28"/>
      <c r="FW657" s="28"/>
      <c r="FZ657" s="28"/>
      <c r="GC657" s="28"/>
    </row>
    <row r="658" spans="1:185" s="25" customFormat="1" x14ac:dyDescent="0.3">
      <c r="A658" s="27"/>
      <c r="B658" s="28"/>
      <c r="C658" s="27"/>
      <c r="D658" s="26"/>
      <c r="E658" s="28"/>
      <c r="H658" s="28"/>
      <c r="K658" s="28"/>
      <c r="N658" s="28"/>
      <c r="Q658" s="28"/>
      <c r="T658" s="28"/>
      <c r="W658" s="28"/>
      <c r="Z658" s="28"/>
      <c r="AC658" s="28"/>
      <c r="AF658" s="28"/>
      <c r="AI658" s="28"/>
      <c r="AL658" s="28"/>
      <c r="AO658" s="28"/>
      <c r="AR658" s="28"/>
      <c r="AU658" s="28"/>
      <c r="AX658" s="28"/>
      <c r="BA658" s="28"/>
      <c r="BD658" s="28"/>
      <c r="BG658" s="28"/>
      <c r="BJ658" s="28"/>
      <c r="BM658" s="28"/>
      <c r="BP658" s="28"/>
      <c r="BS658" s="28"/>
      <c r="BV658" s="28"/>
      <c r="BY658" s="28"/>
      <c r="CB658" s="28"/>
      <c r="CE658" s="28"/>
      <c r="CH658" s="28"/>
      <c r="CK658" s="28"/>
      <c r="CN658" s="28"/>
      <c r="CQ658" s="28"/>
      <c r="CT658" s="28"/>
      <c r="CW658" s="28"/>
      <c r="CZ658" s="28"/>
      <c r="DC658" s="28"/>
      <c r="DF658" s="28"/>
      <c r="DI658" s="28"/>
      <c r="DL658" s="28"/>
      <c r="DO658" s="28"/>
      <c r="DR658" s="28"/>
      <c r="DU658" s="28"/>
      <c r="DX658" s="28"/>
      <c r="EA658" s="28"/>
      <c r="ED658" s="28"/>
      <c r="EG658" s="28"/>
      <c r="EJ658" s="28"/>
      <c r="EM658" s="28"/>
      <c r="EP658" s="28"/>
      <c r="ES658" s="28"/>
      <c r="EV658" s="28"/>
      <c r="EY658" s="28"/>
      <c r="FB658" s="28"/>
      <c r="FE658" s="28"/>
      <c r="FH658" s="28"/>
      <c r="FK658" s="28"/>
      <c r="FN658" s="28"/>
      <c r="FQ658" s="28"/>
      <c r="FT658" s="28"/>
      <c r="FW658" s="28"/>
      <c r="FZ658" s="28"/>
      <c r="GC658" s="28"/>
    </row>
    <row r="659" spans="1:185" s="25" customFormat="1" x14ac:dyDescent="0.3">
      <c r="A659" s="27"/>
      <c r="B659" s="28"/>
      <c r="C659" s="27"/>
      <c r="D659" s="26"/>
      <c r="E659" s="28"/>
      <c r="H659" s="28"/>
      <c r="K659" s="28"/>
      <c r="N659" s="28"/>
      <c r="Q659" s="28"/>
      <c r="T659" s="28"/>
      <c r="W659" s="28"/>
      <c r="Z659" s="28"/>
      <c r="AC659" s="28"/>
      <c r="AF659" s="28"/>
      <c r="AI659" s="28"/>
      <c r="AL659" s="28"/>
      <c r="AO659" s="28"/>
      <c r="AR659" s="28"/>
      <c r="AU659" s="28"/>
      <c r="AX659" s="28"/>
      <c r="BA659" s="28"/>
      <c r="BD659" s="28"/>
      <c r="BG659" s="28"/>
      <c r="BJ659" s="28"/>
      <c r="BM659" s="28"/>
      <c r="BP659" s="28"/>
      <c r="BS659" s="28"/>
      <c r="BV659" s="28"/>
      <c r="BY659" s="28"/>
      <c r="CB659" s="28"/>
      <c r="CE659" s="28"/>
      <c r="CH659" s="28"/>
      <c r="CK659" s="28"/>
      <c r="CN659" s="28"/>
      <c r="CQ659" s="28"/>
      <c r="CT659" s="28"/>
      <c r="CW659" s="28"/>
      <c r="CZ659" s="28"/>
      <c r="DC659" s="28"/>
      <c r="DF659" s="28"/>
      <c r="DI659" s="28"/>
      <c r="DL659" s="28"/>
      <c r="DO659" s="28"/>
      <c r="DR659" s="28"/>
      <c r="DU659" s="28"/>
      <c r="DX659" s="28"/>
      <c r="EA659" s="28"/>
      <c r="ED659" s="28"/>
      <c r="EG659" s="28"/>
      <c r="EJ659" s="28"/>
      <c r="EM659" s="28"/>
      <c r="EP659" s="28"/>
      <c r="ES659" s="28"/>
      <c r="EV659" s="28"/>
      <c r="EY659" s="28"/>
      <c r="FB659" s="28"/>
      <c r="FE659" s="28"/>
      <c r="FH659" s="28"/>
      <c r="FK659" s="28"/>
      <c r="FN659" s="28"/>
      <c r="FQ659" s="28"/>
      <c r="FT659" s="28"/>
      <c r="FW659" s="28"/>
      <c r="FZ659" s="28"/>
      <c r="GC659" s="28"/>
    </row>
    <row r="660" spans="1:185" s="25" customFormat="1" x14ac:dyDescent="0.3">
      <c r="A660" s="27"/>
      <c r="B660" s="28"/>
      <c r="C660" s="27"/>
      <c r="D660" s="26"/>
      <c r="E660" s="28"/>
      <c r="H660" s="28"/>
      <c r="K660" s="28"/>
      <c r="N660" s="28"/>
      <c r="Q660" s="28"/>
      <c r="T660" s="28"/>
      <c r="W660" s="28"/>
      <c r="Z660" s="28"/>
      <c r="AC660" s="28"/>
      <c r="AF660" s="28"/>
      <c r="AI660" s="28"/>
      <c r="AL660" s="28"/>
      <c r="AO660" s="28"/>
      <c r="AR660" s="28"/>
      <c r="AU660" s="28"/>
      <c r="AX660" s="28"/>
      <c r="BA660" s="28"/>
      <c r="BD660" s="28"/>
      <c r="BG660" s="28"/>
      <c r="BJ660" s="28"/>
      <c r="BM660" s="28"/>
      <c r="BP660" s="28"/>
      <c r="BS660" s="28"/>
      <c r="BV660" s="28"/>
      <c r="BY660" s="28"/>
      <c r="CB660" s="28"/>
      <c r="CE660" s="28"/>
      <c r="CH660" s="28"/>
      <c r="CK660" s="28"/>
      <c r="CN660" s="28"/>
      <c r="CQ660" s="28"/>
      <c r="CT660" s="28"/>
      <c r="CW660" s="28"/>
      <c r="CZ660" s="28"/>
      <c r="DC660" s="28"/>
      <c r="DF660" s="28"/>
      <c r="DI660" s="28"/>
      <c r="DL660" s="28"/>
      <c r="DO660" s="28"/>
      <c r="DR660" s="28"/>
      <c r="DU660" s="28"/>
      <c r="DX660" s="28"/>
      <c r="EA660" s="28"/>
      <c r="ED660" s="28"/>
      <c r="EG660" s="28"/>
      <c r="EJ660" s="28"/>
      <c r="EM660" s="28"/>
      <c r="EP660" s="28"/>
      <c r="ES660" s="28"/>
      <c r="EV660" s="28"/>
      <c r="EY660" s="28"/>
      <c r="FB660" s="28"/>
      <c r="FE660" s="28"/>
      <c r="FH660" s="28"/>
      <c r="FK660" s="28"/>
      <c r="FN660" s="28"/>
      <c r="FQ660" s="28"/>
      <c r="FT660" s="28"/>
      <c r="FW660" s="28"/>
      <c r="FZ660" s="28"/>
      <c r="GC660" s="28"/>
    </row>
    <row r="661" spans="1:185" s="25" customFormat="1" x14ac:dyDescent="0.3">
      <c r="A661" s="27"/>
      <c r="B661" s="28"/>
      <c r="C661" s="27"/>
      <c r="D661" s="26"/>
      <c r="E661" s="28"/>
      <c r="H661" s="28"/>
      <c r="K661" s="28"/>
      <c r="N661" s="28"/>
      <c r="Q661" s="28"/>
      <c r="T661" s="28"/>
      <c r="W661" s="28"/>
      <c r="Z661" s="28"/>
      <c r="AC661" s="28"/>
      <c r="AF661" s="28"/>
      <c r="AI661" s="28"/>
      <c r="AL661" s="28"/>
      <c r="AO661" s="28"/>
      <c r="AR661" s="28"/>
      <c r="AU661" s="28"/>
      <c r="AX661" s="28"/>
      <c r="BA661" s="28"/>
      <c r="BD661" s="28"/>
      <c r="BG661" s="28"/>
      <c r="BJ661" s="28"/>
      <c r="BM661" s="28"/>
      <c r="BP661" s="28"/>
      <c r="BS661" s="28"/>
      <c r="BV661" s="28"/>
      <c r="BY661" s="28"/>
      <c r="CB661" s="28"/>
      <c r="CE661" s="28"/>
      <c r="CH661" s="28"/>
      <c r="CK661" s="28"/>
      <c r="CN661" s="28"/>
      <c r="CQ661" s="28"/>
      <c r="CT661" s="28"/>
      <c r="CW661" s="28"/>
      <c r="CZ661" s="28"/>
      <c r="DC661" s="28"/>
      <c r="DF661" s="28"/>
      <c r="DI661" s="28"/>
      <c r="DL661" s="28"/>
      <c r="DO661" s="28"/>
      <c r="DR661" s="28"/>
      <c r="DU661" s="28"/>
      <c r="DX661" s="28"/>
      <c r="EA661" s="28"/>
      <c r="ED661" s="28"/>
      <c r="EG661" s="28"/>
      <c r="EJ661" s="28"/>
      <c r="EM661" s="28"/>
      <c r="EP661" s="28"/>
      <c r="ES661" s="28"/>
      <c r="EV661" s="28"/>
      <c r="EY661" s="28"/>
      <c r="FB661" s="28"/>
      <c r="FE661" s="28"/>
      <c r="FH661" s="28"/>
      <c r="FK661" s="28"/>
      <c r="FN661" s="28"/>
      <c r="FQ661" s="28"/>
      <c r="FT661" s="28"/>
      <c r="FW661" s="28"/>
      <c r="FZ661" s="28"/>
      <c r="GC661" s="28"/>
    </row>
    <row r="662" spans="1:185" s="25" customFormat="1" x14ac:dyDescent="0.3">
      <c r="A662" s="27"/>
      <c r="B662" s="28"/>
      <c r="C662" s="27"/>
      <c r="D662" s="26"/>
      <c r="E662" s="28"/>
      <c r="H662" s="28"/>
      <c r="K662" s="28"/>
      <c r="N662" s="28"/>
      <c r="Q662" s="28"/>
      <c r="T662" s="28"/>
      <c r="W662" s="28"/>
      <c r="Z662" s="28"/>
      <c r="AC662" s="28"/>
      <c r="AF662" s="28"/>
      <c r="AI662" s="28"/>
      <c r="AL662" s="28"/>
      <c r="AO662" s="28"/>
      <c r="AR662" s="28"/>
      <c r="AU662" s="28"/>
      <c r="AX662" s="28"/>
      <c r="BA662" s="28"/>
      <c r="BD662" s="28"/>
      <c r="BG662" s="28"/>
      <c r="BJ662" s="28"/>
      <c r="BM662" s="28"/>
      <c r="BP662" s="28"/>
      <c r="BS662" s="28"/>
      <c r="BV662" s="28"/>
      <c r="BY662" s="28"/>
      <c r="CB662" s="28"/>
      <c r="CE662" s="28"/>
      <c r="CH662" s="28"/>
      <c r="CK662" s="28"/>
      <c r="CN662" s="28"/>
      <c r="CQ662" s="28"/>
      <c r="CT662" s="28"/>
      <c r="CW662" s="28"/>
      <c r="CZ662" s="28"/>
      <c r="DC662" s="28"/>
      <c r="DF662" s="28"/>
      <c r="DI662" s="28"/>
      <c r="DL662" s="28"/>
      <c r="DO662" s="28"/>
      <c r="DR662" s="28"/>
      <c r="DU662" s="28"/>
      <c r="DX662" s="28"/>
      <c r="EA662" s="28"/>
      <c r="ED662" s="28"/>
      <c r="EG662" s="28"/>
      <c r="EJ662" s="28"/>
      <c r="EM662" s="28"/>
      <c r="EP662" s="28"/>
      <c r="ES662" s="28"/>
      <c r="EV662" s="28"/>
      <c r="EY662" s="28"/>
      <c r="FB662" s="28"/>
      <c r="FE662" s="28"/>
      <c r="FH662" s="28"/>
      <c r="FK662" s="28"/>
      <c r="FN662" s="28"/>
      <c r="FQ662" s="28"/>
      <c r="FT662" s="28"/>
      <c r="FW662" s="28"/>
      <c r="FZ662" s="28"/>
      <c r="GC662" s="28"/>
    </row>
    <row r="663" spans="1:185" s="25" customFormat="1" x14ac:dyDescent="0.3">
      <c r="A663" s="27"/>
      <c r="B663" s="28"/>
      <c r="C663" s="27"/>
      <c r="D663" s="26"/>
      <c r="E663" s="28"/>
      <c r="H663" s="28"/>
      <c r="K663" s="28"/>
      <c r="N663" s="28"/>
      <c r="Q663" s="28"/>
      <c r="T663" s="28"/>
      <c r="W663" s="28"/>
      <c r="Z663" s="28"/>
      <c r="AC663" s="28"/>
      <c r="AF663" s="28"/>
      <c r="AI663" s="28"/>
      <c r="AL663" s="28"/>
      <c r="AO663" s="28"/>
      <c r="AR663" s="28"/>
      <c r="AU663" s="28"/>
      <c r="AX663" s="28"/>
      <c r="BA663" s="28"/>
      <c r="BD663" s="28"/>
      <c r="BG663" s="28"/>
      <c r="BJ663" s="28"/>
      <c r="BM663" s="28"/>
      <c r="BP663" s="28"/>
      <c r="BS663" s="28"/>
      <c r="BV663" s="28"/>
      <c r="BY663" s="28"/>
      <c r="CB663" s="28"/>
      <c r="CE663" s="28"/>
      <c r="CH663" s="28"/>
      <c r="CK663" s="28"/>
      <c r="CN663" s="28"/>
      <c r="CQ663" s="28"/>
      <c r="CT663" s="28"/>
      <c r="CW663" s="28"/>
      <c r="CZ663" s="28"/>
      <c r="DC663" s="28"/>
      <c r="DF663" s="28"/>
      <c r="DI663" s="28"/>
      <c r="DL663" s="28"/>
      <c r="DO663" s="28"/>
      <c r="DR663" s="28"/>
      <c r="DU663" s="28"/>
      <c r="DX663" s="28"/>
      <c r="EA663" s="28"/>
      <c r="ED663" s="28"/>
      <c r="EG663" s="28"/>
      <c r="EJ663" s="28"/>
      <c r="EM663" s="28"/>
      <c r="EP663" s="28"/>
      <c r="ES663" s="28"/>
      <c r="EV663" s="28"/>
      <c r="EY663" s="28"/>
      <c r="FB663" s="28"/>
      <c r="FE663" s="28"/>
      <c r="FH663" s="28"/>
      <c r="FK663" s="28"/>
      <c r="FN663" s="28"/>
      <c r="FQ663" s="28"/>
      <c r="FT663" s="28"/>
      <c r="FW663" s="28"/>
      <c r="FZ663" s="28"/>
      <c r="GC663" s="28"/>
    </row>
    <row r="664" spans="1:185" s="25" customFormat="1" x14ac:dyDescent="0.3">
      <c r="A664" s="27"/>
      <c r="B664" s="28"/>
      <c r="C664" s="27"/>
      <c r="D664" s="26"/>
      <c r="E664" s="28"/>
      <c r="H664" s="28"/>
      <c r="K664" s="28"/>
      <c r="N664" s="28"/>
      <c r="Q664" s="28"/>
      <c r="T664" s="28"/>
      <c r="W664" s="28"/>
      <c r="Z664" s="28"/>
      <c r="AC664" s="28"/>
      <c r="AF664" s="28"/>
      <c r="AI664" s="28"/>
      <c r="AL664" s="28"/>
      <c r="AO664" s="28"/>
      <c r="AR664" s="28"/>
      <c r="AU664" s="28"/>
      <c r="AX664" s="28"/>
      <c r="BA664" s="28"/>
      <c r="BD664" s="28"/>
      <c r="BG664" s="28"/>
      <c r="BJ664" s="28"/>
      <c r="BM664" s="28"/>
      <c r="BP664" s="28"/>
      <c r="BS664" s="28"/>
      <c r="BV664" s="28"/>
      <c r="BY664" s="28"/>
      <c r="CB664" s="28"/>
      <c r="CE664" s="28"/>
      <c r="CH664" s="28"/>
      <c r="CK664" s="28"/>
      <c r="CN664" s="28"/>
      <c r="CQ664" s="28"/>
      <c r="CT664" s="28"/>
      <c r="CW664" s="28"/>
      <c r="CZ664" s="28"/>
      <c r="DC664" s="28"/>
      <c r="DF664" s="28"/>
      <c r="DI664" s="28"/>
      <c r="DL664" s="28"/>
      <c r="DO664" s="28"/>
      <c r="DR664" s="28"/>
      <c r="DU664" s="28"/>
      <c r="DX664" s="28"/>
      <c r="EA664" s="28"/>
      <c r="ED664" s="28"/>
      <c r="EG664" s="28"/>
      <c r="EJ664" s="28"/>
      <c r="EM664" s="28"/>
      <c r="EP664" s="28"/>
      <c r="ES664" s="28"/>
      <c r="EV664" s="28"/>
      <c r="EY664" s="28"/>
      <c r="FB664" s="28"/>
      <c r="FE664" s="28"/>
      <c r="FH664" s="28"/>
      <c r="FK664" s="28"/>
      <c r="FN664" s="28"/>
      <c r="FQ664" s="28"/>
      <c r="FT664" s="28"/>
      <c r="FW664" s="28"/>
      <c r="FZ664" s="28"/>
      <c r="GC664" s="28"/>
    </row>
    <row r="665" spans="1:185" s="25" customFormat="1" x14ac:dyDescent="0.3">
      <c r="A665" s="27"/>
      <c r="B665" s="28"/>
      <c r="C665" s="27"/>
      <c r="D665" s="26"/>
      <c r="E665" s="28"/>
      <c r="H665" s="28"/>
      <c r="K665" s="28"/>
      <c r="N665" s="28"/>
      <c r="Q665" s="28"/>
      <c r="T665" s="28"/>
      <c r="W665" s="28"/>
      <c r="Z665" s="28"/>
      <c r="AC665" s="28"/>
      <c r="AF665" s="28"/>
      <c r="AI665" s="28"/>
      <c r="AL665" s="28"/>
      <c r="AO665" s="28"/>
      <c r="AR665" s="28"/>
      <c r="AU665" s="28"/>
      <c r="AX665" s="28"/>
      <c r="BA665" s="28"/>
      <c r="BD665" s="28"/>
      <c r="BG665" s="28"/>
      <c r="BJ665" s="28"/>
      <c r="BM665" s="28"/>
      <c r="BP665" s="28"/>
      <c r="BS665" s="28"/>
      <c r="BV665" s="28"/>
      <c r="BY665" s="28"/>
      <c r="CB665" s="28"/>
      <c r="CE665" s="28"/>
      <c r="CH665" s="28"/>
      <c r="CK665" s="28"/>
      <c r="CN665" s="28"/>
      <c r="CQ665" s="28"/>
      <c r="CT665" s="28"/>
      <c r="CW665" s="28"/>
      <c r="CZ665" s="28"/>
      <c r="DC665" s="28"/>
      <c r="DF665" s="28"/>
      <c r="DI665" s="28"/>
      <c r="DL665" s="28"/>
      <c r="DO665" s="28"/>
      <c r="DR665" s="28"/>
      <c r="DU665" s="28"/>
      <c r="DX665" s="28"/>
      <c r="EA665" s="28"/>
      <c r="ED665" s="28"/>
      <c r="EG665" s="28"/>
      <c r="EJ665" s="28"/>
      <c r="EM665" s="28"/>
      <c r="EP665" s="28"/>
      <c r="ES665" s="28"/>
      <c r="EV665" s="28"/>
      <c r="EY665" s="28"/>
      <c r="FB665" s="28"/>
      <c r="FE665" s="28"/>
      <c r="FH665" s="28"/>
      <c r="FK665" s="28"/>
      <c r="FN665" s="28"/>
      <c r="FQ665" s="28"/>
      <c r="FT665" s="28"/>
      <c r="FW665" s="28"/>
      <c r="FZ665" s="28"/>
      <c r="GC665" s="28"/>
    </row>
    <row r="666" spans="1:185" s="25" customFormat="1" x14ac:dyDescent="0.3">
      <c r="A666" s="27"/>
      <c r="B666" s="28"/>
      <c r="C666" s="27"/>
      <c r="D666" s="26"/>
      <c r="E666" s="28"/>
      <c r="H666" s="28"/>
      <c r="K666" s="28"/>
      <c r="N666" s="28"/>
      <c r="Q666" s="28"/>
      <c r="T666" s="28"/>
      <c r="W666" s="28"/>
      <c r="Z666" s="28"/>
      <c r="AC666" s="28"/>
      <c r="AF666" s="28"/>
      <c r="AI666" s="28"/>
      <c r="AL666" s="28"/>
      <c r="AO666" s="28"/>
      <c r="AR666" s="28"/>
      <c r="AU666" s="28"/>
      <c r="AX666" s="28"/>
      <c r="BA666" s="28"/>
      <c r="BD666" s="28"/>
      <c r="BG666" s="28"/>
      <c r="BJ666" s="28"/>
      <c r="BM666" s="28"/>
      <c r="BP666" s="28"/>
      <c r="BS666" s="28"/>
      <c r="BV666" s="28"/>
      <c r="BY666" s="28"/>
      <c r="CB666" s="28"/>
      <c r="CE666" s="28"/>
      <c r="CH666" s="28"/>
      <c r="CK666" s="28"/>
      <c r="CN666" s="28"/>
      <c r="CQ666" s="28"/>
      <c r="CT666" s="28"/>
      <c r="CW666" s="28"/>
      <c r="CZ666" s="28"/>
      <c r="DC666" s="28"/>
      <c r="DF666" s="28"/>
      <c r="DI666" s="28"/>
      <c r="DL666" s="28"/>
      <c r="DO666" s="28"/>
      <c r="DR666" s="28"/>
      <c r="DU666" s="28"/>
      <c r="DX666" s="28"/>
      <c r="EA666" s="28"/>
      <c r="ED666" s="28"/>
      <c r="EG666" s="28"/>
      <c r="EJ666" s="28"/>
      <c r="EM666" s="28"/>
      <c r="EP666" s="28"/>
      <c r="ES666" s="28"/>
      <c r="EV666" s="28"/>
      <c r="EY666" s="28"/>
      <c r="FB666" s="28"/>
      <c r="FE666" s="28"/>
      <c r="FH666" s="28"/>
      <c r="FK666" s="28"/>
      <c r="FN666" s="28"/>
      <c r="FQ666" s="28"/>
      <c r="FT666" s="28"/>
      <c r="FW666" s="28"/>
      <c r="FZ666" s="28"/>
      <c r="GC666" s="28"/>
    </row>
    <row r="667" spans="1:185" s="25" customFormat="1" x14ac:dyDescent="0.3">
      <c r="A667" s="27"/>
      <c r="B667" s="28"/>
      <c r="C667" s="27"/>
      <c r="D667" s="26"/>
      <c r="E667" s="28"/>
      <c r="H667" s="28"/>
      <c r="K667" s="28"/>
      <c r="N667" s="28"/>
      <c r="Q667" s="28"/>
      <c r="T667" s="28"/>
      <c r="W667" s="28"/>
      <c r="Z667" s="28"/>
      <c r="AC667" s="28"/>
      <c r="AF667" s="28"/>
      <c r="AI667" s="28"/>
      <c r="AL667" s="28"/>
      <c r="AO667" s="28"/>
      <c r="AR667" s="28"/>
      <c r="AU667" s="28"/>
      <c r="AX667" s="28"/>
      <c r="BA667" s="28"/>
      <c r="BD667" s="28"/>
      <c r="BG667" s="28"/>
      <c r="BJ667" s="28"/>
      <c r="BM667" s="28"/>
      <c r="BP667" s="28"/>
      <c r="BS667" s="28"/>
      <c r="BV667" s="28"/>
      <c r="BY667" s="28"/>
      <c r="CB667" s="28"/>
      <c r="CE667" s="28"/>
      <c r="CH667" s="28"/>
      <c r="CK667" s="28"/>
      <c r="CN667" s="28"/>
      <c r="CQ667" s="28"/>
      <c r="CT667" s="28"/>
      <c r="CW667" s="28"/>
      <c r="CZ667" s="28"/>
      <c r="DC667" s="28"/>
      <c r="DF667" s="28"/>
      <c r="DI667" s="28"/>
      <c r="DL667" s="28"/>
      <c r="DO667" s="28"/>
      <c r="DR667" s="28"/>
      <c r="DU667" s="28"/>
      <c r="DX667" s="28"/>
      <c r="EA667" s="28"/>
      <c r="ED667" s="28"/>
      <c r="EG667" s="28"/>
      <c r="EJ667" s="28"/>
      <c r="EM667" s="28"/>
      <c r="EP667" s="28"/>
      <c r="ES667" s="28"/>
      <c r="EV667" s="28"/>
      <c r="EY667" s="28"/>
      <c r="FB667" s="28"/>
      <c r="FE667" s="28"/>
      <c r="FH667" s="28"/>
      <c r="FK667" s="28"/>
      <c r="FN667" s="28"/>
      <c r="FQ667" s="28"/>
      <c r="FT667" s="28"/>
      <c r="FW667" s="28"/>
      <c r="FZ667" s="28"/>
      <c r="GC667" s="28"/>
    </row>
    <row r="668" spans="1:185" s="25" customFormat="1" x14ac:dyDescent="0.3">
      <c r="A668" s="27"/>
      <c r="B668" s="28"/>
      <c r="C668" s="27"/>
      <c r="D668" s="26"/>
      <c r="E668" s="28"/>
      <c r="H668" s="28"/>
      <c r="K668" s="28"/>
      <c r="N668" s="28"/>
      <c r="Q668" s="28"/>
      <c r="T668" s="28"/>
      <c r="W668" s="28"/>
      <c r="Z668" s="28"/>
      <c r="AC668" s="28"/>
      <c r="AF668" s="28"/>
      <c r="AI668" s="28"/>
      <c r="AL668" s="28"/>
      <c r="AO668" s="28"/>
      <c r="AR668" s="28"/>
      <c r="AU668" s="28"/>
      <c r="AX668" s="28"/>
      <c r="BA668" s="28"/>
      <c r="BD668" s="28"/>
      <c r="BG668" s="28"/>
      <c r="BJ668" s="28"/>
      <c r="BM668" s="28"/>
      <c r="BP668" s="28"/>
      <c r="BS668" s="28"/>
      <c r="BV668" s="28"/>
      <c r="BY668" s="28"/>
      <c r="CB668" s="28"/>
      <c r="CE668" s="28"/>
      <c r="CH668" s="28"/>
      <c r="CK668" s="28"/>
      <c r="CN668" s="28"/>
      <c r="CQ668" s="28"/>
      <c r="CT668" s="28"/>
      <c r="CW668" s="28"/>
      <c r="CZ668" s="28"/>
      <c r="DC668" s="28"/>
      <c r="DF668" s="28"/>
      <c r="DI668" s="28"/>
      <c r="DL668" s="28"/>
      <c r="DO668" s="28"/>
      <c r="DR668" s="28"/>
      <c r="DU668" s="28"/>
      <c r="DX668" s="28"/>
      <c r="EA668" s="28"/>
      <c r="ED668" s="28"/>
      <c r="EG668" s="28"/>
      <c r="EJ668" s="28"/>
      <c r="EM668" s="28"/>
      <c r="EP668" s="28"/>
      <c r="ES668" s="28"/>
      <c r="EV668" s="28"/>
      <c r="EY668" s="28"/>
      <c r="FB668" s="28"/>
      <c r="FE668" s="28"/>
      <c r="FH668" s="28"/>
      <c r="FK668" s="28"/>
      <c r="FN668" s="28"/>
      <c r="FQ668" s="28"/>
      <c r="FT668" s="28"/>
      <c r="FW668" s="28"/>
      <c r="FZ668" s="28"/>
      <c r="GC668" s="28"/>
    </row>
    <row r="669" spans="1:185" s="25" customFormat="1" x14ac:dyDescent="0.3">
      <c r="A669" s="27"/>
      <c r="B669" s="28"/>
      <c r="C669" s="27"/>
      <c r="D669" s="26"/>
      <c r="E669" s="28"/>
      <c r="H669" s="28"/>
      <c r="K669" s="28"/>
      <c r="N669" s="28"/>
      <c r="Q669" s="28"/>
      <c r="T669" s="28"/>
      <c r="W669" s="28"/>
      <c r="Z669" s="28"/>
      <c r="AC669" s="28"/>
      <c r="AF669" s="28"/>
      <c r="AI669" s="28"/>
      <c r="AL669" s="28"/>
      <c r="AO669" s="28"/>
      <c r="AR669" s="28"/>
      <c r="AU669" s="28"/>
      <c r="AX669" s="28"/>
      <c r="BA669" s="28"/>
      <c r="BD669" s="28"/>
      <c r="BG669" s="28"/>
      <c r="BJ669" s="28"/>
      <c r="BM669" s="28"/>
      <c r="BP669" s="28"/>
      <c r="BS669" s="28"/>
      <c r="BV669" s="28"/>
      <c r="BY669" s="28"/>
      <c r="CB669" s="28"/>
      <c r="CE669" s="28"/>
      <c r="CH669" s="28"/>
      <c r="CK669" s="28"/>
      <c r="CN669" s="28"/>
      <c r="CQ669" s="28"/>
      <c r="CT669" s="28"/>
      <c r="CW669" s="28"/>
      <c r="CZ669" s="28"/>
      <c r="DC669" s="28"/>
      <c r="DF669" s="28"/>
      <c r="DI669" s="28"/>
      <c r="DL669" s="28"/>
      <c r="DO669" s="28"/>
      <c r="DR669" s="28"/>
      <c r="DU669" s="28"/>
      <c r="DX669" s="28"/>
      <c r="EA669" s="28"/>
      <c r="ED669" s="28"/>
      <c r="EG669" s="28"/>
      <c r="EJ669" s="28"/>
      <c r="EM669" s="28"/>
      <c r="EP669" s="28"/>
      <c r="ES669" s="28"/>
      <c r="EV669" s="28"/>
      <c r="EY669" s="28"/>
      <c r="FB669" s="28"/>
      <c r="FE669" s="28"/>
      <c r="FH669" s="28"/>
      <c r="FK669" s="28"/>
      <c r="FN669" s="28"/>
      <c r="FQ669" s="28"/>
      <c r="FT669" s="28"/>
      <c r="FW669" s="28"/>
      <c r="FZ669" s="28"/>
      <c r="GC669" s="28"/>
    </row>
    <row r="670" spans="1:185" s="25" customFormat="1" x14ac:dyDescent="0.3">
      <c r="A670" s="27"/>
      <c r="B670" s="28"/>
      <c r="C670" s="27"/>
      <c r="D670" s="26"/>
      <c r="E670" s="28"/>
      <c r="H670" s="28"/>
      <c r="K670" s="28"/>
      <c r="N670" s="28"/>
      <c r="Q670" s="28"/>
      <c r="T670" s="28"/>
      <c r="W670" s="28"/>
      <c r="Z670" s="28"/>
      <c r="AC670" s="28"/>
      <c r="AF670" s="28"/>
      <c r="AI670" s="28"/>
      <c r="AL670" s="28"/>
      <c r="AO670" s="28"/>
      <c r="AR670" s="28"/>
      <c r="AU670" s="28"/>
      <c r="AX670" s="28"/>
      <c r="BA670" s="28"/>
      <c r="BD670" s="28"/>
      <c r="BG670" s="28"/>
      <c r="BJ670" s="28"/>
      <c r="BM670" s="28"/>
      <c r="BP670" s="28"/>
      <c r="BS670" s="28"/>
      <c r="BV670" s="28"/>
      <c r="BY670" s="28"/>
      <c r="CB670" s="28"/>
      <c r="CE670" s="28"/>
      <c r="CH670" s="28"/>
      <c r="CK670" s="28"/>
      <c r="CN670" s="28"/>
      <c r="CQ670" s="28"/>
      <c r="CT670" s="28"/>
      <c r="CW670" s="28"/>
      <c r="CZ670" s="28"/>
      <c r="DC670" s="28"/>
      <c r="DF670" s="28"/>
      <c r="DI670" s="28"/>
      <c r="DL670" s="28"/>
      <c r="DO670" s="28"/>
      <c r="DR670" s="28"/>
      <c r="DU670" s="28"/>
      <c r="DX670" s="28"/>
      <c r="EA670" s="28"/>
      <c r="ED670" s="28"/>
      <c r="EG670" s="28"/>
      <c r="EJ670" s="28"/>
      <c r="EM670" s="28"/>
      <c r="EP670" s="28"/>
      <c r="ES670" s="28"/>
      <c r="EV670" s="28"/>
      <c r="EY670" s="28"/>
      <c r="FB670" s="28"/>
      <c r="FE670" s="28"/>
      <c r="FH670" s="28"/>
      <c r="FK670" s="28"/>
      <c r="FN670" s="28"/>
      <c r="FQ670" s="28"/>
      <c r="FT670" s="28"/>
      <c r="FW670" s="28"/>
      <c r="FZ670" s="28"/>
      <c r="GC670" s="28"/>
    </row>
    <row r="671" spans="1:185" s="25" customFormat="1" x14ac:dyDescent="0.3">
      <c r="A671" s="27"/>
      <c r="B671" s="28"/>
      <c r="C671" s="27"/>
      <c r="D671" s="26"/>
      <c r="E671" s="28"/>
      <c r="H671" s="28"/>
      <c r="K671" s="28"/>
      <c r="N671" s="28"/>
      <c r="Q671" s="28"/>
      <c r="T671" s="28"/>
      <c r="W671" s="28"/>
      <c r="Z671" s="28"/>
      <c r="AC671" s="28"/>
      <c r="AF671" s="28"/>
      <c r="AI671" s="28"/>
      <c r="AL671" s="28"/>
      <c r="AO671" s="28"/>
      <c r="AR671" s="28"/>
      <c r="AU671" s="28"/>
      <c r="AX671" s="28"/>
      <c r="BA671" s="28"/>
      <c r="BD671" s="28"/>
      <c r="BG671" s="28"/>
      <c r="BJ671" s="28"/>
      <c r="BM671" s="28"/>
      <c r="BP671" s="28"/>
      <c r="BS671" s="28"/>
      <c r="BV671" s="28"/>
      <c r="BY671" s="28"/>
      <c r="CB671" s="28"/>
      <c r="CE671" s="28"/>
      <c r="CH671" s="28"/>
      <c r="CK671" s="28"/>
      <c r="CN671" s="28"/>
      <c r="CQ671" s="28"/>
      <c r="CT671" s="28"/>
      <c r="CW671" s="28"/>
      <c r="CZ671" s="28"/>
      <c r="DC671" s="28"/>
      <c r="DF671" s="28"/>
      <c r="DI671" s="28"/>
      <c r="DL671" s="28"/>
      <c r="DO671" s="28"/>
      <c r="DR671" s="28"/>
      <c r="DU671" s="28"/>
      <c r="DX671" s="28"/>
      <c r="EA671" s="28"/>
      <c r="ED671" s="28"/>
      <c r="EG671" s="28"/>
      <c r="EJ671" s="28"/>
      <c r="EM671" s="28"/>
      <c r="EP671" s="28"/>
      <c r="ES671" s="28"/>
      <c r="EV671" s="28"/>
      <c r="EY671" s="28"/>
      <c r="FB671" s="28"/>
      <c r="FE671" s="28"/>
      <c r="FH671" s="28"/>
      <c r="FK671" s="28"/>
      <c r="FN671" s="28"/>
      <c r="FQ671" s="28"/>
      <c r="FT671" s="28"/>
      <c r="FW671" s="28"/>
      <c r="FZ671" s="28"/>
      <c r="GC671" s="28"/>
    </row>
    <row r="672" spans="1:185" s="25" customFormat="1" x14ac:dyDescent="0.3">
      <c r="A672" s="27"/>
      <c r="B672" s="28"/>
      <c r="C672" s="27"/>
      <c r="D672" s="26"/>
      <c r="E672" s="28"/>
      <c r="H672" s="28"/>
      <c r="K672" s="28"/>
      <c r="N672" s="28"/>
      <c r="Q672" s="28"/>
      <c r="T672" s="28"/>
      <c r="W672" s="28"/>
      <c r="Z672" s="28"/>
      <c r="AC672" s="28"/>
      <c r="AF672" s="28"/>
      <c r="AI672" s="28"/>
      <c r="AL672" s="28"/>
      <c r="AO672" s="28"/>
      <c r="AR672" s="28"/>
      <c r="AU672" s="28"/>
      <c r="AX672" s="28"/>
      <c r="BA672" s="28"/>
      <c r="BD672" s="28"/>
      <c r="BG672" s="28"/>
      <c r="BJ672" s="28"/>
      <c r="BM672" s="28"/>
      <c r="BP672" s="28"/>
      <c r="BS672" s="28"/>
      <c r="BV672" s="28"/>
      <c r="BY672" s="28"/>
      <c r="CB672" s="28"/>
      <c r="CE672" s="28"/>
      <c r="CH672" s="28"/>
      <c r="CK672" s="28"/>
      <c r="CN672" s="28"/>
      <c r="CQ672" s="28"/>
      <c r="CT672" s="28"/>
      <c r="CW672" s="28"/>
      <c r="CZ672" s="28"/>
      <c r="DC672" s="28"/>
      <c r="DF672" s="28"/>
      <c r="DI672" s="28"/>
      <c r="DL672" s="28"/>
      <c r="DO672" s="28"/>
      <c r="DR672" s="28"/>
      <c r="DU672" s="28"/>
      <c r="DX672" s="28"/>
      <c r="EA672" s="28"/>
      <c r="ED672" s="28"/>
      <c r="EG672" s="28"/>
      <c r="EJ672" s="28"/>
      <c r="EM672" s="28"/>
      <c r="EP672" s="28"/>
      <c r="ES672" s="28"/>
      <c r="EV672" s="28"/>
      <c r="EY672" s="28"/>
      <c r="FB672" s="28"/>
      <c r="FE672" s="28"/>
      <c r="FH672" s="28"/>
      <c r="FK672" s="28"/>
      <c r="FN672" s="28"/>
      <c r="FQ672" s="28"/>
      <c r="FT672" s="28"/>
      <c r="FW672" s="28"/>
      <c r="FZ672" s="28"/>
      <c r="GC672" s="28"/>
    </row>
    <row r="673" spans="1:185" s="25" customFormat="1" x14ac:dyDescent="0.3">
      <c r="A673" s="27"/>
      <c r="B673" s="28"/>
      <c r="C673" s="27"/>
      <c r="D673" s="26"/>
      <c r="E673" s="28"/>
      <c r="H673" s="28"/>
      <c r="K673" s="28"/>
      <c r="N673" s="28"/>
      <c r="Q673" s="28"/>
      <c r="T673" s="28"/>
      <c r="W673" s="28"/>
      <c r="Z673" s="28"/>
      <c r="AC673" s="28"/>
      <c r="AF673" s="28"/>
      <c r="AI673" s="28"/>
      <c r="AL673" s="28"/>
      <c r="AO673" s="28"/>
      <c r="AR673" s="28"/>
      <c r="AU673" s="28"/>
      <c r="AX673" s="28"/>
      <c r="BA673" s="28"/>
      <c r="BD673" s="28"/>
      <c r="BG673" s="28"/>
      <c r="BJ673" s="28"/>
      <c r="BM673" s="28"/>
      <c r="BP673" s="28"/>
      <c r="BS673" s="28"/>
      <c r="BV673" s="28"/>
      <c r="BY673" s="28"/>
      <c r="CB673" s="28"/>
      <c r="CE673" s="28"/>
      <c r="CH673" s="28"/>
      <c r="CK673" s="28"/>
      <c r="CN673" s="28"/>
      <c r="CQ673" s="28"/>
      <c r="CT673" s="28"/>
      <c r="CW673" s="28"/>
      <c r="CZ673" s="28"/>
      <c r="DC673" s="28"/>
      <c r="DF673" s="28"/>
      <c r="DI673" s="28"/>
      <c r="DL673" s="28"/>
      <c r="DO673" s="28"/>
      <c r="DR673" s="28"/>
      <c r="DU673" s="28"/>
      <c r="DX673" s="28"/>
      <c r="EA673" s="28"/>
      <c r="ED673" s="28"/>
      <c r="EG673" s="28"/>
      <c r="EJ673" s="28"/>
      <c r="EM673" s="28"/>
      <c r="EP673" s="28"/>
      <c r="ES673" s="28"/>
      <c r="EV673" s="28"/>
      <c r="EY673" s="28"/>
      <c r="FB673" s="28"/>
      <c r="FE673" s="28"/>
      <c r="FH673" s="28"/>
      <c r="FK673" s="28"/>
      <c r="FN673" s="28"/>
      <c r="FQ673" s="28"/>
      <c r="FT673" s="28"/>
      <c r="FW673" s="28"/>
      <c r="FZ673" s="28"/>
      <c r="GC673" s="28"/>
    </row>
    <row r="674" spans="1:185" s="25" customFormat="1" x14ac:dyDescent="0.3">
      <c r="A674" s="27"/>
      <c r="B674" s="28"/>
      <c r="C674" s="27"/>
      <c r="D674" s="26"/>
      <c r="E674" s="28"/>
      <c r="H674" s="28"/>
      <c r="K674" s="28"/>
      <c r="N674" s="28"/>
      <c r="Q674" s="28"/>
      <c r="T674" s="28"/>
      <c r="W674" s="28"/>
      <c r="Z674" s="28"/>
      <c r="AC674" s="28"/>
      <c r="AF674" s="28"/>
      <c r="AI674" s="28"/>
      <c r="AL674" s="28"/>
      <c r="AO674" s="28"/>
      <c r="AR674" s="28"/>
      <c r="AU674" s="28"/>
      <c r="AX674" s="28"/>
      <c r="BA674" s="28"/>
      <c r="BD674" s="28"/>
      <c r="BG674" s="28"/>
      <c r="BJ674" s="28"/>
      <c r="BM674" s="28"/>
      <c r="BP674" s="28"/>
      <c r="BS674" s="28"/>
      <c r="BV674" s="28"/>
      <c r="BY674" s="28"/>
      <c r="CB674" s="28"/>
      <c r="CE674" s="28"/>
      <c r="CH674" s="28"/>
      <c r="CK674" s="28"/>
      <c r="CN674" s="28"/>
      <c r="CQ674" s="28"/>
      <c r="CT674" s="28"/>
      <c r="CW674" s="28"/>
      <c r="CZ674" s="28"/>
      <c r="DC674" s="28"/>
      <c r="DF674" s="28"/>
      <c r="DI674" s="28"/>
      <c r="DL674" s="28"/>
      <c r="DO674" s="28"/>
      <c r="DR674" s="28"/>
      <c r="DU674" s="28"/>
      <c r="DX674" s="28"/>
      <c r="EA674" s="28"/>
      <c r="ED674" s="28"/>
      <c r="EG674" s="28"/>
      <c r="EJ674" s="28"/>
      <c r="EM674" s="28"/>
      <c r="EP674" s="28"/>
      <c r="ES674" s="28"/>
      <c r="EV674" s="28"/>
      <c r="EY674" s="28"/>
      <c r="FB674" s="28"/>
      <c r="FE674" s="28"/>
      <c r="FH674" s="28"/>
      <c r="FK674" s="28"/>
      <c r="FN674" s="28"/>
      <c r="FQ674" s="28"/>
      <c r="FT674" s="28"/>
      <c r="FW674" s="28"/>
      <c r="FZ674" s="28"/>
      <c r="GC674" s="28"/>
    </row>
    <row r="675" spans="1:185" s="25" customFormat="1" x14ac:dyDescent="0.3">
      <c r="A675" s="27"/>
      <c r="B675" s="28"/>
      <c r="C675" s="27"/>
      <c r="D675" s="26"/>
      <c r="E675" s="28"/>
      <c r="H675" s="28"/>
      <c r="K675" s="28"/>
      <c r="N675" s="28"/>
      <c r="Q675" s="28"/>
      <c r="T675" s="28"/>
      <c r="W675" s="28"/>
      <c r="Z675" s="28"/>
      <c r="AC675" s="28"/>
      <c r="AF675" s="28"/>
      <c r="AI675" s="28"/>
      <c r="AL675" s="28"/>
      <c r="AO675" s="28"/>
      <c r="AR675" s="28"/>
      <c r="AU675" s="28"/>
      <c r="AX675" s="28"/>
      <c r="BA675" s="28"/>
      <c r="BD675" s="28"/>
      <c r="BG675" s="28"/>
      <c r="BJ675" s="28"/>
      <c r="BM675" s="28"/>
      <c r="BP675" s="28"/>
      <c r="BS675" s="28"/>
      <c r="BV675" s="28"/>
      <c r="BY675" s="28"/>
      <c r="CB675" s="28"/>
      <c r="CE675" s="28"/>
      <c r="CH675" s="28"/>
      <c r="CK675" s="28"/>
      <c r="CN675" s="28"/>
      <c r="CQ675" s="28"/>
      <c r="CT675" s="28"/>
      <c r="CW675" s="28"/>
      <c r="CZ675" s="28"/>
      <c r="DC675" s="28"/>
      <c r="DF675" s="28"/>
      <c r="DI675" s="28"/>
      <c r="DL675" s="28"/>
      <c r="DO675" s="28"/>
      <c r="DR675" s="28"/>
      <c r="DU675" s="28"/>
      <c r="DX675" s="28"/>
      <c r="EA675" s="28"/>
      <c r="ED675" s="28"/>
      <c r="EG675" s="28"/>
      <c r="EJ675" s="28"/>
      <c r="EM675" s="28"/>
      <c r="EP675" s="28"/>
      <c r="ES675" s="28"/>
      <c r="EV675" s="28"/>
      <c r="EY675" s="28"/>
      <c r="FB675" s="28"/>
      <c r="FE675" s="28"/>
      <c r="FH675" s="28"/>
      <c r="FK675" s="28"/>
      <c r="FN675" s="28"/>
      <c r="FQ675" s="28"/>
      <c r="FT675" s="28"/>
      <c r="FW675" s="28"/>
      <c r="FZ675" s="28"/>
      <c r="GC675" s="28"/>
    </row>
    <row r="676" spans="1:185" s="25" customFormat="1" x14ac:dyDescent="0.3">
      <c r="A676" s="27"/>
      <c r="B676" s="28"/>
      <c r="C676" s="27"/>
      <c r="D676" s="26"/>
      <c r="E676" s="28"/>
      <c r="H676" s="28"/>
      <c r="K676" s="28"/>
      <c r="N676" s="28"/>
      <c r="Q676" s="28"/>
      <c r="T676" s="28"/>
      <c r="W676" s="28"/>
      <c r="Z676" s="28"/>
      <c r="AC676" s="28"/>
      <c r="AF676" s="28"/>
      <c r="AI676" s="28"/>
      <c r="AL676" s="28"/>
      <c r="AO676" s="28"/>
      <c r="AR676" s="28"/>
      <c r="AU676" s="28"/>
      <c r="AX676" s="28"/>
      <c r="BA676" s="28"/>
      <c r="BD676" s="28"/>
      <c r="BG676" s="28"/>
      <c r="BJ676" s="28"/>
      <c r="BM676" s="28"/>
      <c r="BP676" s="28"/>
      <c r="BS676" s="28"/>
      <c r="BV676" s="28"/>
      <c r="BY676" s="28"/>
      <c r="CB676" s="28"/>
      <c r="CE676" s="28"/>
      <c r="CH676" s="28"/>
      <c r="CK676" s="28"/>
      <c r="CN676" s="28"/>
      <c r="CQ676" s="28"/>
      <c r="CT676" s="28"/>
      <c r="CW676" s="28"/>
      <c r="CZ676" s="28"/>
      <c r="DC676" s="28"/>
      <c r="DF676" s="28"/>
      <c r="DI676" s="28"/>
      <c r="DL676" s="28"/>
      <c r="DO676" s="28"/>
      <c r="DR676" s="28"/>
      <c r="DU676" s="28"/>
      <c r="DX676" s="28"/>
      <c r="EA676" s="28"/>
      <c r="ED676" s="28"/>
      <c r="EG676" s="28"/>
      <c r="EJ676" s="28"/>
      <c r="EM676" s="28"/>
      <c r="EP676" s="28"/>
      <c r="ES676" s="28"/>
      <c r="EV676" s="28"/>
      <c r="EY676" s="28"/>
      <c r="FB676" s="28"/>
      <c r="FE676" s="28"/>
      <c r="FH676" s="28"/>
      <c r="FK676" s="28"/>
      <c r="FN676" s="28"/>
      <c r="FQ676" s="28"/>
      <c r="FT676" s="28"/>
      <c r="FW676" s="28"/>
      <c r="FZ676" s="28"/>
      <c r="GC676" s="28"/>
    </row>
    <row r="677" spans="1:185" s="25" customFormat="1" x14ac:dyDescent="0.3">
      <c r="A677" s="27"/>
      <c r="B677" s="28"/>
      <c r="C677" s="27"/>
      <c r="D677" s="26"/>
      <c r="E677" s="28"/>
      <c r="H677" s="28"/>
      <c r="K677" s="28"/>
      <c r="N677" s="28"/>
      <c r="Q677" s="28"/>
      <c r="T677" s="28"/>
      <c r="W677" s="28"/>
      <c r="Z677" s="28"/>
      <c r="AC677" s="28"/>
      <c r="AF677" s="28"/>
      <c r="AI677" s="28"/>
      <c r="AL677" s="28"/>
      <c r="AO677" s="28"/>
      <c r="AR677" s="28"/>
      <c r="AU677" s="28"/>
      <c r="AX677" s="28"/>
      <c r="BA677" s="28"/>
      <c r="BD677" s="28"/>
      <c r="BG677" s="28"/>
      <c r="BJ677" s="28"/>
      <c r="BM677" s="28"/>
      <c r="BP677" s="28"/>
      <c r="BS677" s="28"/>
      <c r="BV677" s="28"/>
      <c r="BY677" s="28"/>
      <c r="CB677" s="28"/>
      <c r="CE677" s="28"/>
      <c r="CH677" s="28"/>
      <c r="CK677" s="28"/>
      <c r="CN677" s="28"/>
      <c r="CQ677" s="28"/>
      <c r="CT677" s="28"/>
      <c r="CW677" s="28"/>
      <c r="CZ677" s="28"/>
      <c r="DC677" s="28"/>
      <c r="DF677" s="28"/>
      <c r="DI677" s="28"/>
      <c r="DL677" s="28"/>
      <c r="DO677" s="28"/>
      <c r="DR677" s="28"/>
      <c r="DU677" s="28"/>
      <c r="DX677" s="28"/>
      <c r="EA677" s="28"/>
      <c r="ED677" s="28"/>
      <c r="EG677" s="28"/>
      <c r="EJ677" s="28"/>
      <c r="EM677" s="28"/>
      <c r="EP677" s="28"/>
      <c r="ES677" s="28"/>
      <c r="EV677" s="28"/>
      <c r="EY677" s="28"/>
      <c r="FB677" s="28"/>
      <c r="FE677" s="28"/>
      <c r="FH677" s="28"/>
      <c r="FK677" s="28"/>
      <c r="FN677" s="28"/>
      <c r="FQ677" s="28"/>
      <c r="FT677" s="28"/>
      <c r="FW677" s="28"/>
      <c r="FZ677" s="28"/>
      <c r="GC677" s="28"/>
    </row>
    <row r="678" spans="1:185" s="25" customFormat="1" x14ac:dyDescent="0.3">
      <c r="A678" s="27"/>
      <c r="B678" s="28"/>
      <c r="C678" s="27"/>
      <c r="D678" s="26"/>
      <c r="E678" s="28"/>
      <c r="H678" s="28"/>
      <c r="K678" s="28"/>
      <c r="N678" s="28"/>
      <c r="Q678" s="28"/>
      <c r="T678" s="28"/>
      <c r="W678" s="28"/>
      <c r="Z678" s="28"/>
      <c r="AC678" s="28"/>
      <c r="AF678" s="28"/>
      <c r="AI678" s="28"/>
      <c r="AL678" s="28"/>
      <c r="AO678" s="28"/>
      <c r="AR678" s="28"/>
      <c r="AU678" s="28"/>
      <c r="AX678" s="28"/>
      <c r="BA678" s="28"/>
      <c r="BD678" s="28"/>
      <c r="BG678" s="28"/>
      <c r="BJ678" s="28"/>
      <c r="BM678" s="28"/>
      <c r="BP678" s="28"/>
      <c r="BS678" s="28"/>
      <c r="BV678" s="28"/>
      <c r="BY678" s="28"/>
      <c r="CB678" s="28"/>
      <c r="CE678" s="28"/>
      <c r="CH678" s="28"/>
      <c r="CK678" s="28"/>
      <c r="CN678" s="28"/>
      <c r="CQ678" s="28"/>
      <c r="CT678" s="28"/>
      <c r="CW678" s="28"/>
      <c r="CZ678" s="28"/>
      <c r="DC678" s="28"/>
      <c r="DF678" s="28"/>
      <c r="DI678" s="28"/>
      <c r="DL678" s="28"/>
      <c r="DO678" s="28"/>
      <c r="DR678" s="28"/>
      <c r="DU678" s="28"/>
      <c r="DX678" s="28"/>
      <c r="EA678" s="28"/>
      <c r="ED678" s="28"/>
      <c r="EG678" s="28"/>
      <c r="EJ678" s="28"/>
      <c r="EM678" s="28"/>
      <c r="EP678" s="28"/>
      <c r="ES678" s="28"/>
      <c r="EV678" s="28"/>
      <c r="EY678" s="28"/>
      <c r="FB678" s="28"/>
      <c r="FE678" s="28"/>
      <c r="FH678" s="28"/>
      <c r="FK678" s="28"/>
      <c r="FN678" s="28"/>
      <c r="FQ678" s="28"/>
      <c r="FT678" s="28"/>
      <c r="FW678" s="28"/>
      <c r="FZ678" s="28"/>
      <c r="GC678" s="28"/>
    </row>
    <row r="679" spans="1:185" s="25" customFormat="1" x14ac:dyDescent="0.3">
      <c r="A679" s="27"/>
      <c r="B679" s="28"/>
      <c r="C679" s="27"/>
      <c r="D679" s="26"/>
      <c r="E679" s="28"/>
      <c r="H679" s="28"/>
      <c r="K679" s="28"/>
      <c r="N679" s="28"/>
      <c r="Q679" s="28"/>
      <c r="T679" s="28"/>
      <c r="W679" s="28"/>
      <c r="Z679" s="28"/>
      <c r="AC679" s="28"/>
      <c r="AF679" s="28"/>
      <c r="AI679" s="28"/>
      <c r="AL679" s="28"/>
      <c r="AO679" s="28"/>
      <c r="AR679" s="28"/>
      <c r="AU679" s="28"/>
      <c r="AX679" s="28"/>
      <c r="BA679" s="28"/>
      <c r="BD679" s="28"/>
      <c r="BG679" s="28"/>
      <c r="BJ679" s="28"/>
      <c r="BM679" s="28"/>
      <c r="BP679" s="28"/>
      <c r="BS679" s="28"/>
      <c r="BV679" s="28"/>
      <c r="BY679" s="28"/>
      <c r="CB679" s="28"/>
      <c r="CE679" s="28"/>
      <c r="CH679" s="28"/>
      <c r="CK679" s="28"/>
      <c r="CN679" s="28"/>
      <c r="CQ679" s="28"/>
      <c r="CT679" s="28"/>
      <c r="CW679" s="28"/>
      <c r="CZ679" s="28"/>
      <c r="DC679" s="28"/>
      <c r="DF679" s="28"/>
      <c r="DI679" s="28"/>
      <c r="DL679" s="28"/>
      <c r="DO679" s="28"/>
      <c r="DR679" s="28"/>
      <c r="DU679" s="28"/>
      <c r="DX679" s="28"/>
      <c r="EA679" s="28"/>
      <c r="ED679" s="28"/>
      <c r="EG679" s="28"/>
      <c r="EJ679" s="28"/>
      <c r="EM679" s="28"/>
      <c r="EP679" s="28"/>
      <c r="ES679" s="28"/>
      <c r="EV679" s="28"/>
      <c r="EY679" s="28"/>
      <c r="FB679" s="28"/>
      <c r="FE679" s="28"/>
      <c r="FH679" s="28"/>
      <c r="FK679" s="28"/>
      <c r="FN679" s="28"/>
      <c r="FQ679" s="28"/>
      <c r="FT679" s="28"/>
      <c r="FW679" s="28"/>
      <c r="FZ679" s="28"/>
      <c r="GC679" s="28"/>
    </row>
    <row r="680" spans="1:185" s="25" customFormat="1" x14ac:dyDescent="0.3">
      <c r="A680" s="27"/>
      <c r="B680" s="28"/>
      <c r="C680" s="27"/>
      <c r="D680" s="26"/>
      <c r="E680" s="28"/>
      <c r="H680" s="28"/>
      <c r="K680" s="28"/>
      <c r="N680" s="28"/>
      <c r="Q680" s="28"/>
      <c r="T680" s="28"/>
      <c r="W680" s="28"/>
      <c r="Z680" s="28"/>
      <c r="AC680" s="28"/>
      <c r="AF680" s="28"/>
      <c r="AI680" s="28"/>
      <c r="AL680" s="28"/>
      <c r="AO680" s="28"/>
      <c r="AR680" s="28"/>
      <c r="AU680" s="28"/>
      <c r="AX680" s="28"/>
      <c r="BA680" s="28"/>
      <c r="BD680" s="28"/>
      <c r="BG680" s="28"/>
      <c r="BJ680" s="28"/>
      <c r="BM680" s="28"/>
      <c r="BP680" s="28"/>
      <c r="BS680" s="28"/>
      <c r="BV680" s="28"/>
      <c r="BY680" s="28"/>
      <c r="CB680" s="28"/>
      <c r="CE680" s="28"/>
      <c r="CH680" s="28"/>
      <c r="CK680" s="28"/>
      <c r="CN680" s="28"/>
      <c r="CQ680" s="28"/>
      <c r="CT680" s="28"/>
      <c r="CW680" s="28"/>
      <c r="CZ680" s="28"/>
      <c r="DC680" s="28"/>
      <c r="DF680" s="28"/>
      <c r="DI680" s="28"/>
      <c r="DL680" s="28"/>
      <c r="DO680" s="28"/>
      <c r="DR680" s="28"/>
      <c r="DU680" s="28"/>
      <c r="DX680" s="28"/>
      <c r="EA680" s="28"/>
      <c r="ED680" s="28"/>
      <c r="EG680" s="28"/>
      <c r="EJ680" s="28"/>
      <c r="EM680" s="28"/>
      <c r="EP680" s="28"/>
      <c r="ES680" s="28"/>
      <c r="EV680" s="28"/>
      <c r="EY680" s="28"/>
      <c r="FB680" s="28"/>
      <c r="FE680" s="28"/>
      <c r="FH680" s="28"/>
      <c r="FK680" s="28"/>
      <c r="FN680" s="28"/>
      <c r="FQ680" s="28"/>
      <c r="FT680" s="28"/>
      <c r="FW680" s="28"/>
      <c r="FZ680" s="28"/>
      <c r="GC680" s="28"/>
    </row>
    <row r="681" spans="1:185" s="25" customFormat="1" x14ac:dyDescent="0.3">
      <c r="A681" s="27"/>
      <c r="B681" s="28"/>
      <c r="C681" s="27"/>
      <c r="D681" s="26"/>
      <c r="E681" s="28"/>
      <c r="H681" s="28"/>
      <c r="K681" s="28"/>
      <c r="N681" s="28"/>
      <c r="Q681" s="28"/>
      <c r="T681" s="28"/>
      <c r="W681" s="28"/>
      <c r="Z681" s="28"/>
      <c r="AC681" s="28"/>
      <c r="AF681" s="28"/>
      <c r="AI681" s="28"/>
      <c r="AL681" s="28"/>
      <c r="AO681" s="28"/>
      <c r="AR681" s="28"/>
      <c r="AU681" s="28"/>
      <c r="AX681" s="28"/>
      <c r="BA681" s="28"/>
      <c r="BD681" s="28"/>
      <c r="BG681" s="28"/>
      <c r="BJ681" s="28"/>
      <c r="BM681" s="28"/>
      <c r="BP681" s="28"/>
      <c r="BS681" s="28"/>
      <c r="BV681" s="28"/>
      <c r="BY681" s="28"/>
      <c r="CB681" s="28"/>
      <c r="CE681" s="28"/>
      <c r="CH681" s="28"/>
      <c r="CK681" s="28"/>
      <c r="CN681" s="28"/>
      <c r="CQ681" s="28"/>
      <c r="CT681" s="28"/>
      <c r="CW681" s="28"/>
      <c r="CZ681" s="28"/>
      <c r="DC681" s="28"/>
      <c r="DF681" s="28"/>
      <c r="DI681" s="28"/>
      <c r="DL681" s="28"/>
      <c r="DO681" s="28"/>
      <c r="DR681" s="28"/>
      <c r="DU681" s="28"/>
      <c r="DX681" s="28"/>
      <c r="EA681" s="28"/>
      <c r="ED681" s="28"/>
      <c r="EG681" s="28"/>
      <c r="EJ681" s="28"/>
      <c r="EM681" s="28"/>
      <c r="EP681" s="28"/>
      <c r="ES681" s="28"/>
      <c r="EV681" s="28"/>
      <c r="EY681" s="28"/>
      <c r="FB681" s="28"/>
      <c r="FE681" s="28"/>
      <c r="FH681" s="28"/>
      <c r="FK681" s="28"/>
      <c r="FN681" s="28"/>
      <c r="FQ681" s="28"/>
      <c r="FT681" s="28"/>
      <c r="FW681" s="28"/>
      <c r="FZ681" s="28"/>
      <c r="GC681" s="28"/>
    </row>
    <row r="682" spans="1:185" s="25" customFormat="1" x14ac:dyDescent="0.3">
      <c r="A682" s="27"/>
      <c r="B682" s="28"/>
      <c r="C682" s="27"/>
      <c r="D682" s="26"/>
      <c r="E682" s="28"/>
      <c r="H682" s="28"/>
      <c r="K682" s="28"/>
      <c r="N682" s="28"/>
      <c r="Q682" s="28"/>
      <c r="T682" s="28"/>
      <c r="W682" s="28"/>
      <c r="Z682" s="28"/>
      <c r="AC682" s="28"/>
      <c r="AF682" s="28"/>
      <c r="AI682" s="28"/>
      <c r="AL682" s="28"/>
      <c r="AO682" s="28"/>
      <c r="AR682" s="28"/>
      <c r="AU682" s="28"/>
      <c r="AX682" s="28"/>
      <c r="BA682" s="28"/>
      <c r="BD682" s="28"/>
      <c r="BG682" s="28"/>
      <c r="BJ682" s="28"/>
      <c r="BM682" s="28"/>
      <c r="BP682" s="28"/>
      <c r="BS682" s="28"/>
      <c r="BV682" s="28"/>
      <c r="BY682" s="28"/>
      <c r="CB682" s="28"/>
      <c r="CE682" s="28"/>
      <c r="CH682" s="28"/>
      <c r="CK682" s="28"/>
      <c r="CN682" s="28"/>
      <c r="CQ682" s="28"/>
      <c r="CT682" s="28"/>
      <c r="CW682" s="28"/>
      <c r="CZ682" s="28"/>
      <c r="DC682" s="28"/>
      <c r="DF682" s="28"/>
      <c r="DI682" s="28"/>
      <c r="DL682" s="28"/>
      <c r="DO682" s="28"/>
      <c r="DR682" s="28"/>
      <c r="DU682" s="28"/>
      <c r="DX682" s="28"/>
      <c r="EA682" s="28"/>
      <c r="ED682" s="28"/>
      <c r="EG682" s="28"/>
      <c r="EJ682" s="28"/>
      <c r="EM682" s="28"/>
      <c r="EP682" s="28"/>
      <c r="ES682" s="28"/>
      <c r="EV682" s="28"/>
      <c r="EY682" s="28"/>
      <c r="FB682" s="28"/>
      <c r="FE682" s="28"/>
      <c r="FH682" s="28"/>
      <c r="FK682" s="28"/>
      <c r="FN682" s="28"/>
      <c r="FQ682" s="28"/>
      <c r="FT682" s="28"/>
      <c r="FW682" s="28"/>
      <c r="FZ682" s="28"/>
      <c r="GC682" s="28"/>
    </row>
    <row r="683" spans="1:185" s="25" customFormat="1" x14ac:dyDescent="0.3">
      <c r="A683" s="27"/>
      <c r="B683" s="28"/>
      <c r="C683" s="27"/>
      <c r="D683" s="26"/>
      <c r="E683" s="28"/>
      <c r="H683" s="28"/>
      <c r="K683" s="28"/>
      <c r="N683" s="28"/>
      <c r="Q683" s="28"/>
      <c r="T683" s="28"/>
      <c r="W683" s="28"/>
      <c r="Z683" s="28"/>
      <c r="AC683" s="28"/>
      <c r="AF683" s="28"/>
      <c r="AI683" s="28"/>
      <c r="AL683" s="28"/>
      <c r="AO683" s="28"/>
      <c r="AR683" s="28"/>
      <c r="AU683" s="28"/>
      <c r="AX683" s="28"/>
      <c r="BA683" s="28"/>
      <c r="BD683" s="28"/>
      <c r="BG683" s="28"/>
      <c r="BJ683" s="28"/>
      <c r="BM683" s="28"/>
      <c r="BP683" s="28"/>
      <c r="BS683" s="28"/>
      <c r="BV683" s="28"/>
      <c r="BY683" s="28"/>
      <c r="CB683" s="28"/>
      <c r="CE683" s="28"/>
      <c r="CH683" s="28"/>
      <c r="CK683" s="28"/>
      <c r="CN683" s="28"/>
      <c r="CQ683" s="28"/>
      <c r="CT683" s="28"/>
      <c r="CW683" s="28"/>
      <c r="CZ683" s="28"/>
      <c r="DC683" s="28"/>
      <c r="DF683" s="28"/>
      <c r="DI683" s="28"/>
      <c r="DL683" s="28"/>
      <c r="DO683" s="28"/>
      <c r="DR683" s="28"/>
      <c r="DU683" s="28"/>
      <c r="DX683" s="28"/>
      <c r="EA683" s="28"/>
      <c r="ED683" s="28"/>
      <c r="EG683" s="28"/>
      <c r="EJ683" s="28"/>
      <c r="EM683" s="28"/>
      <c r="EP683" s="28"/>
      <c r="ES683" s="28"/>
      <c r="EV683" s="28"/>
      <c r="EY683" s="28"/>
      <c r="FB683" s="28"/>
      <c r="FE683" s="28"/>
      <c r="FH683" s="28"/>
      <c r="FK683" s="28"/>
      <c r="FN683" s="28"/>
      <c r="FQ683" s="28"/>
      <c r="FT683" s="28"/>
      <c r="FW683" s="28"/>
      <c r="FZ683" s="28"/>
      <c r="GC683" s="28"/>
    </row>
    <row r="684" spans="1:185" s="25" customFormat="1" x14ac:dyDescent="0.3">
      <c r="A684" s="27"/>
      <c r="B684" s="28"/>
      <c r="C684" s="27"/>
      <c r="D684" s="26"/>
      <c r="E684" s="28"/>
      <c r="H684" s="28"/>
      <c r="K684" s="28"/>
      <c r="N684" s="28"/>
      <c r="Q684" s="28"/>
      <c r="T684" s="28"/>
      <c r="W684" s="28"/>
      <c r="Z684" s="28"/>
      <c r="AC684" s="28"/>
      <c r="AF684" s="28"/>
      <c r="AI684" s="28"/>
      <c r="AL684" s="28"/>
      <c r="AO684" s="28"/>
      <c r="AR684" s="28"/>
      <c r="AU684" s="28"/>
      <c r="AX684" s="28"/>
      <c r="BA684" s="28"/>
      <c r="BD684" s="28"/>
      <c r="BG684" s="28"/>
      <c r="BJ684" s="28"/>
      <c r="BM684" s="28"/>
      <c r="BP684" s="28"/>
      <c r="BS684" s="28"/>
      <c r="BV684" s="28"/>
      <c r="BY684" s="28"/>
      <c r="CB684" s="28"/>
      <c r="CE684" s="28"/>
      <c r="CH684" s="28"/>
      <c r="CK684" s="28"/>
      <c r="CN684" s="28"/>
      <c r="CQ684" s="28"/>
      <c r="CT684" s="28"/>
      <c r="CW684" s="28"/>
      <c r="CZ684" s="28"/>
      <c r="DC684" s="28"/>
      <c r="DF684" s="28"/>
      <c r="DI684" s="28"/>
      <c r="DL684" s="28"/>
      <c r="DO684" s="28"/>
      <c r="DR684" s="28"/>
      <c r="DU684" s="28"/>
      <c r="DX684" s="28"/>
      <c r="EA684" s="28"/>
      <c r="ED684" s="28"/>
      <c r="EG684" s="28"/>
      <c r="EJ684" s="28"/>
      <c r="EM684" s="28"/>
      <c r="EP684" s="28"/>
      <c r="ES684" s="28"/>
      <c r="EV684" s="28"/>
      <c r="EY684" s="28"/>
      <c r="FB684" s="28"/>
      <c r="FE684" s="28"/>
      <c r="FH684" s="28"/>
      <c r="FK684" s="28"/>
      <c r="FN684" s="28"/>
      <c r="FQ684" s="28"/>
      <c r="FT684" s="28"/>
      <c r="FW684" s="28"/>
      <c r="FZ684" s="28"/>
      <c r="GC684" s="28"/>
    </row>
    <row r="685" spans="1:185" s="25" customFormat="1" x14ac:dyDescent="0.3">
      <c r="A685" s="27"/>
      <c r="B685" s="28"/>
      <c r="C685" s="27"/>
      <c r="D685" s="26"/>
      <c r="E685" s="28"/>
      <c r="H685" s="28"/>
      <c r="K685" s="28"/>
      <c r="N685" s="28"/>
      <c r="Q685" s="28"/>
      <c r="T685" s="28"/>
      <c r="W685" s="28"/>
      <c r="Z685" s="28"/>
      <c r="AC685" s="28"/>
      <c r="AF685" s="28"/>
      <c r="AI685" s="28"/>
      <c r="AL685" s="28"/>
      <c r="AO685" s="28"/>
      <c r="AR685" s="28"/>
      <c r="AU685" s="28"/>
      <c r="AX685" s="28"/>
      <c r="BA685" s="28"/>
      <c r="BD685" s="28"/>
      <c r="BG685" s="28"/>
      <c r="BJ685" s="28"/>
      <c r="BM685" s="28"/>
      <c r="BP685" s="28"/>
      <c r="BS685" s="28"/>
      <c r="BV685" s="28"/>
      <c r="BY685" s="28"/>
      <c r="CB685" s="28"/>
      <c r="CE685" s="28"/>
      <c r="CH685" s="28"/>
      <c r="CK685" s="28"/>
      <c r="CN685" s="28"/>
      <c r="CQ685" s="28"/>
      <c r="CT685" s="28"/>
      <c r="CW685" s="28"/>
      <c r="CZ685" s="28"/>
      <c r="DC685" s="28"/>
      <c r="DF685" s="28"/>
      <c r="DI685" s="28"/>
      <c r="DL685" s="28"/>
      <c r="DO685" s="28"/>
      <c r="DR685" s="28"/>
      <c r="DU685" s="28"/>
      <c r="DX685" s="28"/>
      <c r="EA685" s="28"/>
      <c r="ED685" s="28"/>
      <c r="EG685" s="28"/>
      <c r="EJ685" s="28"/>
      <c r="EM685" s="28"/>
      <c r="EP685" s="28"/>
      <c r="ES685" s="28"/>
      <c r="EV685" s="28"/>
      <c r="EY685" s="28"/>
      <c r="FB685" s="28"/>
      <c r="FE685" s="28"/>
      <c r="FH685" s="28"/>
      <c r="FK685" s="28"/>
      <c r="FN685" s="28"/>
      <c r="FQ685" s="28"/>
      <c r="FT685" s="28"/>
      <c r="FW685" s="28"/>
      <c r="FZ685" s="28"/>
      <c r="GC685" s="28"/>
    </row>
    <row r="686" spans="1:185" s="25" customFormat="1" x14ac:dyDescent="0.3">
      <c r="A686" s="27"/>
      <c r="B686" s="28"/>
      <c r="C686" s="27"/>
      <c r="D686" s="26"/>
      <c r="E686" s="28"/>
      <c r="H686" s="28"/>
      <c r="K686" s="28"/>
      <c r="N686" s="28"/>
      <c r="Q686" s="28"/>
      <c r="T686" s="28"/>
      <c r="W686" s="28"/>
      <c r="Z686" s="28"/>
      <c r="AC686" s="28"/>
      <c r="AF686" s="28"/>
      <c r="AI686" s="28"/>
      <c r="AL686" s="28"/>
      <c r="AO686" s="28"/>
      <c r="AR686" s="28"/>
      <c r="AU686" s="28"/>
      <c r="AX686" s="28"/>
      <c r="BA686" s="28"/>
      <c r="BD686" s="28"/>
      <c r="BG686" s="28"/>
      <c r="BJ686" s="28"/>
      <c r="BM686" s="28"/>
      <c r="BP686" s="28"/>
      <c r="BS686" s="28"/>
      <c r="BV686" s="28"/>
      <c r="BY686" s="28"/>
      <c r="CB686" s="28"/>
      <c r="CE686" s="28"/>
      <c r="CH686" s="28"/>
      <c r="CK686" s="28"/>
      <c r="CN686" s="28"/>
      <c r="CQ686" s="28"/>
      <c r="CT686" s="28"/>
      <c r="CW686" s="28"/>
      <c r="CZ686" s="28"/>
      <c r="DC686" s="28"/>
      <c r="DF686" s="28"/>
      <c r="DI686" s="28"/>
      <c r="DL686" s="28"/>
      <c r="DO686" s="28"/>
      <c r="DR686" s="28"/>
      <c r="DU686" s="28"/>
      <c r="DX686" s="28"/>
      <c r="EA686" s="28"/>
      <c r="ED686" s="28"/>
      <c r="EG686" s="28"/>
      <c r="EJ686" s="28"/>
      <c r="EM686" s="28"/>
      <c r="EP686" s="28"/>
      <c r="ES686" s="28"/>
      <c r="EV686" s="28"/>
      <c r="EY686" s="28"/>
      <c r="FB686" s="28"/>
      <c r="FE686" s="28"/>
      <c r="FH686" s="28"/>
      <c r="FK686" s="28"/>
      <c r="FN686" s="28"/>
      <c r="FQ686" s="28"/>
      <c r="FT686" s="28"/>
      <c r="FW686" s="28"/>
      <c r="FZ686" s="28"/>
      <c r="GC686" s="28"/>
    </row>
    <row r="687" spans="1:185" s="25" customFormat="1" x14ac:dyDescent="0.3">
      <c r="A687" s="27"/>
      <c r="B687" s="28"/>
      <c r="C687" s="27"/>
      <c r="D687" s="26"/>
      <c r="E687" s="28"/>
      <c r="H687" s="28"/>
      <c r="K687" s="28"/>
      <c r="N687" s="28"/>
      <c r="Q687" s="28"/>
      <c r="T687" s="28"/>
      <c r="W687" s="28"/>
      <c r="Z687" s="28"/>
      <c r="AC687" s="28"/>
      <c r="AF687" s="28"/>
      <c r="AI687" s="28"/>
      <c r="AL687" s="28"/>
      <c r="AO687" s="28"/>
      <c r="AR687" s="28"/>
      <c r="AU687" s="28"/>
      <c r="AX687" s="28"/>
      <c r="BA687" s="28"/>
      <c r="BD687" s="28"/>
      <c r="BG687" s="28"/>
      <c r="BJ687" s="28"/>
      <c r="BM687" s="28"/>
      <c r="BP687" s="28"/>
      <c r="BS687" s="28"/>
      <c r="BV687" s="28"/>
      <c r="BY687" s="28"/>
      <c r="CB687" s="28"/>
      <c r="CE687" s="28"/>
      <c r="CH687" s="28"/>
      <c r="CK687" s="28"/>
      <c r="CN687" s="28"/>
      <c r="CQ687" s="28"/>
      <c r="CT687" s="28"/>
      <c r="CW687" s="28"/>
      <c r="CZ687" s="28"/>
      <c r="DC687" s="28"/>
      <c r="DF687" s="28"/>
      <c r="DI687" s="28"/>
      <c r="DL687" s="28"/>
      <c r="DO687" s="28"/>
      <c r="DR687" s="28"/>
      <c r="DU687" s="28"/>
      <c r="DX687" s="28"/>
      <c r="EA687" s="28"/>
      <c r="ED687" s="28"/>
      <c r="EG687" s="28"/>
      <c r="EJ687" s="28"/>
      <c r="EM687" s="28"/>
      <c r="EP687" s="28"/>
      <c r="ES687" s="28"/>
      <c r="EV687" s="28"/>
      <c r="EY687" s="28"/>
      <c r="FB687" s="28"/>
      <c r="FE687" s="28"/>
      <c r="FH687" s="28"/>
      <c r="FK687" s="28"/>
      <c r="FN687" s="28"/>
      <c r="FQ687" s="28"/>
      <c r="FT687" s="28"/>
      <c r="FW687" s="28"/>
      <c r="FZ687" s="28"/>
      <c r="GC687" s="28"/>
    </row>
    <row r="688" spans="1:185" s="25" customFormat="1" x14ac:dyDescent="0.3">
      <c r="A688" s="27"/>
      <c r="B688" s="28"/>
      <c r="C688" s="27"/>
      <c r="D688" s="26"/>
      <c r="E688" s="28"/>
      <c r="H688" s="28"/>
      <c r="K688" s="28"/>
      <c r="N688" s="28"/>
      <c r="Q688" s="28"/>
      <c r="T688" s="28"/>
      <c r="W688" s="28"/>
      <c r="Z688" s="28"/>
      <c r="AC688" s="28"/>
      <c r="AF688" s="28"/>
      <c r="AI688" s="28"/>
      <c r="AL688" s="28"/>
      <c r="AO688" s="28"/>
      <c r="AR688" s="28"/>
      <c r="AU688" s="28"/>
      <c r="AX688" s="28"/>
      <c r="BA688" s="28"/>
      <c r="BD688" s="28"/>
      <c r="BG688" s="28"/>
      <c r="BJ688" s="28"/>
      <c r="BM688" s="28"/>
      <c r="BP688" s="28"/>
      <c r="BS688" s="28"/>
      <c r="BV688" s="28"/>
      <c r="BY688" s="28"/>
      <c r="CB688" s="28"/>
      <c r="CE688" s="28"/>
      <c r="CH688" s="28"/>
      <c r="CK688" s="28"/>
      <c r="CN688" s="28"/>
      <c r="CQ688" s="28"/>
      <c r="CT688" s="28"/>
      <c r="CW688" s="28"/>
      <c r="CZ688" s="28"/>
      <c r="DC688" s="28"/>
      <c r="DF688" s="28"/>
      <c r="DI688" s="28"/>
      <c r="DL688" s="28"/>
      <c r="DO688" s="28"/>
      <c r="DR688" s="28"/>
      <c r="DU688" s="28"/>
      <c r="DX688" s="28"/>
      <c r="EA688" s="28"/>
      <c r="ED688" s="28"/>
      <c r="EG688" s="28"/>
      <c r="EJ688" s="28"/>
      <c r="EM688" s="28"/>
      <c r="EP688" s="28"/>
      <c r="ES688" s="28"/>
      <c r="EV688" s="28"/>
      <c r="EY688" s="28"/>
      <c r="FB688" s="28"/>
      <c r="FE688" s="28"/>
      <c r="FH688" s="28"/>
      <c r="FK688" s="28"/>
      <c r="FN688" s="28"/>
      <c r="FQ688" s="28"/>
      <c r="FT688" s="28"/>
      <c r="FW688" s="28"/>
      <c r="FZ688" s="28"/>
      <c r="GC688" s="28"/>
    </row>
    <row r="689" spans="1:185" s="25" customFormat="1" x14ac:dyDescent="0.3">
      <c r="A689" s="27"/>
      <c r="B689" s="28"/>
      <c r="C689" s="27"/>
      <c r="D689" s="26"/>
      <c r="E689" s="28"/>
      <c r="H689" s="28"/>
      <c r="K689" s="28"/>
      <c r="N689" s="28"/>
      <c r="Q689" s="28"/>
      <c r="T689" s="28"/>
      <c r="W689" s="28"/>
      <c r="Z689" s="28"/>
      <c r="AC689" s="28"/>
      <c r="AF689" s="28"/>
      <c r="AI689" s="28"/>
      <c r="AL689" s="28"/>
      <c r="AO689" s="28"/>
      <c r="AR689" s="28"/>
      <c r="AU689" s="28"/>
      <c r="AX689" s="28"/>
      <c r="BA689" s="28"/>
      <c r="BD689" s="28"/>
      <c r="BG689" s="28"/>
      <c r="BJ689" s="28"/>
      <c r="BM689" s="28"/>
      <c r="BP689" s="28"/>
      <c r="BS689" s="28"/>
      <c r="BV689" s="28"/>
      <c r="BY689" s="28"/>
      <c r="CB689" s="28"/>
      <c r="CE689" s="28"/>
      <c r="CH689" s="28"/>
      <c r="CK689" s="28"/>
      <c r="CN689" s="28"/>
      <c r="CQ689" s="28"/>
      <c r="CT689" s="28"/>
      <c r="CW689" s="28"/>
      <c r="CZ689" s="28"/>
      <c r="DC689" s="28"/>
      <c r="DF689" s="28"/>
      <c r="DI689" s="28"/>
      <c r="DL689" s="28"/>
      <c r="DO689" s="28"/>
      <c r="DR689" s="28"/>
      <c r="DU689" s="28"/>
      <c r="DX689" s="28"/>
      <c r="EA689" s="28"/>
      <c r="ED689" s="28"/>
      <c r="EG689" s="28"/>
      <c r="EJ689" s="28"/>
      <c r="EM689" s="28"/>
      <c r="EP689" s="28"/>
      <c r="ES689" s="28"/>
      <c r="EV689" s="28"/>
      <c r="EY689" s="28"/>
      <c r="FB689" s="28"/>
      <c r="FE689" s="28"/>
      <c r="FH689" s="28"/>
      <c r="FK689" s="28"/>
      <c r="FN689" s="28"/>
      <c r="FQ689" s="28"/>
      <c r="FT689" s="28"/>
      <c r="FW689" s="28"/>
      <c r="FZ689" s="28"/>
      <c r="GC689" s="28"/>
    </row>
    <row r="690" spans="1:185" s="25" customFormat="1" x14ac:dyDescent="0.3">
      <c r="A690" s="27"/>
      <c r="B690" s="28"/>
      <c r="C690" s="27"/>
      <c r="D690" s="26"/>
      <c r="E690" s="28"/>
      <c r="H690" s="28"/>
      <c r="K690" s="28"/>
      <c r="N690" s="28"/>
      <c r="Q690" s="28"/>
      <c r="T690" s="28"/>
      <c r="W690" s="28"/>
      <c r="Z690" s="28"/>
      <c r="AC690" s="28"/>
      <c r="AF690" s="28"/>
      <c r="AI690" s="28"/>
      <c r="AL690" s="28"/>
      <c r="AO690" s="28"/>
      <c r="AR690" s="28"/>
      <c r="AU690" s="28"/>
      <c r="AX690" s="28"/>
      <c r="BA690" s="28"/>
      <c r="BD690" s="28"/>
      <c r="BG690" s="28"/>
      <c r="BJ690" s="28"/>
      <c r="BM690" s="28"/>
      <c r="BP690" s="28"/>
      <c r="BS690" s="28"/>
      <c r="BV690" s="28"/>
      <c r="BY690" s="28"/>
      <c r="CB690" s="28"/>
      <c r="CE690" s="28"/>
      <c r="CH690" s="28"/>
      <c r="CK690" s="28"/>
      <c r="CN690" s="28"/>
      <c r="CQ690" s="28"/>
      <c r="CT690" s="28"/>
      <c r="CW690" s="28"/>
      <c r="CZ690" s="28"/>
      <c r="DC690" s="28"/>
      <c r="DF690" s="28"/>
      <c r="DI690" s="28"/>
      <c r="DL690" s="28"/>
      <c r="DO690" s="28"/>
      <c r="DR690" s="28"/>
      <c r="DU690" s="28"/>
      <c r="DX690" s="28"/>
      <c r="EA690" s="28"/>
      <c r="ED690" s="28"/>
      <c r="EG690" s="28"/>
      <c r="EJ690" s="28"/>
      <c r="EM690" s="28"/>
      <c r="EP690" s="28"/>
      <c r="ES690" s="28"/>
      <c r="EV690" s="28"/>
      <c r="EY690" s="28"/>
      <c r="FB690" s="28"/>
      <c r="FE690" s="28"/>
      <c r="FH690" s="28"/>
      <c r="FK690" s="28"/>
      <c r="FN690" s="28"/>
      <c r="FQ690" s="28"/>
      <c r="FT690" s="28"/>
      <c r="FW690" s="28"/>
      <c r="FZ690" s="28"/>
      <c r="GC690" s="28"/>
    </row>
    <row r="691" spans="1:185" s="25" customFormat="1" x14ac:dyDescent="0.3">
      <c r="A691" s="27"/>
      <c r="B691" s="28"/>
      <c r="C691" s="27"/>
      <c r="D691" s="26"/>
      <c r="E691" s="28"/>
      <c r="H691" s="28"/>
      <c r="K691" s="28"/>
      <c r="N691" s="28"/>
      <c r="Q691" s="28"/>
      <c r="T691" s="28"/>
      <c r="W691" s="28"/>
      <c r="Z691" s="28"/>
      <c r="AC691" s="28"/>
      <c r="AF691" s="28"/>
      <c r="AI691" s="28"/>
      <c r="AL691" s="28"/>
      <c r="AO691" s="28"/>
      <c r="AR691" s="28"/>
      <c r="AU691" s="28"/>
      <c r="AX691" s="28"/>
      <c r="BA691" s="28"/>
      <c r="BD691" s="28"/>
      <c r="BG691" s="28"/>
      <c r="BJ691" s="28"/>
      <c r="BM691" s="28"/>
      <c r="BP691" s="28"/>
      <c r="BS691" s="28"/>
      <c r="BV691" s="28"/>
      <c r="BY691" s="28"/>
      <c r="CB691" s="28"/>
      <c r="CE691" s="28"/>
      <c r="CH691" s="28"/>
      <c r="CK691" s="28"/>
      <c r="CN691" s="28"/>
      <c r="CQ691" s="28"/>
      <c r="CT691" s="28"/>
      <c r="CW691" s="28"/>
      <c r="CZ691" s="28"/>
      <c r="DC691" s="28"/>
      <c r="DF691" s="28"/>
      <c r="DI691" s="28"/>
      <c r="DL691" s="28"/>
      <c r="DO691" s="28"/>
      <c r="DR691" s="28"/>
      <c r="DU691" s="28"/>
      <c r="DX691" s="28"/>
      <c r="EA691" s="28"/>
      <c r="ED691" s="28"/>
      <c r="EG691" s="28"/>
      <c r="EJ691" s="28"/>
      <c r="EM691" s="28"/>
      <c r="EP691" s="28"/>
      <c r="ES691" s="28"/>
      <c r="EV691" s="28"/>
      <c r="EY691" s="28"/>
      <c r="FB691" s="28"/>
      <c r="FE691" s="28"/>
      <c r="FH691" s="28"/>
      <c r="FK691" s="28"/>
      <c r="FN691" s="28"/>
      <c r="FQ691" s="28"/>
      <c r="FT691" s="28"/>
      <c r="FW691" s="28"/>
      <c r="FZ691" s="28"/>
      <c r="GC691" s="28"/>
    </row>
    <row r="692" spans="1:185" s="25" customFormat="1" x14ac:dyDescent="0.3">
      <c r="A692" s="27"/>
      <c r="B692" s="28"/>
      <c r="C692" s="27"/>
      <c r="D692" s="26"/>
      <c r="E692" s="28"/>
      <c r="H692" s="28"/>
      <c r="K692" s="28"/>
      <c r="N692" s="28"/>
      <c r="Q692" s="28"/>
      <c r="T692" s="28"/>
      <c r="W692" s="28"/>
      <c r="Z692" s="28"/>
      <c r="AC692" s="28"/>
      <c r="AF692" s="28"/>
      <c r="AI692" s="28"/>
      <c r="AL692" s="28"/>
      <c r="AO692" s="28"/>
      <c r="AR692" s="28"/>
      <c r="AU692" s="28"/>
      <c r="AX692" s="28"/>
      <c r="BA692" s="28"/>
      <c r="BD692" s="28"/>
      <c r="BG692" s="28"/>
      <c r="BJ692" s="28"/>
      <c r="BM692" s="28"/>
      <c r="BP692" s="28"/>
      <c r="BS692" s="28"/>
      <c r="BV692" s="28"/>
      <c r="BY692" s="28"/>
      <c r="CB692" s="28"/>
      <c r="CE692" s="28"/>
      <c r="CH692" s="28"/>
      <c r="CK692" s="28"/>
      <c r="CN692" s="28"/>
      <c r="CQ692" s="28"/>
      <c r="CT692" s="28"/>
      <c r="CW692" s="28"/>
      <c r="CZ692" s="28"/>
      <c r="DC692" s="28"/>
      <c r="DF692" s="28"/>
      <c r="DI692" s="28"/>
      <c r="DL692" s="28"/>
      <c r="DO692" s="28"/>
      <c r="DR692" s="28"/>
      <c r="DU692" s="28"/>
      <c r="DX692" s="28"/>
      <c r="EA692" s="28"/>
      <c r="ED692" s="28"/>
      <c r="EG692" s="28"/>
      <c r="EJ692" s="28"/>
      <c r="EM692" s="28"/>
      <c r="EP692" s="28"/>
      <c r="ES692" s="28"/>
      <c r="EV692" s="28"/>
      <c r="EY692" s="28"/>
      <c r="FB692" s="28"/>
      <c r="FE692" s="28"/>
      <c r="FH692" s="28"/>
      <c r="FK692" s="28"/>
      <c r="FN692" s="28"/>
      <c r="FQ692" s="28"/>
      <c r="FT692" s="28"/>
      <c r="FW692" s="28"/>
      <c r="FZ692" s="28"/>
      <c r="GC692" s="28"/>
    </row>
    <row r="693" spans="1:185" s="25" customFormat="1" x14ac:dyDescent="0.3">
      <c r="A693" s="27"/>
      <c r="B693" s="28"/>
      <c r="C693" s="27"/>
      <c r="D693" s="26"/>
      <c r="E693" s="28"/>
      <c r="H693" s="28"/>
      <c r="K693" s="28"/>
      <c r="N693" s="28"/>
      <c r="Q693" s="28"/>
      <c r="T693" s="28"/>
      <c r="W693" s="28"/>
      <c r="Z693" s="28"/>
      <c r="AC693" s="28"/>
      <c r="AF693" s="28"/>
      <c r="AI693" s="28"/>
      <c r="AL693" s="28"/>
      <c r="AO693" s="28"/>
      <c r="AR693" s="28"/>
      <c r="AU693" s="28"/>
      <c r="AX693" s="28"/>
      <c r="BA693" s="28"/>
      <c r="BD693" s="28"/>
      <c r="BG693" s="28"/>
      <c r="BJ693" s="28"/>
      <c r="BM693" s="28"/>
      <c r="BP693" s="28"/>
      <c r="BS693" s="28"/>
      <c r="BV693" s="28"/>
      <c r="BY693" s="28"/>
      <c r="CB693" s="28"/>
      <c r="CE693" s="28"/>
      <c r="CH693" s="28"/>
      <c r="CK693" s="28"/>
      <c r="CN693" s="28"/>
      <c r="CQ693" s="28"/>
      <c r="CT693" s="28"/>
      <c r="CW693" s="28"/>
      <c r="CZ693" s="28"/>
      <c r="DC693" s="28"/>
      <c r="DF693" s="28"/>
      <c r="DI693" s="28"/>
      <c r="DL693" s="28"/>
      <c r="DO693" s="28"/>
      <c r="DR693" s="28"/>
      <c r="DU693" s="28"/>
      <c r="DX693" s="28"/>
      <c r="EA693" s="28"/>
      <c r="ED693" s="28"/>
      <c r="EG693" s="28"/>
      <c r="EJ693" s="28"/>
      <c r="EM693" s="28"/>
      <c r="EP693" s="28"/>
      <c r="ES693" s="28"/>
      <c r="EV693" s="28"/>
      <c r="EY693" s="28"/>
      <c r="FB693" s="28"/>
      <c r="FE693" s="28"/>
      <c r="FH693" s="28"/>
      <c r="FK693" s="28"/>
      <c r="FN693" s="28"/>
      <c r="FQ693" s="28"/>
      <c r="FT693" s="28"/>
      <c r="FW693" s="28"/>
      <c r="FZ693" s="28"/>
      <c r="GC693" s="28"/>
    </row>
    <row r="694" spans="1:185" s="25" customFormat="1" x14ac:dyDescent="0.3">
      <c r="A694" s="27"/>
      <c r="B694" s="28"/>
      <c r="C694" s="27"/>
      <c r="D694" s="26"/>
      <c r="E694" s="28"/>
      <c r="H694" s="28"/>
      <c r="K694" s="28"/>
      <c r="N694" s="28"/>
      <c r="Q694" s="28"/>
      <c r="T694" s="28"/>
      <c r="W694" s="28"/>
      <c r="Z694" s="28"/>
      <c r="AC694" s="28"/>
      <c r="AF694" s="28"/>
      <c r="AI694" s="28"/>
      <c r="AL694" s="28"/>
      <c r="AO694" s="28"/>
      <c r="AR694" s="28"/>
      <c r="AU694" s="28"/>
      <c r="AX694" s="28"/>
      <c r="BA694" s="28"/>
      <c r="BD694" s="28"/>
      <c r="BG694" s="28"/>
      <c r="BJ694" s="28"/>
      <c r="BM694" s="28"/>
      <c r="BP694" s="28"/>
      <c r="BS694" s="28"/>
      <c r="BV694" s="28"/>
      <c r="BY694" s="28"/>
      <c r="CB694" s="28"/>
      <c r="CE694" s="28"/>
      <c r="CH694" s="28"/>
      <c r="CK694" s="28"/>
      <c r="CN694" s="28"/>
      <c r="CQ694" s="28"/>
      <c r="CT694" s="28"/>
      <c r="CW694" s="28"/>
      <c r="CZ694" s="28"/>
      <c r="DC694" s="28"/>
      <c r="DF694" s="28"/>
      <c r="DI694" s="28"/>
      <c r="DL694" s="28"/>
      <c r="DO694" s="28"/>
      <c r="DR694" s="28"/>
      <c r="DU694" s="28"/>
      <c r="DX694" s="28"/>
      <c r="EA694" s="28"/>
      <c r="ED694" s="28"/>
      <c r="EG694" s="28"/>
      <c r="EJ694" s="28"/>
      <c r="EM694" s="28"/>
      <c r="EP694" s="28"/>
      <c r="ES694" s="28"/>
      <c r="EV694" s="28"/>
      <c r="EY694" s="28"/>
      <c r="FB694" s="28"/>
      <c r="FE694" s="28"/>
      <c r="FH694" s="28"/>
      <c r="FK694" s="28"/>
      <c r="FN694" s="28"/>
      <c r="FQ694" s="28"/>
      <c r="FT694" s="28"/>
      <c r="FW694" s="28"/>
      <c r="FZ694" s="28"/>
      <c r="GC694" s="28"/>
    </row>
    <row r="695" spans="1:185" s="25" customFormat="1" x14ac:dyDescent="0.3">
      <c r="A695" s="27"/>
      <c r="B695" s="28"/>
      <c r="C695" s="27"/>
      <c r="D695" s="26"/>
      <c r="E695" s="28"/>
      <c r="H695" s="28"/>
      <c r="K695" s="28"/>
      <c r="N695" s="28"/>
      <c r="Q695" s="28"/>
      <c r="T695" s="28"/>
      <c r="W695" s="28"/>
      <c r="Z695" s="28"/>
      <c r="AC695" s="28"/>
      <c r="AF695" s="28"/>
      <c r="AI695" s="28"/>
      <c r="AL695" s="28"/>
      <c r="AO695" s="28"/>
      <c r="AR695" s="28"/>
      <c r="AU695" s="28"/>
      <c r="AX695" s="28"/>
      <c r="BA695" s="28"/>
      <c r="BD695" s="28"/>
      <c r="BG695" s="28"/>
      <c r="BJ695" s="28"/>
      <c r="BM695" s="28"/>
      <c r="BP695" s="28"/>
      <c r="BS695" s="28"/>
      <c r="BV695" s="28"/>
      <c r="BY695" s="28"/>
      <c r="CB695" s="28"/>
      <c r="CE695" s="28"/>
      <c r="CH695" s="28"/>
      <c r="CK695" s="28"/>
      <c r="CN695" s="28"/>
      <c r="CQ695" s="28"/>
      <c r="CT695" s="28"/>
      <c r="CW695" s="28"/>
      <c r="CZ695" s="28"/>
      <c r="DC695" s="28"/>
      <c r="DF695" s="28"/>
      <c r="DI695" s="28"/>
      <c r="DL695" s="28"/>
      <c r="DO695" s="28"/>
      <c r="DR695" s="28"/>
      <c r="DU695" s="28"/>
      <c r="DX695" s="28"/>
      <c r="EA695" s="28"/>
      <c r="ED695" s="28"/>
      <c r="EG695" s="28"/>
      <c r="EJ695" s="28"/>
      <c r="EM695" s="28"/>
      <c r="EP695" s="28"/>
      <c r="ES695" s="28"/>
      <c r="EV695" s="28"/>
      <c r="EY695" s="28"/>
      <c r="FB695" s="28"/>
      <c r="FE695" s="28"/>
      <c r="FH695" s="28"/>
      <c r="FK695" s="28"/>
      <c r="FN695" s="28"/>
      <c r="FQ695" s="28"/>
      <c r="FT695" s="28"/>
      <c r="FW695" s="28"/>
      <c r="FZ695" s="28"/>
      <c r="GC695" s="28"/>
    </row>
    <row r="696" spans="1:185" s="25" customFormat="1" x14ac:dyDescent="0.3">
      <c r="A696" s="27"/>
      <c r="B696" s="28"/>
      <c r="C696" s="27"/>
      <c r="D696" s="26"/>
      <c r="E696" s="28"/>
      <c r="H696" s="28"/>
      <c r="K696" s="28"/>
      <c r="N696" s="28"/>
      <c r="Q696" s="28"/>
      <c r="T696" s="28"/>
      <c r="W696" s="28"/>
      <c r="Z696" s="28"/>
      <c r="AC696" s="28"/>
      <c r="AF696" s="28"/>
      <c r="AI696" s="28"/>
      <c r="AL696" s="28"/>
      <c r="AO696" s="28"/>
      <c r="AR696" s="28"/>
      <c r="AU696" s="28"/>
      <c r="AX696" s="28"/>
      <c r="BA696" s="28"/>
      <c r="BD696" s="28"/>
      <c r="BG696" s="28"/>
      <c r="BJ696" s="28"/>
      <c r="BM696" s="28"/>
      <c r="BP696" s="28"/>
      <c r="BS696" s="28"/>
      <c r="BV696" s="28"/>
      <c r="BY696" s="28"/>
      <c r="CB696" s="28"/>
      <c r="CE696" s="28"/>
      <c r="CH696" s="28"/>
      <c r="CK696" s="28"/>
      <c r="CN696" s="28"/>
      <c r="CQ696" s="28"/>
      <c r="CT696" s="28"/>
      <c r="CW696" s="28"/>
      <c r="CZ696" s="28"/>
      <c r="DC696" s="28"/>
      <c r="DF696" s="28"/>
      <c r="DI696" s="28"/>
      <c r="DL696" s="28"/>
      <c r="DO696" s="28"/>
      <c r="DR696" s="28"/>
      <c r="DU696" s="28"/>
      <c r="DX696" s="28"/>
      <c r="EA696" s="28"/>
      <c r="ED696" s="28"/>
      <c r="EG696" s="28"/>
      <c r="EJ696" s="28"/>
      <c r="EM696" s="28"/>
      <c r="EP696" s="28"/>
      <c r="ES696" s="28"/>
      <c r="EV696" s="28"/>
      <c r="EY696" s="28"/>
      <c r="FB696" s="28"/>
      <c r="FE696" s="28"/>
      <c r="FH696" s="28"/>
      <c r="FK696" s="28"/>
      <c r="FN696" s="28"/>
      <c r="FQ696" s="28"/>
      <c r="FT696" s="28"/>
      <c r="FW696" s="28"/>
      <c r="FZ696" s="28"/>
      <c r="GC696" s="28"/>
    </row>
    <row r="697" spans="1:185" s="25" customFormat="1" x14ac:dyDescent="0.3">
      <c r="A697" s="27"/>
      <c r="B697" s="28"/>
      <c r="C697" s="27"/>
      <c r="D697" s="26"/>
      <c r="E697" s="28"/>
      <c r="H697" s="28"/>
      <c r="K697" s="28"/>
      <c r="N697" s="28"/>
      <c r="Q697" s="28"/>
      <c r="T697" s="28"/>
      <c r="W697" s="28"/>
      <c r="Z697" s="28"/>
      <c r="AC697" s="28"/>
      <c r="AF697" s="28"/>
      <c r="AI697" s="28"/>
      <c r="AL697" s="28"/>
      <c r="AO697" s="28"/>
      <c r="AR697" s="28"/>
      <c r="AU697" s="28"/>
      <c r="AX697" s="28"/>
      <c r="BA697" s="28"/>
      <c r="BD697" s="28"/>
      <c r="BG697" s="28"/>
      <c r="BJ697" s="28"/>
      <c r="BM697" s="28"/>
      <c r="BP697" s="28"/>
      <c r="BS697" s="28"/>
      <c r="BV697" s="28"/>
      <c r="BY697" s="28"/>
      <c r="CB697" s="28"/>
      <c r="CE697" s="28"/>
      <c r="CH697" s="28"/>
      <c r="CK697" s="28"/>
      <c r="CN697" s="28"/>
      <c r="CQ697" s="28"/>
      <c r="CT697" s="28"/>
      <c r="CW697" s="28"/>
      <c r="CZ697" s="28"/>
      <c r="DC697" s="28"/>
      <c r="DF697" s="28"/>
      <c r="DI697" s="28"/>
      <c r="DL697" s="28"/>
      <c r="DO697" s="28"/>
      <c r="DR697" s="28"/>
      <c r="DU697" s="28"/>
      <c r="DX697" s="28"/>
      <c r="EA697" s="28"/>
      <c r="ED697" s="28"/>
      <c r="EG697" s="28"/>
      <c r="EJ697" s="28"/>
      <c r="EM697" s="28"/>
      <c r="EP697" s="28"/>
      <c r="ES697" s="28"/>
      <c r="EV697" s="28"/>
      <c r="EY697" s="28"/>
      <c r="FB697" s="28"/>
      <c r="FE697" s="28"/>
      <c r="FH697" s="28"/>
      <c r="FK697" s="28"/>
      <c r="FN697" s="28"/>
      <c r="FQ697" s="28"/>
      <c r="FT697" s="28"/>
      <c r="FW697" s="28"/>
      <c r="FZ697" s="28"/>
      <c r="GC697" s="28"/>
    </row>
    <row r="698" spans="1:185" s="25" customFormat="1" x14ac:dyDescent="0.3">
      <c r="A698" s="27"/>
      <c r="B698" s="28"/>
      <c r="C698" s="27"/>
      <c r="D698" s="26"/>
      <c r="E698" s="28"/>
      <c r="H698" s="28"/>
      <c r="K698" s="28"/>
      <c r="N698" s="28"/>
      <c r="Q698" s="28"/>
      <c r="T698" s="28"/>
      <c r="W698" s="28"/>
      <c r="Z698" s="28"/>
      <c r="AC698" s="28"/>
      <c r="AF698" s="28"/>
      <c r="AI698" s="28"/>
      <c r="AL698" s="28"/>
      <c r="AO698" s="28"/>
      <c r="AR698" s="28"/>
      <c r="AU698" s="28"/>
      <c r="AX698" s="28"/>
      <c r="BA698" s="28"/>
      <c r="BD698" s="28"/>
      <c r="BG698" s="28"/>
      <c r="BJ698" s="28"/>
      <c r="BM698" s="28"/>
      <c r="BP698" s="28"/>
      <c r="BS698" s="28"/>
      <c r="BV698" s="28"/>
      <c r="BY698" s="28"/>
      <c r="CB698" s="28"/>
      <c r="CE698" s="28"/>
      <c r="CH698" s="28"/>
      <c r="CK698" s="28"/>
      <c r="CN698" s="28"/>
      <c r="CQ698" s="28"/>
      <c r="CT698" s="28"/>
      <c r="CW698" s="28"/>
      <c r="CZ698" s="28"/>
      <c r="DC698" s="28"/>
      <c r="DF698" s="28"/>
      <c r="DI698" s="28"/>
      <c r="DL698" s="28"/>
      <c r="DO698" s="28"/>
      <c r="DR698" s="28"/>
      <c r="DU698" s="28"/>
      <c r="DX698" s="28"/>
      <c r="EA698" s="28"/>
      <c r="ED698" s="28"/>
      <c r="EG698" s="28"/>
      <c r="EJ698" s="28"/>
      <c r="EM698" s="28"/>
      <c r="EP698" s="28"/>
      <c r="ES698" s="28"/>
      <c r="EV698" s="28"/>
      <c r="EY698" s="28"/>
      <c r="FB698" s="28"/>
      <c r="FE698" s="28"/>
      <c r="FH698" s="28"/>
      <c r="FK698" s="28"/>
      <c r="FN698" s="28"/>
      <c r="FQ698" s="28"/>
      <c r="FT698" s="28"/>
      <c r="FW698" s="28"/>
      <c r="FZ698" s="28"/>
      <c r="GC698" s="28"/>
    </row>
    <row r="699" spans="1:185" s="25" customFormat="1" x14ac:dyDescent="0.3">
      <c r="A699" s="27"/>
      <c r="B699" s="28"/>
      <c r="C699" s="27"/>
      <c r="D699" s="26"/>
      <c r="E699" s="28"/>
      <c r="H699" s="28"/>
      <c r="K699" s="28"/>
      <c r="N699" s="28"/>
      <c r="Q699" s="28"/>
      <c r="T699" s="28"/>
      <c r="W699" s="28"/>
      <c r="Z699" s="28"/>
      <c r="AC699" s="28"/>
      <c r="AF699" s="28"/>
      <c r="AI699" s="28"/>
      <c r="AL699" s="28"/>
      <c r="AO699" s="28"/>
      <c r="AR699" s="28"/>
      <c r="AU699" s="28"/>
      <c r="AX699" s="28"/>
      <c r="BA699" s="28"/>
      <c r="BD699" s="28"/>
      <c r="BG699" s="28"/>
      <c r="BJ699" s="28"/>
      <c r="BM699" s="28"/>
      <c r="BP699" s="28"/>
      <c r="BS699" s="28"/>
      <c r="BV699" s="28"/>
      <c r="BY699" s="28"/>
      <c r="CB699" s="28"/>
      <c r="CE699" s="28"/>
      <c r="CH699" s="28"/>
      <c r="CK699" s="28"/>
      <c r="CN699" s="28"/>
      <c r="CQ699" s="28"/>
      <c r="CT699" s="28"/>
      <c r="CW699" s="28"/>
      <c r="CZ699" s="28"/>
      <c r="DC699" s="28"/>
      <c r="DF699" s="28"/>
      <c r="DI699" s="28"/>
      <c r="DL699" s="28"/>
      <c r="DO699" s="28"/>
      <c r="DR699" s="28"/>
      <c r="DU699" s="28"/>
      <c r="DX699" s="28"/>
      <c r="EA699" s="28"/>
      <c r="ED699" s="28"/>
      <c r="EG699" s="28"/>
      <c r="EJ699" s="28"/>
      <c r="EM699" s="28"/>
      <c r="EP699" s="28"/>
      <c r="ES699" s="28"/>
      <c r="EV699" s="28"/>
      <c r="EY699" s="28"/>
      <c r="FB699" s="28"/>
      <c r="FE699" s="28"/>
      <c r="FH699" s="28"/>
      <c r="FK699" s="28"/>
      <c r="FN699" s="28"/>
      <c r="FQ699" s="28"/>
      <c r="FT699" s="28"/>
      <c r="FW699" s="28"/>
      <c r="FZ699" s="28"/>
      <c r="GC699" s="28"/>
    </row>
    <row r="700" spans="1:185" s="25" customFormat="1" x14ac:dyDescent="0.3">
      <c r="A700" s="27"/>
      <c r="B700" s="28"/>
      <c r="C700" s="27"/>
      <c r="D700" s="26"/>
      <c r="E700" s="28"/>
      <c r="H700" s="28"/>
      <c r="K700" s="28"/>
      <c r="N700" s="28"/>
      <c r="Q700" s="28"/>
      <c r="T700" s="28"/>
      <c r="W700" s="28"/>
      <c r="Z700" s="28"/>
      <c r="AC700" s="28"/>
      <c r="AF700" s="28"/>
      <c r="AI700" s="28"/>
      <c r="AL700" s="28"/>
      <c r="AO700" s="28"/>
      <c r="AR700" s="28"/>
      <c r="AU700" s="28"/>
      <c r="AX700" s="28"/>
      <c r="BA700" s="28"/>
      <c r="BD700" s="28"/>
      <c r="BG700" s="28"/>
      <c r="BJ700" s="28"/>
      <c r="BM700" s="28"/>
      <c r="BP700" s="28"/>
      <c r="BS700" s="28"/>
      <c r="BV700" s="28"/>
      <c r="BY700" s="28"/>
      <c r="CB700" s="28"/>
      <c r="CE700" s="28"/>
      <c r="CH700" s="28"/>
      <c r="CK700" s="28"/>
      <c r="CN700" s="28"/>
      <c r="CQ700" s="28"/>
      <c r="CT700" s="28"/>
      <c r="CW700" s="28"/>
      <c r="CZ700" s="28"/>
      <c r="DC700" s="28"/>
      <c r="DF700" s="28"/>
      <c r="DI700" s="28"/>
      <c r="DL700" s="28"/>
      <c r="DO700" s="28"/>
      <c r="DR700" s="28"/>
      <c r="DU700" s="28"/>
      <c r="DX700" s="28"/>
      <c r="EA700" s="28"/>
      <c r="ED700" s="28"/>
      <c r="EG700" s="28"/>
      <c r="EJ700" s="28"/>
      <c r="EM700" s="28"/>
      <c r="EP700" s="28"/>
      <c r="ES700" s="28"/>
      <c r="EV700" s="28"/>
      <c r="EY700" s="28"/>
      <c r="FB700" s="28"/>
      <c r="FE700" s="28"/>
      <c r="FH700" s="28"/>
      <c r="FK700" s="28"/>
      <c r="FN700" s="28"/>
      <c r="FQ700" s="28"/>
      <c r="FT700" s="28"/>
      <c r="FW700" s="28"/>
      <c r="FZ700" s="28"/>
      <c r="GC700" s="28"/>
    </row>
    <row r="701" spans="1:185" s="25" customFormat="1" x14ac:dyDescent="0.3">
      <c r="A701" s="27"/>
      <c r="B701" s="28"/>
      <c r="C701" s="27"/>
      <c r="D701" s="26"/>
      <c r="E701" s="28"/>
      <c r="H701" s="28"/>
      <c r="K701" s="28"/>
      <c r="N701" s="28"/>
      <c r="Q701" s="28"/>
      <c r="T701" s="28"/>
      <c r="W701" s="28"/>
      <c r="Z701" s="28"/>
      <c r="AC701" s="28"/>
      <c r="AF701" s="28"/>
      <c r="AI701" s="28"/>
      <c r="AL701" s="28"/>
      <c r="AO701" s="28"/>
      <c r="AR701" s="28"/>
      <c r="AU701" s="28"/>
      <c r="AX701" s="28"/>
      <c r="BA701" s="28"/>
      <c r="BD701" s="28"/>
      <c r="BG701" s="28"/>
      <c r="BJ701" s="28"/>
      <c r="BM701" s="28"/>
      <c r="BP701" s="28"/>
      <c r="BS701" s="28"/>
      <c r="BV701" s="28"/>
      <c r="BY701" s="28"/>
      <c r="CB701" s="28"/>
      <c r="CE701" s="28"/>
      <c r="CH701" s="28"/>
      <c r="CK701" s="28"/>
      <c r="CN701" s="28"/>
      <c r="CQ701" s="28"/>
      <c r="CT701" s="28"/>
      <c r="CW701" s="28"/>
      <c r="CZ701" s="28"/>
      <c r="DC701" s="28"/>
      <c r="DF701" s="28"/>
      <c r="DI701" s="28"/>
      <c r="DL701" s="28"/>
      <c r="DO701" s="28"/>
      <c r="DR701" s="28"/>
      <c r="DU701" s="28"/>
      <c r="DX701" s="28"/>
      <c r="EA701" s="28"/>
      <c r="ED701" s="28"/>
      <c r="EG701" s="28"/>
      <c r="EJ701" s="28"/>
      <c r="EM701" s="28"/>
      <c r="EP701" s="28"/>
      <c r="ES701" s="28"/>
      <c r="EV701" s="28"/>
      <c r="EY701" s="28"/>
      <c r="FB701" s="28"/>
      <c r="FE701" s="28"/>
      <c r="FH701" s="28"/>
      <c r="FK701" s="28"/>
      <c r="FN701" s="28"/>
      <c r="FQ701" s="28"/>
      <c r="FT701" s="28"/>
      <c r="FW701" s="28"/>
      <c r="FZ701" s="28"/>
      <c r="GC701" s="28"/>
    </row>
    <row r="702" spans="1:185" s="25" customFormat="1" x14ac:dyDescent="0.3">
      <c r="A702" s="27"/>
      <c r="B702" s="28"/>
      <c r="C702" s="27"/>
      <c r="D702" s="26"/>
      <c r="E702" s="28"/>
      <c r="H702" s="28"/>
      <c r="K702" s="28"/>
      <c r="N702" s="28"/>
      <c r="Q702" s="28"/>
      <c r="T702" s="28"/>
      <c r="W702" s="28"/>
      <c r="Z702" s="28"/>
      <c r="AC702" s="28"/>
      <c r="AF702" s="28"/>
      <c r="AI702" s="28"/>
      <c r="AL702" s="28"/>
      <c r="AO702" s="28"/>
      <c r="AR702" s="28"/>
      <c r="AU702" s="28"/>
      <c r="AX702" s="28"/>
      <c r="BA702" s="28"/>
      <c r="BD702" s="28"/>
      <c r="BG702" s="28"/>
      <c r="BJ702" s="28"/>
      <c r="BM702" s="28"/>
      <c r="BP702" s="28"/>
      <c r="BS702" s="28"/>
      <c r="BV702" s="28"/>
      <c r="BY702" s="28"/>
      <c r="CB702" s="28"/>
      <c r="CE702" s="28"/>
      <c r="CH702" s="28"/>
      <c r="CK702" s="28"/>
      <c r="CN702" s="28"/>
      <c r="CQ702" s="28"/>
      <c r="CT702" s="28"/>
      <c r="CW702" s="28"/>
      <c r="CZ702" s="28"/>
      <c r="DC702" s="28"/>
      <c r="DF702" s="28"/>
      <c r="DI702" s="28"/>
      <c r="DL702" s="28"/>
      <c r="DO702" s="28"/>
      <c r="DR702" s="28"/>
      <c r="DU702" s="28"/>
      <c r="DX702" s="28"/>
      <c r="EA702" s="28"/>
      <c r="ED702" s="28"/>
      <c r="EG702" s="28"/>
      <c r="EJ702" s="28"/>
      <c r="EM702" s="28"/>
      <c r="EP702" s="28"/>
      <c r="ES702" s="28"/>
      <c r="EV702" s="28"/>
      <c r="EY702" s="28"/>
      <c r="FB702" s="28"/>
      <c r="FE702" s="28"/>
      <c r="FH702" s="28"/>
      <c r="FK702" s="28"/>
      <c r="FN702" s="28"/>
      <c r="FQ702" s="28"/>
      <c r="FT702" s="28"/>
      <c r="FW702" s="28"/>
      <c r="FZ702" s="28"/>
      <c r="GC702" s="28"/>
    </row>
    <row r="703" spans="1:185" s="25" customFormat="1" x14ac:dyDescent="0.3">
      <c r="A703" s="27"/>
      <c r="B703" s="28"/>
      <c r="C703" s="27"/>
      <c r="D703" s="26"/>
      <c r="E703" s="28"/>
      <c r="H703" s="28"/>
      <c r="K703" s="28"/>
      <c r="N703" s="28"/>
      <c r="Q703" s="28"/>
      <c r="T703" s="28"/>
      <c r="W703" s="28"/>
      <c r="Z703" s="28"/>
      <c r="AC703" s="28"/>
      <c r="AF703" s="28"/>
      <c r="AI703" s="28"/>
      <c r="AL703" s="28"/>
      <c r="AO703" s="28"/>
      <c r="AR703" s="28"/>
      <c r="AU703" s="28"/>
      <c r="AX703" s="28"/>
      <c r="BA703" s="28"/>
      <c r="BD703" s="28"/>
      <c r="BG703" s="28"/>
      <c r="BJ703" s="28"/>
      <c r="BM703" s="28"/>
      <c r="BP703" s="28"/>
      <c r="BS703" s="28"/>
      <c r="BV703" s="28"/>
      <c r="BY703" s="28"/>
      <c r="CB703" s="28"/>
      <c r="CE703" s="28"/>
      <c r="CH703" s="28"/>
      <c r="CK703" s="28"/>
      <c r="CN703" s="28"/>
      <c r="CQ703" s="28"/>
      <c r="CT703" s="28"/>
      <c r="CW703" s="28"/>
      <c r="CZ703" s="28"/>
      <c r="DC703" s="28"/>
      <c r="DF703" s="28"/>
      <c r="DI703" s="28"/>
      <c r="DL703" s="28"/>
      <c r="DO703" s="28"/>
      <c r="DR703" s="28"/>
      <c r="DU703" s="28"/>
      <c r="DX703" s="28"/>
      <c r="EA703" s="28"/>
      <c r="ED703" s="28"/>
      <c r="EG703" s="28"/>
      <c r="EJ703" s="28"/>
      <c r="EM703" s="28"/>
      <c r="EP703" s="28"/>
      <c r="ES703" s="28"/>
      <c r="EV703" s="28"/>
      <c r="EY703" s="28"/>
      <c r="FB703" s="28"/>
      <c r="FE703" s="28"/>
      <c r="FH703" s="28"/>
      <c r="FK703" s="28"/>
      <c r="FN703" s="28"/>
      <c r="FQ703" s="28"/>
      <c r="FT703" s="28"/>
      <c r="FW703" s="28"/>
      <c r="FZ703" s="28"/>
      <c r="GC703" s="28"/>
    </row>
    <row r="704" spans="1:185" s="25" customFormat="1" x14ac:dyDescent="0.3">
      <c r="A704" s="27"/>
      <c r="B704" s="28"/>
      <c r="C704" s="27"/>
      <c r="D704" s="26"/>
      <c r="E704" s="28"/>
      <c r="H704" s="28"/>
      <c r="K704" s="28"/>
      <c r="N704" s="28"/>
      <c r="Q704" s="28"/>
      <c r="T704" s="28"/>
      <c r="W704" s="28"/>
      <c r="Z704" s="28"/>
      <c r="AC704" s="28"/>
      <c r="AF704" s="28"/>
      <c r="AI704" s="28"/>
      <c r="AL704" s="28"/>
      <c r="AO704" s="28"/>
      <c r="AR704" s="28"/>
      <c r="AU704" s="28"/>
      <c r="AX704" s="28"/>
      <c r="BA704" s="28"/>
      <c r="BD704" s="28"/>
      <c r="BG704" s="28"/>
      <c r="BJ704" s="28"/>
      <c r="BM704" s="28"/>
      <c r="BP704" s="28"/>
      <c r="BS704" s="28"/>
      <c r="BV704" s="28"/>
      <c r="BY704" s="28"/>
      <c r="CB704" s="28"/>
      <c r="CE704" s="28"/>
      <c r="CH704" s="28"/>
      <c r="CK704" s="28"/>
      <c r="CN704" s="28"/>
      <c r="CQ704" s="28"/>
      <c r="CT704" s="28"/>
      <c r="CW704" s="28"/>
      <c r="CZ704" s="28"/>
      <c r="DC704" s="28"/>
      <c r="DF704" s="28"/>
      <c r="DI704" s="28"/>
      <c r="DL704" s="28"/>
      <c r="DO704" s="28"/>
      <c r="DR704" s="28"/>
      <c r="DU704" s="28"/>
      <c r="DX704" s="28"/>
      <c r="EA704" s="28"/>
      <c r="ED704" s="28"/>
      <c r="EG704" s="28"/>
      <c r="EJ704" s="28"/>
      <c r="EM704" s="28"/>
      <c r="EP704" s="28"/>
      <c r="ES704" s="28"/>
      <c r="EV704" s="28"/>
      <c r="EY704" s="28"/>
      <c r="FB704" s="28"/>
      <c r="FE704" s="28"/>
      <c r="FH704" s="28"/>
      <c r="FK704" s="28"/>
      <c r="FN704" s="28"/>
      <c r="FQ704" s="28"/>
      <c r="FT704" s="28"/>
      <c r="FW704" s="28"/>
      <c r="FZ704" s="28"/>
      <c r="GC704" s="28"/>
    </row>
    <row r="705" spans="1:185" s="25" customFormat="1" x14ac:dyDescent="0.3">
      <c r="A705" s="27"/>
      <c r="B705" s="28"/>
      <c r="C705" s="27"/>
      <c r="D705" s="26"/>
      <c r="E705" s="28"/>
      <c r="H705" s="28"/>
      <c r="K705" s="28"/>
      <c r="N705" s="28"/>
      <c r="Q705" s="28"/>
      <c r="T705" s="28"/>
      <c r="W705" s="28"/>
      <c r="Z705" s="28"/>
      <c r="AC705" s="28"/>
      <c r="AF705" s="28"/>
      <c r="AI705" s="28"/>
      <c r="AL705" s="28"/>
      <c r="AO705" s="28"/>
      <c r="AR705" s="28"/>
      <c r="AU705" s="28"/>
      <c r="AX705" s="28"/>
      <c r="BA705" s="28"/>
      <c r="BD705" s="28"/>
      <c r="BG705" s="28"/>
      <c r="BJ705" s="28"/>
      <c r="BM705" s="28"/>
      <c r="BP705" s="28"/>
      <c r="BS705" s="28"/>
      <c r="BV705" s="28"/>
      <c r="BY705" s="28"/>
      <c r="CB705" s="28"/>
      <c r="CE705" s="28"/>
      <c r="CH705" s="28"/>
      <c r="CK705" s="28"/>
      <c r="CN705" s="28"/>
      <c r="CQ705" s="28"/>
      <c r="CT705" s="28"/>
      <c r="CW705" s="28"/>
      <c r="CZ705" s="28"/>
      <c r="DC705" s="28"/>
      <c r="DF705" s="28"/>
      <c r="DI705" s="28"/>
      <c r="DL705" s="28"/>
      <c r="DO705" s="28"/>
      <c r="DR705" s="28"/>
      <c r="DU705" s="28"/>
      <c r="DX705" s="28"/>
      <c r="EA705" s="28"/>
      <c r="ED705" s="28"/>
      <c r="EG705" s="28"/>
      <c r="EJ705" s="28"/>
      <c r="EM705" s="28"/>
      <c r="EP705" s="28"/>
      <c r="ES705" s="28"/>
      <c r="EV705" s="28"/>
      <c r="EY705" s="28"/>
      <c r="FB705" s="28"/>
      <c r="FE705" s="28"/>
      <c r="FH705" s="28"/>
      <c r="FK705" s="28"/>
      <c r="FN705" s="28"/>
      <c r="FQ705" s="28"/>
      <c r="FT705" s="28"/>
      <c r="FW705" s="28"/>
      <c r="FZ705" s="28"/>
      <c r="GC705" s="28"/>
    </row>
    <row r="706" spans="1:185" s="25" customFormat="1" x14ac:dyDescent="0.3">
      <c r="A706" s="27"/>
      <c r="B706" s="28"/>
      <c r="C706" s="27"/>
      <c r="D706" s="26"/>
      <c r="E706" s="28"/>
      <c r="H706" s="28"/>
      <c r="K706" s="28"/>
      <c r="N706" s="28"/>
      <c r="Q706" s="28"/>
      <c r="T706" s="28"/>
      <c r="W706" s="28"/>
      <c r="Z706" s="28"/>
      <c r="AC706" s="28"/>
      <c r="AF706" s="28"/>
      <c r="AI706" s="28"/>
      <c r="AL706" s="28"/>
      <c r="AO706" s="28"/>
      <c r="AR706" s="28"/>
      <c r="AU706" s="28"/>
      <c r="AX706" s="28"/>
      <c r="BA706" s="28"/>
      <c r="BD706" s="28"/>
      <c r="BG706" s="28"/>
      <c r="BJ706" s="28"/>
      <c r="BM706" s="28"/>
      <c r="BP706" s="28"/>
      <c r="BS706" s="28"/>
      <c r="BV706" s="28"/>
      <c r="BY706" s="28"/>
      <c r="CB706" s="28"/>
      <c r="CE706" s="28"/>
      <c r="CH706" s="28"/>
      <c r="CK706" s="28"/>
      <c r="CN706" s="28"/>
      <c r="CQ706" s="28"/>
      <c r="CT706" s="28"/>
      <c r="CW706" s="28"/>
      <c r="CZ706" s="28"/>
      <c r="DC706" s="28"/>
      <c r="DF706" s="28"/>
      <c r="DI706" s="28"/>
      <c r="DL706" s="28"/>
      <c r="DO706" s="28"/>
      <c r="DR706" s="28"/>
      <c r="DU706" s="28"/>
      <c r="DX706" s="28"/>
      <c r="EA706" s="28"/>
      <c r="ED706" s="28"/>
      <c r="EG706" s="28"/>
      <c r="EJ706" s="28"/>
      <c r="EM706" s="28"/>
      <c r="EP706" s="28"/>
      <c r="ES706" s="28"/>
      <c r="EV706" s="28"/>
      <c r="EY706" s="28"/>
      <c r="FB706" s="28"/>
      <c r="FE706" s="28"/>
      <c r="FH706" s="28"/>
      <c r="FK706" s="28"/>
      <c r="FN706" s="28"/>
      <c r="FQ706" s="28"/>
      <c r="FT706" s="28"/>
      <c r="FW706" s="28"/>
      <c r="FZ706" s="28"/>
      <c r="GC706" s="28"/>
    </row>
    <row r="707" spans="1:185" s="25" customFormat="1" x14ac:dyDescent="0.3">
      <c r="A707" s="27"/>
      <c r="B707" s="28"/>
      <c r="C707" s="27"/>
      <c r="D707" s="26"/>
      <c r="E707" s="28"/>
      <c r="H707" s="28"/>
      <c r="K707" s="28"/>
      <c r="N707" s="28"/>
      <c r="Q707" s="28"/>
      <c r="T707" s="28"/>
      <c r="W707" s="28"/>
      <c r="Z707" s="28"/>
      <c r="AC707" s="28"/>
      <c r="AF707" s="28"/>
      <c r="AI707" s="28"/>
      <c r="AL707" s="28"/>
      <c r="AO707" s="28"/>
      <c r="AR707" s="28"/>
      <c r="AU707" s="28"/>
      <c r="AX707" s="28"/>
      <c r="BA707" s="28"/>
      <c r="BD707" s="28"/>
      <c r="BG707" s="28"/>
      <c r="BJ707" s="28"/>
      <c r="BM707" s="28"/>
      <c r="BP707" s="28"/>
      <c r="BS707" s="28"/>
      <c r="BV707" s="28"/>
      <c r="BY707" s="28"/>
      <c r="CB707" s="28"/>
      <c r="CE707" s="28"/>
      <c r="CH707" s="28"/>
      <c r="CK707" s="28"/>
      <c r="CN707" s="28"/>
      <c r="CQ707" s="28"/>
      <c r="CT707" s="28"/>
      <c r="CW707" s="28"/>
      <c r="CZ707" s="28"/>
      <c r="DC707" s="28"/>
      <c r="DF707" s="28"/>
      <c r="DI707" s="28"/>
      <c r="DL707" s="28"/>
      <c r="DO707" s="28"/>
      <c r="DR707" s="28"/>
      <c r="DU707" s="28"/>
      <c r="DX707" s="28"/>
      <c r="EA707" s="28"/>
      <c r="ED707" s="28"/>
      <c r="EG707" s="28"/>
      <c r="EJ707" s="28"/>
      <c r="EM707" s="28"/>
      <c r="EP707" s="28"/>
      <c r="ES707" s="28"/>
      <c r="EV707" s="28"/>
      <c r="EY707" s="28"/>
      <c r="FB707" s="28"/>
      <c r="FE707" s="28"/>
      <c r="FH707" s="28"/>
      <c r="FK707" s="28"/>
      <c r="FN707" s="28"/>
      <c r="FQ707" s="28"/>
      <c r="FT707" s="28"/>
      <c r="FW707" s="28"/>
      <c r="FZ707" s="28"/>
      <c r="GC707" s="28"/>
    </row>
    <row r="708" spans="1:185" s="25" customFormat="1" x14ac:dyDescent="0.3">
      <c r="A708" s="27"/>
      <c r="B708" s="28"/>
      <c r="C708" s="27"/>
      <c r="D708" s="26"/>
      <c r="E708" s="28"/>
      <c r="H708" s="28"/>
      <c r="K708" s="28"/>
      <c r="N708" s="28"/>
      <c r="Q708" s="28"/>
      <c r="T708" s="28"/>
      <c r="W708" s="28"/>
      <c r="Z708" s="28"/>
      <c r="AC708" s="28"/>
      <c r="AF708" s="28"/>
      <c r="AI708" s="28"/>
      <c r="AL708" s="28"/>
      <c r="AO708" s="28"/>
      <c r="AR708" s="28"/>
      <c r="AU708" s="28"/>
      <c r="AX708" s="28"/>
      <c r="BA708" s="28"/>
      <c r="BD708" s="28"/>
      <c r="BG708" s="28"/>
      <c r="BJ708" s="28"/>
      <c r="BM708" s="28"/>
      <c r="BP708" s="28"/>
      <c r="BS708" s="28"/>
      <c r="BV708" s="28"/>
      <c r="BY708" s="28"/>
      <c r="CB708" s="28"/>
      <c r="CE708" s="28"/>
      <c r="CH708" s="28"/>
      <c r="CK708" s="28"/>
      <c r="CN708" s="28"/>
      <c r="CQ708" s="28"/>
      <c r="CT708" s="28"/>
      <c r="CW708" s="28"/>
      <c r="CZ708" s="28"/>
      <c r="DC708" s="28"/>
      <c r="DF708" s="28"/>
      <c r="DI708" s="28"/>
      <c r="DL708" s="28"/>
      <c r="DO708" s="28"/>
      <c r="DR708" s="28"/>
      <c r="DU708" s="28"/>
      <c r="DX708" s="28"/>
      <c r="EA708" s="28"/>
      <c r="ED708" s="28"/>
      <c r="EG708" s="28"/>
      <c r="EJ708" s="28"/>
      <c r="EM708" s="28"/>
      <c r="EP708" s="28"/>
      <c r="ES708" s="28"/>
      <c r="EV708" s="28"/>
      <c r="EY708" s="28"/>
      <c r="FB708" s="28"/>
      <c r="FE708" s="28"/>
      <c r="FH708" s="28"/>
      <c r="FK708" s="28"/>
      <c r="FN708" s="28"/>
      <c r="FQ708" s="28"/>
      <c r="FT708" s="28"/>
      <c r="FW708" s="28"/>
      <c r="FZ708" s="28"/>
      <c r="GC708" s="28"/>
    </row>
    <row r="709" spans="1:185" s="25" customFormat="1" x14ac:dyDescent="0.3">
      <c r="A709" s="27"/>
      <c r="B709" s="28"/>
      <c r="C709" s="27"/>
      <c r="D709" s="26"/>
      <c r="E709" s="28"/>
      <c r="H709" s="28"/>
      <c r="K709" s="28"/>
      <c r="N709" s="28"/>
      <c r="Q709" s="28"/>
      <c r="T709" s="28"/>
      <c r="W709" s="28"/>
      <c r="Z709" s="28"/>
      <c r="AC709" s="28"/>
      <c r="AF709" s="28"/>
      <c r="AI709" s="28"/>
      <c r="AL709" s="28"/>
      <c r="AO709" s="28"/>
      <c r="AR709" s="28"/>
      <c r="AU709" s="28"/>
      <c r="AX709" s="28"/>
      <c r="BA709" s="28"/>
      <c r="BD709" s="28"/>
      <c r="BG709" s="28"/>
      <c r="BJ709" s="28"/>
      <c r="BM709" s="28"/>
      <c r="BP709" s="28"/>
      <c r="BS709" s="28"/>
      <c r="BV709" s="28"/>
      <c r="BY709" s="28"/>
      <c r="CB709" s="28"/>
      <c r="CE709" s="28"/>
      <c r="CH709" s="28"/>
      <c r="CK709" s="28"/>
      <c r="CN709" s="28"/>
      <c r="CQ709" s="28"/>
      <c r="CT709" s="28"/>
      <c r="CW709" s="28"/>
      <c r="CZ709" s="28"/>
      <c r="DC709" s="28"/>
      <c r="DF709" s="28"/>
      <c r="DI709" s="28"/>
      <c r="DL709" s="28"/>
      <c r="DO709" s="28"/>
      <c r="DR709" s="28"/>
      <c r="DU709" s="28"/>
      <c r="DX709" s="28"/>
      <c r="EA709" s="28"/>
      <c r="ED709" s="28"/>
      <c r="EG709" s="28"/>
      <c r="EJ709" s="28"/>
      <c r="EM709" s="28"/>
      <c r="EP709" s="28"/>
      <c r="ES709" s="28"/>
      <c r="EV709" s="28"/>
      <c r="EY709" s="28"/>
      <c r="FB709" s="28"/>
      <c r="FE709" s="28"/>
      <c r="FH709" s="28"/>
      <c r="FK709" s="28"/>
      <c r="FN709" s="28"/>
      <c r="FQ709" s="28"/>
      <c r="FT709" s="28"/>
      <c r="FW709" s="28"/>
      <c r="FZ709" s="28"/>
      <c r="GC709" s="28"/>
    </row>
    <row r="710" spans="1:185" s="25" customFormat="1" x14ac:dyDescent="0.3">
      <c r="A710" s="27"/>
      <c r="B710" s="28"/>
      <c r="C710" s="27"/>
      <c r="D710" s="26"/>
      <c r="E710" s="28"/>
      <c r="H710" s="28"/>
      <c r="K710" s="28"/>
      <c r="N710" s="28"/>
      <c r="Q710" s="28"/>
      <c r="T710" s="28"/>
      <c r="W710" s="28"/>
      <c r="Z710" s="28"/>
      <c r="AC710" s="28"/>
      <c r="AF710" s="28"/>
      <c r="AI710" s="28"/>
      <c r="AL710" s="28"/>
      <c r="AO710" s="28"/>
      <c r="AR710" s="28"/>
      <c r="AU710" s="28"/>
      <c r="AX710" s="28"/>
      <c r="BA710" s="28"/>
      <c r="BD710" s="28"/>
      <c r="BG710" s="28"/>
      <c r="BJ710" s="28"/>
      <c r="BM710" s="28"/>
      <c r="BP710" s="28"/>
      <c r="BS710" s="28"/>
      <c r="BV710" s="28"/>
      <c r="BY710" s="28"/>
      <c r="CB710" s="28"/>
      <c r="CE710" s="28"/>
      <c r="CH710" s="28"/>
      <c r="CK710" s="28"/>
      <c r="CN710" s="28"/>
      <c r="CQ710" s="28"/>
      <c r="CT710" s="28"/>
      <c r="CW710" s="28"/>
      <c r="CZ710" s="28"/>
      <c r="DC710" s="28"/>
      <c r="DF710" s="28"/>
      <c r="DI710" s="28"/>
      <c r="DL710" s="28"/>
      <c r="DO710" s="28"/>
      <c r="DR710" s="28"/>
      <c r="DU710" s="28"/>
      <c r="DX710" s="28"/>
      <c r="EA710" s="28"/>
      <c r="ED710" s="28"/>
      <c r="EG710" s="28"/>
      <c r="EJ710" s="28"/>
      <c r="EM710" s="28"/>
      <c r="EP710" s="28"/>
      <c r="ES710" s="28"/>
      <c r="EV710" s="28"/>
      <c r="EY710" s="28"/>
      <c r="FB710" s="28"/>
      <c r="FE710" s="28"/>
      <c r="FH710" s="28"/>
      <c r="FK710" s="28"/>
      <c r="FN710" s="28"/>
      <c r="FQ710" s="28"/>
      <c r="FT710" s="28"/>
      <c r="FW710" s="28"/>
      <c r="FZ710" s="28"/>
      <c r="GC710" s="28"/>
    </row>
    <row r="711" spans="1:185" s="25" customFormat="1" x14ac:dyDescent="0.3">
      <c r="A711" s="27"/>
      <c r="B711" s="28"/>
      <c r="C711" s="27"/>
      <c r="D711" s="26"/>
      <c r="E711" s="28"/>
      <c r="H711" s="28"/>
      <c r="K711" s="28"/>
      <c r="N711" s="28"/>
      <c r="Q711" s="28"/>
      <c r="T711" s="28"/>
      <c r="W711" s="28"/>
      <c r="Z711" s="28"/>
      <c r="AC711" s="28"/>
      <c r="AF711" s="28"/>
      <c r="AI711" s="28"/>
      <c r="AL711" s="28"/>
      <c r="AO711" s="28"/>
      <c r="AR711" s="28"/>
      <c r="AU711" s="28"/>
      <c r="AX711" s="28"/>
      <c r="BA711" s="28"/>
      <c r="BD711" s="28"/>
      <c r="BG711" s="28"/>
      <c r="BJ711" s="28"/>
      <c r="BM711" s="28"/>
      <c r="BP711" s="28"/>
      <c r="BS711" s="28"/>
      <c r="BV711" s="28"/>
      <c r="BY711" s="28"/>
      <c r="CB711" s="28"/>
      <c r="CE711" s="28"/>
      <c r="CH711" s="28"/>
      <c r="CK711" s="28"/>
      <c r="CN711" s="28"/>
      <c r="CQ711" s="28"/>
      <c r="CT711" s="28"/>
      <c r="CW711" s="28"/>
      <c r="CZ711" s="28"/>
      <c r="DC711" s="28"/>
      <c r="DF711" s="28"/>
      <c r="DI711" s="28"/>
      <c r="DL711" s="28"/>
      <c r="DO711" s="28"/>
      <c r="DR711" s="28"/>
      <c r="DU711" s="28"/>
      <c r="DX711" s="28"/>
      <c r="EA711" s="28"/>
      <c r="ED711" s="28"/>
      <c r="EG711" s="28"/>
      <c r="EJ711" s="28"/>
      <c r="EM711" s="28"/>
      <c r="EP711" s="28"/>
      <c r="ES711" s="28"/>
      <c r="EV711" s="28"/>
      <c r="EY711" s="28"/>
      <c r="FB711" s="28"/>
      <c r="FE711" s="28"/>
      <c r="FH711" s="28"/>
      <c r="FK711" s="28"/>
      <c r="FN711" s="28"/>
      <c r="FQ711" s="28"/>
      <c r="FT711" s="28"/>
      <c r="FW711" s="28"/>
      <c r="FZ711" s="28"/>
      <c r="GC711" s="28"/>
    </row>
    <row r="712" spans="1:185" s="25" customFormat="1" x14ac:dyDescent="0.3">
      <c r="A712" s="27"/>
      <c r="B712" s="28"/>
      <c r="C712" s="27"/>
      <c r="D712" s="26"/>
      <c r="E712" s="28"/>
      <c r="H712" s="28"/>
      <c r="K712" s="28"/>
      <c r="N712" s="28"/>
      <c r="Q712" s="28"/>
      <c r="T712" s="28"/>
      <c r="W712" s="28"/>
      <c r="Z712" s="28"/>
      <c r="AC712" s="28"/>
      <c r="AF712" s="28"/>
      <c r="AI712" s="28"/>
      <c r="AL712" s="28"/>
      <c r="AO712" s="28"/>
      <c r="AR712" s="28"/>
      <c r="AU712" s="28"/>
      <c r="AX712" s="28"/>
      <c r="BA712" s="28"/>
      <c r="BD712" s="28"/>
      <c r="BG712" s="28"/>
      <c r="BJ712" s="28"/>
      <c r="BM712" s="28"/>
      <c r="BP712" s="28"/>
      <c r="BS712" s="28"/>
      <c r="BV712" s="28"/>
      <c r="BY712" s="28"/>
      <c r="CB712" s="28"/>
      <c r="CE712" s="28"/>
      <c r="CH712" s="28"/>
      <c r="CK712" s="28"/>
      <c r="CN712" s="28"/>
      <c r="CQ712" s="28"/>
      <c r="CT712" s="28"/>
      <c r="CW712" s="28"/>
      <c r="CZ712" s="28"/>
      <c r="DC712" s="28"/>
      <c r="DF712" s="28"/>
      <c r="DI712" s="28"/>
      <c r="DL712" s="28"/>
      <c r="DO712" s="28"/>
      <c r="DR712" s="28"/>
      <c r="DU712" s="28"/>
      <c r="DX712" s="28"/>
      <c r="EA712" s="28"/>
      <c r="ED712" s="28"/>
      <c r="EG712" s="28"/>
      <c r="EJ712" s="28"/>
      <c r="EM712" s="28"/>
      <c r="EP712" s="28"/>
      <c r="ES712" s="28"/>
      <c r="EV712" s="28"/>
      <c r="EY712" s="28"/>
      <c r="FB712" s="28"/>
      <c r="FE712" s="28"/>
      <c r="FH712" s="28"/>
      <c r="FK712" s="28"/>
      <c r="FN712" s="28"/>
      <c r="FQ712" s="28"/>
      <c r="FT712" s="28"/>
      <c r="FW712" s="28"/>
      <c r="FZ712" s="28"/>
      <c r="GC712" s="28"/>
    </row>
    <row r="713" spans="1:185" s="25" customFormat="1" x14ac:dyDescent="0.3">
      <c r="A713" s="27"/>
      <c r="B713" s="28"/>
      <c r="C713" s="27"/>
      <c r="D713" s="26"/>
      <c r="E713" s="28"/>
      <c r="H713" s="28"/>
      <c r="K713" s="28"/>
      <c r="N713" s="28"/>
      <c r="Q713" s="28"/>
      <c r="T713" s="28"/>
      <c r="W713" s="28"/>
      <c r="Z713" s="28"/>
      <c r="AC713" s="28"/>
      <c r="AF713" s="28"/>
      <c r="AI713" s="28"/>
      <c r="AL713" s="28"/>
      <c r="AO713" s="28"/>
      <c r="AR713" s="28"/>
      <c r="AU713" s="28"/>
      <c r="AX713" s="28"/>
      <c r="BA713" s="28"/>
      <c r="BD713" s="28"/>
      <c r="BG713" s="28"/>
      <c r="BJ713" s="28"/>
      <c r="BM713" s="28"/>
      <c r="BP713" s="28"/>
      <c r="BS713" s="28"/>
      <c r="BV713" s="28"/>
      <c r="BY713" s="28"/>
      <c r="CB713" s="28"/>
      <c r="CE713" s="28"/>
      <c r="CH713" s="28"/>
      <c r="CK713" s="28"/>
      <c r="CN713" s="28"/>
      <c r="CQ713" s="28"/>
      <c r="CT713" s="28"/>
      <c r="CW713" s="28"/>
      <c r="CZ713" s="28"/>
      <c r="DC713" s="28"/>
      <c r="DF713" s="28"/>
      <c r="DI713" s="28"/>
      <c r="DL713" s="28"/>
      <c r="DO713" s="28"/>
      <c r="DR713" s="28"/>
      <c r="DU713" s="28"/>
      <c r="DX713" s="28"/>
      <c r="EA713" s="28"/>
      <c r="ED713" s="28"/>
      <c r="EG713" s="28"/>
      <c r="EJ713" s="28"/>
      <c r="EM713" s="28"/>
      <c r="EP713" s="28"/>
      <c r="ES713" s="28"/>
      <c r="EV713" s="28"/>
      <c r="EY713" s="28"/>
      <c r="FB713" s="28"/>
      <c r="FE713" s="28"/>
      <c r="FH713" s="28"/>
      <c r="FK713" s="28"/>
      <c r="FN713" s="28"/>
      <c r="FQ713" s="28"/>
      <c r="FT713" s="28"/>
      <c r="FW713" s="28"/>
      <c r="FZ713" s="28"/>
      <c r="GC713" s="28"/>
    </row>
    <row r="714" spans="1:185" s="25" customFormat="1" x14ac:dyDescent="0.3">
      <c r="A714" s="27"/>
      <c r="B714" s="28"/>
      <c r="C714" s="27"/>
      <c r="D714" s="26"/>
      <c r="E714" s="28"/>
      <c r="H714" s="28"/>
      <c r="K714" s="28"/>
      <c r="N714" s="28"/>
      <c r="Q714" s="28"/>
      <c r="T714" s="28"/>
      <c r="W714" s="28"/>
      <c r="Z714" s="28"/>
      <c r="AC714" s="28"/>
      <c r="AF714" s="28"/>
      <c r="AI714" s="28"/>
      <c r="AL714" s="28"/>
      <c r="AO714" s="28"/>
      <c r="AR714" s="28"/>
      <c r="AU714" s="28"/>
      <c r="AX714" s="28"/>
      <c r="BA714" s="28"/>
      <c r="BD714" s="28"/>
      <c r="BG714" s="28"/>
      <c r="BJ714" s="28"/>
      <c r="BM714" s="28"/>
      <c r="BP714" s="28"/>
      <c r="BS714" s="28"/>
      <c r="BV714" s="28"/>
      <c r="BY714" s="28"/>
      <c r="CB714" s="28"/>
      <c r="CE714" s="28"/>
      <c r="CH714" s="28"/>
      <c r="CK714" s="28"/>
      <c r="CN714" s="28"/>
      <c r="CQ714" s="28"/>
      <c r="CT714" s="28"/>
      <c r="CW714" s="28"/>
      <c r="CZ714" s="28"/>
      <c r="DC714" s="28"/>
      <c r="DF714" s="28"/>
      <c r="DI714" s="28"/>
      <c r="DL714" s="28"/>
      <c r="DO714" s="28"/>
      <c r="DR714" s="28"/>
      <c r="DU714" s="28"/>
      <c r="DX714" s="28"/>
      <c r="EA714" s="28"/>
      <c r="ED714" s="28"/>
      <c r="EG714" s="28"/>
      <c r="EJ714" s="28"/>
      <c r="EM714" s="28"/>
      <c r="EP714" s="28"/>
      <c r="ES714" s="28"/>
      <c r="EV714" s="28"/>
      <c r="EY714" s="28"/>
      <c r="FB714" s="28"/>
      <c r="FE714" s="28"/>
      <c r="FH714" s="28"/>
      <c r="FK714" s="28"/>
      <c r="FN714" s="28"/>
      <c r="FQ714" s="28"/>
      <c r="FT714" s="28"/>
      <c r="FW714" s="28"/>
      <c r="FZ714" s="28"/>
      <c r="GC714" s="28"/>
    </row>
    <row r="715" spans="1:185" s="25" customFormat="1" x14ac:dyDescent="0.3">
      <c r="A715" s="27"/>
      <c r="B715" s="28"/>
      <c r="C715" s="27"/>
      <c r="D715" s="26"/>
      <c r="E715" s="28"/>
      <c r="H715" s="28"/>
      <c r="K715" s="28"/>
      <c r="N715" s="28"/>
      <c r="Q715" s="28"/>
      <c r="T715" s="28"/>
      <c r="W715" s="28"/>
      <c r="Z715" s="28"/>
      <c r="AC715" s="28"/>
      <c r="AF715" s="28"/>
      <c r="AI715" s="28"/>
      <c r="AL715" s="28"/>
      <c r="AO715" s="28"/>
      <c r="AR715" s="28"/>
      <c r="AU715" s="28"/>
      <c r="AX715" s="28"/>
      <c r="BA715" s="28"/>
      <c r="BD715" s="28"/>
      <c r="BG715" s="28"/>
      <c r="BJ715" s="28"/>
      <c r="BM715" s="28"/>
      <c r="BP715" s="28"/>
      <c r="BS715" s="28"/>
      <c r="BV715" s="28"/>
      <c r="BY715" s="28"/>
      <c r="CB715" s="28"/>
      <c r="CE715" s="28"/>
      <c r="CH715" s="28"/>
      <c r="CK715" s="28"/>
      <c r="CN715" s="28"/>
      <c r="CQ715" s="28"/>
      <c r="CT715" s="28"/>
      <c r="CW715" s="28"/>
      <c r="CZ715" s="28"/>
      <c r="DC715" s="28"/>
      <c r="DF715" s="28"/>
      <c r="DI715" s="28"/>
      <c r="DL715" s="28"/>
      <c r="DO715" s="28"/>
      <c r="DR715" s="28"/>
      <c r="DU715" s="28"/>
      <c r="DX715" s="28"/>
      <c r="EA715" s="28"/>
      <c r="ED715" s="28"/>
      <c r="EG715" s="28"/>
      <c r="EJ715" s="28"/>
      <c r="EM715" s="28"/>
      <c r="EP715" s="28"/>
      <c r="ES715" s="28"/>
      <c r="EV715" s="28"/>
      <c r="EY715" s="28"/>
      <c r="FB715" s="28"/>
      <c r="FE715" s="28"/>
      <c r="FH715" s="28"/>
      <c r="FK715" s="28"/>
      <c r="FN715" s="28"/>
      <c r="FQ715" s="28"/>
      <c r="FT715" s="28"/>
      <c r="FW715" s="28"/>
      <c r="FZ715" s="28"/>
      <c r="GC715" s="28"/>
    </row>
    <row r="716" spans="1:185" s="25" customFormat="1" x14ac:dyDescent="0.3">
      <c r="A716" s="27"/>
      <c r="B716" s="28"/>
      <c r="C716" s="27"/>
      <c r="D716" s="26"/>
      <c r="E716" s="28"/>
      <c r="H716" s="28"/>
      <c r="K716" s="28"/>
      <c r="N716" s="28"/>
      <c r="Q716" s="28"/>
      <c r="T716" s="28"/>
      <c r="W716" s="28"/>
      <c r="Z716" s="28"/>
      <c r="AC716" s="28"/>
      <c r="AF716" s="28"/>
      <c r="AI716" s="28"/>
      <c r="AL716" s="28"/>
      <c r="AO716" s="28"/>
      <c r="AR716" s="28"/>
      <c r="AU716" s="28"/>
      <c r="AX716" s="28"/>
      <c r="BA716" s="28"/>
      <c r="BD716" s="28"/>
      <c r="BG716" s="28"/>
      <c r="BJ716" s="28"/>
      <c r="BM716" s="28"/>
      <c r="BP716" s="28"/>
      <c r="BS716" s="28"/>
      <c r="BV716" s="28"/>
      <c r="BY716" s="28"/>
      <c r="CB716" s="28"/>
      <c r="CE716" s="28"/>
      <c r="CH716" s="28"/>
      <c r="CK716" s="28"/>
      <c r="CN716" s="28"/>
      <c r="CQ716" s="28"/>
      <c r="CT716" s="28"/>
      <c r="CW716" s="28"/>
      <c r="CZ716" s="28"/>
      <c r="DC716" s="28"/>
      <c r="DF716" s="28"/>
      <c r="DI716" s="28"/>
      <c r="DL716" s="28"/>
      <c r="DO716" s="28"/>
      <c r="DR716" s="28"/>
      <c r="DU716" s="28"/>
      <c r="DX716" s="28"/>
      <c r="EA716" s="28"/>
      <c r="ED716" s="28"/>
      <c r="EG716" s="28"/>
      <c r="EJ716" s="28"/>
      <c r="EM716" s="28"/>
      <c r="EP716" s="28"/>
      <c r="ES716" s="28"/>
      <c r="EV716" s="28"/>
      <c r="EY716" s="28"/>
      <c r="FB716" s="28"/>
      <c r="FE716" s="28"/>
      <c r="FH716" s="28"/>
      <c r="FK716" s="28"/>
      <c r="FN716" s="28"/>
      <c r="FQ716" s="28"/>
      <c r="FT716" s="28"/>
      <c r="FW716" s="28"/>
      <c r="FZ716" s="28"/>
      <c r="GC716" s="28"/>
    </row>
    <row r="717" spans="1:185" s="25" customFormat="1" x14ac:dyDescent="0.3">
      <c r="A717" s="27"/>
      <c r="B717" s="28"/>
      <c r="C717" s="27"/>
      <c r="D717" s="26"/>
      <c r="E717" s="28"/>
      <c r="H717" s="28"/>
      <c r="K717" s="28"/>
      <c r="N717" s="28"/>
      <c r="Q717" s="28"/>
      <c r="T717" s="28"/>
      <c r="W717" s="28"/>
      <c r="Z717" s="28"/>
      <c r="AC717" s="28"/>
      <c r="AF717" s="28"/>
      <c r="AI717" s="28"/>
      <c r="AL717" s="28"/>
      <c r="AO717" s="28"/>
      <c r="AR717" s="28"/>
      <c r="AU717" s="28"/>
      <c r="AX717" s="28"/>
      <c r="BA717" s="28"/>
      <c r="BD717" s="28"/>
      <c r="BG717" s="28"/>
      <c r="BJ717" s="28"/>
      <c r="BM717" s="28"/>
      <c r="BP717" s="28"/>
      <c r="BS717" s="28"/>
      <c r="BV717" s="28"/>
      <c r="BY717" s="28"/>
      <c r="CB717" s="28"/>
      <c r="CE717" s="28"/>
      <c r="CH717" s="28"/>
      <c r="CK717" s="28"/>
      <c r="CN717" s="28"/>
      <c r="CQ717" s="28"/>
      <c r="CT717" s="28"/>
      <c r="CW717" s="28"/>
      <c r="CZ717" s="28"/>
      <c r="DC717" s="28"/>
      <c r="DF717" s="28"/>
      <c r="DI717" s="28"/>
      <c r="DL717" s="28"/>
      <c r="DO717" s="28"/>
      <c r="DR717" s="28"/>
      <c r="DU717" s="28"/>
      <c r="DX717" s="28"/>
      <c r="EA717" s="28"/>
      <c r="ED717" s="28"/>
      <c r="EG717" s="28"/>
      <c r="EJ717" s="28"/>
      <c r="EM717" s="28"/>
      <c r="EP717" s="28"/>
      <c r="ES717" s="28"/>
      <c r="EV717" s="28"/>
      <c r="EY717" s="28"/>
      <c r="FB717" s="28"/>
      <c r="FE717" s="28"/>
      <c r="FH717" s="28"/>
      <c r="FK717" s="28"/>
      <c r="FN717" s="28"/>
      <c r="FQ717" s="28"/>
      <c r="FT717" s="28"/>
      <c r="FW717" s="28"/>
      <c r="FZ717" s="28"/>
      <c r="GC717" s="28"/>
    </row>
    <row r="718" spans="1:185" s="25" customFormat="1" x14ac:dyDescent="0.3">
      <c r="A718" s="27"/>
      <c r="B718" s="28"/>
      <c r="C718" s="27"/>
      <c r="D718" s="26"/>
      <c r="E718" s="28"/>
      <c r="H718" s="28"/>
      <c r="K718" s="28"/>
      <c r="N718" s="28"/>
      <c r="Q718" s="28"/>
      <c r="T718" s="28"/>
      <c r="W718" s="28"/>
      <c r="Z718" s="28"/>
      <c r="AC718" s="28"/>
      <c r="AF718" s="28"/>
      <c r="AI718" s="28"/>
      <c r="AL718" s="28"/>
      <c r="AO718" s="28"/>
      <c r="AR718" s="28"/>
      <c r="AU718" s="28"/>
      <c r="AX718" s="28"/>
      <c r="BA718" s="28"/>
      <c r="BD718" s="28"/>
      <c r="BG718" s="28"/>
      <c r="BJ718" s="28"/>
      <c r="BM718" s="28"/>
      <c r="BP718" s="28"/>
      <c r="BS718" s="28"/>
      <c r="BV718" s="28"/>
      <c r="BY718" s="28"/>
      <c r="CB718" s="28"/>
      <c r="CE718" s="28"/>
      <c r="CH718" s="28"/>
      <c r="CK718" s="28"/>
      <c r="CN718" s="28"/>
      <c r="CQ718" s="28"/>
      <c r="CT718" s="28"/>
      <c r="CW718" s="28"/>
      <c r="CZ718" s="28"/>
      <c r="DC718" s="28"/>
      <c r="DF718" s="28"/>
      <c r="DI718" s="28"/>
      <c r="DL718" s="28"/>
      <c r="DO718" s="28"/>
      <c r="DR718" s="28"/>
      <c r="DU718" s="28"/>
      <c r="DX718" s="28"/>
      <c r="EA718" s="28"/>
      <c r="ED718" s="28"/>
      <c r="EG718" s="28"/>
      <c r="EJ718" s="28"/>
      <c r="EM718" s="28"/>
      <c r="EP718" s="28"/>
      <c r="ES718" s="28"/>
      <c r="EV718" s="28"/>
      <c r="EY718" s="28"/>
      <c r="FB718" s="28"/>
      <c r="FE718" s="28"/>
      <c r="FH718" s="28"/>
      <c r="FK718" s="28"/>
      <c r="FN718" s="28"/>
      <c r="FQ718" s="28"/>
      <c r="FT718" s="28"/>
      <c r="FW718" s="28"/>
      <c r="FZ718" s="28"/>
      <c r="GC718" s="28"/>
    </row>
    <row r="719" spans="1:185" s="25" customFormat="1" x14ac:dyDescent="0.3">
      <c r="A719" s="27"/>
      <c r="B719" s="28"/>
      <c r="C719" s="27"/>
      <c r="D719" s="26"/>
      <c r="E719" s="28"/>
      <c r="H719" s="28"/>
      <c r="K719" s="28"/>
      <c r="N719" s="28"/>
      <c r="Q719" s="28"/>
      <c r="T719" s="28"/>
      <c r="W719" s="28"/>
      <c r="Z719" s="28"/>
      <c r="AC719" s="28"/>
      <c r="AF719" s="28"/>
      <c r="AI719" s="28"/>
      <c r="AL719" s="28"/>
      <c r="AO719" s="28"/>
      <c r="AR719" s="28"/>
      <c r="AU719" s="28"/>
      <c r="AX719" s="28"/>
      <c r="BA719" s="28"/>
      <c r="BD719" s="28"/>
      <c r="BG719" s="28"/>
      <c r="BJ719" s="28"/>
      <c r="BM719" s="28"/>
      <c r="BP719" s="28"/>
      <c r="BS719" s="28"/>
      <c r="BV719" s="28"/>
      <c r="BY719" s="28"/>
      <c r="CB719" s="28"/>
      <c r="CE719" s="28"/>
      <c r="CH719" s="28"/>
      <c r="CK719" s="28"/>
      <c r="CN719" s="28"/>
      <c r="CQ719" s="28"/>
      <c r="CT719" s="28"/>
      <c r="CW719" s="28"/>
      <c r="CZ719" s="28"/>
      <c r="DC719" s="28"/>
      <c r="DF719" s="28"/>
      <c r="DI719" s="28"/>
      <c r="DL719" s="28"/>
      <c r="DO719" s="28"/>
      <c r="DR719" s="28"/>
      <c r="DU719" s="28"/>
      <c r="DX719" s="28"/>
      <c r="EA719" s="28"/>
      <c r="ED719" s="28"/>
      <c r="EG719" s="28"/>
      <c r="EJ719" s="28"/>
      <c r="EM719" s="28"/>
      <c r="EP719" s="28"/>
      <c r="ES719" s="28"/>
      <c r="EV719" s="28"/>
      <c r="EY719" s="28"/>
      <c r="FB719" s="28"/>
      <c r="FE719" s="28"/>
      <c r="FH719" s="28"/>
      <c r="FK719" s="28"/>
      <c r="FN719" s="28"/>
      <c r="FQ719" s="28"/>
      <c r="FT719" s="28"/>
      <c r="FW719" s="28"/>
      <c r="FZ719" s="28"/>
      <c r="GC719" s="28"/>
    </row>
    <row r="720" spans="1:185" s="25" customFormat="1" x14ac:dyDescent="0.3">
      <c r="A720" s="27"/>
      <c r="B720" s="28"/>
      <c r="C720" s="27"/>
      <c r="D720" s="26"/>
      <c r="E720" s="28"/>
      <c r="H720" s="28"/>
      <c r="K720" s="28"/>
      <c r="N720" s="28"/>
      <c r="Q720" s="28"/>
      <c r="T720" s="28"/>
      <c r="W720" s="28"/>
      <c r="Z720" s="28"/>
      <c r="AC720" s="28"/>
      <c r="AF720" s="28"/>
      <c r="AI720" s="28"/>
      <c r="AL720" s="28"/>
      <c r="AO720" s="28"/>
      <c r="AR720" s="28"/>
      <c r="AU720" s="28"/>
      <c r="AX720" s="28"/>
      <c r="BA720" s="28"/>
      <c r="BD720" s="28"/>
      <c r="BG720" s="28"/>
      <c r="BJ720" s="28"/>
      <c r="BM720" s="28"/>
      <c r="BP720" s="28"/>
      <c r="BS720" s="28"/>
      <c r="BV720" s="28"/>
      <c r="BY720" s="28"/>
      <c r="CB720" s="28"/>
      <c r="CE720" s="28"/>
      <c r="CH720" s="28"/>
      <c r="CK720" s="28"/>
      <c r="CN720" s="28"/>
      <c r="CQ720" s="28"/>
      <c r="CT720" s="28"/>
      <c r="CW720" s="28"/>
      <c r="CZ720" s="28"/>
      <c r="DC720" s="28"/>
      <c r="DF720" s="28"/>
      <c r="DI720" s="28"/>
      <c r="DL720" s="28"/>
      <c r="DO720" s="28"/>
      <c r="DR720" s="28"/>
      <c r="DU720" s="28"/>
      <c r="DX720" s="28"/>
      <c r="EA720" s="28"/>
      <c r="ED720" s="28"/>
      <c r="EG720" s="28"/>
      <c r="EJ720" s="28"/>
      <c r="EM720" s="28"/>
      <c r="EP720" s="28"/>
      <c r="ES720" s="28"/>
      <c r="EV720" s="28"/>
      <c r="EY720" s="28"/>
      <c r="FB720" s="28"/>
      <c r="FE720" s="28"/>
      <c r="FH720" s="28"/>
      <c r="FK720" s="28"/>
      <c r="FN720" s="28"/>
      <c r="FQ720" s="28"/>
      <c r="FT720" s="28"/>
      <c r="FW720" s="28"/>
      <c r="FZ720" s="28"/>
      <c r="GC720" s="28"/>
    </row>
    <row r="721" spans="1:185" s="25" customFormat="1" x14ac:dyDescent="0.3">
      <c r="A721" s="27"/>
      <c r="B721" s="28"/>
      <c r="C721" s="27"/>
      <c r="D721" s="26"/>
      <c r="E721" s="28"/>
      <c r="H721" s="28"/>
      <c r="K721" s="28"/>
      <c r="N721" s="28"/>
      <c r="Q721" s="28"/>
      <c r="T721" s="28"/>
      <c r="W721" s="28"/>
      <c r="Z721" s="28"/>
      <c r="AC721" s="28"/>
      <c r="AF721" s="28"/>
      <c r="AI721" s="28"/>
      <c r="AL721" s="28"/>
      <c r="AO721" s="28"/>
      <c r="AR721" s="28"/>
      <c r="AU721" s="28"/>
      <c r="AX721" s="28"/>
      <c r="BA721" s="28"/>
      <c r="BD721" s="28"/>
      <c r="BG721" s="28"/>
      <c r="BJ721" s="28"/>
      <c r="BM721" s="28"/>
      <c r="BP721" s="28"/>
      <c r="BS721" s="28"/>
      <c r="BV721" s="28"/>
      <c r="BY721" s="28"/>
      <c r="CB721" s="28"/>
      <c r="CE721" s="28"/>
      <c r="CH721" s="28"/>
      <c r="CK721" s="28"/>
      <c r="CN721" s="28"/>
      <c r="CQ721" s="28"/>
      <c r="CT721" s="28"/>
      <c r="CW721" s="28"/>
      <c r="CZ721" s="28"/>
      <c r="DC721" s="28"/>
      <c r="DF721" s="28"/>
      <c r="DI721" s="28"/>
      <c r="DL721" s="28"/>
      <c r="DO721" s="28"/>
      <c r="DR721" s="28"/>
      <c r="DU721" s="28"/>
      <c r="DX721" s="28"/>
      <c r="EA721" s="28"/>
      <c r="ED721" s="28"/>
      <c r="EG721" s="28"/>
      <c r="EJ721" s="28"/>
      <c r="EM721" s="28"/>
      <c r="EP721" s="28"/>
      <c r="ES721" s="28"/>
      <c r="EV721" s="28"/>
      <c r="EY721" s="28"/>
      <c r="FB721" s="28"/>
      <c r="FE721" s="28"/>
      <c r="FH721" s="28"/>
      <c r="FK721" s="28"/>
      <c r="FN721" s="28"/>
      <c r="FQ721" s="28"/>
      <c r="FT721" s="28"/>
      <c r="FW721" s="28"/>
      <c r="FZ721" s="28"/>
      <c r="GC721" s="28"/>
    </row>
    <row r="722" spans="1:185" s="25" customFormat="1" x14ac:dyDescent="0.3">
      <c r="A722" s="27"/>
      <c r="B722" s="28"/>
      <c r="C722" s="27"/>
      <c r="D722" s="26"/>
      <c r="E722" s="28"/>
      <c r="H722" s="28"/>
      <c r="K722" s="28"/>
      <c r="N722" s="28"/>
      <c r="Q722" s="28"/>
      <c r="T722" s="28"/>
      <c r="W722" s="28"/>
      <c r="Z722" s="28"/>
      <c r="AC722" s="28"/>
      <c r="AF722" s="28"/>
      <c r="AI722" s="28"/>
      <c r="AL722" s="28"/>
      <c r="AO722" s="28"/>
      <c r="AR722" s="28"/>
      <c r="AU722" s="28"/>
      <c r="AX722" s="28"/>
      <c r="BA722" s="28"/>
      <c r="BD722" s="28"/>
      <c r="BG722" s="28"/>
      <c r="BJ722" s="28"/>
      <c r="BM722" s="28"/>
      <c r="BP722" s="28"/>
      <c r="BS722" s="28"/>
      <c r="BV722" s="28"/>
      <c r="BY722" s="28"/>
      <c r="CB722" s="28"/>
      <c r="CE722" s="28"/>
      <c r="CH722" s="28"/>
      <c r="CK722" s="28"/>
      <c r="CN722" s="28"/>
      <c r="CQ722" s="28"/>
      <c r="CT722" s="28"/>
      <c r="CW722" s="28"/>
      <c r="CZ722" s="28"/>
      <c r="DC722" s="28"/>
      <c r="DF722" s="28"/>
      <c r="DI722" s="28"/>
      <c r="DL722" s="28"/>
      <c r="DO722" s="28"/>
      <c r="DR722" s="28"/>
      <c r="DU722" s="28"/>
      <c r="DX722" s="28"/>
      <c r="EA722" s="28"/>
      <c r="ED722" s="28"/>
      <c r="EG722" s="28"/>
      <c r="EJ722" s="28"/>
      <c r="EM722" s="28"/>
      <c r="EP722" s="28"/>
      <c r="ES722" s="28"/>
      <c r="EV722" s="28"/>
      <c r="EY722" s="28"/>
      <c r="FB722" s="28"/>
      <c r="FE722" s="28"/>
      <c r="FH722" s="28"/>
      <c r="FK722" s="28"/>
      <c r="FN722" s="28"/>
      <c r="FQ722" s="28"/>
      <c r="FT722" s="28"/>
      <c r="FW722" s="28"/>
      <c r="FZ722" s="28"/>
      <c r="GC722" s="28"/>
    </row>
    <row r="723" spans="1:185" s="25" customFormat="1" x14ac:dyDescent="0.3">
      <c r="A723" s="27"/>
      <c r="B723" s="28"/>
      <c r="C723" s="27"/>
      <c r="D723" s="26"/>
      <c r="E723" s="28"/>
      <c r="H723" s="28"/>
      <c r="K723" s="28"/>
      <c r="N723" s="28"/>
      <c r="Q723" s="28"/>
      <c r="T723" s="28"/>
      <c r="W723" s="28"/>
      <c r="Z723" s="28"/>
      <c r="AC723" s="28"/>
      <c r="AF723" s="28"/>
      <c r="AI723" s="28"/>
      <c r="AL723" s="28"/>
      <c r="AO723" s="28"/>
      <c r="AR723" s="28"/>
      <c r="AU723" s="28"/>
      <c r="AX723" s="28"/>
      <c r="BA723" s="28"/>
      <c r="BD723" s="28"/>
      <c r="BG723" s="28"/>
      <c r="BJ723" s="28"/>
      <c r="BM723" s="28"/>
      <c r="BP723" s="28"/>
      <c r="BS723" s="28"/>
      <c r="BV723" s="28"/>
      <c r="BY723" s="28"/>
      <c r="CB723" s="28"/>
      <c r="CE723" s="28"/>
      <c r="CH723" s="28"/>
      <c r="CK723" s="28"/>
      <c r="CN723" s="28"/>
      <c r="CQ723" s="28"/>
      <c r="CT723" s="28"/>
      <c r="CW723" s="28"/>
      <c r="CZ723" s="28"/>
      <c r="DC723" s="28"/>
      <c r="DF723" s="28"/>
      <c r="DI723" s="28"/>
      <c r="DL723" s="28"/>
      <c r="DO723" s="28"/>
      <c r="DR723" s="28"/>
      <c r="DU723" s="28"/>
      <c r="DX723" s="28"/>
      <c r="EA723" s="28"/>
      <c r="ED723" s="28"/>
      <c r="EG723" s="28"/>
      <c r="EJ723" s="28"/>
      <c r="EM723" s="28"/>
      <c r="EP723" s="28"/>
      <c r="ES723" s="28"/>
      <c r="EV723" s="28"/>
      <c r="EY723" s="28"/>
      <c r="FB723" s="28"/>
      <c r="FE723" s="28"/>
      <c r="FH723" s="28"/>
      <c r="FK723" s="28"/>
      <c r="FN723" s="28"/>
      <c r="FQ723" s="28"/>
      <c r="FT723" s="28"/>
      <c r="FW723" s="28"/>
      <c r="FZ723" s="28"/>
      <c r="GC723" s="28"/>
    </row>
    <row r="724" spans="1:185" s="25" customFormat="1" x14ac:dyDescent="0.3">
      <c r="A724" s="27"/>
      <c r="B724" s="28"/>
      <c r="C724" s="27"/>
      <c r="D724" s="26"/>
      <c r="E724" s="28"/>
      <c r="H724" s="28"/>
      <c r="K724" s="28"/>
      <c r="N724" s="28"/>
      <c r="Q724" s="28"/>
      <c r="T724" s="28"/>
      <c r="W724" s="28"/>
      <c r="Z724" s="28"/>
      <c r="AC724" s="28"/>
      <c r="AF724" s="28"/>
      <c r="AI724" s="28"/>
      <c r="AL724" s="28"/>
      <c r="AO724" s="28"/>
      <c r="AR724" s="28"/>
      <c r="AU724" s="28"/>
      <c r="AX724" s="28"/>
      <c r="BA724" s="28"/>
      <c r="BD724" s="28"/>
      <c r="BG724" s="28"/>
      <c r="BJ724" s="28"/>
      <c r="BM724" s="28"/>
      <c r="BP724" s="28"/>
      <c r="BS724" s="28"/>
      <c r="BV724" s="28"/>
      <c r="BY724" s="28"/>
      <c r="CB724" s="28"/>
      <c r="CE724" s="28"/>
      <c r="CH724" s="28"/>
      <c r="CK724" s="28"/>
      <c r="CN724" s="28"/>
      <c r="CQ724" s="28"/>
      <c r="CT724" s="28"/>
      <c r="CW724" s="28"/>
      <c r="CZ724" s="28"/>
      <c r="DC724" s="28"/>
      <c r="DF724" s="28"/>
      <c r="DI724" s="28"/>
      <c r="DL724" s="28"/>
      <c r="DO724" s="28"/>
      <c r="DR724" s="28"/>
      <c r="DU724" s="28"/>
      <c r="DX724" s="28"/>
      <c r="EA724" s="28"/>
      <c r="ED724" s="28"/>
      <c r="EG724" s="28"/>
      <c r="EJ724" s="28"/>
      <c r="EM724" s="28"/>
      <c r="EP724" s="28"/>
      <c r="ES724" s="28"/>
      <c r="EV724" s="28"/>
      <c r="EY724" s="28"/>
      <c r="FB724" s="28"/>
      <c r="FE724" s="28"/>
      <c r="FH724" s="28"/>
      <c r="FK724" s="28"/>
      <c r="FN724" s="28"/>
      <c r="FQ724" s="28"/>
      <c r="FT724" s="28"/>
      <c r="FW724" s="28"/>
      <c r="FZ724" s="28"/>
      <c r="GC724" s="28"/>
    </row>
    <row r="725" spans="1:185" s="25" customFormat="1" x14ac:dyDescent="0.3">
      <c r="A725" s="27"/>
      <c r="B725" s="28"/>
      <c r="C725" s="27"/>
      <c r="D725" s="26"/>
      <c r="E725" s="28"/>
      <c r="H725" s="28"/>
      <c r="K725" s="28"/>
      <c r="N725" s="28"/>
      <c r="Q725" s="28"/>
      <c r="T725" s="28"/>
      <c r="W725" s="28"/>
      <c r="Z725" s="28"/>
      <c r="AC725" s="28"/>
      <c r="AF725" s="28"/>
      <c r="AI725" s="28"/>
      <c r="AL725" s="28"/>
      <c r="AO725" s="28"/>
      <c r="AR725" s="28"/>
      <c r="AU725" s="28"/>
      <c r="AX725" s="28"/>
      <c r="BA725" s="28"/>
      <c r="BD725" s="28"/>
      <c r="BG725" s="28"/>
      <c r="BJ725" s="28"/>
      <c r="BM725" s="28"/>
      <c r="BP725" s="28"/>
      <c r="BS725" s="28"/>
      <c r="BV725" s="28"/>
      <c r="BY725" s="28"/>
      <c r="CB725" s="28"/>
      <c r="CE725" s="28"/>
      <c r="CH725" s="28"/>
      <c r="CK725" s="28"/>
      <c r="CN725" s="28"/>
      <c r="CQ725" s="28"/>
      <c r="CT725" s="28"/>
      <c r="CW725" s="28"/>
      <c r="CZ725" s="28"/>
      <c r="DC725" s="28"/>
      <c r="DF725" s="28"/>
      <c r="DI725" s="28"/>
      <c r="DL725" s="28"/>
      <c r="DO725" s="28"/>
      <c r="DR725" s="28"/>
      <c r="DU725" s="28"/>
      <c r="DX725" s="28"/>
      <c r="EA725" s="28"/>
      <c r="ED725" s="28"/>
      <c r="EG725" s="28"/>
      <c r="EJ725" s="28"/>
      <c r="EM725" s="28"/>
      <c r="EP725" s="28"/>
      <c r="ES725" s="28"/>
      <c r="EV725" s="28"/>
      <c r="EY725" s="28"/>
      <c r="FB725" s="28"/>
      <c r="FE725" s="28"/>
      <c r="FH725" s="28"/>
      <c r="FK725" s="28"/>
      <c r="FN725" s="28"/>
      <c r="FQ725" s="28"/>
      <c r="FT725" s="28"/>
      <c r="FW725" s="28"/>
      <c r="FZ725" s="28"/>
      <c r="GC725" s="28"/>
    </row>
    <row r="726" spans="1:185" s="25" customFormat="1" x14ac:dyDescent="0.3">
      <c r="A726" s="27"/>
      <c r="B726" s="28"/>
      <c r="C726" s="27"/>
      <c r="D726" s="26"/>
      <c r="E726" s="28"/>
      <c r="H726" s="28"/>
      <c r="K726" s="28"/>
      <c r="N726" s="28"/>
      <c r="Q726" s="28"/>
      <c r="T726" s="28"/>
      <c r="W726" s="28"/>
      <c r="Z726" s="28"/>
      <c r="AC726" s="28"/>
      <c r="AF726" s="28"/>
      <c r="AI726" s="28"/>
      <c r="AL726" s="28"/>
      <c r="AO726" s="28"/>
      <c r="AR726" s="28"/>
      <c r="AU726" s="28"/>
      <c r="AX726" s="28"/>
      <c r="BA726" s="28"/>
      <c r="BD726" s="28"/>
      <c r="BG726" s="28"/>
      <c r="BJ726" s="28"/>
      <c r="BM726" s="28"/>
      <c r="BP726" s="28"/>
      <c r="BS726" s="28"/>
      <c r="BV726" s="28"/>
      <c r="BY726" s="28"/>
      <c r="CB726" s="28"/>
      <c r="CE726" s="28"/>
      <c r="CH726" s="28"/>
      <c r="CK726" s="28"/>
      <c r="CN726" s="28"/>
      <c r="CQ726" s="28"/>
      <c r="CT726" s="28"/>
      <c r="CW726" s="28"/>
      <c r="CZ726" s="28"/>
      <c r="DC726" s="28"/>
      <c r="DF726" s="28"/>
      <c r="DI726" s="28"/>
      <c r="DL726" s="28"/>
      <c r="DO726" s="28"/>
      <c r="DR726" s="28"/>
      <c r="DU726" s="28"/>
      <c r="DX726" s="28"/>
      <c r="EA726" s="28"/>
      <c r="ED726" s="28"/>
      <c r="EG726" s="28"/>
      <c r="EJ726" s="28"/>
      <c r="EM726" s="28"/>
      <c r="EP726" s="28"/>
      <c r="ES726" s="28"/>
      <c r="EV726" s="28"/>
      <c r="EY726" s="28"/>
      <c r="FB726" s="28"/>
      <c r="FE726" s="28"/>
      <c r="FH726" s="28"/>
      <c r="FK726" s="28"/>
      <c r="FN726" s="28"/>
      <c r="FQ726" s="28"/>
      <c r="FT726" s="28"/>
      <c r="FW726" s="28"/>
      <c r="FZ726" s="28"/>
      <c r="GC726" s="28"/>
    </row>
    <row r="727" spans="1:185" s="25" customFormat="1" x14ac:dyDescent="0.3">
      <c r="A727" s="27"/>
      <c r="B727" s="28"/>
      <c r="C727" s="27"/>
      <c r="D727" s="26"/>
      <c r="E727" s="28"/>
      <c r="H727" s="28"/>
      <c r="K727" s="28"/>
      <c r="N727" s="28"/>
      <c r="Q727" s="28"/>
      <c r="T727" s="28"/>
      <c r="W727" s="28"/>
      <c r="Z727" s="28"/>
      <c r="AC727" s="28"/>
      <c r="AF727" s="28"/>
      <c r="AI727" s="28"/>
      <c r="AL727" s="28"/>
      <c r="AO727" s="28"/>
      <c r="AR727" s="28"/>
      <c r="AU727" s="28"/>
      <c r="AX727" s="28"/>
      <c r="BA727" s="28"/>
      <c r="BD727" s="28"/>
      <c r="BG727" s="28"/>
      <c r="BJ727" s="28"/>
      <c r="BM727" s="28"/>
      <c r="BP727" s="28"/>
      <c r="BS727" s="28"/>
      <c r="BV727" s="28"/>
      <c r="BY727" s="28"/>
      <c r="CB727" s="28"/>
      <c r="CE727" s="28"/>
      <c r="CH727" s="28"/>
      <c r="CK727" s="28"/>
      <c r="CN727" s="28"/>
      <c r="CQ727" s="28"/>
      <c r="CT727" s="28"/>
      <c r="CW727" s="28"/>
      <c r="CZ727" s="28"/>
      <c r="DC727" s="28"/>
      <c r="DF727" s="28"/>
      <c r="DI727" s="28"/>
      <c r="DL727" s="28"/>
      <c r="DO727" s="28"/>
      <c r="DR727" s="28"/>
      <c r="DU727" s="28"/>
      <c r="DX727" s="28"/>
      <c r="EA727" s="28"/>
      <c r="ED727" s="28"/>
      <c r="EG727" s="28"/>
      <c r="EJ727" s="28"/>
      <c r="EM727" s="28"/>
      <c r="EP727" s="28"/>
      <c r="ES727" s="28"/>
      <c r="EV727" s="28"/>
      <c r="EY727" s="28"/>
      <c r="FB727" s="28"/>
      <c r="FE727" s="28"/>
      <c r="FH727" s="28"/>
      <c r="FK727" s="28"/>
      <c r="FN727" s="28"/>
      <c r="FQ727" s="28"/>
      <c r="FT727" s="28"/>
      <c r="FW727" s="28"/>
      <c r="FZ727" s="28"/>
      <c r="GC727" s="28"/>
    </row>
    <row r="728" spans="1:185" s="25" customFormat="1" x14ac:dyDescent="0.3">
      <c r="A728" s="27"/>
      <c r="B728" s="28"/>
      <c r="C728" s="27"/>
      <c r="D728" s="26"/>
      <c r="E728" s="28"/>
      <c r="H728" s="28"/>
      <c r="K728" s="28"/>
      <c r="N728" s="28"/>
      <c r="Q728" s="28"/>
      <c r="T728" s="28"/>
      <c r="W728" s="28"/>
      <c r="Z728" s="28"/>
      <c r="AC728" s="28"/>
      <c r="AF728" s="28"/>
      <c r="AI728" s="28"/>
      <c r="AL728" s="28"/>
      <c r="AO728" s="28"/>
      <c r="AR728" s="28"/>
      <c r="AU728" s="28"/>
      <c r="AX728" s="28"/>
      <c r="BA728" s="28"/>
      <c r="BD728" s="28"/>
      <c r="BG728" s="28"/>
      <c r="BJ728" s="28"/>
      <c r="BM728" s="28"/>
      <c r="BP728" s="28"/>
      <c r="BS728" s="28"/>
      <c r="BV728" s="28"/>
      <c r="BY728" s="28"/>
      <c r="CB728" s="28"/>
      <c r="CE728" s="28"/>
      <c r="CH728" s="28"/>
      <c r="CK728" s="28"/>
      <c r="CN728" s="28"/>
      <c r="CQ728" s="28"/>
      <c r="CT728" s="28"/>
      <c r="CW728" s="28"/>
      <c r="CZ728" s="28"/>
      <c r="DC728" s="28"/>
      <c r="DF728" s="28"/>
      <c r="DI728" s="28"/>
      <c r="DL728" s="28"/>
      <c r="DO728" s="28"/>
      <c r="DR728" s="28"/>
      <c r="DU728" s="28"/>
      <c r="DX728" s="28"/>
      <c r="EA728" s="28"/>
      <c r="ED728" s="28"/>
      <c r="EG728" s="28"/>
      <c r="EJ728" s="28"/>
      <c r="EM728" s="28"/>
      <c r="EP728" s="28"/>
      <c r="ES728" s="28"/>
      <c r="EV728" s="28"/>
      <c r="EY728" s="28"/>
      <c r="FB728" s="28"/>
      <c r="FE728" s="28"/>
      <c r="FH728" s="28"/>
      <c r="FK728" s="28"/>
      <c r="FN728" s="28"/>
      <c r="FQ728" s="28"/>
      <c r="FT728" s="28"/>
      <c r="FW728" s="28"/>
      <c r="FZ728" s="28"/>
      <c r="GC728" s="28"/>
    </row>
    <row r="729" spans="1:185" s="25" customFormat="1" x14ac:dyDescent="0.3">
      <c r="A729" s="27"/>
      <c r="B729" s="28"/>
      <c r="C729" s="27"/>
      <c r="D729" s="26"/>
      <c r="E729" s="28"/>
      <c r="H729" s="28"/>
      <c r="K729" s="28"/>
      <c r="N729" s="28"/>
      <c r="Q729" s="28"/>
      <c r="T729" s="28"/>
      <c r="W729" s="28"/>
      <c r="Z729" s="28"/>
      <c r="AC729" s="28"/>
      <c r="AF729" s="28"/>
      <c r="AI729" s="28"/>
      <c r="AL729" s="28"/>
      <c r="AO729" s="28"/>
      <c r="AR729" s="28"/>
      <c r="AU729" s="28"/>
      <c r="AX729" s="28"/>
      <c r="BA729" s="28"/>
      <c r="BD729" s="28"/>
      <c r="BG729" s="28"/>
      <c r="BJ729" s="28"/>
      <c r="BM729" s="28"/>
      <c r="BP729" s="28"/>
      <c r="BS729" s="28"/>
      <c r="BV729" s="28"/>
      <c r="BY729" s="28"/>
      <c r="CB729" s="28"/>
      <c r="CE729" s="28"/>
      <c r="CH729" s="28"/>
      <c r="CK729" s="28"/>
      <c r="CN729" s="28"/>
      <c r="CQ729" s="28"/>
      <c r="CT729" s="28"/>
      <c r="CW729" s="28"/>
      <c r="CZ729" s="28"/>
      <c r="DC729" s="28"/>
      <c r="DF729" s="28"/>
      <c r="DI729" s="28"/>
      <c r="DL729" s="28"/>
      <c r="DO729" s="28"/>
      <c r="DR729" s="28"/>
      <c r="DU729" s="28"/>
      <c r="DX729" s="28"/>
      <c r="EA729" s="28"/>
      <c r="ED729" s="28"/>
      <c r="EG729" s="28"/>
      <c r="EJ729" s="28"/>
      <c r="EM729" s="28"/>
      <c r="EP729" s="28"/>
      <c r="ES729" s="28"/>
      <c r="EV729" s="28"/>
      <c r="EY729" s="28"/>
      <c r="FB729" s="28"/>
      <c r="FE729" s="28"/>
      <c r="FH729" s="28"/>
      <c r="FK729" s="28"/>
      <c r="FN729" s="28"/>
      <c r="FQ729" s="28"/>
      <c r="FT729" s="28"/>
      <c r="FW729" s="28"/>
      <c r="FZ729" s="28"/>
      <c r="GC729" s="28"/>
    </row>
    <row r="730" spans="1:185" s="25" customFormat="1" x14ac:dyDescent="0.3">
      <c r="A730" s="27"/>
      <c r="B730" s="28"/>
      <c r="C730" s="27"/>
      <c r="D730" s="26"/>
      <c r="E730" s="28"/>
      <c r="H730" s="28"/>
      <c r="K730" s="28"/>
      <c r="N730" s="28"/>
      <c r="Q730" s="28"/>
      <c r="T730" s="28"/>
      <c r="W730" s="28"/>
      <c r="Z730" s="28"/>
      <c r="AC730" s="28"/>
      <c r="AF730" s="28"/>
      <c r="AI730" s="28"/>
      <c r="AL730" s="28"/>
      <c r="AO730" s="28"/>
      <c r="AR730" s="28"/>
      <c r="AU730" s="28"/>
      <c r="AX730" s="28"/>
      <c r="BA730" s="28"/>
      <c r="BD730" s="28"/>
      <c r="BG730" s="28"/>
      <c r="BJ730" s="28"/>
      <c r="BM730" s="28"/>
      <c r="BP730" s="28"/>
      <c r="BS730" s="28"/>
      <c r="BV730" s="28"/>
      <c r="BY730" s="28"/>
      <c r="CB730" s="28"/>
      <c r="CE730" s="28"/>
      <c r="CH730" s="28"/>
      <c r="CK730" s="28"/>
      <c r="CN730" s="28"/>
      <c r="CQ730" s="28"/>
      <c r="CT730" s="28"/>
      <c r="CW730" s="28"/>
      <c r="CZ730" s="28"/>
      <c r="DC730" s="28"/>
      <c r="DF730" s="28"/>
      <c r="DI730" s="28"/>
      <c r="DL730" s="28"/>
      <c r="DO730" s="28"/>
      <c r="DR730" s="28"/>
      <c r="DU730" s="28"/>
      <c r="DX730" s="28"/>
      <c r="EA730" s="28"/>
      <c r="ED730" s="28"/>
      <c r="EG730" s="28"/>
      <c r="EJ730" s="28"/>
      <c r="EM730" s="28"/>
      <c r="EP730" s="28"/>
      <c r="ES730" s="28"/>
      <c r="EV730" s="28"/>
      <c r="EY730" s="28"/>
      <c r="FB730" s="28"/>
      <c r="FE730" s="28"/>
      <c r="FH730" s="28"/>
      <c r="FK730" s="28"/>
      <c r="FN730" s="28"/>
      <c r="FQ730" s="28"/>
      <c r="FT730" s="28"/>
      <c r="FW730" s="28"/>
      <c r="FZ730" s="28"/>
      <c r="GC730" s="28"/>
    </row>
    <row r="731" spans="1:185" s="25" customFormat="1" x14ac:dyDescent="0.3">
      <c r="A731" s="27"/>
      <c r="B731" s="28"/>
      <c r="C731" s="27"/>
      <c r="D731" s="26"/>
      <c r="E731" s="28"/>
      <c r="H731" s="28"/>
      <c r="K731" s="28"/>
      <c r="N731" s="28"/>
      <c r="Q731" s="28"/>
      <c r="T731" s="28"/>
      <c r="W731" s="28"/>
      <c r="Z731" s="28"/>
      <c r="AC731" s="28"/>
      <c r="AF731" s="28"/>
      <c r="AI731" s="28"/>
      <c r="AL731" s="28"/>
      <c r="AO731" s="28"/>
      <c r="AR731" s="28"/>
      <c r="AU731" s="28"/>
      <c r="AX731" s="28"/>
      <c r="BA731" s="28"/>
      <c r="BD731" s="28"/>
      <c r="BG731" s="28"/>
      <c r="BJ731" s="28"/>
      <c r="BM731" s="28"/>
      <c r="BP731" s="28"/>
      <c r="BS731" s="28"/>
      <c r="BV731" s="28"/>
      <c r="BY731" s="28"/>
      <c r="CB731" s="28"/>
      <c r="CE731" s="28"/>
      <c r="CH731" s="28"/>
      <c r="CK731" s="28"/>
      <c r="CN731" s="28"/>
      <c r="CQ731" s="28"/>
      <c r="CT731" s="28"/>
      <c r="CW731" s="28"/>
      <c r="CZ731" s="28"/>
      <c r="DC731" s="28"/>
      <c r="DF731" s="28"/>
      <c r="DI731" s="28"/>
      <c r="DL731" s="28"/>
      <c r="DO731" s="28"/>
      <c r="DR731" s="28"/>
      <c r="DU731" s="28"/>
      <c r="DX731" s="28"/>
      <c r="EA731" s="28"/>
      <c r="ED731" s="28"/>
      <c r="EG731" s="28"/>
      <c r="EJ731" s="28"/>
      <c r="EM731" s="28"/>
      <c r="EP731" s="28"/>
      <c r="ES731" s="28"/>
      <c r="EV731" s="28"/>
      <c r="EY731" s="28"/>
      <c r="FB731" s="28"/>
      <c r="FE731" s="28"/>
      <c r="FH731" s="28"/>
      <c r="FK731" s="28"/>
      <c r="FN731" s="28"/>
      <c r="FQ731" s="28"/>
      <c r="FT731" s="28"/>
      <c r="FW731" s="28"/>
      <c r="FZ731" s="28"/>
      <c r="GC731" s="28"/>
    </row>
    <row r="732" spans="1:185" s="25" customFormat="1" x14ac:dyDescent="0.3">
      <c r="A732" s="27"/>
      <c r="B732" s="28"/>
      <c r="C732" s="27"/>
      <c r="D732" s="26"/>
      <c r="E732" s="28"/>
      <c r="H732" s="28"/>
      <c r="K732" s="28"/>
      <c r="N732" s="28"/>
      <c r="Q732" s="28"/>
      <c r="T732" s="28"/>
      <c r="W732" s="28"/>
      <c r="Z732" s="28"/>
      <c r="AC732" s="28"/>
      <c r="AF732" s="28"/>
      <c r="AI732" s="28"/>
      <c r="AL732" s="28"/>
      <c r="AO732" s="28"/>
      <c r="AR732" s="28"/>
      <c r="AU732" s="28"/>
      <c r="AX732" s="28"/>
      <c r="BA732" s="28"/>
      <c r="BD732" s="28"/>
      <c r="BG732" s="28"/>
      <c r="BJ732" s="28"/>
      <c r="BM732" s="28"/>
      <c r="BP732" s="28"/>
      <c r="BS732" s="28"/>
      <c r="BV732" s="28"/>
      <c r="BY732" s="28"/>
      <c r="CB732" s="28"/>
      <c r="CE732" s="28"/>
      <c r="CH732" s="28"/>
      <c r="CK732" s="28"/>
      <c r="CN732" s="28"/>
      <c r="CQ732" s="28"/>
      <c r="CT732" s="28"/>
      <c r="CW732" s="28"/>
      <c r="CZ732" s="28"/>
      <c r="DC732" s="28"/>
      <c r="DF732" s="28"/>
      <c r="DI732" s="28"/>
      <c r="DL732" s="28"/>
      <c r="DO732" s="28"/>
      <c r="DR732" s="28"/>
      <c r="DU732" s="28"/>
      <c r="DX732" s="28"/>
      <c r="EA732" s="28"/>
      <c r="ED732" s="28"/>
      <c r="EG732" s="28"/>
      <c r="EJ732" s="28"/>
      <c r="EM732" s="28"/>
      <c r="EP732" s="28"/>
      <c r="ES732" s="28"/>
      <c r="EV732" s="28"/>
      <c r="EY732" s="28"/>
      <c r="FB732" s="28"/>
      <c r="FE732" s="28"/>
      <c r="FH732" s="28"/>
      <c r="FK732" s="28"/>
      <c r="FN732" s="28"/>
      <c r="FQ732" s="28"/>
      <c r="FT732" s="28"/>
      <c r="FW732" s="28"/>
      <c r="FZ732" s="28"/>
      <c r="GC732" s="28"/>
    </row>
    <row r="733" spans="1:185" s="25" customFormat="1" x14ac:dyDescent="0.3">
      <c r="A733" s="27"/>
      <c r="B733" s="28"/>
      <c r="C733" s="27"/>
      <c r="D733" s="26"/>
      <c r="E733" s="28"/>
      <c r="H733" s="28"/>
      <c r="K733" s="28"/>
      <c r="N733" s="28"/>
      <c r="Q733" s="28"/>
      <c r="T733" s="28"/>
      <c r="W733" s="28"/>
      <c r="Z733" s="28"/>
      <c r="AC733" s="28"/>
      <c r="AF733" s="28"/>
      <c r="AI733" s="28"/>
      <c r="AL733" s="28"/>
      <c r="AO733" s="28"/>
      <c r="AR733" s="28"/>
      <c r="AU733" s="28"/>
      <c r="AX733" s="28"/>
      <c r="BA733" s="28"/>
      <c r="BD733" s="28"/>
      <c r="BG733" s="28"/>
      <c r="BJ733" s="28"/>
      <c r="BM733" s="28"/>
      <c r="BP733" s="28"/>
      <c r="BS733" s="28"/>
      <c r="BV733" s="28"/>
      <c r="BY733" s="28"/>
      <c r="CB733" s="28"/>
      <c r="CE733" s="28"/>
      <c r="CH733" s="28"/>
      <c r="CK733" s="28"/>
      <c r="CN733" s="28"/>
      <c r="CQ733" s="28"/>
      <c r="CT733" s="28"/>
      <c r="CW733" s="28"/>
      <c r="CZ733" s="28"/>
      <c r="DC733" s="28"/>
      <c r="DF733" s="28"/>
      <c r="DI733" s="28"/>
      <c r="DL733" s="28"/>
      <c r="DO733" s="28"/>
      <c r="DR733" s="28"/>
      <c r="DU733" s="28"/>
      <c r="DX733" s="28"/>
      <c r="EA733" s="28"/>
      <c r="ED733" s="28"/>
      <c r="EG733" s="28"/>
      <c r="EJ733" s="28"/>
      <c r="EM733" s="28"/>
      <c r="EP733" s="28"/>
      <c r="ES733" s="28"/>
      <c r="EV733" s="28"/>
      <c r="EY733" s="28"/>
      <c r="FB733" s="28"/>
      <c r="FE733" s="28"/>
      <c r="FH733" s="28"/>
      <c r="FK733" s="28"/>
      <c r="FN733" s="28"/>
      <c r="FQ733" s="28"/>
      <c r="FT733" s="28"/>
      <c r="FW733" s="28"/>
      <c r="FZ733" s="28"/>
      <c r="GC733" s="28"/>
    </row>
    <row r="734" spans="1:185" s="25" customFormat="1" x14ac:dyDescent="0.3">
      <c r="A734" s="27"/>
      <c r="B734" s="28"/>
      <c r="C734" s="27"/>
      <c r="D734" s="26"/>
      <c r="E734" s="28"/>
      <c r="H734" s="28"/>
      <c r="K734" s="28"/>
      <c r="N734" s="28"/>
      <c r="Q734" s="28"/>
      <c r="T734" s="28"/>
      <c r="W734" s="28"/>
      <c r="Z734" s="28"/>
      <c r="AC734" s="28"/>
      <c r="AF734" s="28"/>
      <c r="AI734" s="28"/>
      <c r="AL734" s="28"/>
      <c r="AO734" s="28"/>
      <c r="AR734" s="28"/>
      <c r="AU734" s="28"/>
      <c r="AX734" s="28"/>
      <c r="BA734" s="28"/>
      <c r="BD734" s="28"/>
      <c r="BG734" s="28"/>
      <c r="BJ734" s="28"/>
      <c r="BM734" s="28"/>
      <c r="BP734" s="28"/>
      <c r="BS734" s="28"/>
      <c r="BV734" s="28"/>
      <c r="BY734" s="28"/>
      <c r="CB734" s="28"/>
      <c r="CE734" s="28"/>
      <c r="CH734" s="28"/>
      <c r="CK734" s="28"/>
      <c r="CN734" s="28"/>
      <c r="CQ734" s="28"/>
      <c r="CT734" s="28"/>
      <c r="CW734" s="28"/>
      <c r="CZ734" s="28"/>
      <c r="DC734" s="28"/>
      <c r="DF734" s="28"/>
      <c r="DI734" s="28"/>
      <c r="DL734" s="28"/>
      <c r="DO734" s="28"/>
      <c r="DR734" s="28"/>
      <c r="DU734" s="28"/>
      <c r="DX734" s="28"/>
      <c r="EA734" s="28"/>
      <c r="ED734" s="28"/>
      <c r="EG734" s="28"/>
      <c r="EJ734" s="28"/>
      <c r="EM734" s="28"/>
      <c r="EP734" s="28"/>
      <c r="ES734" s="28"/>
      <c r="EV734" s="28"/>
      <c r="EY734" s="28"/>
      <c r="FB734" s="28"/>
      <c r="FE734" s="28"/>
      <c r="FH734" s="28"/>
      <c r="FK734" s="28"/>
      <c r="FN734" s="28"/>
      <c r="FQ734" s="28"/>
      <c r="FT734" s="28"/>
      <c r="FW734" s="28"/>
      <c r="FZ734" s="28"/>
      <c r="GC734" s="28"/>
    </row>
    <row r="735" spans="1:185" s="25" customFormat="1" x14ac:dyDescent="0.3">
      <c r="A735" s="27"/>
      <c r="B735" s="28"/>
      <c r="C735" s="27"/>
      <c r="D735" s="26"/>
      <c r="E735" s="28"/>
      <c r="H735" s="28"/>
      <c r="K735" s="28"/>
      <c r="N735" s="28"/>
      <c r="Q735" s="28"/>
      <c r="T735" s="28"/>
      <c r="W735" s="28"/>
      <c r="Z735" s="28"/>
      <c r="AC735" s="28"/>
      <c r="AF735" s="28"/>
      <c r="AI735" s="28"/>
      <c r="AL735" s="28"/>
      <c r="AO735" s="28"/>
      <c r="AR735" s="28"/>
      <c r="AU735" s="28"/>
      <c r="AX735" s="28"/>
      <c r="BA735" s="28"/>
      <c r="BD735" s="28"/>
      <c r="BG735" s="28"/>
      <c r="BJ735" s="28"/>
      <c r="BM735" s="28"/>
      <c r="BP735" s="28"/>
      <c r="BS735" s="28"/>
      <c r="BV735" s="28"/>
      <c r="BY735" s="28"/>
      <c r="CB735" s="28"/>
      <c r="CE735" s="28"/>
      <c r="CH735" s="28"/>
      <c r="CK735" s="28"/>
      <c r="CN735" s="28"/>
      <c r="CQ735" s="28"/>
      <c r="CT735" s="28"/>
      <c r="CW735" s="28"/>
      <c r="CZ735" s="28"/>
      <c r="DC735" s="28"/>
      <c r="DF735" s="28"/>
      <c r="DI735" s="28"/>
      <c r="DL735" s="28"/>
      <c r="DO735" s="28"/>
      <c r="DR735" s="28"/>
      <c r="DU735" s="28"/>
      <c r="DX735" s="28"/>
      <c r="EA735" s="28"/>
      <c r="ED735" s="28"/>
      <c r="EG735" s="28"/>
      <c r="EJ735" s="28"/>
      <c r="EM735" s="28"/>
      <c r="EP735" s="28"/>
      <c r="ES735" s="28"/>
      <c r="EV735" s="28"/>
      <c r="EY735" s="28"/>
      <c r="FB735" s="28"/>
      <c r="FE735" s="28"/>
      <c r="FH735" s="28"/>
      <c r="FK735" s="28"/>
      <c r="FN735" s="28"/>
      <c r="FQ735" s="28"/>
      <c r="FT735" s="28"/>
      <c r="FW735" s="28"/>
      <c r="FZ735" s="28"/>
      <c r="GC735" s="28"/>
    </row>
    <row r="736" spans="1:185" s="25" customFormat="1" x14ac:dyDescent="0.3">
      <c r="A736" s="27"/>
      <c r="B736" s="28"/>
      <c r="C736" s="27"/>
      <c r="D736" s="26"/>
      <c r="E736" s="28"/>
      <c r="H736" s="28"/>
      <c r="K736" s="28"/>
      <c r="N736" s="28"/>
      <c r="Q736" s="28"/>
      <c r="T736" s="28"/>
      <c r="W736" s="28"/>
      <c r="Z736" s="28"/>
      <c r="AC736" s="28"/>
      <c r="AF736" s="28"/>
      <c r="AI736" s="28"/>
      <c r="AL736" s="28"/>
      <c r="AO736" s="28"/>
      <c r="AR736" s="28"/>
      <c r="AU736" s="28"/>
      <c r="AX736" s="28"/>
      <c r="BA736" s="28"/>
      <c r="BD736" s="28"/>
      <c r="BG736" s="28"/>
      <c r="BJ736" s="28"/>
      <c r="BM736" s="28"/>
      <c r="BP736" s="28"/>
      <c r="BS736" s="28"/>
      <c r="BV736" s="28"/>
      <c r="BY736" s="28"/>
      <c r="CB736" s="28"/>
      <c r="CE736" s="28"/>
      <c r="CH736" s="28"/>
      <c r="CK736" s="28"/>
      <c r="CN736" s="28"/>
      <c r="CQ736" s="28"/>
      <c r="CT736" s="28"/>
      <c r="CW736" s="28"/>
      <c r="CZ736" s="28"/>
      <c r="DC736" s="28"/>
      <c r="DF736" s="28"/>
      <c r="DI736" s="28"/>
      <c r="DL736" s="28"/>
      <c r="DO736" s="28"/>
      <c r="DR736" s="28"/>
      <c r="DU736" s="28"/>
      <c r="DX736" s="28"/>
      <c r="EA736" s="28"/>
      <c r="ED736" s="28"/>
      <c r="EG736" s="28"/>
      <c r="EJ736" s="28"/>
      <c r="EM736" s="28"/>
      <c r="EP736" s="28"/>
      <c r="ES736" s="28"/>
      <c r="EV736" s="28"/>
      <c r="EY736" s="28"/>
      <c r="FB736" s="28"/>
      <c r="FE736" s="28"/>
      <c r="FH736" s="28"/>
      <c r="FK736" s="28"/>
      <c r="FN736" s="28"/>
      <c r="FQ736" s="28"/>
      <c r="FT736" s="28"/>
      <c r="FW736" s="28"/>
      <c r="FZ736" s="28"/>
      <c r="GC736" s="28"/>
    </row>
    <row r="737" spans="1:185" s="25" customFormat="1" x14ac:dyDescent="0.3">
      <c r="A737" s="27"/>
      <c r="B737" s="28"/>
      <c r="C737" s="27"/>
      <c r="D737" s="26"/>
      <c r="E737" s="28"/>
      <c r="H737" s="28"/>
      <c r="K737" s="28"/>
      <c r="N737" s="28"/>
      <c r="Q737" s="28"/>
      <c r="T737" s="28"/>
      <c r="W737" s="28"/>
      <c r="Z737" s="28"/>
      <c r="AC737" s="28"/>
      <c r="AF737" s="28"/>
      <c r="AI737" s="28"/>
      <c r="AL737" s="28"/>
      <c r="AO737" s="28"/>
      <c r="AR737" s="28"/>
      <c r="AU737" s="28"/>
      <c r="AX737" s="28"/>
      <c r="BA737" s="28"/>
      <c r="BD737" s="28"/>
      <c r="BG737" s="28"/>
      <c r="BJ737" s="28"/>
      <c r="BM737" s="28"/>
      <c r="BP737" s="28"/>
      <c r="BS737" s="28"/>
      <c r="BV737" s="28"/>
      <c r="BY737" s="28"/>
      <c r="CB737" s="28"/>
      <c r="CE737" s="28"/>
      <c r="CH737" s="28"/>
      <c r="CK737" s="28"/>
      <c r="CN737" s="28"/>
      <c r="CQ737" s="28"/>
      <c r="CT737" s="28"/>
      <c r="CW737" s="28"/>
      <c r="CZ737" s="28"/>
      <c r="DC737" s="28"/>
      <c r="DF737" s="28"/>
      <c r="DI737" s="28"/>
      <c r="DL737" s="28"/>
      <c r="DO737" s="28"/>
      <c r="DR737" s="28"/>
      <c r="DU737" s="28"/>
      <c r="DX737" s="28"/>
      <c r="EA737" s="28"/>
      <c r="ED737" s="28"/>
      <c r="EG737" s="28"/>
      <c r="EJ737" s="28"/>
      <c r="EM737" s="28"/>
      <c r="EP737" s="28"/>
      <c r="ES737" s="28"/>
      <c r="EV737" s="28"/>
      <c r="EY737" s="28"/>
      <c r="FB737" s="28"/>
      <c r="FE737" s="28"/>
      <c r="FH737" s="28"/>
      <c r="FK737" s="28"/>
      <c r="FN737" s="28"/>
      <c r="FQ737" s="28"/>
      <c r="FT737" s="28"/>
      <c r="FW737" s="28"/>
      <c r="FZ737" s="28"/>
      <c r="GC737" s="28"/>
    </row>
    <row r="738" spans="1:185" s="25" customFormat="1" x14ac:dyDescent="0.3">
      <c r="A738" s="27"/>
      <c r="B738" s="28"/>
      <c r="C738" s="27"/>
      <c r="D738" s="26"/>
      <c r="E738" s="28"/>
      <c r="H738" s="28"/>
      <c r="K738" s="28"/>
      <c r="N738" s="28"/>
      <c r="Q738" s="28"/>
      <c r="T738" s="28"/>
      <c r="W738" s="28"/>
      <c r="Z738" s="28"/>
      <c r="AC738" s="28"/>
      <c r="AF738" s="28"/>
      <c r="AI738" s="28"/>
      <c r="AL738" s="28"/>
      <c r="AO738" s="28"/>
      <c r="AR738" s="28"/>
      <c r="AU738" s="28"/>
      <c r="AX738" s="28"/>
      <c r="BA738" s="28"/>
      <c r="BD738" s="28"/>
      <c r="BG738" s="28"/>
      <c r="BJ738" s="28"/>
      <c r="BM738" s="28"/>
      <c r="BP738" s="28"/>
      <c r="BS738" s="28"/>
      <c r="BV738" s="28"/>
      <c r="BY738" s="28"/>
      <c r="CB738" s="28"/>
      <c r="CE738" s="28"/>
      <c r="CH738" s="28"/>
      <c r="CK738" s="28"/>
      <c r="CN738" s="28"/>
      <c r="CQ738" s="28"/>
      <c r="CT738" s="28"/>
      <c r="CW738" s="28"/>
      <c r="CZ738" s="28"/>
      <c r="DC738" s="28"/>
      <c r="DF738" s="28"/>
      <c r="DI738" s="28"/>
      <c r="DL738" s="28"/>
      <c r="DO738" s="28"/>
      <c r="DR738" s="28"/>
      <c r="DU738" s="28"/>
      <c r="DX738" s="28"/>
      <c r="EA738" s="28"/>
      <c r="ED738" s="28"/>
      <c r="EG738" s="28"/>
      <c r="EJ738" s="28"/>
      <c r="EM738" s="28"/>
      <c r="EP738" s="28"/>
      <c r="ES738" s="28"/>
      <c r="EV738" s="28"/>
      <c r="EY738" s="28"/>
      <c r="FB738" s="28"/>
      <c r="FE738" s="28"/>
      <c r="FH738" s="28"/>
      <c r="FK738" s="28"/>
      <c r="FN738" s="28"/>
      <c r="FQ738" s="28"/>
      <c r="FT738" s="28"/>
      <c r="FW738" s="28"/>
      <c r="FZ738" s="28"/>
      <c r="GC738" s="28"/>
    </row>
    <row r="739" spans="1:185" s="25" customFormat="1" x14ac:dyDescent="0.3">
      <c r="A739" s="27"/>
      <c r="B739" s="28"/>
      <c r="C739" s="27"/>
      <c r="D739" s="26"/>
      <c r="E739" s="28"/>
      <c r="H739" s="28"/>
      <c r="K739" s="28"/>
      <c r="N739" s="28"/>
      <c r="Q739" s="28"/>
      <c r="T739" s="28"/>
      <c r="W739" s="28"/>
      <c r="Z739" s="28"/>
      <c r="AC739" s="28"/>
      <c r="AF739" s="28"/>
      <c r="AI739" s="28"/>
      <c r="AL739" s="28"/>
      <c r="AO739" s="28"/>
      <c r="AR739" s="28"/>
      <c r="AU739" s="28"/>
      <c r="AX739" s="28"/>
      <c r="BA739" s="28"/>
      <c r="BD739" s="28"/>
      <c r="BG739" s="28"/>
      <c r="BJ739" s="28"/>
      <c r="BM739" s="28"/>
      <c r="BP739" s="28"/>
      <c r="BS739" s="28"/>
      <c r="BV739" s="28"/>
      <c r="BY739" s="28"/>
      <c r="CB739" s="28"/>
      <c r="CE739" s="28"/>
      <c r="CH739" s="28"/>
      <c r="CK739" s="28"/>
      <c r="CN739" s="28"/>
      <c r="CQ739" s="28"/>
      <c r="CT739" s="28"/>
      <c r="CW739" s="28"/>
      <c r="CZ739" s="28"/>
      <c r="DC739" s="28"/>
      <c r="DF739" s="28"/>
      <c r="DI739" s="28"/>
      <c r="DL739" s="28"/>
      <c r="DO739" s="28"/>
      <c r="DR739" s="28"/>
      <c r="DU739" s="28"/>
      <c r="DX739" s="28"/>
      <c r="EA739" s="28"/>
      <c r="ED739" s="28"/>
      <c r="EG739" s="28"/>
      <c r="EJ739" s="28"/>
      <c r="EM739" s="28"/>
      <c r="EP739" s="28"/>
      <c r="ES739" s="28"/>
      <c r="EV739" s="28"/>
      <c r="EY739" s="28"/>
      <c r="FB739" s="28"/>
      <c r="FE739" s="28"/>
      <c r="FH739" s="28"/>
      <c r="FK739" s="28"/>
      <c r="FN739" s="28"/>
      <c r="FQ739" s="28"/>
      <c r="FT739" s="28"/>
      <c r="FW739" s="28"/>
      <c r="FZ739" s="28"/>
      <c r="GC739" s="28"/>
    </row>
    <row r="740" spans="1:185" s="25" customFormat="1" x14ac:dyDescent="0.3">
      <c r="A740" s="27"/>
      <c r="B740" s="28"/>
      <c r="C740" s="27"/>
      <c r="D740" s="26"/>
      <c r="E740" s="28"/>
      <c r="H740" s="28"/>
      <c r="K740" s="28"/>
      <c r="N740" s="28"/>
      <c r="Q740" s="28"/>
      <c r="T740" s="28"/>
      <c r="W740" s="28"/>
      <c r="Z740" s="28"/>
      <c r="AC740" s="28"/>
      <c r="AF740" s="28"/>
      <c r="AI740" s="28"/>
      <c r="AL740" s="28"/>
      <c r="AO740" s="28"/>
      <c r="AR740" s="28"/>
      <c r="AU740" s="28"/>
      <c r="AX740" s="28"/>
      <c r="BA740" s="28"/>
      <c r="BD740" s="28"/>
      <c r="BG740" s="28"/>
      <c r="BJ740" s="28"/>
      <c r="BM740" s="28"/>
      <c r="BP740" s="28"/>
      <c r="BS740" s="28"/>
      <c r="BV740" s="28"/>
      <c r="BY740" s="28"/>
      <c r="CB740" s="28"/>
      <c r="CE740" s="28"/>
      <c r="CH740" s="28"/>
      <c r="CK740" s="28"/>
      <c r="CN740" s="28"/>
      <c r="CQ740" s="28"/>
      <c r="CT740" s="28"/>
      <c r="CW740" s="28"/>
      <c r="CZ740" s="28"/>
      <c r="DC740" s="28"/>
      <c r="DF740" s="28"/>
      <c r="DI740" s="28"/>
      <c r="DL740" s="28"/>
      <c r="DO740" s="28"/>
      <c r="DR740" s="28"/>
      <c r="DU740" s="28"/>
      <c r="DX740" s="28"/>
      <c r="EA740" s="28"/>
      <c r="ED740" s="28"/>
      <c r="EG740" s="28"/>
      <c r="EJ740" s="28"/>
      <c r="EM740" s="28"/>
      <c r="EP740" s="28"/>
      <c r="ES740" s="28"/>
      <c r="EV740" s="28"/>
      <c r="EY740" s="28"/>
      <c r="FB740" s="28"/>
      <c r="FE740" s="28"/>
      <c r="FH740" s="28"/>
      <c r="FK740" s="28"/>
      <c r="FN740" s="28"/>
      <c r="FQ740" s="28"/>
      <c r="FT740" s="28"/>
      <c r="FW740" s="28"/>
      <c r="FZ740" s="28"/>
      <c r="GC740" s="28"/>
    </row>
    <row r="741" spans="1:185" s="25" customFormat="1" x14ac:dyDescent="0.3">
      <c r="A741" s="27"/>
      <c r="B741" s="28"/>
      <c r="C741" s="27"/>
      <c r="D741" s="26"/>
      <c r="E741" s="28"/>
      <c r="H741" s="28"/>
      <c r="K741" s="28"/>
      <c r="N741" s="28"/>
      <c r="Q741" s="28"/>
      <c r="T741" s="28"/>
      <c r="W741" s="28"/>
      <c r="Z741" s="28"/>
      <c r="AC741" s="28"/>
      <c r="AF741" s="28"/>
      <c r="AI741" s="28"/>
      <c r="AL741" s="28"/>
      <c r="AO741" s="28"/>
      <c r="AR741" s="28"/>
      <c r="AU741" s="28"/>
      <c r="AX741" s="28"/>
      <c r="BA741" s="28"/>
      <c r="BD741" s="28"/>
      <c r="BG741" s="28"/>
      <c r="BJ741" s="28"/>
      <c r="BM741" s="28"/>
      <c r="BP741" s="28"/>
      <c r="BS741" s="28"/>
      <c r="BV741" s="28"/>
      <c r="BY741" s="28"/>
      <c r="CB741" s="28"/>
      <c r="CE741" s="28"/>
      <c r="CH741" s="28"/>
      <c r="CK741" s="28"/>
      <c r="CN741" s="28"/>
      <c r="CQ741" s="28"/>
      <c r="CT741" s="28"/>
      <c r="CW741" s="28"/>
      <c r="CZ741" s="28"/>
      <c r="DC741" s="28"/>
      <c r="DF741" s="28"/>
      <c r="DI741" s="28"/>
      <c r="DL741" s="28"/>
      <c r="DO741" s="28"/>
      <c r="DR741" s="28"/>
      <c r="DU741" s="28"/>
      <c r="DX741" s="28"/>
      <c r="EA741" s="28"/>
      <c r="ED741" s="28"/>
      <c r="EG741" s="28"/>
      <c r="EJ741" s="28"/>
      <c r="EM741" s="28"/>
      <c r="EP741" s="28"/>
      <c r="ES741" s="28"/>
      <c r="EV741" s="28"/>
      <c r="EY741" s="28"/>
      <c r="FB741" s="28"/>
      <c r="FE741" s="28"/>
      <c r="FH741" s="28"/>
      <c r="FK741" s="28"/>
      <c r="FN741" s="28"/>
      <c r="FQ741" s="28"/>
      <c r="FT741" s="28"/>
      <c r="FW741" s="28"/>
      <c r="FZ741" s="28"/>
      <c r="GC741" s="28"/>
    </row>
    <row r="742" spans="1:185" s="25" customFormat="1" x14ac:dyDescent="0.3">
      <c r="A742" s="27"/>
      <c r="B742" s="28"/>
      <c r="C742" s="27"/>
      <c r="D742" s="26"/>
      <c r="E742" s="28"/>
      <c r="H742" s="28"/>
      <c r="K742" s="28"/>
      <c r="N742" s="28"/>
      <c r="Q742" s="28"/>
      <c r="T742" s="28"/>
      <c r="W742" s="28"/>
      <c r="Z742" s="28"/>
      <c r="AC742" s="28"/>
      <c r="AF742" s="28"/>
      <c r="AI742" s="28"/>
      <c r="AL742" s="28"/>
      <c r="AO742" s="28"/>
      <c r="AR742" s="28"/>
      <c r="AU742" s="28"/>
      <c r="AX742" s="28"/>
      <c r="BA742" s="28"/>
      <c r="BD742" s="28"/>
      <c r="BG742" s="28"/>
      <c r="BJ742" s="28"/>
      <c r="BM742" s="28"/>
      <c r="BP742" s="28"/>
      <c r="BS742" s="28"/>
      <c r="BV742" s="28"/>
      <c r="BY742" s="28"/>
      <c r="CB742" s="28"/>
      <c r="CE742" s="28"/>
      <c r="CH742" s="28"/>
      <c r="CK742" s="28"/>
      <c r="CN742" s="28"/>
      <c r="CQ742" s="28"/>
      <c r="CT742" s="28"/>
      <c r="CW742" s="28"/>
      <c r="CZ742" s="28"/>
      <c r="DC742" s="28"/>
      <c r="DF742" s="28"/>
      <c r="DI742" s="28"/>
      <c r="DL742" s="28"/>
      <c r="DO742" s="28"/>
      <c r="DR742" s="28"/>
      <c r="DU742" s="28"/>
      <c r="DX742" s="28"/>
      <c r="EA742" s="28"/>
      <c r="ED742" s="28"/>
      <c r="EG742" s="28"/>
      <c r="EJ742" s="28"/>
      <c r="EM742" s="28"/>
      <c r="EP742" s="28"/>
      <c r="ES742" s="28"/>
      <c r="EV742" s="28"/>
      <c r="EY742" s="28"/>
      <c r="FB742" s="28"/>
      <c r="FE742" s="28"/>
      <c r="FH742" s="28"/>
      <c r="FK742" s="28"/>
      <c r="FN742" s="28"/>
      <c r="FQ742" s="28"/>
      <c r="FT742" s="28"/>
      <c r="FW742" s="28"/>
      <c r="FZ742" s="28"/>
      <c r="GC742" s="28"/>
    </row>
    <row r="743" spans="1:185" s="25" customFormat="1" x14ac:dyDescent="0.3">
      <c r="A743" s="27"/>
      <c r="B743" s="28"/>
      <c r="C743" s="27"/>
      <c r="D743" s="26"/>
      <c r="E743" s="28"/>
      <c r="H743" s="28"/>
      <c r="K743" s="28"/>
      <c r="N743" s="28"/>
      <c r="Q743" s="28"/>
      <c r="T743" s="28"/>
      <c r="W743" s="28"/>
      <c r="Z743" s="28"/>
      <c r="AC743" s="28"/>
      <c r="AF743" s="28"/>
      <c r="AI743" s="28"/>
      <c r="AL743" s="28"/>
      <c r="AO743" s="28"/>
      <c r="AR743" s="28"/>
      <c r="AU743" s="28"/>
      <c r="AX743" s="28"/>
      <c r="BA743" s="28"/>
      <c r="BD743" s="28"/>
      <c r="BG743" s="28"/>
      <c r="BJ743" s="28"/>
      <c r="BM743" s="28"/>
      <c r="BP743" s="28"/>
      <c r="BS743" s="28"/>
      <c r="BV743" s="28"/>
      <c r="BY743" s="28"/>
      <c r="CB743" s="28"/>
      <c r="CE743" s="28"/>
      <c r="CH743" s="28"/>
      <c r="CK743" s="28"/>
      <c r="CN743" s="28"/>
      <c r="CQ743" s="28"/>
      <c r="CT743" s="28"/>
      <c r="CW743" s="28"/>
      <c r="CZ743" s="28"/>
      <c r="DC743" s="28"/>
      <c r="DF743" s="28"/>
      <c r="DI743" s="28"/>
      <c r="DL743" s="28"/>
      <c r="DO743" s="28"/>
      <c r="DR743" s="28"/>
      <c r="DU743" s="28"/>
      <c r="DX743" s="28"/>
      <c r="EA743" s="28"/>
      <c r="ED743" s="28"/>
      <c r="EG743" s="28"/>
      <c r="EJ743" s="28"/>
      <c r="EM743" s="28"/>
      <c r="EP743" s="28"/>
      <c r="ES743" s="28"/>
      <c r="EV743" s="28"/>
      <c r="EY743" s="28"/>
      <c r="FB743" s="28"/>
      <c r="FE743" s="28"/>
      <c r="FH743" s="28"/>
      <c r="FK743" s="28"/>
      <c r="FN743" s="28"/>
      <c r="FQ743" s="28"/>
      <c r="FT743" s="28"/>
      <c r="FW743" s="28"/>
      <c r="FZ743" s="28"/>
      <c r="GC743" s="28"/>
    </row>
    <row r="744" spans="1:185" s="25" customFormat="1" x14ac:dyDescent="0.3">
      <c r="A744" s="27"/>
      <c r="B744" s="28"/>
      <c r="C744" s="27"/>
      <c r="D744" s="26"/>
      <c r="E744" s="28"/>
      <c r="H744" s="28"/>
      <c r="K744" s="28"/>
      <c r="N744" s="28"/>
      <c r="Q744" s="28"/>
      <c r="T744" s="28"/>
      <c r="W744" s="28"/>
      <c r="Z744" s="28"/>
      <c r="AC744" s="28"/>
      <c r="AF744" s="28"/>
      <c r="AI744" s="28"/>
      <c r="AL744" s="28"/>
      <c r="AO744" s="28"/>
      <c r="AR744" s="28"/>
      <c r="AU744" s="28"/>
      <c r="AX744" s="28"/>
      <c r="BA744" s="28"/>
      <c r="BD744" s="28"/>
      <c r="BG744" s="28"/>
      <c r="BJ744" s="28"/>
      <c r="BM744" s="28"/>
      <c r="BP744" s="28"/>
      <c r="BS744" s="28"/>
      <c r="BV744" s="28"/>
      <c r="BY744" s="28"/>
      <c r="CB744" s="28"/>
      <c r="CE744" s="28"/>
      <c r="CH744" s="28"/>
      <c r="CK744" s="28"/>
      <c r="CN744" s="28"/>
      <c r="CQ744" s="28"/>
      <c r="CT744" s="28"/>
      <c r="CW744" s="28"/>
      <c r="CZ744" s="28"/>
      <c r="DC744" s="28"/>
      <c r="DF744" s="28"/>
      <c r="DI744" s="28"/>
      <c r="DL744" s="28"/>
      <c r="DO744" s="28"/>
      <c r="DR744" s="28"/>
      <c r="DU744" s="28"/>
      <c r="DX744" s="28"/>
      <c r="EA744" s="28"/>
      <c r="ED744" s="28"/>
      <c r="EG744" s="28"/>
      <c r="EJ744" s="28"/>
      <c r="EM744" s="28"/>
      <c r="EP744" s="28"/>
      <c r="ES744" s="28"/>
      <c r="EV744" s="28"/>
      <c r="EY744" s="28"/>
      <c r="FB744" s="28"/>
      <c r="FE744" s="28"/>
      <c r="FH744" s="28"/>
      <c r="FK744" s="28"/>
      <c r="FN744" s="28"/>
      <c r="FQ744" s="28"/>
      <c r="FT744" s="28"/>
      <c r="FW744" s="28"/>
      <c r="FZ744" s="28"/>
      <c r="GC744" s="28"/>
    </row>
    <row r="745" spans="1:185" s="25" customFormat="1" x14ac:dyDescent="0.3">
      <c r="A745" s="27"/>
      <c r="B745" s="28"/>
      <c r="C745" s="27"/>
      <c r="D745" s="26"/>
      <c r="E745" s="28"/>
      <c r="H745" s="28"/>
      <c r="K745" s="28"/>
      <c r="N745" s="28"/>
      <c r="Q745" s="28"/>
      <c r="T745" s="28"/>
      <c r="W745" s="28"/>
      <c r="Z745" s="28"/>
      <c r="AC745" s="28"/>
      <c r="AF745" s="28"/>
      <c r="AI745" s="28"/>
      <c r="AL745" s="28"/>
      <c r="AO745" s="28"/>
      <c r="AR745" s="28"/>
      <c r="AU745" s="28"/>
      <c r="AX745" s="28"/>
      <c r="BA745" s="28"/>
      <c r="BD745" s="28"/>
      <c r="BG745" s="28"/>
      <c r="BJ745" s="28"/>
      <c r="BM745" s="28"/>
      <c r="BP745" s="28"/>
      <c r="BS745" s="28"/>
      <c r="BV745" s="28"/>
      <c r="BY745" s="28"/>
      <c r="CB745" s="28"/>
      <c r="CE745" s="28"/>
      <c r="CH745" s="28"/>
      <c r="CK745" s="28"/>
      <c r="CN745" s="28"/>
      <c r="CQ745" s="28"/>
      <c r="CT745" s="28"/>
      <c r="CW745" s="28"/>
      <c r="CZ745" s="28"/>
      <c r="DC745" s="28"/>
      <c r="DF745" s="28"/>
      <c r="DI745" s="28"/>
      <c r="DL745" s="28"/>
      <c r="DO745" s="28"/>
      <c r="DR745" s="28"/>
      <c r="DU745" s="28"/>
      <c r="DX745" s="28"/>
      <c r="EA745" s="28"/>
      <c r="ED745" s="28"/>
      <c r="EG745" s="28"/>
      <c r="EJ745" s="28"/>
      <c r="EM745" s="28"/>
      <c r="EP745" s="28"/>
      <c r="ES745" s="28"/>
      <c r="EV745" s="28"/>
      <c r="EY745" s="28"/>
      <c r="FB745" s="28"/>
      <c r="FE745" s="28"/>
      <c r="FH745" s="28"/>
      <c r="FK745" s="28"/>
      <c r="FN745" s="28"/>
      <c r="FQ745" s="28"/>
      <c r="FT745" s="28"/>
      <c r="FW745" s="28"/>
      <c r="FZ745" s="28"/>
      <c r="GC745" s="28"/>
    </row>
    <row r="746" spans="1:185" s="25" customFormat="1" x14ac:dyDescent="0.3">
      <c r="A746" s="27"/>
      <c r="B746" s="28"/>
      <c r="C746" s="27"/>
      <c r="D746" s="26"/>
      <c r="E746" s="28"/>
      <c r="H746" s="28"/>
      <c r="K746" s="28"/>
      <c r="N746" s="28"/>
      <c r="Q746" s="28"/>
      <c r="T746" s="28"/>
      <c r="W746" s="28"/>
      <c r="Z746" s="28"/>
      <c r="AC746" s="28"/>
      <c r="AF746" s="28"/>
      <c r="AI746" s="28"/>
      <c r="AL746" s="28"/>
      <c r="AO746" s="28"/>
      <c r="AR746" s="28"/>
      <c r="AU746" s="28"/>
      <c r="AX746" s="28"/>
      <c r="BA746" s="28"/>
      <c r="BD746" s="28"/>
      <c r="BG746" s="28"/>
      <c r="BJ746" s="28"/>
      <c r="BM746" s="28"/>
      <c r="BP746" s="28"/>
      <c r="BS746" s="28"/>
      <c r="BV746" s="28"/>
      <c r="BY746" s="28"/>
      <c r="CB746" s="28"/>
      <c r="CE746" s="28"/>
      <c r="CH746" s="28"/>
      <c r="CK746" s="28"/>
      <c r="CN746" s="28"/>
      <c r="CQ746" s="28"/>
      <c r="CT746" s="28"/>
      <c r="CW746" s="28"/>
      <c r="CZ746" s="28"/>
      <c r="DC746" s="28"/>
      <c r="DF746" s="28"/>
      <c r="DI746" s="28"/>
      <c r="DL746" s="28"/>
      <c r="DO746" s="28"/>
      <c r="DR746" s="28"/>
      <c r="DU746" s="28"/>
      <c r="DX746" s="28"/>
      <c r="EA746" s="28"/>
      <c r="ED746" s="28"/>
      <c r="EG746" s="28"/>
      <c r="EJ746" s="28"/>
      <c r="EM746" s="28"/>
      <c r="EP746" s="28"/>
      <c r="ES746" s="28"/>
      <c r="EV746" s="28"/>
      <c r="EY746" s="28"/>
      <c r="FB746" s="28"/>
      <c r="FE746" s="28"/>
      <c r="FH746" s="28"/>
      <c r="FK746" s="28"/>
      <c r="FN746" s="28"/>
      <c r="FQ746" s="28"/>
      <c r="FT746" s="28"/>
      <c r="FW746" s="28"/>
      <c r="FZ746" s="28"/>
      <c r="GC746" s="28"/>
    </row>
    <row r="747" spans="1:185" s="25" customFormat="1" x14ac:dyDescent="0.3">
      <c r="A747" s="27"/>
      <c r="B747" s="28"/>
      <c r="C747" s="27"/>
      <c r="D747" s="26"/>
      <c r="E747" s="28"/>
      <c r="H747" s="28"/>
      <c r="K747" s="28"/>
      <c r="N747" s="28"/>
      <c r="Q747" s="28"/>
      <c r="T747" s="28"/>
      <c r="W747" s="28"/>
      <c r="Z747" s="28"/>
      <c r="AC747" s="28"/>
      <c r="AF747" s="28"/>
      <c r="AI747" s="28"/>
      <c r="AL747" s="28"/>
      <c r="AO747" s="28"/>
      <c r="AR747" s="28"/>
      <c r="AU747" s="28"/>
      <c r="AX747" s="28"/>
      <c r="BA747" s="28"/>
      <c r="BD747" s="28"/>
      <c r="BG747" s="28"/>
      <c r="BJ747" s="28"/>
      <c r="BM747" s="28"/>
      <c r="BP747" s="28"/>
      <c r="BS747" s="28"/>
      <c r="BV747" s="28"/>
      <c r="BY747" s="28"/>
      <c r="CB747" s="28"/>
      <c r="CE747" s="28"/>
      <c r="CH747" s="28"/>
      <c r="CK747" s="28"/>
      <c r="CN747" s="28"/>
      <c r="CQ747" s="28"/>
      <c r="CT747" s="28"/>
      <c r="CW747" s="28"/>
      <c r="CZ747" s="28"/>
      <c r="DC747" s="28"/>
      <c r="DF747" s="28"/>
      <c r="DI747" s="28"/>
      <c r="DL747" s="28"/>
      <c r="DO747" s="28"/>
      <c r="DR747" s="28"/>
      <c r="DU747" s="28"/>
      <c r="DX747" s="28"/>
      <c r="EA747" s="28"/>
      <c r="ED747" s="28"/>
      <c r="EG747" s="28"/>
      <c r="EJ747" s="28"/>
      <c r="EM747" s="28"/>
      <c r="EP747" s="28"/>
      <c r="ES747" s="28"/>
      <c r="EV747" s="28"/>
      <c r="EY747" s="28"/>
      <c r="FB747" s="28"/>
      <c r="FE747" s="28"/>
      <c r="FH747" s="28"/>
      <c r="FK747" s="28"/>
      <c r="FN747" s="28"/>
      <c r="FQ747" s="28"/>
      <c r="FT747" s="28"/>
      <c r="FW747" s="28"/>
      <c r="FZ747" s="28"/>
      <c r="GC747" s="28"/>
    </row>
    <row r="748" spans="1:185" s="25" customFormat="1" x14ac:dyDescent="0.3">
      <c r="A748" s="27"/>
      <c r="B748" s="28"/>
      <c r="C748" s="27"/>
      <c r="D748" s="26"/>
      <c r="E748" s="28"/>
      <c r="H748" s="28"/>
      <c r="K748" s="28"/>
      <c r="N748" s="28"/>
      <c r="Q748" s="28"/>
      <c r="T748" s="28"/>
      <c r="W748" s="28"/>
      <c r="Z748" s="28"/>
      <c r="AC748" s="28"/>
      <c r="AF748" s="28"/>
      <c r="AI748" s="28"/>
      <c r="AL748" s="28"/>
      <c r="AO748" s="28"/>
      <c r="AR748" s="28"/>
      <c r="AU748" s="28"/>
      <c r="AX748" s="28"/>
      <c r="BA748" s="28"/>
      <c r="BD748" s="28"/>
      <c r="BG748" s="28"/>
      <c r="BJ748" s="28"/>
      <c r="BM748" s="28"/>
      <c r="BP748" s="28"/>
      <c r="BS748" s="28"/>
      <c r="BV748" s="28"/>
      <c r="BY748" s="28"/>
      <c r="CB748" s="28"/>
      <c r="CE748" s="28"/>
      <c r="CH748" s="28"/>
      <c r="CK748" s="28"/>
      <c r="CN748" s="28"/>
      <c r="CQ748" s="28"/>
      <c r="CT748" s="28"/>
      <c r="CW748" s="28"/>
      <c r="CZ748" s="28"/>
      <c r="DC748" s="28"/>
      <c r="DF748" s="28"/>
      <c r="DI748" s="28"/>
      <c r="DL748" s="28"/>
      <c r="DO748" s="28"/>
      <c r="DR748" s="28"/>
      <c r="DU748" s="28"/>
      <c r="DX748" s="28"/>
      <c r="EA748" s="28"/>
      <c r="ED748" s="28"/>
      <c r="EG748" s="28"/>
      <c r="EJ748" s="28"/>
      <c r="EM748" s="28"/>
      <c r="EP748" s="28"/>
      <c r="ES748" s="28"/>
      <c r="EV748" s="28"/>
      <c r="EY748" s="28"/>
      <c r="FB748" s="28"/>
      <c r="FE748" s="28"/>
      <c r="FH748" s="28"/>
      <c r="FK748" s="28"/>
      <c r="FN748" s="28"/>
      <c r="FQ748" s="28"/>
      <c r="FT748" s="28"/>
      <c r="FW748" s="28"/>
      <c r="FZ748" s="28"/>
      <c r="GC748" s="28"/>
    </row>
    <row r="749" spans="1:185" s="25" customFormat="1" x14ac:dyDescent="0.3">
      <c r="A749" s="27"/>
      <c r="B749" s="28"/>
      <c r="C749" s="27"/>
      <c r="D749" s="26"/>
      <c r="E749" s="28"/>
      <c r="H749" s="28"/>
      <c r="K749" s="28"/>
      <c r="N749" s="28"/>
      <c r="Q749" s="28"/>
      <c r="T749" s="28"/>
      <c r="W749" s="28"/>
      <c r="Z749" s="28"/>
      <c r="AC749" s="28"/>
      <c r="AF749" s="28"/>
      <c r="AI749" s="28"/>
      <c r="AL749" s="28"/>
      <c r="AO749" s="28"/>
      <c r="AR749" s="28"/>
      <c r="AU749" s="28"/>
      <c r="AX749" s="28"/>
      <c r="BA749" s="28"/>
      <c r="BD749" s="28"/>
      <c r="BG749" s="28"/>
      <c r="BJ749" s="28"/>
      <c r="BM749" s="28"/>
      <c r="BP749" s="28"/>
      <c r="BS749" s="28"/>
      <c r="BV749" s="28"/>
      <c r="BY749" s="28"/>
      <c r="CB749" s="28"/>
      <c r="CE749" s="28"/>
      <c r="CH749" s="28"/>
      <c r="CK749" s="28"/>
      <c r="CN749" s="28"/>
      <c r="CQ749" s="28"/>
      <c r="CT749" s="28"/>
      <c r="CW749" s="28"/>
      <c r="CZ749" s="28"/>
      <c r="DC749" s="28"/>
      <c r="DF749" s="28"/>
      <c r="DI749" s="28"/>
      <c r="DL749" s="28"/>
      <c r="DO749" s="28"/>
      <c r="DR749" s="28"/>
      <c r="DU749" s="28"/>
      <c r="DX749" s="28"/>
      <c r="EA749" s="28"/>
      <c r="ED749" s="28"/>
      <c r="EG749" s="28"/>
      <c r="EJ749" s="28"/>
      <c r="EM749" s="28"/>
      <c r="EP749" s="28"/>
      <c r="ES749" s="28"/>
      <c r="EV749" s="28"/>
      <c r="EY749" s="28"/>
      <c r="FB749" s="28"/>
      <c r="FE749" s="28"/>
      <c r="FH749" s="28"/>
      <c r="FK749" s="28"/>
      <c r="FN749" s="28"/>
      <c r="FQ749" s="28"/>
      <c r="FT749" s="28"/>
      <c r="FW749" s="28"/>
      <c r="FZ749" s="28"/>
      <c r="GC749" s="28"/>
    </row>
    <row r="750" spans="1:185" s="25" customFormat="1" x14ac:dyDescent="0.3">
      <c r="A750" s="27"/>
      <c r="B750" s="28"/>
      <c r="C750" s="27"/>
      <c r="D750" s="26"/>
      <c r="E750" s="28"/>
      <c r="H750" s="28"/>
      <c r="K750" s="28"/>
      <c r="N750" s="28"/>
      <c r="Q750" s="28"/>
      <c r="T750" s="28"/>
      <c r="W750" s="28"/>
      <c r="Z750" s="28"/>
      <c r="AC750" s="28"/>
      <c r="AF750" s="28"/>
      <c r="AI750" s="28"/>
      <c r="AL750" s="28"/>
      <c r="AO750" s="28"/>
      <c r="AR750" s="28"/>
      <c r="AU750" s="28"/>
      <c r="AX750" s="28"/>
      <c r="BA750" s="28"/>
      <c r="BD750" s="28"/>
      <c r="BG750" s="28"/>
      <c r="BJ750" s="28"/>
      <c r="BM750" s="28"/>
      <c r="BP750" s="28"/>
      <c r="BS750" s="28"/>
      <c r="BV750" s="28"/>
      <c r="BY750" s="28"/>
      <c r="CB750" s="28"/>
      <c r="CE750" s="28"/>
      <c r="CH750" s="28"/>
      <c r="CK750" s="28"/>
      <c r="CN750" s="28"/>
      <c r="CQ750" s="28"/>
      <c r="CT750" s="28"/>
      <c r="CW750" s="28"/>
      <c r="CZ750" s="28"/>
      <c r="DC750" s="28"/>
      <c r="DF750" s="28"/>
      <c r="DI750" s="28"/>
      <c r="DL750" s="28"/>
      <c r="DO750" s="28"/>
      <c r="DR750" s="28"/>
      <c r="DU750" s="28"/>
      <c r="DX750" s="28"/>
      <c r="EA750" s="28"/>
      <c r="ED750" s="28"/>
      <c r="EG750" s="28"/>
      <c r="EJ750" s="28"/>
      <c r="EM750" s="28"/>
      <c r="EP750" s="28"/>
      <c r="ES750" s="28"/>
      <c r="EV750" s="28"/>
      <c r="EY750" s="28"/>
      <c r="FB750" s="28"/>
      <c r="FE750" s="28"/>
      <c r="FH750" s="28"/>
      <c r="FK750" s="28"/>
      <c r="FN750" s="28"/>
      <c r="FQ750" s="28"/>
      <c r="FT750" s="28"/>
      <c r="FW750" s="28"/>
      <c r="FZ750" s="28"/>
      <c r="GC750" s="28"/>
    </row>
    <row r="751" spans="1:185" s="25" customFormat="1" x14ac:dyDescent="0.3">
      <c r="A751" s="27"/>
      <c r="B751" s="28"/>
      <c r="C751" s="27"/>
      <c r="D751" s="26"/>
      <c r="E751" s="28"/>
      <c r="H751" s="28"/>
      <c r="K751" s="28"/>
      <c r="N751" s="28"/>
      <c r="Q751" s="28"/>
      <c r="T751" s="28"/>
      <c r="W751" s="28"/>
      <c r="Z751" s="28"/>
      <c r="AC751" s="28"/>
      <c r="AF751" s="28"/>
      <c r="AI751" s="28"/>
      <c r="AL751" s="28"/>
      <c r="AO751" s="28"/>
      <c r="AR751" s="28"/>
      <c r="AU751" s="28"/>
      <c r="AX751" s="28"/>
      <c r="BA751" s="28"/>
      <c r="BD751" s="28"/>
      <c r="BG751" s="28"/>
      <c r="BJ751" s="28"/>
      <c r="BM751" s="28"/>
      <c r="BP751" s="28"/>
      <c r="BS751" s="28"/>
      <c r="BV751" s="28"/>
      <c r="BY751" s="28"/>
      <c r="CB751" s="28"/>
      <c r="CE751" s="28"/>
      <c r="CH751" s="28"/>
      <c r="CK751" s="28"/>
      <c r="CN751" s="28"/>
      <c r="CQ751" s="28"/>
      <c r="CT751" s="28"/>
      <c r="CW751" s="28"/>
      <c r="CZ751" s="28"/>
      <c r="DC751" s="28"/>
      <c r="DF751" s="28"/>
      <c r="DI751" s="28"/>
      <c r="DL751" s="28"/>
      <c r="DO751" s="28"/>
      <c r="DR751" s="28"/>
      <c r="DU751" s="28"/>
      <c r="DX751" s="28"/>
      <c r="EA751" s="28"/>
      <c r="ED751" s="28"/>
      <c r="EG751" s="28"/>
      <c r="EJ751" s="28"/>
      <c r="EM751" s="28"/>
      <c r="EP751" s="28"/>
      <c r="ES751" s="28"/>
      <c r="EV751" s="28"/>
      <c r="EY751" s="28"/>
      <c r="FB751" s="28"/>
      <c r="FE751" s="28"/>
      <c r="FH751" s="28"/>
      <c r="FK751" s="28"/>
      <c r="FN751" s="28"/>
      <c r="FQ751" s="28"/>
      <c r="FT751" s="28"/>
      <c r="FW751" s="28"/>
      <c r="FZ751" s="28"/>
      <c r="GC751" s="28"/>
    </row>
    <row r="752" spans="1:185" s="25" customFormat="1" x14ac:dyDescent="0.3">
      <c r="A752" s="27"/>
      <c r="B752" s="28"/>
      <c r="C752" s="27"/>
      <c r="D752" s="26"/>
      <c r="E752" s="28"/>
      <c r="H752" s="28"/>
      <c r="K752" s="28"/>
      <c r="N752" s="28"/>
      <c r="Q752" s="28"/>
      <c r="T752" s="28"/>
      <c r="W752" s="28"/>
      <c r="Z752" s="28"/>
      <c r="AC752" s="28"/>
      <c r="AF752" s="28"/>
      <c r="AI752" s="28"/>
      <c r="AL752" s="28"/>
      <c r="AO752" s="28"/>
      <c r="AR752" s="28"/>
      <c r="AU752" s="28"/>
      <c r="AX752" s="28"/>
      <c r="BA752" s="28"/>
      <c r="BD752" s="28"/>
      <c r="BG752" s="28"/>
      <c r="BJ752" s="28"/>
      <c r="BM752" s="28"/>
      <c r="BP752" s="28"/>
      <c r="BS752" s="28"/>
      <c r="BV752" s="28"/>
      <c r="BY752" s="28"/>
      <c r="CB752" s="28"/>
      <c r="CE752" s="28"/>
      <c r="CH752" s="28"/>
      <c r="CK752" s="28"/>
      <c r="CN752" s="28"/>
      <c r="CQ752" s="28"/>
      <c r="CT752" s="28"/>
      <c r="CW752" s="28"/>
      <c r="CZ752" s="28"/>
      <c r="DC752" s="28"/>
      <c r="DF752" s="28"/>
      <c r="DI752" s="28"/>
      <c r="DL752" s="28"/>
      <c r="DO752" s="28"/>
      <c r="DR752" s="28"/>
      <c r="DU752" s="28"/>
      <c r="DX752" s="28"/>
      <c r="EA752" s="28"/>
      <c r="ED752" s="28"/>
      <c r="EG752" s="28"/>
      <c r="EJ752" s="28"/>
      <c r="EM752" s="28"/>
      <c r="EP752" s="28"/>
      <c r="ES752" s="28"/>
      <c r="EV752" s="28"/>
      <c r="EY752" s="28"/>
      <c r="FB752" s="28"/>
      <c r="FE752" s="28"/>
      <c r="FH752" s="28"/>
      <c r="FK752" s="28"/>
      <c r="FN752" s="28"/>
      <c r="FQ752" s="28"/>
      <c r="FT752" s="28"/>
      <c r="FW752" s="28"/>
      <c r="FZ752" s="28"/>
      <c r="GC752" s="28"/>
    </row>
    <row r="753" spans="1:185" s="25" customFormat="1" x14ac:dyDescent="0.3">
      <c r="A753" s="27"/>
      <c r="B753" s="28"/>
      <c r="C753" s="27"/>
      <c r="D753" s="26"/>
      <c r="E753" s="28"/>
      <c r="H753" s="28"/>
      <c r="K753" s="28"/>
      <c r="N753" s="28"/>
      <c r="Q753" s="28"/>
      <c r="T753" s="28"/>
      <c r="W753" s="28"/>
      <c r="Z753" s="28"/>
      <c r="AC753" s="28"/>
      <c r="AF753" s="28"/>
      <c r="AI753" s="28"/>
      <c r="AL753" s="28"/>
      <c r="AO753" s="28"/>
      <c r="AR753" s="28"/>
      <c r="AU753" s="28"/>
      <c r="AX753" s="28"/>
      <c r="BA753" s="28"/>
      <c r="BD753" s="28"/>
      <c r="BG753" s="28"/>
      <c r="BJ753" s="28"/>
      <c r="BM753" s="28"/>
      <c r="BP753" s="28"/>
      <c r="BS753" s="28"/>
      <c r="BV753" s="28"/>
      <c r="BY753" s="28"/>
      <c r="CB753" s="28"/>
      <c r="CE753" s="28"/>
      <c r="CH753" s="28"/>
      <c r="CK753" s="28"/>
      <c r="CN753" s="28"/>
      <c r="CQ753" s="28"/>
      <c r="CT753" s="28"/>
      <c r="CW753" s="28"/>
      <c r="CZ753" s="28"/>
      <c r="DC753" s="28"/>
      <c r="DF753" s="28"/>
      <c r="DI753" s="28"/>
      <c r="DL753" s="28"/>
      <c r="DO753" s="28"/>
      <c r="DR753" s="28"/>
      <c r="DU753" s="28"/>
      <c r="DX753" s="28"/>
      <c r="EA753" s="28"/>
      <c r="ED753" s="28"/>
      <c r="EG753" s="28"/>
      <c r="EJ753" s="28"/>
      <c r="EM753" s="28"/>
      <c r="EP753" s="28"/>
      <c r="ES753" s="28"/>
      <c r="EV753" s="28"/>
      <c r="EY753" s="28"/>
      <c r="FB753" s="28"/>
      <c r="FE753" s="28"/>
      <c r="FH753" s="28"/>
      <c r="FK753" s="28"/>
      <c r="FN753" s="28"/>
      <c r="FQ753" s="28"/>
      <c r="FT753" s="28"/>
      <c r="FW753" s="28"/>
      <c r="FZ753" s="28"/>
      <c r="GC753" s="28"/>
    </row>
    <row r="754" spans="1:185" s="25" customFormat="1" x14ac:dyDescent="0.3">
      <c r="A754" s="27"/>
      <c r="B754" s="28"/>
      <c r="C754" s="27"/>
      <c r="D754" s="26"/>
      <c r="E754" s="28"/>
      <c r="H754" s="28"/>
      <c r="K754" s="28"/>
      <c r="N754" s="28"/>
      <c r="Q754" s="28"/>
      <c r="T754" s="28"/>
      <c r="W754" s="28"/>
      <c r="Z754" s="28"/>
      <c r="AC754" s="28"/>
      <c r="AF754" s="28"/>
      <c r="AI754" s="28"/>
      <c r="AL754" s="28"/>
      <c r="AO754" s="28"/>
      <c r="AR754" s="28"/>
      <c r="AU754" s="28"/>
      <c r="AX754" s="28"/>
      <c r="BA754" s="28"/>
      <c r="BD754" s="28"/>
      <c r="BG754" s="28"/>
      <c r="BJ754" s="28"/>
      <c r="BM754" s="28"/>
      <c r="BP754" s="28"/>
      <c r="BS754" s="28"/>
      <c r="BV754" s="28"/>
      <c r="BY754" s="28"/>
      <c r="CB754" s="28"/>
      <c r="CE754" s="28"/>
      <c r="CH754" s="28"/>
      <c r="CK754" s="28"/>
      <c r="CN754" s="28"/>
      <c r="CQ754" s="28"/>
      <c r="CT754" s="28"/>
      <c r="CW754" s="28"/>
      <c r="CZ754" s="28"/>
      <c r="DC754" s="28"/>
      <c r="DF754" s="28"/>
      <c r="DI754" s="28"/>
      <c r="DL754" s="28"/>
      <c r="DO754" s="28"/>
      <c r="DR754" s="28"/>
      <c r="DU754" s="28"/>
      <c r="DX754" s="28"/>
      <c r="EA754" s="28"/>
      <c r="ED754" s="28"/>
      <c r="EG754" s="28"/>
      <c r="EJ754" s="28"/>
      <c r="EM754" s="28"/>
      <c r="EP754" s="28"/>
      <c r="ES754" s="28"/>
      <c r="EV754" s="28"/>
      <c r="EY754" s="28"/>
      <c r="FB754" s="28"/>
      <c r="FE754" s="28"/>
      <c r="FH754" s="28"/>
      <c r="FK754" s="28"/>
      <c r="FN754" s="28"/>
      <c r="FQ754" s="28"/>
      <c r="FT754" s="28"/>
      <c r="FW754" s="28"/>
      <c r="FZ754" s="28"/>
      <c r="GC754" s="28"/>
    </row>
    <row r="755" spans="1:185" s="25" customFormat="1" x14ac:dyDescent="0.3">
      <c r="A755" s="27"/>
      <c r="B755" s="28"/>
      <c r="C755" s="27"/>
      <c r="D755" s="26"/>
      <c r="E755" s="28"/>
      <c r="H755" s="28"/>
      <c r="K755" s="28"/>
      <c r="N755" s="28"/>
      <c r="Q755" s="28"/>
      <c r="T755" s="28"/>
      <c r="W755" s="28"/>
      <c r="Z755" s="28"/>
      <c r="AC755" s="28"/>
      <c r="AF755" s="28"/>
      <c r="AI755" s="28"/>
      <c r="AL755" s="28"/>
      <c r="AO755" s="28"/>
      <c r="AR755" s="28"/>
      <c r="AU755" s="28"/>
      <c r="AX755" s="28"/>
      <c r="BA755" s="28"/>
      <c r="BD755" s="28"/>
      <c r="BG755" s="28"/>
      <c r="BJ755" s="28"/>
      <c r="BM755" s="28"/>
      <c r="BP755" s="28"/>
      <c r="BS755" s="28"/>
      <c r="BV755" s="28"/>
      <c r="BY755" s="28"/>
      <c r="CB755" s="28"/>
      <c r="CE755" s="28"/>
      <c r="CH755" s="28"/>
      <c r="CK755" s="28"/>
      <c r="CN755" s="28"/>
      <c r="CQ755" s="28"/>
      <c r="CT755" s="28"/>
      <c r="CW755" s="28"/>
      <c r="CZ755" s="28"/>
      <c r="DC755" s="28"/>
      <c r="DF755" s="28"/>
      <c r="DI755" s="28"/>
      <c r="DL755" s="28"/>
      <c r="DO755" s="28"/>
      <c r="DR755" s="28"/>
      <c r="DU755" s="28"/>
      <c r="DX755" s="28"/>
      <c r="EA755" s="28"/>
      <c r="ED755" s="28"/>
      <c r="EG755" s="28"/>
      <c r="EJ755" s="28"/>
      <c r="EM755" s="28"/>
      <c r="EP755" s="28"/>
      <c r="ES755" s="28"/>
      <c r="EV755" s="28"/>
      <c r="EY755" s="28"/>
      <c r="FB755" s="28"/>
      <c r="FE755" s="28"/>
      <c r="FH755" s="28"/>
      <c r="FK755" s="28"/>
      <c r="FN755" s="28"/>
      <c r="FQ755" s="28"/>
      <c r="FT755" s="28"/>
      <c r="FW755" s="28"/>
      <c r="FZ755" s="28"/>
      <c r="GC755" s="28"/>
    </row>
    <row r="756" spans="1:185" s="25" customFormat="1" x14ac:dyDescent="0.3">
      <c r="A756" s="27"/>
      <c r="B756" s="28"/>
      <c r="C756" s="27"/>
      <c r="D756" s="26"/>
      <c r="E756" s="28"/>
      <c r="H756" s="28"/>
      <c r="K756" s="28"/>
      <c r="N756" s="28"/>
      <c r="Q756" s="28"/>
      <c r="T756" s="28"/>
      <c r="W756" s="28"/>
      <c r="Z756" s="28"/>
      <c r="AC756" s="28"/>
      <c r="AF756" s="28"/>
      <c r="AI756" s="28"/>
      <c r="AL756" s="28"/>
      <c r="AO756" s="28"/>
      <c r="AR756" s="28"/>
      <c r="AU756" s="28"/>
      <c r="AX756" s="28"/>
      <c r="BA756" s="28"/>
      <c r="BD756" s="28"/>
      <c r="BG756" s="28"/>
      <c r="BJ756" s="28"/>
      <c r="BM756" s="28"/>
      <c r="BP756" s="28"/>
      <c r="BS756" s="28"/>
      <c r="BV756" s="28"/>
      <c r="BY756" s="28"/>
      <c r="CB756" s="28"/>
      <c r="CE756" s="28"/>
      <c r="CH756" s="28"/>
      <c r="CK756" s="28"/>
      <c r="CN756" s="28"/>
      <c r="CQ756" s="28"/>
      <c r="CT756" s="28"/>
      <c r="CW756" s="28"/>
      <c r="CZ756" s="28"/>
      <c r="DC756" s="28"/>
      <c r="DF756" s="28"/>
      <c r="DI756" s="28"/>
      <c r="DL756" s="28"/>
      <c r="DO756" s="28"/>
      <c r="DR756" s="28"/>
      <c r="DU756" s="28"/>
      <c r="DX756" s="28"/>
      <c r="EA756" s="28"/>
      <c r="ED756" s="28"/>
      <c r="EG756" s="28"/>
      <c r="EJ756" s="28"/>
      <c r="EM756" s="28"/>
      <c r="EP756" s="28"/>
      <c r="ES756" s="28"/>
      <c r="EV756" s="28"/>
      <c r="EY756" s="28"/>
      <c r="FB756" s="28"/>
      <c r="FE756" s="28"/>
      <c r="FH756" s="28"/>
      <c r="FK756" s="28"/>
      <c r="FN756" s="28"/>
      <c r="FQ756" s="28"/>
      <c r="FT756" s="28"/>
      <c r="FW756" s="28"/>
      <c r="FZ756" s="28"/>
      <c r="GC756" s="28"/>
    </row>
    <row r="757" spans="1:185" s="25" customFormat="1" x14ac:dyDescent="0.3">
      <c r="A757" s="27"/>
      <c r="B757" s="28"/>
      <c r="C757" s="27"/>
      <c r="D757" s="26"/>
      <c r="E757" s="28"/>
      <c r="H757" s="28"/>
      <c r="K757" s="28"/>
      <c r="N757" s="28"/>
      <c r="Q757" s="28"/>
      <c r="T757" s="28"/>
      <c r="W757" s="28"/>
      <c r="Z757" s="28"/>
      <c r="AC757" s="28"/>
      <c r="AF757" s="28"/>
      <c r="AI757" s="28"/>
      <c r="AL757" s="28"/>
      <c r="AO757" s="28"/>
      <c r="AR757" s="28"/>
      <c r="AU757" s="28"/>
      <c r="AX757" s="28"/>
      <c r="BA757" s="28"/>
      <c r="BD757" s="28"/>
      <c r="BG757" s="28"/>
      <c r="BJ757" s="28"/>
      <c r="BM757" s="28"/>
      <c r="BP757" s="28"/>
      <c r="BS757" s="28"/>
      <c r="BV757" s="28"/>
      <c r="BY757" s="28"/>
      <c r="CB757" s="28"/>
      <c r="CE757" s="28"/>
      <c r="CH757" s="28"/>
      <c r="CK757" s="28"/>
      <c r="CN757" s="28"/>
      <c r="CQ757" s="28"/>
      <c r="CT757" s="28"/>
      <c r="CW757" s="28"/>
      <c r="CZ757" s="28"/>
      <c r="DC757" s="28"/>
      <c r="DF757" s="28"/>
      <c r="DI757" s="28"/>
      <c r="DL757" s="28"/>
      <c r="DO757" s="28"/>
      <c r="DR757" s="28"/>
      <c r="DU757" s="28"/>
      <c r="DX757" s="28"/>
      <c r="EA757" s="28"/>
      <c r="ED757" s="28"/>
      <c r="EG757" s="28"/>
      <c r="EJ757" s="28"/>
      <c r="EM757" s="28"/>
      <c r="EP757" s="28"/>
      <c r="ES757" s="28"/>
      <c r="EV757" s="28"/>
      <c r="EY757" s="28"/>
      <c r="FB757" s="28"/>
      <c r="FE757" s="28"/>
      <c r="FH757" s="28"/>
      <c r="FK757" s="28"/>
      <c r="FN757" s="28"/>
      <c r="FQ757" s="28"/>
      <c r="FT757" s="28"/>
      <c r="FW757" s="28"/>
      <c r="FZ757" s="28"/>
      <c r="GC757" s="28"/>
    </row>
    <row r="758" spans="1:185" s="25" customFormat="1" x14ac:dyDescent="0.3">
      <c r="A758" s="27"/>
      <c r="B758" s="28"/>
      <c r="C758" s="27"/>
      <c r="D758" s="26"/>
      <c r="E758" s="28"/>
      <c r="H758" s="28"/>
      <c r="K758" s="28"/>
      <c r="N758" s="28"/>
      <c r="Q758" s="28"/>
      <c r="T758" s="28"/>
      <c r="W758" s="28"/>
      <c r="Z758" s="28"/>
      <c r="AC758" s="28"/>
      <c r="AF758" s="28"/>
      <c r="AI758" s="28"/>
      <c r="AL758" s="28"/>
      <c r="AO758" s="28"/>
      <c r="AR758" s="28"/>
      <c r="AU758" s="28"/>
      <c r="AX758" s="28"/>
      <c r="BA758" s="28"/>
      <c r="BD758" s="28"/>
      <c r="BG758" s="28"/>
      <c r="BJ758" s="28"/>
      <c r="BM758" s="28"/>
      <c r="BP758" s="28"/>
      <c r="BS758" s="28"/>
      <c r="BV758" s="28"/>
      <c r="BY758" s="28"/>
      <c r="CB758" s="28"/>
      <c r="CE758" s="28"/>
      <c r="CH758" s="28"/>
      <c r="CK758" s="28"/>
      <c r="CN758" s="28"/>
      <c r="CQ758" s="28"/>
      <c r="CT758" s="28"/>
      <c r="CW758" s="28"/>
      <c r="CZ758" s="28"/>
      <c r="DC758" s="28"/>
      <c r="DF758" s="28"/>
      <c r="DI758" s="28"/>
      <c r="DL758" s="28"/>
      <c r="DO758" s="28"/>
      <c r="DR758" s="28"/>
      <c r="DU758" s="28"/>
      <c r="DX758" s="28"/>
      <c r="EA758" s="28"/>
      <c r="ED758" s="28"/>
      <c r="EG758" s="28"/>
      <c r="EJ758" s="28"/>
      <c r="EM758" s="28"/>
      <c r="EP758" s="28"/>
      <c r="ES758" s="28"/>
      <c r="EV758" s="28"/>
      <c r="EY758" s="28"/>
      <c r="FB758" s="28"/>
      <c r="FE758" s="28"/>
      <c r="FH758" s="28"/>
      <c r="FK758" s="28"/>
      <c r="FN758" s="28"/>
      <c r="FQ758" s="28"/>
      <c r="FT758" s="28"/>
      <c r="FW758" s="28"/>
      <c r="FZ758" s="28"/>
      <c r="GC758" s="28"/>
    </row>
    <row r="759" spans="1:185" s="25" customFormat="1" x14ac:dyDescent="0.3">
      <c r="A759" s="27"/>
      <c r="B759" s="28"/>
      <c r="C759" s="27"/>
      <c r="D759" s="26"/>
      <c r="E759" s="28"/>
      <c r="H759" s="28"/>
      <c r="K759" s="28"/>
      <c r="N759" s="28"/>
      <c r="Q759" s="28"/>
      <c r="T759" s="28"/>
      <c r="W759" s="28"/>
      <c r="Z759" s="28"/>
      <c r="AC759" s="28"/>
      <c r="AF759" s="28"/>
      <c r="AI759" s="28"/>
      <c r="AL759" s="28"/>
      <c r="AO759" s="28"/>
      <c r="AR759" s="28"/>
      <c r="AU759" s="28"/>
      <c r="AX759" s="28"/>
      <c r="BA759" s="28"/>
      <c r="BD759" s="28"/>
      <c r="BG759" s="28"/>
      <c r="BJ759" s="28"/>
      <c r="BM759" s="28"/>
      <c r="BP759" s="28"/>
      <c r="BS759" s="28"/>
      <c r="BV759" s="28"/>
      <c r="BY759" s="28"/>
      <c r="CB759" s="28"/>
      <c r="CE759" s="28"/>
      <c r="CH759" s="28"/>
      <c r="CK759" s="28"/>
      <c r="CN759" s="28"/>
      <c r="CQ759" s="28"/>
      <c r="CT759" s="28"/>
      <c r="CW759" s="28"/>
      <c r="CZ759" s="28"/>
      <c r="DC759" s="28"/>
      <c r="DF759" s="28"/>
      <c r="DI759" s="28"/>
      <c r="DL759" s="28"/>
      <c r="DO759" s="28"/>
      <c r="DR759" s="28"/>
      <c r="DU759" s="28"/>
      <c r="DX759" s="28"/>
      <c r="EA759" s="28"/>
      <c r="ED759" s="28"/>
      <c r="EG759" s="28"/>
      <c r="EJ759" s="28"/>
      <c r="EM759" s="28"/>
      <c r="EP759" s="28"/>
      <c r="ES759" s="28"/>
      <c r="EV759" s="28"/>
      <c r="EY759" s="28"/>
      <c r="FB759" s="28"/>
      <c r="FE759" s="28"/>
      <c r="FH759" s="28"/>
      <c r="FK759" s="28"/>
      <c r="FN759" s="28"/>
      <c r="FQ759" s="28"/>
      <c r="FT759" s="28"/>
      <c r="FW759" s="28"/>
      <c r="FZ759" s="28"/>
      <c r="GC759" s="28"/>
    </row>
    <row r="760" spans="1:185" s="25" customFormat="1" x14ac:dyDescent="0.3">
      <c r="A760" s="27"/>
      <c r="B760" s="28"/>
      <c r="C760" s="27"/>
      <c r="D760" s="26"/>
      <c r="E760" s="28"/>
      <c r="H760" s="28"/>
      <c r="K760" s="28"/>
      <c r="N760" s="28"/>
      <c r="Q760" s="28"/>
      <c r="T760" s="28"/>
      <c r="W760" s="28"/>
      <c r="Z760" s="28"/>
      <c r="AC760" s="28"/>
      <c r="AF760" s="28"/>
      <c r="AI760" s="28"/>
      <c r="AL760" s="28"/>
      <c r="AO760" s="28"/>
      <c r="AR760" s="28"/>
      <c r="AU760" s="28"/>
      <c r="AX760" s="28"/>
      <c r="BA760" s="28"/>
      <c r="BD760" s="28"/>
      <c r="BG760" s="28"/>
      <c r="BJ760" s="28"/>
      <c r="BM760" s="28"/>
      <c r="BP760" s="28"/>
      <c r="BS760" s="28"/>
      <c r="BV760" s="28"/>
      <c r="BY760" s="28"/>
      <c r="CB760" s="28"/>
      <c r="CE760" s="28"/>
      <c r="CH760" s="28"/>
      <c r="CK760" s="28"/>
      <c r="CN760" s="28"/>
      <c r="CQ760" s="28"/>
      <c r="CT760" s="28"/>
      <c r="CW760" s="28"/>
      <c r="CZ760" s="28"/>
      <c r="DC760" s="28"/>
      <c r="DF760" s="28"/>
      <c r="DI760" s="28"/>
      <c r="DL760" s="28"/>
      <c r="DO760" s="28"/>
      <c r="DR760" s="28"/>
      <c r="DU760" s="28"/>
      <c r="DX760" s="28"/>
      <c r="EA760" s="28"/>
      <c r="ED760" s="28"/>
      <c r="EG760" s="28"/>
      <c r="EJ760" s="28"/>
      <c r="EM760" s="28"/>
      <c r="EP760" s="28"/>
      <c r="ES760" s="28"/>
      <c r="EV760" s="28"/>
      <c r="EY760" s="28"/>
      <c r="FB760" s="28"/>
      <c r="FE760" s="28"/>
      <c r="FH760" s="28"/>
      <c r="FK760" s="28"/>
      <c r="FN760" s="28"/>
      <c r="FQ760" s="28"/>
      <c r="FT760" s="28"/>
      <c r="FW760" s="28"/>
      <c r="FZ760" s="28"/>
      <c r="GC760" s="28"/>
    </row>
    <row r="761" spans="1:185" s="25" customFormat="1" x14ac:dyDescent="0.3">
      <c r="A761" s="27"/>
      <c r="B761" s="28"/>
      <c r="C761" s="27"/>
      <c r="D761" s="26"/>
      <c r="E761" s="28"/>
      <c r="H761" s="28"/>
      <c r="K761" s="28"/>
      <c r="N761" s="28"/>
      <c r="Q761" s="28"/>
      <c r="T761" s="28"/>
      <c r="W761" s="28"/>
      <c r="Z761" s="28"/>
      <c r="AC761" s="28"/>
      <c r="AF761" s="28"/>
      <c r="AI761" s="28"/>
      <c r="AL761" s="28"/>
      <c r="AO761" s="28"/>
      <c r="AR761" s="28"/>
      <c r="AU761" s="28"/>
      <c r="AX761" s="28"/>
      <c r="BA761" s="28"/>
      <c r="BD761" s="28"/>
      <c r="BG761" s="28"/>
      <c r="BJ761" s="28"/>
      <c r="BM761" s="28"/>
      <c r="BP761" s="28"/>
      <c r="BS761" s="28"/>
      <c r="BV761" s="28"/>
      <c r="BY761" s="28"/>
      <c r="CB761" s="28"/>
      <c r="CE761" s="28"/>
      <c r="CH761" s="28"/>
      <c r="CK761" s="28"/>
      <c r="CN761" s="28"/>
      <c r="CQ761" s="28"/>
      <c r="CT761" s="28"/>
      <c r="CW761" s="28"/>
      <c r="CZ761" s="28"/>
      <c r="DC761" s="28"/>
      <c r="DF761" s="28"/>
      <c r="DI761" s="28"/>
      <c r="DL761" s="28"/>
      <c r="DO761" s="28"/>
      <c r="DR761" s="28"/>
      <c r="DU761" s="28"/>
      <c r="DX761" s="28"/>
      <c r="EA761" s="28"/>
      <c r="ED761" s="28"/>
      <c r="EG761" s="28"/>
      <c r="EJ761" s="28"/>
      <c r="EM761" s="28"/>
      <c r="EP761" s="28"/>
      <c r="ES761" s="28"/>
      <c r="EV761" s="28"/>
      <c r="EY761" s="28"/>
      <c r="FB761" s="28"/>
      <c r="FE761" s="28"/>
      <c r="FH761" s="28"/>
      <c r="FK761" s="28"/>
      <c r="FN761" s="28"/>
      <c r="FQ761" s="28"/>
      <c r="FT761" s="28"/>
      <c r="FW761" s="28"/>
      <c r="FZ761" s="28"/>
      <c r="GC761" s="28"/>
    </row>
    <row r="762" spans="1:185" s="25" customFormat="1" x14ac:dyDescent="0.3">
      <c r="A762" s="27"/>
      <c r="B762" s="28"/>
      <c r="C762" s="27"/>
      <c r="D762" s="26"/>
      <c r="E762" s="28"/>
      <c r="H762" s="28"/>
      <c r="K762" s="28"/>
      <c r="N762" s="28"/>
      <c r="Q762" s="28"/>
      <c r="T762" s="28"/>
      <c r="W762" s="28"/>
      <c r="Z762" s="28"/>
      <c r="AC762" s="28"/>
      <c r="AF762" s="28"/>
      <c r="AI762" s="28"/>
      <c r="AL762" s="28"/>
      <c r="AO762" s="28"/>
      <c r="AR762" s="28"/>
      <c r="AU762" s="28"/>
      <c r="AX762" s="28"/>
      <c r="BA762" s="28"/>
      <c r="BD762" s="28"/>
      <c r="BG762" s="28"/>
      <c r="BJ762" s="28"/>
      <c r="BM762" s="28"/>
      <c r="BP762" s="28"/>
      <c r="BS762" s="28"/>
      <c r="BV762" s="28"/>
      <c r="BY762" s="28"/>
      <c r="CB762" s="28"/>
      <c r="CE762" s="28"/>
      <c r="CH762" s="28"/>
      <c r="CK762" s="28"/>
      <c r="CN762" s="28"/>
      <c r="CQ762" s="28"/>
      <c r="CT762" s="28"/>
      <c r="CW762" s="28"/>
      <c r="CZ762" s="28"/>
      <c r="DC762" s="28"/>
      <c r="DF762" s="28"/>
      <c r="DI762" s="28"/>
      <c r="DL762" s="28"/>
      <c r="DO762" s="28"/>
      <c r="DR762" s="28"/>
      <c r="DU762" s="28"/>
      <c r="DX762" s="28"/>
      <c r="EA762" s="28"/>
      <c r="ED762" s="28"/>
      <c r="EG762" s="28"/>
      <c r="EJ762" s="28"/>
      <c r="EM762" s="28"/>
      <c r="EP762" s="28"/>
      <c r="ES762" s="28"/>
      <c r="EV762" s="28"/>
      <c r="EY762" s="28"/>
      <c r="FB762" s="28"/>
      <c r="FE762" s="28"/>
      <c r="FH762" s="28"/>
      <c r="FK762" s="28"/>
      <c r="FN762" s="28"/>
      <c r="FQ762" s="28"/>
      <c r="FT762" s="28"/>
      <c r="FW762" s="28"/>
      <c r="FZ762" s="28"/>
      <c r="GC762" s="28"/>
    </row>
    <row r="763" spans="1:185" s="25" customFormat="1" x14ac:dyDescent="0.3">
      <c r="A763" s="27"/>
      <c r="B763" s="28"/>
      <c r="C763" s="27"/>
      <c r="D763" s="26"/>
      <c r="E763" s="28"/>
      <c r="H763" s="28"/>
      <c r="K763" s="28"/>
      <c r="N763" s="28"/>
      <c r="Q763" s="28"/>
      <c r="T763" s="28"/>
      <c r="W763" s="28"/>
      <c r="Z763" s="28"/>
      <c r="AC763" s="28"/>
      <c r="AF763" s="28"/>
      <c r="AI763" s="28"/>
      <c r="AL763" s="28"/>
      <c r="AO763" s="28"/>
      <c r="AR763" s="28"/>
      <c r="AU763" s="28"/>
      <c r="AX763" s="28"/>
      <c r="BA763" s="28"/>
      <c r="BD763" s="28"/>
      <c r="BG763" s="28"/>
      <c r="BJ763" s="28"/>
      <c r="BM763" s="28"/>
      <c r="BP763" s="28"/>
      <c r="BS763" s="28"/>
      <c r="BV763" s="28"/>
      <c r="BY763" s="28"/>
      <c r="CB763" s="28"/>
      <c r="CE763" s="28"/>
      <c r="CH763" s="28"/>
      <c r="CK763" s="28"/>
      <c r="CN763" s="28"/>
      <c r="CQ763" s="28"/>
      <c r="CT763" s="28"/>
      <c r="CW763" s="28"/>
      <c r="CZ763" s="28"/>
      <c r="DC763" s="28"/>
      <c r="DF763" s="28"/>
      <c r="DI763" s="28"/>
      <c r="DL763" s="28"/>
      <c r="DO763" s="28"/>
      <c r="DR763" s="28"/>
      <c r="DU763" s="28"/>
      <c r="DX763" s="28"/>
      <c r="EA763" s="28"/>
      <c r="ED763" s="28"/>
      <c r="EG763" s="28"/>
      <c r="EJ763" s="28"/>
      <c r="EM763" s="28"/>
      <c r="EP763" s="28"/>
      <c r="ES763" s="28"/>
      <c r="EV763" s="28"/>
      <c r="EY763" s="28"/>
      <c r="FB763" s="28"/>
      <c r="FE763" s="28"/>
      <c r="FH763" s="28"/>
      <c r="FK763" s="28"/>
      <c r="FN763" s="28"/>
      <c r="FQ763" s="28"/>
      <c r="FT763" s="28"/>
      <c r="FW763" s="28"/>
      <c r="FZ763" s="28"/>
      <c r="GC763" s="28"/>
    </row>
    <row r="764" spans="1:185" s="25" customFormat="1" x14ac:dyDescent="0.3">
      <c r="A764" s="27"/>
      <c r="B764" s="28"/>
      <c r="C764" s="27"/>
      <c r="D764" s="26"/>
      <c r="E764" s="28"/>
      <c r="H764" s="28"/>
      <c r="K764" s="28"/>
      <c r="N764" s="28"/>
      <c r="Q764" s="28"/>
      <c r="T764" s="28"/>
      <c r="W764" s="28"/>
      <c r="Z764" s="28"/>
      <c r="AC764" s="28"/>
      <c r="AF764" s="28"/>
      <c r="AI764" s="28"/>
      <c r="AL764" s="28"/>
      <c r="AO764" s="28"/>
      <c r="AR764" s="28"/>
      <c r="AU764" s="28"/>
      <c r="AX764" s="28"/>
      <c r="BA764" s="28"/>
      <c r="BD764" s="28"/>
      <c r="BG764" s="28"/>
      <c r="BJ764" s="28"/>
      <c r="BM764" s="28"/>
      <c r="BP764" s="28"/>
      <c r="BS764" s="28"/>
      <c r="BV764" s="28"/>
      <c r="BY764" s="28"/>
      <c r="CB764" s="28"/>
      <c r="CE764" s="28"/>
      <c r="CH764" s="28"/>
      <c r="CK764" s="28"/>
      <c r="CN764" s="28"/>
      <c r="CQ764" s="28"/>
      <c r="CT764" s="28"/>
      <c r="CW764" s="28"/>
      <c r="CZ764" s="28"/>
      <c r="DC764" s="28"/>
      <c r="DF764" s="28"/>
      <c r="DI764" s="28"/>
      <c r="DL764" s="28"/>
      <c r="DO764" s="28"/>
      <c r="DR764" s="28"/>
      <c r="DU764" s="28"/>
      <c r="DX764" s="28"/>
      <c r="EA764" s="28"/>
      <c r="ED764" s="28"/>
      <c r="EG764" s="28"/>
      <c r="EJ764" s="28"/>
      <c r="EM764" s="28"/>
      <c r="EP764" s="28"/>
      <c r="ES764" s="28"/>
      <c r="EV764" s="28"/>
      <c r="EY764" s="28"/>
      <c r="FB764" s="28"/>
      <c r="FE764" s="28"/>
      <c r="FH764" s="28"/>
      <c r="FK764" s="28"/>
      <c r="FN764" s="28"/>
      <c r="FQ764" s="28"/>
      <c r="FT764" s="28"/>
      <c r="FW764" s="28"/>
      <c r="FZ764" s="28"/>
      <c r="GC764" s="28"/>
    </row>
    <row r="765" spans="1:185" s="25" customFormat="1" x14ac:dyDescent="0.3">
      <c r="A765" s="27"/>
      <c r="B765" s="28"/>
      <c r="C765" s="27"/>
      <c r="D765" s="26"/>
      <c r="E765" s="28"/>
      <c r="H765" s="28"/>
      <c r="K765" s="28"/>
      <c r="N765" s="28"/>
      <c r="Q765" s="28"/>
      <c r="T765" s="28"/>
      <c r="W765" s="28"/>
      <c r="Z765" s="28"/>
      <c r="AC765" s="28"/>
      <c r="AF765" s="28"/>
      <c r="AI765" s="28"/>
      <c r="AL765" s="28"/>
      <c r="AO765" s="28"/>
      <c r="AR765" s="28"/>
      <c r="AU765" s="28"/>
      <c r="AX765" s="28"/>
      <c r="BA765" s="28"/>
      <c r="BD765" s="28"/>
      <c r="BG765" s="28"/>
      <c r="BJ765" s="28"/>
      <c r="BM765" s="28"/>
      <c r="BP765" s="28"/>
      <c r="BS765" s="28"/>
      <c r="BV765" s="28"/>
      <c r="BY765" s="28"/>
      <c r="CB765" s="28"/>
      <c r="CE765" s="28"/>
      <c r="CH765" s="28"/>
      <c r="CK765" s="28"/>
      <c r="CN765" s="28"/>
      <c r="CQ765" s="28"/>
      <c r="CT765" s="28"/>
      <c r="CW765" s="28"/>
      <c r="CZ765" s="28"/>
      <c r="DC765" s="28"/>
      <c r="DF765" s="28"/>
      <c r="DI765" s="28"/>
      <c r="DL765" s="28"/>
      <c r="DO765" s="28"/>
      <c r="DR765" s="28"/>
      <c r="DU765" s="28"/>
      <c r="DX765" s="28"/>
      <c r="EA765" s="28"/>
      <c r="ED765" s="28"/>
      <c r="EG765" s="28"/>
      <c r="EJ765" s="28"/>
      <c r="EM765" s="28"/>
      <c r="EP765" s="28"/>
      <c r="ES765" s="28"/>
      <c r="EV765" s="28"/>
      <c r="EY765" s="28"/>
      <c r="FB765" s="28"/>
      <c r="FE765" s="28"/>
      <c r="FH765" s="28"/>
      <c r="FK765" s="28"/>
      <c r="FN765" s="28"/>
      <c r="FQ765" s="28"/>
      <c r="FT765" s="28"/>
      <c r="FW765" s="28"/>
      <c r="FZ765" s="28"/>
      <c r="GC765" s="28"/>
    </row>
    <row r="766" spans="1:185" s="25" customFormat="1" x14ac:dyDescent="0.3">
      <c r="A766" s="27"/>
      <c r="B766" s="28"/>
      <c r="C766" s="27"/>
      <c r="D766" s="26"/>
      <c r="E766" s="28"/>
      <c r="H766" s="28"/>
      <c r="K766" s="28"/>
      <c r="N766" s="28"/>
      <c r="Q766" s="28"/>
      <c r="T766" s="28"/>
      <c r="W766" s="28"/>
      <c r="Z766" s="28"/>
      <c r="AC766" s="28"/>
      <c r="AF766" s="28"/>
      <c r="AI766" s="28"/>
      <c r="AL766" s="28"/>
      <c r="AO766" s="28"/>
      <c r="AR766" s="28"/>
      <c r="AU766" s="28"/>
      <c r="AX766" s="28"/>
      <c r="BA766" s="28"/>
      <c r="BD766" s="28"/>
      <c r="BG766" s="28"/>
      <c r="BJ766" s="28"/>
      <c r="BM766" s="28"/>
      <c r="BP766" s="28"/>
      <c r="BS766" s="28"/>
      <c r="BV766" s="28"/>
      <c r="BY766" s="28"/>
      <c r="CB766" s="28"/>
      <c r="CE766" s="28"/>
      <c r="CH766" s="28"/>
      <c r="CK766" s="28"/>
      <c r="CN766" s="28"/>
      <c r="CQ766" s="28"/>
      <c r="CT766" s="28"/>
      <c r="CW766" s="28"/>
      <c r="CZ766" s="28"/>
      <c r="DC766" s="28"/>
      <c r="DF766" s="28"/>
      <c r="DI766" s="28"/>
      <c r="DL766" s="28"/>
      <c r="DO766" s="28"/>
      <c r="DR766" s="28"/>
      <c r="DU766" s="28"/>
      <c r="DX766" s="28"/>
      <c r="EA766" s="28"/>
      <c r="ED766" s="28"/>
      <c r="EG766" s="28"/>
      <c r="EJ766" s="28"/>
      <c r="EM766" s="28"/>
      <c r="EP766" s="28"/>
      <c r="ES766" s="28"/>
      <c r="EV766" s="28"/>
      <c r="EY766" s="28"/>
      <c r="FB766" s="28"/>
      <c r="FE766" s="28"/>
      <c r="FH766" s="28"/>
      <c r="FK766" s="28"/>
      <c r="FN766" s="28"/>
      <c r="FQ766" s="28"/>
      <c r="FT766" s="28"/>
      <c r="FW766" s="28"/>
      <c r="FZ766" s="28"/>
      <c r="GC766" s="28"/>
    </row>
    <row r="767" spans="1:185" s="25" customFormat="1" x14ac:dyDescent="0.3">
      <c r="A767" s="27"/>
      <c r="B767" s="28"/>
      <c r="C767" s="27"/>
      <c r="D767" s="26"/>
      <c r="E767" s="28"/>
      <c r="H767" s="28"/>
      <c r="K767" s="28"/>
      <c r="N767" s="28"/>
      <c r="Q767" s="28"/>
      <c r="T767" s="28"/>
      <c r="W767" s="28"/>
      <c r="Z767" s="28"/>
      <c r="AC767" s="28"/>
      <c r="AF767" s="28"/>
      <c r="AI767" s="28"/>
      <c r="AL767" s="28"/>
      <c r="AO767" s="28"/>
      <c r="AR767" s="28"/>
      <c r="AU767" s="28"/>
      <c r="AX767" s="28"/>
      <c r="BA767" s="28"/>
      <c r="BD767" s="28"/>
      <c r="BG767" s="28"/>
      <c r="BJ767" s="28"/>
      <c r="BM767" s="28"/>
      <c r="BP767" s="28"/>
      <c r="BS767" s="28"/>
      <c r="BV767" s="28"/>
      <c r="BY767" s="28"/>
      <c r="CB767" s="28"/>
      <c r="CE767" s="28"/>
      <c r="CH767" s="28"/>
      <c r="CK767" s="28"/>
      <c r="CN767" s="28"/>
      <c r="CQ767" s="28"/>
      <c r="CT767" s="28"/>
      <c r="CW767" s="28"/>
      <c r="CZ767" s="28"/>
      <c r="DC767" s="28"/>
      <c r="DF767" s="28"/>
      <c r="DI767" s="28"/>
      <c r="DL767" s="28"/>
      <c r="DO767" s="28"/>
      <c r="DR767" s="28"/>
      <c r="DU767" s="28"/>
      <c r="DX767" s="28"/>
      <c r="EA767" s="28"/>
      <c r="ED767" s="28"/>
      <c r="EG767" s="28"/>
      <c r="EJ767" s="28"/>
      <c r="EM767" s="28"/>
      <c r="EP767" s="28"/>
      <c r="ES767" s="28"/>
      <c r="EV767" s="28"/>
      <c r="EY767" s="28"/>
      <c r="FB767" s="28"/>
      <c r="FE767" s="28"/>
      <c r="FH767" s="28"/>
      <c r="FK767" s="28"/>
      <c r="FN767" s="28"/>
      <c r="FQ767" s="28"/>
      <c r="FT767" s="28"/>
      <c r="FW767" s="28"/>
      <c r="FZ767" s="28"/>
      <c r="GC767" s="28"/>
    </row>
    <row r="768" spans="1:185" s="25" customFormat="1" x14ac:dyDescent="0.3">
      <c r="A768" s="27"/>
      <c r="B768" s="28"/>
      <c r="C768" s="27"/>
      <c r="D768" s="26"/>
      <c r="E768" s="28"/>
      <c r="H768" s="28"/>
      <c r="K768" s="28"/>
      <c r="N768" s="28"/>
      <c r="Q768" s="28"/>
      <c r="T768" s="28"/>
      <c r="W768" s="28"/>
      <c r="Z768" s="28"/>
      <c r="AC768" s="28"/>
      <c r="AF768" s="28"/>
      <c r="AI768" s="28"/>
      <c r="AL768" s="28"/>
      <c r="AO768" s="28"/>
      <c r="AR768" s="28"/>
      <c r="AU768" s="28"/>
      <c r="AX768" s="28"/>
      <c r="BA768" s="28"/>
      <c r="BD768" s="28"/>
      <c r="BG768" s="28"/>
      <c r="BJ768" s="28"/>
      <c r="BM768" s="28"/>
      <c r="BP768" s="28"/>
      <c r="BS768" s="28"/>
      <c r="BV768" s="28"/>
      <c r="BY768" s="28"/>
      <c r="CB768" s="28"/>
      <c r="CE768" s="28"/>
      <c r="CH768" s="28"/>
      <c r="CK768" s="28"/>
      <c r="CN768" s="28"/>
      <c r="CQ768" s="28"/>
      <c r="CT768" s="28"/>
      <c r="CW768" s="28"/>
      <c r="CZ768" s="28"/>
      <c r="DC768" s="28"/>
      <c r="DF768" s="28"/>
      <c r="DI768" s="28"/>
      <c r="DL768" s="28"/>
      <c r="DO768" s="28"/>
      <c r="DR768" s="28"/>
      <c r="DU768" s="28"/>
      <c r="DX768" s="28"/>
      <c r="EA768" s="28"/>
      <c r="ED768" s="28"/>
      <c r="EG768" s="28"/>
      <c r="EJ768" s="28"/>
      <c r="EM768" s="28"/>
      <c r="EP768" s="28"/>
      <c r="ES768" s="28"/>
      <c r="EV768" s="28"/>
      <c r="EY768" s="28"/>
      <c r="FB768" s="28"/>
      <c r="FE768" s="28"/>
      <c r="FH768" s="28"/>
      <c r="FK768" s="28"/>
      <c r="FN768" s="28"/>
      <c r="FQ768" s="28"/>
      <c r="FT768" s="28"/>
      <c r="FW768" s="28"/>
      <c r="FZ768" s="28"/>
      <c r="GC768" s="28"/>
    </row>
    <row r="769" spans="1:185" s="25" customFormat="1" x14ac:dyDescent="0.3">
      <c r="A769" s="27"/>
      <c r="B769" s="28"/>
      <c r="C769" s="27"/>
      <c r="D769" s="26"/>
      <c r="E769" s="28"/>
      <c r="H769" s="28"/>
      <c r="K769" s="28"/>
      <c r="N769" s="28"/>
      <c r="Q769" s="28"/>
      <c r="T769" s="28"/>
      <c r="W769" s="28"/>
      <c r="Z769" s="28"/>
      <c r="AC769" s="28"/>
      <c r="AF769" s="28"/>
      <c r="AI769" s="28"/>
      <c r="AL769" s="28"/>
      <c r="AO769" s="28"/>
      <c r="AR769" s="28"/>
      <c r="AU769" s="28"/>
      <c r="AX769" s="28"/>
      <c r="BA769" s="28"/>
      <c r="BD769" s="28"/>
      <c r="BG769" s="28"/>
      <c r="BJ769" s="28"/>
      <c r="BM769" s="28"/>
      <c r="BP769" s="28"/>
      <c r="BS769" s="28"/>
      <c r="BV769" s="28"/>
      <c r="BY769" s="28"/>
      <c r="CB769" s="28"/>
      <c r="CE769" s="28"/>
      <c r="CH769" s="28"/>
      <c r="CK769" s="28"/>
      <c r="CN769" s="28"/>
      <c r="CQ769" s="28"/>
      <c r="CT769" s="28"/>
      <c r="CW769" s="28"/>
      <c r="CZ769" s="28"/>
      <c r="DC769" s="28"/>
      <c r="DF769" s="28"/>
      <c r="DI769" s="28"/>
      <c r="DL769" s="28"/>
      <c r="DO769" s="28"/>
      <c r="DR769" s="28"/>
      <c r="DU769" s="28"/>
      <c r="DX769" s="28"/>
      <c r="EA769" s="28"/>
      <c r="ED769" s="28"/>
      <c r="EG769" s="28"/>
      <c r="EJ769" s="28"/>
      <c r="EM769" s="28"/>
      <c r="EP769" s="28"/>
      <c r="ES769" s="28"/>
      <c r="EV769" s="28"/>
      <c r="EY769" s="28"/>
      <c r="FB769" s="28"/>
      <c r="FE769" s="28"/>
      <c r="FH769" s="28"/>
      <c r="FK769" s="28"/>
      <c r="FN769" s="28"/>
      <c r="FQ769" s="28"/>
      <c r="FT769" s="28"/>
      <c r="FW769" s="28"/>
      <c r="FZ769" s="28"/>
      <c r="GC769" s="28"/>
    </row>
    <row r="770" spans="1:185" s="25" customFormat="1" x14ac:dyDescent="0.3">
      <c r="A770" s="27"/>
      <c r="B770" s="28"/>
      <c r="C770" s="27"/>
      <c r="D770" s="26"/>
      <c r="E770" s="28"/>
      <c r="H770" s="28"/>
      <c r="K770" s="28"/>
      <c r="N770" s="28"/>
      <c r="Q770" s="28"/>
      <c r="T770" s="28"/>
      <c r="W770" s="28"/>
      <c r="Z770" s="28"/>
      <c r="AC770" s="28"/>
      <c r="AF770" s="28"/>
      <c r="AI770" s="28"/>
      <c r="AL770" s="28"/>
      <c r="AO770" s="28"/>
      <c r="AR770" s="28"/>
      <c r="AU770" s="28"/>
      <c r="AX770" s="28"/>
      <c r="BA770" s="28"/>
      <c r="BD770" s="28"/>
      <c r="BG770" s="28"/>
      <c r="BJ770" s="28"/>
      <c r="BM770" s="28"/>
      <c r="BP770" s="28"/>
      <c r="BS770" s="28"/>
      <c r="BV770" s="28"/>
      <c r="BY770" s="28"/>
      <c r="CB770" s="28"/>
      <c r="CE770" s="28"/>
      <c r="CH770" s="28"/>
      <c r="CK770" s="28"/>
      <c r="CN770" s="28"/>
      <c r="CQ770" s="28"/>
      <c r="CT770" s="28"/>
      <c r="CW770" s="28"/>
      <c r="CZ770" s="28"/>
      <c r="DC770" s="28"/>
      <c r="DF770" s="28"/>
      <c r="DI770" s="28"/>
      <c r="DL770" s="28"/>
      <c r="DO770" s="28"/>
      <c r="DR770" s="28"/>
      <c r="DU770" s="28"/>
      <c r="DX770" s="28"/>
      <c r="EA770" s="28"/>
      <c r="ED770" s="28"/>
      <c r="EG770" s="28"/>
      <c r="EJ770" s="28"/>
      <c r="EM770" s="28"/>
      <c r="EP770" s="28"/>
      <c r="ES770" s="28"/>
      <c r="EV770" s="28"/>
      <c r="EY770" s="28"/>
      <c r="FB770" s="28"/>
      <c r="FE770" s="28"/>
      <c r="FH770" s="28"/>
      <c r="FK770" s="28"/>
      <c r="FN770" s="28"/>
      <c r="FQ770" s="28"/>
      <c r="FT770" s="28"/>
      <c r="FW770" s="28"/>
      <c r="FZ770" s="28"/>
      <c r="GC770" s="28"/>
    </row>
    <row r="771" spans="1:185" s="25" customFormat="1" x14ac:dyDescent="0.3">
      <c r="A771" s="27"/>
      <c r="B771" s="28"/>
      <c r="C771" s="27"/>
      <c r="D771" s="26"/>
      <c r="E771" s="28"/>
      <c r="H771" s="28"/>
      <c r="K771" s="28"/>
      <c r="N771" s="28"/>
      <c r="Q771" s="28"/>
      <c r="T771" s="28"/>
      <c r="W771" s="28"/>
      <c r="Z771" s="28"/>
      <c r="AC771" s="28"/>
      <c r="AF771" s="28"/>
      <c r="AI771" s="28"/>
      <c r="AL771" s="28"/>
      <c r="AO771" s="28"/>
      <c r="AR771" s="28"/>
      <c r="AU771" s="28"/>
      <c r="AX771" s="28"/>
      <c r="BA771" s="28"/>
      <c r="BD771" s="28"/>
      <c r="BG771" s="28"/>
      <c r="BJ771" s="28"/>
      <c r="BM771" s="28"/>
      <c r="BP771" s="28"/>
      <c r="BS771" s="28"/>
      <c r="BV771" s="28"/>
      <c r="BY771" s="28"/>
      <c r="CB771" s="28"/>
      <c r="CE771" s="28"/>
      <c r="CH771" s="28"/>
      <c r="CK771" s="28"/>
      <c r="CN771" s="28"/>
      <c r="CQ771" s="28"/>
      <c r="CT771" s="28"/>
      <c r="CW771" s="28"/>
      <c r="CZ771" s="28"/>
      <c r="DC771" s="28"/>
      <c r="DF771" s="28"/>
      <c r="DI771" s="28"/>
      <c r="DL771" s="28"/>
      <c r="DO771" s="28"/>
      <c r="DR771" s="28"/>
      <c r="DU771" s="28"/>
      <c r="DX771" s="28"/>
      <c r="EA771" s="28"/>
      <c r="ED771" s="28"/>
      <c r="EG771" s="28"/>
      <c r="EJ771" s="28"/>
      <c r="EM771" s="28"/>
      <c r="EP771" s="28"/>
      <c r="ES771" s="28"/>
      <c r="EV771" s="28"/>
      <c r="EY771" s="28"/>
      <c r="FB771" s="28"/>
      <c r="FE771" s="28"/>
      <c r="FH771" s="28"/>
      <c r="FK771" s="28"/>
      <c r="FN771" s="28"/>
      <c r="FQ771" s="28"/>
      <c r="FT771" s="28"/>
      <c r="FW771" s="28"/>
      <c r="FZ771" s="28"/>
      <c r="GC771" s="28"/>
    </row>
    <row r="772" spans="1:185" s="25" customFormat="1" x14ac:dyDescent="0.3">
      <c r="A772" s="27"/>
      <c r="B772" s="28"/>
      <c r="C772" s="27"/>
      <c r="D772" s="26"/>
      <c r="E772" s="28"/>
      <c r="H772" s="28"/>
      <c r="K772" s="28"/>
      <c r="N772" s="28"/>
      <c r="Q772" s="28"/>
      <c r="T772" s="28"/>
      <c r="W772" s="28"/>
      <c r="Z772" s="28"/>
      <c r="AC772" s="28"/>
      <c r="AF772" s="28"/>
      <c r="AI772" s="28"/>
      <c r="AL772" s="28"/>
      <c r="AO772" s="28"/>
      <c r="AR772" s="28"/>
      <c r="AU772" s="28"/>
      <c r="AX772" s="28"/>
      <c r="BA772" s="28"/>
      <c r="BD772" s="28"/>
      <c r="BG772" s="28"/>
      <c r="BJ772" s="28"/>
      <c r="BM772" s="28"/>
      <c r="BP772" s="28"/>
      <c r="BS772" s="28"/>
      <c r="BV772" s="28"/>
      <c r="BY772" s="28"/>
      <c r="CB772" s="28"/>
      <c r="CE772" s="28"/>
      <c r="CH772" s="28"/>
      <c r="CK772" s="28"/>
      <c r="CN772" s="28"/>
      <c r="CQ772" s="28"/>
      <c r="CT772" s="28"/>
      <c r="CW772" s="28"/>
      <c r="CZ772" s="28"/>
      <c r="DC772" s="28"/>
      <c r="DF772" s="28"/>
      <c r="DI772" s="28"/>
      <c r="DL772" s="28"/>
      <c r="DO772" s="28"/>
      <c r="DR772" s="28"/>
      <c r="DU772" s="28"/>
      <c r="DX772" s="28"/>
      <c r="EA772" s="28"/>
      <c r="ED772" s="28"/>
      <c r="EG772" s="28"/>
      <c r="EJ772" s="28"/>
      <c r="EM772" s="28"/>
      <c r="EP772" s="28"/>
      <c r="ES772" s="28"/>
      <c r="EV772" s="28"/>
      <c r="EY772" s="28"/>
      <c r="FB772" s="28"/>
      <c r="FE772" s="28"/>
      <c r="FH772" s="28"/>
      <c r="FK772" s="28"/>
      <c r="FN772" s="28"/>
      <c r="FQ772" s="28"/>
      <c r="FT772" s="28"/>
      <c r="FW772" s="28"/>
      <c r="FZ772" s="28"/>
      <c r="GC772" s="28"/>
    </row>
    <row r="773" spans="1:185" s="25" customFormat="1" x14ac:dyDescent="0.3">
      <c r="A773" s="27"/>
      <c r="B773" s="28"/>
      <c r="C773" s="27"/>
      <c r="D773" s="26"/>
      <c r="E773" s="28"/>
      <c r="H773" s="28"/>
      <c r="K773" s="28"/>
      <c r="N773" s="28"/>
      <c r="Q773" s="28"/>
      <c r="T773" s="28"/>
      <c r="W773" s="28"/>
      <c r="Z773" s="28"/>
      <c r="AC773" s="28"/>
      <c r="AF773" s="28"/>
      <c r="AI773" s="28"/>
      <c r="AL773" s="28"/>
      <c r="AO773" s="28"/>
      <c r="AR773" s="28"/>
      <c r="AU773" s="28"/>
      <c r="AX773" s="28"/>
      <c r="BA773" s="28"/>
      <c r="BD773" s="28"/>
      <c r="BG773" s="28"/>
      <c r="BJ773" s="28"/>
      <c r="BM773" s="28"/>
      <c r="BP773" s="28"/>
      <c r="BS773" s="28"/>
      <c r="BV773" s="28"/>
      <c r="BY773" s="28"/>
      <c r="CB773" s="28"/>
      <c r="CE773" s="28"/>
      <c r="CH773" s="28"/>
      <c r="CK773" s="28"/>
      <c r="CN773" s="28"/>
      <c r="CQ773" s="28"/>
      <c r="CT773" s="28"/>
      <c r="CW773" s="28"/>
      <c r="CZ773" s="28"/>
      <c r="DC773" s="28"/>
      <c r="DF773" s="28"/>
      <c r="DI773" s="28"/>
      <c r="DL773" s="28"/>
      <c r="DO773" s="28"/>
      <c r="DR773" s="28"/>
      <c r="DU773" s="28"/>
      <c r="DX773" s="28"/>
      <c r="EA773" s="28"/>
      <c r="ED773" s="28"/>
      <c r="EG773" s="28"/>
      <c r="EJ773" s="28"/>
      <c r="EM773" s="28"/>
      <c r="EP773" s="28"/>
      <c r="ES773" s="28"/>
      <c r="EV773" s="28"/>
      <c r="EY773" s="28"/>
      <c r="FB773" s="28"/>
      <c r="FE773" s="28"/>
      <c r="FH773" s="28"/>
      <c r="FK773" s="28"/>
      <c r="FN773" s="28"/>
      <c r="FQ773" s="28"/>
      <c r="FT773" s="28"/>
      <c r="FW773" s="28"/>
      <c r="FZ773" s="28"/>
      <c r="GC773" s="28"/>
    </row>
    <row r="774" spans="1:185" s="25" customFormat="1" x14ac:dyDescent="0.3">
      <c r="A774" s="27"/>
      <c r="B774" s="28"/>
      <c r="C774" s="27"/>
      <c r="D774" s="26"/>
      <c r="E774" s="28"/>
      <c r="H774" s="28"/>
      <c r="K774" s="28"/>
      <c r="N774" s="28"/>
      <c r="Q774" s="28"/>
      <c r="T774" s="28"/>
      <c r="W774" s="28"/>
      <c r="Z774" s="28"/>
      <c r="AC774" s="28"/>
      <c r="AF774" s="28"/>
      <c r="AI774" s="28"/>
      <c r="AL774" s="28"/>
      <c r="AO774" s="28"/>
      <c r="AR774" s="28"/>
      <c r="AU774" s="28"/>
      <c r="AX774" s="28"/>
      <c r="BA774" s="28"/>
      <c r="BD774" s="28"/>
      <c r="BG774" s="28"/>
      <c r="BJ774" s="28"/>
      <c r="BM774" s="28"/>
      <c r="BP774" s="28"/>
      <c r="BS774" s="28"/>
      <c r="BV774" s="28"/>
      <c r="BY774" s="28"/>
      <c r="CB774" s="28"/>
      <c r="CE774" s="28"/>
      <c r="CH774" s="28"/>
      <c r="CK774" s="28"/>
      <c r="CN774" s="28"/>
      <c r="CQ774" s="28"/>
      <c r="CT774" s="28"/>
      <c r="CW774" s="28"/>
      <c r="CZ774" s="28"/>
      <c r="DC774" s="28"/>
      <c r="DF774" s="28"/>
      <c r="DI774" s="28"/>
      <c r="DL774" s="28"/>
      <c r="DO774" s="28"/>
      <c r="DR774" s="28"/>
      <c r="DU774" s="28"/>
      <c r="DX774" s="28"/>
      <c r="EA774" s="28"/>
      <c r="ED774" s="28"/>
      <c r="EG774" s="28"/>
      <c r="EJ774" s="28"/>
      <c r="EM774" s="28"/>
      <c r="EP774" s="28"/>
      <c r="ES774" s="28"/>
      <c r="EV774" s="28"/>
      <c r="EY774" s="28"/>
      <c r="FB774" s="28"/>
      <c r="FE774" s="28"/>
      <c r="FH774" s="28"/>
      <c r="FK774" s="28"/>
      <c r="FN774" s="28"/>
      <c r="FQ774" s="28"/>
      <c r="FT774" s="28"/>
      <c r="FW774" s="28"/>
      <c r="FZ774" s="28"/>
      <c r="GC774" s="28"/>
    </row>
    <row r="775" spans="1:185" s="25" customFormat="1" x14ac:dyDescent="0.3">
      <c r="A775" s="27"/>
      <c r="B775" s="28"/>
      <c r="C775" s="27"/>
      <c r="D775" s="26"/>
      <c r="E775" s="28"/>
      <c r="H775" s="28"/>
      <c r="K775" s="28"/>
      <c r="N775" s="28"/>
      <c r="Q775" s="28"/>
      <c r="T775" s="28"/>
      <c r="W775" s="28"/>
      <c r="Z775" s="28"/>
      <c r="AC775" s="28"/>
      <c r="AF775" s="28"/>
      <c r="AI775" s="28"/>
      <c r="AL775" s="28"/>
      <c r="AO775" s="28"/>
      <c r="AR775" s="28"/>
      <c r="AU775" s="28"/>
      <c r="AX775" s="28"/>
      <c r="BA775" s="28"/>
      <c r="BD775" s="28"/>
      <c r="BG775" s="28"/>
      <c r="BJ775" s="28"/>
      <c r="BM775" s="28"/>
      <c r="BP775" s="28"/>
      <c r="BS775" s="28"/>
      <c r="BV775" s="28"/>
      <c r="BY775" s="28"/>
      <c r="CB775" s="28"/>
      <c r="CE775" s="28"/>
      <c r="CH775" s="28"/>
      <c r="CK775" s="28"/>
      <c r="CN775" s="28"/>
      <c r="CQ775" s="28"/>
      <c r="CT775" s="28"/>
      <c r="CW775" s="28"/>
      <c r="CZ775" s="28"/>
      <c r="DC775" s="28"/>
      <c r="DF775" s="28"/>
      <c r="DI775" s="28"/>
      <c r="DL775" s="28"/>
      <c r="DO775" s="28"/>
      <c r="DR775" s="28"/>
      <c r="DU775" s="28"/>
      <c r="DX775" s="28"/>
      <c r="EA775" s="28"/>
      <c r="ED775" s="28"/>
      <c r="EG775" s="28"/>
      <c r="EJ775" s="28"/>
      <c r="EM775" s="28"/>
      <c r="EP775" s="28"/>
      <c r="ES775" s="28"/>
      <c r="EV775" s="28"/>
      <c r="EY775" s="28"/>
      <c r="FB775" s="28"/>
      <c r="FE775" s="28"/>
      <c r="FH775" s="28"/>
      <c r="FK775" s="28"/>
      <c r="FN775" s="28"/>
      <c r="FQ775" s="28"/>
      <c r="FT775" s="28"/>
      <c r="FW775" s="28"/>
      <c r="FZ775" s="28"/>
      <c r="GC775" s="28"/>
    </row>
    <row r="776" spans="1:185" s="25" customFormat="1" x14ac:dyDescent="0.3">
      <c r="A776" s="27"/>
      <c r="B776" s="28"/>
      <c r="C776" s="27"/>
      <c r="D776" s="26"/>
      <c r="E776" s="28"/>
      <c r="H776" s="28"/>
      <c r="K776" s="28"/>
      <c r="N776" s="28"/>
      <c r="Q776" s="28"/>
      <c r="T776" s="28"/>
      <c r="W776" s="28"/>
      <c r="Z776" s="28"/>
      <c r="AC776" s="28"/>
      <c r="AF776" s="28"/>
      <c r="AI776" s="28"/>
      <c r="AL776" s="28"/>
      <c r="AO776" s="28"/>
      <c r="AR776" s="28"/>
      <c r="AU776" s="28"/>
      <c r="AX776" s="28"/>
      <c r="BA776" s="28"/>
      <c r="BD776" s="28"/>
      <c r="BG776" s="28"/>
      <c r="BJ776" s="28"/>
      <c r="BM776" s="28"/>
      <c r="BP776" s="28"/>
      <c r="BS776" s="28"/>
      <c r="BV776" s="28"/>
      <c r="BY776" s="28"/>
      <c r="CB776" s="28"/>
      <c r="CE776" s="28"/>
      <c r="CH776" s="28"/>
      <c r="CK776" s="28"/>
      <c r="CN776" s="28"/>
      <c r="CQ776" s="28"/>
      <c r="CT776" s="28"/>
      <c r="CW776" s="28"/>
      <c r="CZ776" s="28"/>
      <c r="DC776" s="28"/>
      <c r="DF776" s="28"/>
      <c r="DI776" s="28"/>
      <c r="DL776" s="28"/>
      <c r="DO776" s="28"/>
      <c r="DR776" s="28"/>
      <c r="DU776" s="28"/>
      <c r="DX776" s="28"/>
      <c r="EA776" s="28"/>
      <c r="ED776" s="28"/>
      <c r="EG776" s="28"/>
      <c r="EJ776" s="28"/>
      <c r="EM776" s="28"/>
      <c r="EP776" s="28"/>
      <c r="ES776" s="28"/>
      <c r="EV776" s="28"/>
      <c r="EY776" s="28"/>
      <c r="FB776" s="28"/>
      <c r="FE776" s="28"/>
      <c r="FH776" s="28"/>
      <c r="FK776" s="28"/>
      <c r="FN776" s="28"/>
      <c r="FQ776" s="28"/>
      <c r="FT776" s="28"/>
      <c r="FW776" s="28"/>
      <c r="FZ776" s="28"/>
      <c r="GC776" s="28"/>
    </row>
    <row r="777" spans="1:185" s="25" customFormat="1" x14ac:dyDescent="0.3">
      <c r="A777" s="27"/>
      <c r="B777" s="28"/>
      <c r="C777" s="27"/>
      <c r="D777" s="26"/>
      <c r="E777" s="28"/>
      <c r="H777" s="28"/>
      <c r="K777" s="28"/>
      <c r="N777" s="28"/>
      <c r="Q777" s="28"/>
      <c r="T777" s="28"/>
      <c r="W777" s="28"/>
      <c r="Z777" s="28"/>
      <c r="AC777" s="28"/>
      <c r="AF777" s="28"/>
      <c r="AI777" s="28"/>
      <c r="AL777" s="28"/>
      <c r="AO777" s="28"/>
      <c r="AR777" s="28"/>
      <c r="AU777" s="28"/>
      <c r="AX777" s="28"/>
      <c r="BA777" s="28"/>
      <c r="BD777" s="28"/>
      <c r="BG777" s="28"/>
      <c r="BJ777" s="28"/>
      <c r="BM777" s="28"/>
      <c r="BP777" s="28"/>
      <c r="BS777" s="28"/>
      <c r="BV777" s="28"/>
      <c r="BY777" s="28"/>
      <c r="CB777" s="28"/>
      <c r="CE777" s="28"/>
      <c r="CH777" s="28"/>
      <c r="CK777" s="28"/>
      <c r="CN777" s="28"/>
      <c r="CQ777" s="28"/>
      <c r="CT777" s="28"/>
      <c r="CW777" s="28"/>
      <c r="CZ777" s="28"/>
      <c r="DC777" s="28"/>
      <c r="DF777" s="28"/>
      <c r="DI777" s="28"/>
      <c r="DL777" s="28"/>
      <c r="DO777" s="28"/>
      <c r="DR777" s="28"/>
      <c r="DU777" s="28"/>
      <c r="DX777" s="28"/>
      <c r="EA777" s="28"/>
      <c r="ED777" s="28"/>
      <c r="EG777" s="28"/>
      <c r="EJ777" s="28"/>
      <c r="EM777" s="28"/>
      <c r="EP777" s="28"/>
      <c r="ES777" s="28"/>
      <c r="EV777" s="28"/>
      <c r="EY777" s="28"/>
      <c r="FB777" s="28"/>
      <c r="FE777" s="28"/>
      <c r="FH777" s="28"/>
      <c r="FK777" s="28"/>
      <c r="FN777" s="28"/>
      <c r="FQ777" s="28"/>
      <c r="FT777" s="28"/>
      <c r="FW777" s="28"/>
      <c r="FZ777" s="28"/>
      <c r="GC777" s="28"/>
    </row>
    <row r="778" spans="1:185" s="25" customFormat="1" x14ac:dyDescent="0.3">
      <c r="A778" s="27"/>
      <c r="B778" s="28"/>
      <c r="C778" s="27"/>
      <c r="D778" s="26"/>
      <c r="E778" s="28"/>
      <c r="H778" s="28"/>
      <c r="K778" s="28"/>
      <c r="N778" s="28"/>
      <c r="Q778" s="28"/>
      <c r="T778" s="28"/>
      <c r="W778" s="28"/>
      <c r="Z778" s="28"/>
      <c r="AC778" s="28"/>
      <c r="AF778" s="28"/>
      <c r="AI778" s="28"/>
      <c r="AL778" s="28"/>
      <c r="AO778" s="28"/>
      <c r="AR778" s="28"/>
      <c r="AU778" s="28"/>
      <c r="AX778" s="28"/>
      <c r="BA778" s="28"/>
      <c r="BD778" s="28"/>
      <c r="BG778" s="28"/>
      <c r="BJ778" s="28"/>
      <c r="BM778" s="28"/>
      <c r="BP778" s="28"/>
      <c r="BS778" s="28"/>
      <c r="BV778" s="28"/>
      <c r="BY778" s="28"/>
      <c r="CB778" s="28"/>
      <c r="CE778" s="28"/>
      <c r="CH778" s="28"/>
      <c r="CK778" s="28"/>
      <c r="CN778" s="28"/>
      <c r="CQ778" s="28"/>
      <c r="CT778" s="28"/>
      <c r="CW778" s="28"/>
      <c r="CZ778" s="28"/>
      <c r="DC778" s="28"/>
      <c r="DF778" s="28"/>
      <c r="DI778" s="28"/>
      <c r="DL778" s="28"/>
      <c r="DO778" s="28"/>
      <c r="DR778" s="28"/>
      <c r="DU778" s="28"/>
      <c r="DX778" s="28"/>
      <c r="EA778" s="28"/>
      <c r="ED778" s="28"/>
      <c r="EG778" s="28"/>
      <c r="EJ778" s="28"/>
      <c r="EM778" s="28"/>
      <c r="EP778" s="28"/>
      <c r="ES778" s="28"/>
      <c r="EV778" s="28"/>
      <c r="EY778" s="28"/>
      <c r="FB778" s="28"/>
      <c r="FE778" s="28"/>
      <c r="FH778" s="28"/>
      <c r="FK778" s="28"/>
      <c r="FN778" s="28"/>
      <c r="FQ778" s="28"/>
      <c r="FT778" s="28"/>
      <c r="FW778" s="28"/>
      <c r="FZ778" s="28"/>
      <c r="GC778" s="28"/>
    </row>
    <row r="779" spans="1:185" s="25" customFormat="1" x14ac:dyDescent="0.3">
      <c r="A779" s="27"/>
      <c r="B779" s="28"/>
      <c r="C779" s="27"/>
      <c r="D779" s="26"/>
      <c r="E779" s="28"/>
      <c r="H779" s="28"/>
      <c r="K779" s="28"/>
      <c r="N779" s="28"/>
      <c r="Q779" s="28"/>
      <c r="T779" s="28"/>
      <c r="W779" s="28"/>
      <c r="Z779" s="28"/>
      <c r="AC779" s="28"/>
      <c r="AF779" s="28"/>
      <c r="AI779" s="28"/>
      <c r="AL779" s="28"/>
      <c r="AO779" s="28"/>
      <c r="AR779" s="28"/>
      <c r="AU779" s="28"/>
      <c r="AX779" s="28"/>
      <c r="BA779" s="28"/>
      <c r="BD779" s="28"/>
      <c r="BG779" s="28"/>
      <c r="BJ779" s="28"/>
      <c r="BM779" s="28"/>
      <c r="BP779" s="28"/>
      <c r="BS779" s="28"/>
      <c r="BV779" s="28"/>
      <c r="BY779" s="28"/>
      <c r="CB779" s="28"/>
      <c r="CE779" s="28"/>
      <c r="CH779" s="28"/>
      <c r="CK779" s="28"/>
      <c r="CN779" s="28"/>
      <c r="CQ779" s="28"/>
      <c r="CT779" s="28"/>
      <c r="CW779" s="28"/>
      <c r="CZ779" s="28"/>
      <c r="DC779" s="28"/>
      <c r="DF779" s="28"/>
      <c r="DI779" s="28"/>
      <c r="DL779" s="28"/>
      <c r="DO779" s="28"/>
      <c r="DR779" s="28"/>
      <c r="DU779" s="28"/>
      <c r="DX779" s="28"/>
      <c r="EA779" s="28"/>
      <c r="ED779" s="28"/>
      <c r="EG779" s="28"/>
      <c r="EJ779" s="28"/>
      <c r="EM779" s="28"/>
      <c r="EP779" s="28"/>
      <c r="ES779" s="28"/>
      <c r="EV779" s="28"/>
      <c r="EY779" s="28"/>
      <c r="FB779" s="28"/>
      <c r="FE779" s="28"/>
      <c r="FH779" s="28"/>
      <c r="FK779" s="28"/>
      <c r="FN779" s="28"/>
      <c r="FQ779" s="28"/>
      <c r="FT779" s="28"/>
      <c r="FW779" s="28"/>
      <c r="FZ779" s="28"/>
      <c r="GC779" s="28"/>
    </row>
    <row r="780" spans="1:185" s="25" customFormat="1" x14ac:dyDescent="0.3">
      <c r="A780" s="27"/>
      <c r="B780" s="28"/>
      <c r="C780" s="27"/>
      <c r="D780" s="26"/>
      <c r="E780" s="28"/>
      <c r="H780" s="28"/>
      <c r="K780" s="28"/>
      <c r="N780" s="28"/>
      <c r="Q780" s="28"/>
      <c r="T780" s="28"/>
      <c r="W780" s="28"/>
      <c r="Z780" s="28"/>
      <c r="AC780" s="28"/>
      <c r="AF780" s="28"/>
      <c r="AI780" s="28"/>
      <c r="AL780" s="28"/>
      <c r="AO780" s="28"/>
      <c r="AR780" s="28"/>
      <c r="AU780" s="28"/>
      <c r="AX780" s="28"/>
      <c r="BA780" s="28"/>
      <c r="BD780" s="28"/>
      <c r="BG780" s="28"/>
      <c r="BJ780" s="28"/>
      <c r="BM780" s="28"/>
      <c r="BP780" s="28"/>
      <c r="BS780" s="28"/>
      <c r="BV780" s="28"/>
      <c r="BY780" s="28"/>
      <c r="CB780" s="28"/>
      <c r="CE780" s="28"/>
      <c r="CH780" s="28"/>
      <c r="CK780" s="28"/>
      <c r="CN780" s="28"/>
      <c r="CQ780" s="28"/>
      <c r="CT780" s="28"/>
      <c r="CW780" s="28"/>
      <c r="CZ780" s="28"/>
      <c r="DC780" s="28"/>
      <c r="DF780" s="28"/>
      <c r="DI780" s="28"/>
      <c r="DL780" s="28"/>
      <c r="DO780" s="28"/>
      <c r="DR780" s="28"/>
      <c r="DU780" s="28"/>
      <c r="DX780" s="28"/>
      <c r="EA780" s="28"/>
      <c r="ED780" s="28"/>
      <c r="EG780" s="28"/>
      <c r="EJ780" s="28"/>
      <c r="EM780" s="28"/>
      <c r="EP780" s="28"/>
      <c r="ES780" s="28"/>
      <c r="EV780" s="28"/>
      <c r="EY780" s="28"/>
      <c r="FB780" s="28"/>
      <c r="FE780" s="28"/>
      <c r="FH780" s="28"/>
      <c r="FK780" s="28"/>
      <c r="FN780" s="28"/>
      <c r="FQ780" s="28"/>
      <c r="FT780" s="28"/>
      <c r="FW780" s="28"/>
      <c r="FZ780" s="28"/>
      <c r="GC780" s="28"/>
    </row>
    <row r="781" spans="1:185" s="25" customFormat="1" x14ac:dyDescent="0.3">
      <c r="A781" s="27"/>
      <c r="B781" s="28"/>
      <c r="C781" s="27"/>
      <c r="D781" s="26"/>
      <c r="E781" s="28"/>
      <c r="H781" s="28"/>
      <c r="K781" s="28"/>
      <c r="N781" s="28"/>
      <c r="Q781" s="28"/>
      <c r="T781" s="28"/>
      <c r="W781" s="28"/>
      <c r="Z781" s="28"/>
      <c r="AC781" s="28"/>
      <c r="AF781" s="28"/>
      <c r="AI781" s="28"/>
      <c r="AL781" s="28"/>
      <c r="AO781" s="28"/>
      <c r="AR781" s="28"/>
      <c r="AU781" s="28"/>
      <c r="AX781" s="28"/>
      <c r="BA781" s="28"/>
      <c r="BD781" s="28"/>
      <c r="BG781" s="28"/>
      <c r="BJ781" s="28"/>
      <c r="BM781" s="28"/>
      <c r="BP781" s="28"/>
      <c r="BS781" s="28"/>
      <c r="BV781" s="28"/>
      <c r="BY781" s="28"/>
      <c r="CB781" s="28"/>
      <c r="CE781" s="28"/>
      <c r="CH781" s="28"/>
      <c r="CK781" s="28"/>
      <c r="CN781" s="28"/>
      <c r="CQ781" s="28"/>
      <c r="CT781" s="28"/>
      <c r="CW781" s="28"/>
      <c r="CZ781" s="28"/>
      <c r="DC781" s="28"/>
      <c r="DF781" s="28"/>
      <c r="DI781" s="28"/>
      <c r="DL781" s="28"/>
      <c r="DO781" s="28"/>
      <c r="DR781" s="28"/>
      <c r="DU781" s="28"/>
      <c r="DX781" s="28"/>
      <c r="EA781" s="28"/>
      <c r="ED781" s="28"/>
      <c r="EG781" s="28"/>
      <c r="EJ781" s="28"/>
      <c r="EM781" s="28"/>
      <c r="EP781" s="28"/>
      <c r="ES781" s="28"/>
      <c r="EV781" s="28"/>
      <c r="EY781" s="28"/>
      <c r="FB781" s="28"/>
      <c r="FE781" s="28"/>
      <c r="FH781" s="28"/>
      <c r="FK781" s="28"/>
      <c r="FN781" s="28"/>
      <c r="FQ781" s="28"/>
      <c r="FT781" s="28"/>
      <c r="FW781" s="28"/>
      <c r="FZ781" s="28"/>
      <c r="GC781" s="28"/>
    </row>
    <row r="782" spans="1:185" s="25" customFormat="1" x14ac:dyDescent="0.3">
      <c r="A782" s="27"/>
      <c r="B782" s="28"/>
      <c r="C782" s="27"/>
      <c r="D782" s="26"/>
      <c r="E782" s="28"/>
      <c r="H782" s="28"/>
      <c r="K782" s="28"/>
      <c r="N782" s="28"/>
      <c r="Q782" s="28"/>
      <c r="T782" s="28"/>
      <c r="W782" s="28"/>
      <c r="Z782" s="28"/>
      <c r="AC782" s="28"/>
      <c r="AF782" s="28"/>
      <c r="AI782" s="28"/>
      <c r="AL782" s="28"/>
      <c r="AO782" s="28"/>
      <c r="AR782" s="28"/>
      <c r="AU782" s="28"/>
      <c r="AX782" s="28"/>
      <c r="BA782" s="28"/>
      <c r="BD782" s="28"/>
      <c r="BG782" s="28"/>
      <c r="BJ782" s="28"/>
      <c r="BM782" s="28"/>
      <c r="BP782" s="28"/>
      <c r="BS782" s="28"/>
      <c r="BV782" s="28"/>
      <c r="BY782" s="28"/>
      <c r="CB782" s="28"/>
      <c r="CE782" s="28"/>
      <c r="CH782" s="28"/>
      <c r="CK782" s="28"/>
      <c r="CN782" s="28"/>
      <c r="CQ782" s="28"/>
      <c r="CT782" s="28"/>
      <c r="CW782" s="28"/>
      <c r="CZ782" s="28"/>
      <c r="DC782" s="28"/>
      <c r="DF782" s="28"/>
      <c r="DI782" s="28"/>
      <c r="DL782" s="28"/>
      <c r="DO782" s="28"/>
      <c r="DR782" s="28"/>
      <c r="DU782" s="28"/>
      <c r="DX782" s="28"/>
      <c r="EA782" s="28"/>
      <c r="ED782" s="28"/>
      <c r="EG782" s="28"/>
      <c r="EJ782" s="28"/>
      <c r="EM782" s="28"/>
      <c r="EP782" s="28"/>
      <c r="ES782" s="28"/>
      <c r="EV782" s="28"/>
      <c r="EY782" s="28"/>
      <c r="FB782" s="28"/>
      <c r="FE782" s="28"/>
      <c r="FH782" s="28"/>
      <c r="FK782" s="28"/>
      <c r="FN782" s="28"/>
      <c r="FQ782" s="28"/>
      <c r="FT782" s="28"/>
      <c r="FW782" s="28"/>
      <c r="FZ782" s="28"/>
      <c r="GC782" s="28"/>
    </row>
    <row r="783" spans="1:185" s="25" customFormat="1" x14ac:dyDescent="0.3">
      <c r="A783" s="27"/>
      <c r="B783" s="28"/>
      <c r="C783" s="27"/>
      <c r="D783" s="26"/>
      <c r="E783" s="28"/>
      <c r="H783" s="28"/>
      <c r="K783" s="28"/>
      <c r="N783" s="28"/>
      <c r="Q783" s="28"/>
      <c r="T783" s="28"/>
      <c r="W783" s="28"/>
      <c r="Z783" s="28"/>
      <c r="AC783" s="28"/>
      <c r="AF783" s="28"/>
      <c r="AI783" s="28"/>
      <c r="AL783" s="28"/>
      <c r="AO783" s="28"/>
      <c r="AR783" s="28"/>
      <c r="AU783" s="28"/>
      <c r="AX783" s="28"/>
      <c r="BA783" s="28"/>
      <c r="BD783" s="28"/>
      <c r="BG783" s="28"/>
      <c r="BJ783" s="28"/>
      <c r="BM783" s="28"/>
      <c r="BP783" s="28"/>
      <c r="BS783" s="28"/>
      <c r="BV783" s="28"/>
      <c r="BY783" s="28"/>
      <c r="CB783" s="28"/>
      <c r="CE783" s="28"/>
      <c r="CH783" s="28"/>
      <c r="CK783" s="28"/>
      <c r="CN783" s="28"/>
      <c r="CQ783" s="28"/>
      <c r="CT783" s="28"/>
      <c r="CW783" s="28"/>
      <c r="CZ783" s="28"/>
      <c r="DC783" s="28"/>
      <c r="DF783" s="28"/>
      <c r="DI783" s="28"/>
      <c r="DL783" s="28"/>
      <c r="DO783" s="28"/>
      <c r="DR783" s="28"/>
      <c r="DU783" s="28"/>
      <c r="DX783" s="28"/>
      <c r="EA783" s="28"/>
      <c r="ED783" s="28"/>
      <c r="EG783" s="28"/>
      <c r="EJ783" s="28"/>
      <c r="EM783" s="28"/>
      <c r="EP783" s="28"/>
      <c r="ES783" s="28"/>
      <c r="EV783" s="28"/>
      <c r="EY783" s="28"/>
      <c r="FB783" s="28"/>
      <c r="FE783" s="28"/>
      <c r="FH783" s="28"/>
      <c r="FK783" s="28"/>
      <c r="FN783" s="28"/>
      <c r="FQ783" s="28"/>
      <c r="FT783" s="28"/>
      <c r="FW783" s="28"/>
      <c r="FZ783" s="28"/>
      <c r="GC783" s="28"/>
    </row>
    <row r="784" spans="1:185" s="25" customFormat="1" x14ac:dyDescent="0.3">
      <c r="A784" s="27"/>
      <c r="B784" s="28"/>
      <c r="C784" s="27"/>
      <c r="D784" s="26"/>
      <c r="E784" s="28"/>
      <c r="H784" s="28"/>
      <c r="K784" s="28"/>
      <c r="N784" s="28"/>
      <c r="Q784" s="28"/>
      <c r="T784" s="28"/>
      <c r="W784" s="28"/>
      <c r="Z784" s="28"/>
      <c r="AC784" s="28"/>
      <c r="AF784" s="28"/>
      <c r="AI784" s="28"/>
      <c r="AL784" s="28"/>
      <c r="AO784" s="28"/>
      <c r="AR784" s="28"/>
      <c r="AU784" s="28"/>
      <c r="AX784" s="28"/>
      <c r="BA784" s="28"/>
      <c r="BD784" s="28"/>
      <c r="BG784" s="28"/>
      <c r="BJ784" s="28"/>
      <c r="BM784" s="28"/>
      <c r="BP784" s="28"/>
      <c r="BS784" s="28"/>
      <c r="BV784" s="28"/>
      <c r="BY784" s="28"/>
      <c r="CB784" s="28"/>
      <c r="CE784" s="28"/>
      <c r="CH784" s="28"/>
      <c r="CK784" s="28"/>
      <c r="CN784" s="28"/>
      <c r="CQ784" s="28"/>
      <c r="CT784" s="28"/>
      <c r="CW784" s="28"/>
      <c r="CZ784" s="28"/>
      <c r="DC784" s="28"/>
      <c r="DF784" s="28"/>
      <c r="DI784" s="28"/>
      <c r="DL784" s="28"/>
      <c r="DO784" s="28"/>
      <c r="DR784" s="28"/>
      <c r="DU784" s="28"/>
      <c r="DX784" s="28"/>
      <c r="EA784" s="28"/>
      <c r="ED784" s="28"/>
      <c r="EG784" s="28"/>
      <c r="EJ784" s="28"/>
      <c r="EM784" s="28"/>
      <c r="EP784" s="28"/>
      <c r="ES784" s="28"/>
      <c r="EV784" s="28"/>
      <c r="EY784" s="28"/>
      <c r="FB784" s="28"/>
      <c r="FE784" s="28"/>
      <c r="FH784" s="28"/>
      <c r="FK784" s="28"/>
      <c r="FN784" s="28"/>
      <c r="FQ784" s="28"/>
      <c r="FT784" s="28"/>
      <c r="FW784" s="28"/>
      <c r="FZ784" s="28"/>
      <c r="GC784" s="28"/>
    </row>
    <row r="785" spans="1:185" s="25" customFormat="1" x14ac:dyDescent="0.3">
      <c r="A785" s="27"/>
      <c r="B785" s="28"/>
      <c r="C785" s="27"/>
      <c r="D785" s="26"/>
      <c r="E785" s="28"/>
      <c r="H785" s="28"/>
      <c r="K785" s="28"/>
      <c r="N785" s="28"/>
      <c r="Q785" s="28"/>
      <c r="T785" s="28"/>
      <c r="W785" s="28"/>
      <c r="Z785" s="28"/>
      <c r="AC785" s="28"/>
      <c r="AF785" s="28"/>
      <c r="AI785" s="28"/>
      <c r="AL785" s="28"/>
      <c r="AO785" s="28"/>
      <c r="AR785" s="28"/>
      <c r="AU785" s="28"/>
      <c r="AX785" s="28"/>
      <c r="BA785" s="28"/>
      <c r="BD785" s="28"/>
      <c r="BG785" s="28"/>
      <c r="BJ785" s="28"/>
      <c r="BM785" s="28"/>
      <c r="BP785" s="28"/>
      <c r="BS785" s="28"/>
      <c r="BV785" s="28"/>
      <c r="BY785" s="28"/>
      <c r="CB785" s="28"/>
      <c r="CE785" s="28"/>
      <c r="CH785" s="28"/>
      <c r="CK785" s="28"/>
      <c r="CN785" s="28"/>
      <c r="CQ785" s="28"/>
      <c r="CT785" s="28"/>
      <c r="CW785" s="28"/>
      <c r="CZ785" s="28"/>
      <c r="DC785" s="28"/>
      <c r="DF785" s="28"/>
      <c r="DI785" s="28"/>
      <c r="DL785" s="28"/>
      <c r="DO785" s="28"/>
      <c r="DR785" s="28"/>
      <c r="DU785" s="28"/>
      <c r="DX785" s="28"/>
      <c r="EA785" s="28"/>
      <c r="ED785" s="28"/>
      <c r="EG785" s="28"/>
      <c r="EJ785" s="28"/>
      <c r="EM785" s="28"/>
      <c r="EP785" s="28"/>
      <c r="ES785" s="28"/>
      <c r="EV785" s="28"/>
      <c r="EY785" s="28"/>
      <c r="FB785" s="28"/>
      <c r="FE785" s="28"/>
      <c r="FH785" s="28"/>
      <c r="FK785" s="28"/>
      <c r="FN785" s="28"/>
      <c r="FQ785" s="28"/>
      <c r="FT785" s="28"/>
      <c r="FW785" s="28"/>
      <c r="FZ785" s="28"/>
      <c r="GC785" s="28"/>
    </row>
    <row r="786" spans="1:185" s="25" customFormat="1" x14ac:dyDescent="0.3">
      <c r="A786" s="27"/>
      <c r="B786" s="28"/>
      <c r="C786" s="27"/>
      <c r="D786" s="26"/>
      <c r="E786" s="28"/>
      <c r="H786" s="28"/>
      <c r="K786" s="28"/>
      <c r="N786" s="28"/>
      <c r="Q786" s="28"/>
      <c r="T786" s="28"/>
      <c r="W786" s="28"/>
      <c r="Z786" s="28"/>
      <c r="AC786" s="28"/>
      <c r="AF786" s="28"/>
      <c r="AI786" s="28"/>
      <c r="AL786" s="28"/>
      <c r="AO786" s="28"/>
      <c r="AR786" s="28"/>
      <c r="AU786" s="28"/>
      <c r="AX786" s="28"/>
      <c r="BA786" s="28"/>
      <c r="BD786" s="28"/>
      <c r="BG786" s="28"/>
      <c r="BJ786" s="28"/>
      <c r="BM786" s="28"/>
      <c r="BP786" s="28"/>
      <c r="BS786" s="28"/>
      <c r="BV786" s="28"/>
      <c r="BY786" s="28"/>
      <c r="CB786" s="28"/>
      <c r="CE786" s="28"/>
      <c r="CH786" s="28"/>
      <c r="CK786" s="28"/>
      <c r="CN786" s="28"/>
      <c r="CQ786" s="28"/>
      <c r="CT786" s="28"/>
      <c r="CW786" s="28"/>
      <c r="CZ786" s="28"/>
      <c r="DC786" s="28"/>
      <c r="DF786" s="28"/>
      <c r="DI786" s="28"/>
      <c r="DL786" s="28"/>
      <c r="DO786" s="28"/>
      <c r="DR786" s="28"/>
      <c r="DU786" s="28"/>
      <c r="DX786" s="28"/>
      <c r="EA786" s="28"/>
      <c r="ED786" s="28"/>
      <c r="EG786" s="28"/>
      <c r="EJ786" s="28"/>
      <c r="EM786" s="28"/>
      <c r="EP786" s="28"/>
      <c r="ES786" s="28"/>
      <c r="EV786" s="28"/>
      <c r="EY786" s="28"/>
      <c r="FB786" s="28"/>
      <c r="FE786" s="28"/>
      <c r="FH786" s="28"/>
      <c r="FK786" s="28"/>
      <c r="FN786" s="28"/>
      <c r="FQ786" s="28"/>
      <c r="FT786" s="28"/>
      <c r="FW786" s="28"/>
      <c r="FZ786" s="28"/>
      <c r="GC786" s="28"/>
    </row>
    <row r="787" spans="1:185" s="25" customFormat="1" x14ac:dyDescent="0.3">
      <c r="A787" s="27"/>
      <c r="B787" s="28"/>
      <c r="C787" s="27"/>
      <c r="D787" s="26"/>
      <c r="E787" s="28"/>
      <c r="H787" s="28"/>
      <c r="K787" s="28"/>
      <c r="N787" s="28"/>
      <c r="Q787" s="28"/>
      <c r="T787" s="28"/>
      <c r="W787" s="28"/>
      <c r="Z787" s="28"/>
      <c r="AC787" s="28"/>
      <c r="AF787" s="28"/>
      <c r="AI787" s="28"/>
      <c r="AL787" s="28"/>
      <c r="AO787" s="28"/>
      <c r="AR787" s="28"/>
      <c r="AU787" s="28"/>
      <c r="AX787" s="28"/>
      <c r="BA787" s="28"/>
      <c r="BD787" s="28"/>
      <c r="BG787" s="28"/>
      <c r="BJ787" s="28"/>
      <c r="BM787" s="28"/>
      <c r="BP787" s="28"/>
      <c r="BS787" s="28"/>
      <c r="BV787" s="28"/>
      <c r="BY787" s="28"/>
      <c r="CB787" s="28"/>
      <c r="CE787" s="28"/>
      <c r="CH787" s="28"/>
      <c r="CK787" s="28"/>
      <c r="CN787" s="28"/>
      <c r="CQ787" s="28"/>
      <c r="CT787" s="28"/>
      <c r="CW787" s="28"/>
      <c r="CZ787" s="28"/>
      <c r="DC787" s="28"/>
      <c r="DF787" s="28"/>
      <c r="DI787" s="28"/>
      <c r="DL787" s="28"/>
      <c r="DO787" s="28"/>
      <c r="DR787" s="28"/>
      <c r="DU787" s="28"/>
      <c r="DX787" s="28"/>
      <c r="EA787" s="28"/>
      <c r="ED787" s="28"/>
      <c r="EG787" s="28"/>
      <c r="EJ787" s="28"/>
      <c r="EM787" s="28"/>
      <c r="EP787" s="28"/>
      <c r="ES787" s="28"/>
      <c r="EV787" s="28"/>
      <c r="EY787" s="28"/>
      <c r="FB787" s="28"/>
      <c r="FE787" s="28"/>
      <c r="FH787" s="28"/>
      <c r="FK787" s="28"/>
      <c r="FN787" s="28"/>
      <c r="FQ787" s="28"/>
      <c r="FT787" s="28"/>
      <c r="FW787" s="28"/>
      <c r="FZ787" s="28"/>
      <c r="GC787" s="28"/>
    </row>
    <row r="788" spans="1:185" s="25" customFormat="1" x14ac:dyDescent="0.3">
      <c r="A788" s="27"/>
      <c r="B788" s="28"/>
      <c r="C788" s="27"/>
      <c r="D788" s="26"/>
      <c r="E788" s="28"/>
      <c r="H788" s="28"/>
      <c r="K788" s="28"/>
      <c r="N788" s="28"/>
      <c r="Q788" s="28"/>
      <c r="T788" s="28"/>
      <c r="W788" s="28"/>
      <c r="Z788" s="28"/>
      <c r="AC788" s="28"/>
      <c r="AF788" s="28"/>
      <c r="AI788" s="28"/>
      <c r="AL788" s="28"/>
      <c r="AO788" s="28"/>
      <c r="AR788" s="28"/>
      <c r="AU788" s="28"/>
      <c r="AX788" s="28"/>
      <c r="BA788" s="28"/>
      <c r="BD788" s="28"/>
      <c r="BG788" s="28"/>
      <c r="BJ788" s="28"/>
      <c r="BM788" s="28"/>
      <c r="BP788" s="28"/>
      <c r="BS788" s="28"/>
      <c r="BV788" s="28"/>
      <c r="BY788" s="28"/>
      <c r="CB788" s="28"/>
      <c r="CE788" s="28"/>
      <c r="CH788" s="28"/>
      <c r="CK788" s="28"/>
      <c r="CN788" s="28"/>
      <c r="CQ788" s="28"/>
      <c r="CT788" s="28"/>
      <c r="CW788" s="28"/>
      <c r="CZ788" s="28"/>
      <c r="DC788" s="28"/>
      <c r="DF788" s="28"/>
      <c r="DI788" s="28"/>
      <c r="DL788" s="28"/>
      <c r="DO788" s="28"/>
      <c r="DR788" s="28"/>
      <c r="DU788" s="28"/>
      <c r="DX788" s="28"/>
      <c r="EA788" s="28"/>
      <c r="ED788" s="28"/>
      <c r="EG788" s="28"/>
      <c r="EJ788" s="28"/>
      <c r="EM788" s="28"/>
      <c r="EP788" s="28"/>
      <c r="ES788" s="28"/>
      <c r="EV788" s="28"/>
      <c r="EY788" s="28"/>
      <c r="FB788" s="28"/>
      <c r="FE788" s="28"/>
      <c r="FH788" s="28"/>
      <c r="FK788" s="28"/>
      <c r="FN788" s="28"/>
      <c r="FQ788" s="28"/>
      <c r="FT788" s="28"/>
      <c r="FW788" s="28"/>
      <c r="FZ788" s="28"/>
      <c r="GC788" s="28"/>
    </row>
    <row r="789" spans="1:185" s="25" customFormat="1" x14ac:dyDescent="0.3">
      <c r="A789" s="27"/>
      <c r="B789" s="28"/>
      <c r="C789" s="27"/>
      <c r="D789" s="26"/>
      <c r="E789" s="28"/>
      <c r="H789" s="28"/>
      <c r="K789" s="28"/>
      <c r="N789" s="28"/>
      <c r="Q789" s="28"/>
      <c r="T789" s="28"/>
      <c r="W789" s="28"/>
      <c r="Z789" s="28"/>
      <c r="AC789" s="28"/>
      <c r="AF789" s="28"/>
      <c r="AI789" s="28"/>
      <c r="AL789" s="28"/>
      <c r="AO789" s="28"/>
      <c r="AR789" s="28"/>
      <c r="AU789" s="28"/>
      <c r="AX789" s="28"/>
      <c r="BA789" s="28"/>
      <c r="BD789" s="28"/>
      <c r="BG789" s="28"/>
      <c r="BJ789" s="28"/>
      <c r="BM789" s="28"/>
      <c r="BP789" s="28"/>
      <c r="BS789" s="28"/>
      <c r="BV789" s="28"/>
      <c r="BY789" s="28"/>
      <c r="CB789" s="28"/>
      <c r="CE789" s="28"/>
      <c r="CH789" s="28"/>
      <c r="CK789" s="28"/>
      <c r="CN789" s="28"/>
      <c r="CQ789" s="28"/>
      <c r="CT789" s="28"/>
      <c r="CW789" s="28"/>
      <c r="CZ789" s="28"/>
      <c r="DC789" s="28"/>
      <c r="DF789" s="28"/>
      <c r="DI789" s="28"/>
      <c r="DL789" s="28"/>
      <c r="DO789" s="28"/>
      <c r="DR789" s="28"/>
      <c r="DU789" s="28"/>
      <c r="DX789" s="28"/>
      <c r="EA789" s="28"/>
      <c r="ED789" s="28"/>
      <c r="EG789" s="28"/>
      <c r="EJ789" s="28"/>
      <c r="EM789" s="28"/>
      <c r="EP789" s="28"/>
      <c r="ES789" s="28"/>
      <c r="EV789" s="28"/>
      <c r="EY789" s="28"/>
      <c r="FB789" s="28"/>
      <c r="FE789" s="28"/>
      <c r="FH789" s="28"/>
      <c r="FK789" s="28"/>
      <c r="FN789" s="28"/>
      <c r="FQ789" s="28"/>
      <c r="FT789" s="28"/>
      <c r="FW789" s="28"/>
      <c r="FZ789" s="28"/>
      <c r="GC789" s="28"/>
    </row>
    <row r="790" spans="1:185" s="25" customFormat="1" x14ac:dyDescent="0.3">
      <c r="A790" s="27"/>
      <c r="B790" s="28"/>
      <c r="C790" s="27"/>
      <c r="D790" s="26"/>
      <c r="E790" s="28"/>
      <c r="H790" s="28"/>
      <c r="K790" s="28"/>
      <c r="N790" s="28"/>
      <c r="Q790" s="28"/>
      <c r="T790" s="28"/>
      <c r="W790" s="28"/>
      <c r="Z790" s="28"/>
      <c r="AC790" s="28"/>
      <c r="AF790" s="28"/>
      <c r="AI790" s="28"/>
      <c r="AL790" s="28"/>
      <c r="AO790" s="28"/>
      <c r="AR790" s="28"/>
      <c r="AU790" s="28"/>
      <c r="AX790" s="28"/>
      <c r="BA790" s="28"/>
      <c r="BD790" s="28"/>
      <c r="BG790" s="28"/>
      <c r="BJ790" s="28"/>
      <c r="BM790" s="28"/>
      <c r="BP790" s="28"/>
      <c r="BS790" s="28"/>
      <c r="BV790" s="28"/>
      <c r="BY790" s="28"/>
      <c r="CB790" s="28"/>
      <c r="CE790" s="28"/>
      <c r="CH790" s="28"/>
      <c r="CK790" s="28"/>
      <c r="CN790" s="28"/>
      <c r="CQ790" s="28"/>
      <c r="CT790" s="28"/>
      <c r="CW790" s="28"/>
      <c r="CZ790" s="28"/>
      <c r="DC790" s="28"/>
      <c r="DF790" s="28"/>
      <c r="DI790" s="28"/>
      <c r="DL790" s="28"/>
      <c r="DO790" s="28"/>
      <c r="DR790" s="28"/>
      <c r="DU790" s="28"/>
      <c r="DX790" s="28"/>
      <c r="EA790" s="28"/>
      <c r="ED790" s="28"/>
      <c r="EG790" s="28"/>
      <c r="EJ790" s="28"/>
      <c r="EM790" s="28"/>
      <c r="EP790" s="28"/>
      <c r="ES790" s="28"/>
      <c r="EV790" s="28"/>
      <c r="EY790" s="28"/>
      <c r="FB790" s="28"/>
      <c r="FE790" s="28"/>
      <c r="FH790" s="28"/>
      <c r="FK790" s="28"/>
      <c r="FN790" s="28"/>
      <c r="FQ790" s="28"/>
      <c r="FT790" s="28"/>
      <c r="FW790" s="28"/>
      <c r="FZ790" s="28"/>
      <c r="GC790" s="28"/>
    </row>
    <row r="791" spans="1:185" s="25" customFormat="1" x14ac:dyDescent="0.3">
      <c r="A791" s="27"/>
      <c r="B791" s="28"/>
      <c r="C791" s="27"/>
      <c r="D791" s="26"/>
      <c r="E791" s="28"/>
      <c r="H791" s="28"/>
      <c r="K791" s="28"/>
      <c r="N791" s="28"/>
      <c r="Q791" s="28"/>
      <c r="T791" s="28"/>
      <c r="W791" s="28"/>
      <c r="Z791" s="28"/>
      <c r="AC791" s="28"/>
      <c r="AF791" s="28"/>
      <c r="AI791" s="28"/>
      <c r="AL791" s="28"/>
      <c r="AO791" s="28"/>
      <c r="AR791" s="28"/>
      <c r="AU791" s="28"/>
      <c r="AX791" s="28"/>
      <c r="BA791" s="28"/>
      <c r="BD791" s="28"/>
      <c r="BG791" s="28"/>
      <c r="BJ791" s="28"/>
      <c r="BM791" s="28"/>
      <c r="BP791" s="28"/>
      <c r="BS791" s="28"/>
      <c r="BV791" s="28"/>
      <c r="BY791" s="28"/>
      <c r="CB791" s="28"/>
      <c r="CE791" s="28"/>
      <c r="CH791" s="28"/>
      <c r="CK791" s="28"/>
      <c r="CN791" s="28"/>
      <c r="CQ791" s="28"/>
      <c r="CT791" s="28"/>
      <c r="CW791" s="28"/>
      <c r="CZ791" s="28"/>
      <c r="DC791" s="28"/>
      <c r="DF791" s="28"/>
      <c r="DI791" s="28"/>
      <c r="DL791" s="28"/>
      <c r="DO791" s="28"/>
      <c r="DR791" s="28"/>
      <c r="DU791" s="28"/>
      <c r="DX791" s="28"/>
      <c r="EA791" s="28"/>
      <c r="ED791" s="28"/>
      <c r="EG791" s="28"/>
      <c r="EJ791" s="28"/>
      <c r="EM791" s="28"/>
      <c r="EP791" s="28"/>
      <c r="ES791" s="28"/>
      <c r="EV791" s="28"/>
      <c r="EY791" s="28"/>
      <c r="FB791" s="28"/>
      <c r="FE791" s="28"/>
      <c r="FH791" s="28"/>
      <c r="FK791" s="28"/>
      <c r="FN791" s="28"/>
      <c r="FQ791" s="28"/>
      <c r="FT791" s="28"/>
      <c r="FW791" s="28"/>
      <c r="FZ791" s="28"/>
      <c r="GC791" s="28"/>
    </row>
    <row r="792" spans="1:185" s="25" customFormat="1" x14ac:dyDescent="0.3">
      <c r="A792" s="27"/>
      <c r="B792" s="28"/>
      <c r="C792" s="27"/>
      <c r="D792" s="26"/>
      <c r="E792" s="28"/>
      <c r="H792" s="28"/>
      <c r="K792" s="28"/>
      <c r="N792" s="28"/>
      <c r="Q792" s="28"/>
      <c r="T792" s="28"/>
      <c r="W792" s="28"/>
      <c r="Z792" s="28"/>
      <c r="AC792" s="28"/>
      <c r="AF792" s="28"/>
      <c r="AI792" s="28"/>
      <c r="AL792" s="28"/>
      <c r="AO792" s="28"/>
      <c r="AR792" s="28"/>
      <c r="AU792" s="28"/>
      <c r="AX792" s="28"/>
      <c r="BA792" s="28"/>
      <c r="BD792" s="28"/>
      <c r="BG792" s="28"/>
      <c r="BJ792" s="28"/>
      <c r="BM792" s="28"/>
      <c r="BP792" s="28"/>
      <c r="BS792" s="28"/>
      <c r="BV792" s="28"/>
      <c r="BY792" s="28"/>
      <c r="CB792" s="28"/>
      <c r="CE792" s="28"/>
      <c r="CH792" s="28"/>
      <c r="CK792" s="28"/>
      <c r="CN792" s="28"/>
      <c r="CQ792" s="28"/>
      <c r="CT792" s="28"/>
      <c r="CW792" s="28"/>
      <c r="CZ792" s="28"/>
      <c r="DC792" s="28"/>
      <c r="DF792" s="28"/>
      <c r="DI792" s="28"/>
      <c r="DL792" s="28"/>
      <c r="DO792" s="28"/>
      <c r="DR792" s="28"/>
      <c r="DU792" s="28"/>
      <c r="DX792" s="28"/>
      <c r="EA792" s="28"/>
      <c r="ED792" s="28"/>
      <c r="EG792" s="28"/>
      <c r="EJ792" s="28"/>
      <c r="EM792" s="28"/>
      <c r="EP792" s="28"/>
      <c r="ES792" s="28"/>
      <c r="EV792" s="28"/>
      <c r="EY792" s="28"/>
      <c r="FB792" s="28"/>
      <c r="FE792" s="28"/>
      <c r="FH792" s="28"/>
      <c r="FK792" s="28"/>
      <c r="FN792" s="28"/>
      <c r="FQ792" s="28"/>
      <c r="FT792" s="28"/>
      <c r="FW792" s="28"/>
      <c r="FZ792" s="28"/>
      <c r="GC792" s="28"/>
    </row>
    <row r="793" spans="1:185" s="25" customFormat="1" x14ac:dyDescent="0.3">
      <c r="A793" s="27"/>
      <c r="B793" s="28"/>
      <c r="C793" s="27"/>
      <c r="D793" s="26"/>
      <c r="E793" s="28"/>
      <c r="H793" s="28"/>
      <c r="K793" s="28"/>
      <c r="N793" s="28"/>
      <c r="Q793" s="28"/>
      <c r="T793" s="28"/>
      <c r="W793" s="28"/>
      <c r="Z793" s="28"/>
      <c r="AC793" s="28"/>
      <c r="AF793" s="28"/>
      <c r="AI793" s="28"/>
      <c r="AL793" s="28"/>
      <c r="AO793" s="28"/>
      <c r="AR793" s="28"/>
      <c r="AU793" s="28"/>
      <c r="AX793" s="28"/>
      <c r="BA793" s="28"/>
      <c r="BD793" s="28"/>
      <c r="BG793" s="28"/>
      <c r="BJ793" s="28"/>
      <c r="BM793" s="28"/>
      <c r="BP793" s="28"/>
      <c r="BS793" s="28"/>
      <c r="BV793" s="28"/>
      <c r="BY793" s="28"/>
      <c r="CB793" s="28"/>
      <c r="CE793" s="28"/>
      <c r="CH793" s="28"/>
      <c r="CK793" s="28"/>
      <c r="CN793" s="28"/>
      <c r="CQ793" s="28"/>
      <c r="CT793" s="28"/>
      <c r="CW793" s="28"/>
      <c r="CZ793" s="28"/>
      <c r="DC793" s="28"/>
      <c r="DF793" s="28"/>
      <c r="DI793" s="28"/>
      <c r="DL793" s="28"/>
      <c r="DO793" s="28"/>
      <c r="DR793" s="28"/>
      <c r="DU793" s="28"/>
      <c r="DX793" s="28"/>
      <c r="EA793" s="28"/>
      <c r="ED793" s="28"/>
      <c r="EG793" s="28"/>
      <c r="EJ793" s="28"/>
      <c r="EM793" s="28"/>
      <c r="EP793" s="28"/>
      <c r="ES793" s="28"/>
      <c r="EV793" s="28"/>
      <c r="EY793" s="28"/>
      <c r="FB793" s="28"/>
      <c r="FE793" s="28"/>
      <c r="FH793" s="28"/>
      <c r="FK793" s="28"/>
      <c r="FN793" s="28"/>
      <c r="FQ793" s="28"/>
      <c r="FT793" s="28"/>
      <c r="FW793" s="28"/>
      <c r="FZ793" s="28"/>
      <c r="GC793" s="28"/>
    </row>
    <row r="794" spans="1:185" s="25" customFormat="1" x14ac:dyDescent="0.3">
      <c r="A794" s="27"/>
      <c r="B794" s="28"/>
      <c r="C794" s="27"/>
      <c r="D794" s="26"/>
      <c r="E794" s="28"/>
      <c r="H794" s="28"/>
      <c r="K794" s="28"/>
      <c r="N794" s="28"/>
      <c r="Q794" s="28"/>
      <c r="T794" s="28"/>
      <c r="W794" s="28"/>
      <c r="Z794" s="28"/>
      <c r="AC794" s="28"/>
      <c r="AF794" s="28"/>
      <c r="AI794" s="28"/>
      <c r="AL794" s="28"/>
      <c r="AO794" s="28"/>
      <c r="AR794" s="28"/>
      <c r="AU794" s="28"/>
      <c r="AX794" s="28"/>
      <c r="BA794" s="28"/>
      <c r="BD794" s="28"/>
      <c r="BG794" s="28"/>
      <c r="BJ794" s="28"/>
      <c r="BM794" s="28"/>
      <c r="BP794" s="28"/>
      <c r="BS794" s="28"/>
      <c r="BV794" s="28"/>
      <c r="BY794" s="28"/>
      <c r="CB794" s="28"/>
      <c r="CE794" s="28"/>
      <c r="CH794" s="28"/>
      <c r="CK794" s="28"/>
      <c r="CN794" s="28"/>
      <c r="CQ794" s="28"/>
      <c r="CT794" s="28"/>
      <c r="CW794" s="28"/>
      <c r="CZ794" s="28"/>
      <c r="DC794" s="28"/>
      <c r="DF794" s="28"/>
      <c r="DI794" s="28"/>
      <c r="DL794" s="28"/>
      <c r="DO794" s="28"/>
      <c r="DR794" s="28"/>
      <c r="DU794" s="28"/>
      <c r="DX794" s="28"/>
      <c r="EA794" s="28"/>
      <c r="ED794" s="28"/>
      <c r="EG794" s="28"/>
      <c r="EJ794" s="28"/>
      <c r="EM794" s="28"/>
      <c r="EP794" s="28"/>
      <c r="ES794" s="28"/>
      <c r="EV794" s="28"/>
      <c r="EY794" s="28"/>
      <c r="FB794" s="28"/>
      <c r="FE794" s="28"/>
      <c r="FH794" s="28"/>
      <c r="FK794" s="28"/>
      <c r="FN794" s="28"/>
      <c r="FQ794" s="28"/>
      <c r="FT794" s="28"/>
      <c r="FW794" s="28"/>
      <c r="FZ794" s="28"/>
      <c r="GC794" s="28"/>
    </row>
    <row r="795" spans="1:185" s="25" customFormat="1" x14ac:dyDescent="0.3">
      <c r="A795" s="27"/>
      <c r="B795" s="28"/>
      <c r="C795" s="27"/>
      <c r="D795" s="26"/>
      <c r="E795" s="28"/>
      <c r="H795" s="28"/>
      <c r="K795" s="28"/>
      <c r="N795" s="28"/>
      <c r="Q795" s="28"/>
      <c r="T795" s="28"/>
      <c r="W795" s="28"/>
      <c r="Z795" s="28"/>
      <c r="AC795" s="28"/>
      <c r="AF795" s="28"/>
      <c r="AI795" s="28"/>
      <c r="AL795" s="28"/>
      <c r="AO795" s="28"/>
      <c r="AR795" s="28"/>
      <c r="AU795" s="28"/>
      <c r="AX795" s="28"/>
      <c r="BA795" s="28"/>
      <c r="BD795" s="28"/>
      <c r="BG795" s="28"/>
      <c r="BJ795" s="28"/>
      <c r="BM795" s="28"/>
      <c r="BP795" s="28"/>
      <c r="BS795" s="28"/>
      <c r="BV795" s="28"/>
      <c r="BY795" s="28"/>
      <c r="CB795" s="28"/>
      <c r="CE795" s="28"/>
      <c r="CH795" s="28"/>
      <c r="CK795" s="28"/>
      <c r="CN795" s="28"/>
      <c r="CQ795" s="28"/>
      <c r="CT795" s="28"/>
      <c r="CW795" s="28"/>
      <c r="CZ795" s="28"/>
      <c r="DC795" s="28"/>
      <c r="DF795" s="28"/>
      <c r="DI795" s="28"/>
      <c r="DL795" s="28"/>
      <c r="DO795" s="28"/>
      <c r="DR795" s="28"/>
      <c r="DU795" s="28"/>
      <c r="DX795" s="28"/>
      <c r="EA795" s="28"/>
      <c r="ED795" s="28"/>
      <c r="EG795" s="28"/>
      <c r="EJ795" s="28"/>
      <c r="EM795" s="28"/>
      <c r="EP795" s="28"/>
      <c r="ES795" s="28"/>
      <c r="EV795" s="28"/>
      <c r="EY795" s="28"/>
      <c r="FB795" s="28"/>
      <c r="FE795" s="28"/>
      <c r="FH795" s="28"/>
      <c r="FK795" s="28"/>
      <c r="FN795" s="28"/>
      <c r="FQ795" s="28"/>
      <c r="FT795" s="28"/>
      <c r="FW795" s="28"/>
      <c r="FZ795" s="28"/>
      <c r="GC795" s="28"/>
    </row>
    <row r="796" spans="1:185" s="25" customFormat="1" x14ac:dyDescent="0.3">
      <c r="A796" s="27"/>
      <c r="B796" s="28"/>
      <c r="C796" s="27"/>
      <c r="D796" s="26"/>
      <c r="E796" s="28"/>
      <c r="H796" s="28"/>
      <c r="K796" s="28"/>
      <c r="N796" s="28"/>
      <c r="Q796" s="28"/>
      <c r="T796" s="28"/>
      <c r="W796" s="28"/>
      <c r="Z796" s="28"/>
      <c r="AC796" s="28"/>
      <c r="AF796" s="28"/>
      <c r="AI796" s="28"/>
      <c r="AL796" s="28"/>
      <c r="AO796" s="28"/>
      <c r="AR796" s="28"/>
      <c r="AU796" s="28"/>
      <c r="AX796" s="28"/>
      <c r="BA796" s="28"/>
      <c r="BD796" s="28"/>
      <c r="BG796" s="28"/>
      <c r="BJ796" s="28"/>
      <c r="BM796" s="28"/>
      <c r="BP796" s="28"/>
      <c r="BS796" s="28"/>
      <c r="BV796" s="28"/>
      <c r="BY796" s="28"/>
      <c r="CB796" s="28"/>
      <c r="CE796" s="28"/>
      <c r="CH796" s="28"/>
      <c r="CK796" s="28"/>
      <c r="CN796" s="28"/>
      <c r="CQ796" s="28"/>
      <c r="CT796" s="28"/>
      <c r="CW796" s="28"/>
      <c r="CZ796" s="28"/>
      <c r="DC796" s="28"/>
      <c r="DF796" s="28"/>
      <c r="DI796" s="28"/>
      <c r="DL796" s="28"/>
      <c r="DO796" s="28"/>
      <c r="DR796" s="28"/>
      <c r="DU796" s="28"/>
      <c r="DX796" s="28"/>
      <c r="EA796" s="28"/>
      <c r="ED796" s="28"/>
      <c r="EG796" s="28"/>
      <c r="EJ796" s="28"/>
      <c r="EM796" s="28"/>
      <c r="EP796" s="28"/>
      <c r="ES796" s="28"/>
      <c r="EV796" s="28"/>
      <c r="EY796" s="28"/>
      <c r="FB796" s="28"/>
      <c r="FE796" s="28"/>
      <c r="FH796" s="28"/>
      <c r="FK796" s="28"/>
      <c r="FN796" s="28"/>
      <c r="FQ796" s="28"/>
      <c r="FT796" s="28"/>
      <c r="FW796" s="28"/>
      <c r="FZ796" s="28"/>
      <c r="GC796" s="28"/>
    </row>
    <row r="797" spans="1:185" s="25" customFormat="1" x14ac:dyDescent="0.3">
      <c r="A797" s="27"/>
      <c r="B797" s="28"/>
      <c r="C797" s="27"/>
      <c r="D797" s="26"/>
      <c r="E797" s="28"/>
      <c r="H797" s="28"/>
      <c r="K797" s="28"/>
      <c r="N797" s="28"/>
      <c r="Q797" s="28"/>
      <c r="T797" s="28"/>
      <c r="W797" s="28"/>
      <c r="Z797" s="28"/>
      <c r="AC797" s="28"/>
      <c r="AF797" s="28"/>
      <c r="AI797" s="28"/>
      <c r="AL797" s="28"/>
      <c r="AO797" s="28"/>
      <c r="AR797" s="28"/>
      <c r="AU797" s="28"/>
      <c r="AX797" s="28"/>
      <c r="BA797" s="28"/>
      <c r="BD797" s="28"/>
      <c r="BG797" s="28"/>
      <c r="BJ797" s="28"/>
      <c r="BM797" s="28"/>
      <c r="BP797" s="28"/>
      <c r="BS797" s="28"/>
      <c r="BV797" s="28"/>
      <c r="BY797" s="28"/>
      <c r="CB797" s="28"/>
      <c r="CE797" s="28"/>
      <c r="CH797" s="28"/>
      <c r="CK797" s="28"/>
      <c r="CN797" s="28"/>
      <c r="CQ797" s="28"/>
      <c r="CT797" s="28"/>
      <c r="CW797" s="28"/>
      <c r="CZ797" s="28"/>
      <c r="DC797" s="28"/>
      <c r="DF797" s="28"/>
      <c r="DI797" s="28"/>
      <c r="DL797" s="28"/>
      <c r="DO797" s="28"/>
      <c r="DR797" s="28"/>
      <c r="DU797" s="28"/>
      <c r="DX797" s="28"/>
      <c r="EA797" s="28"/>
      <c r="ED797" s="28"/>
      <c r="EG797" s="28"/>
      <c r="EJ797" s="28"/>
      <c r="EM797" s="28"/>
      <c r="EP797" s="28"/>
      <c r="ES797" s="28"/>
      <c r="EV797" s="28"/>
      <c r="EY797" s="28"/>
      <c r="FB797" s="28"/>
      <c r="FE797" s="28"/>
      <c r="FH797" s="28"/>
      <c r="FK797" s="28"/>
      <c r="FN797" s="28"/>
      <c r="FQ797" s="28"/>
      <c r="FT797" s="28"/>
      <c r="FW797" s="28"/>
      <c r="FZ797" s="28"/>
      <c r="GC797" s="28"/>
    </row>
    <row r="798" spans="1:185" s="25" customFormat="1" x14ac:dyDescent="0.3">
      <c r="A798" s="27"/>
      <c r="B798" s="28"/>
      <c r="C798" s="27"/>
      <c r="D798" s="26"/>
      <c r="E798" s="28"/>
      <c r="H798" s="28"/>
      <c r="K798" s="28"/>
      <c r="N798" s="28"/>
      <c r="Q798" s="28"/>
      <c r="T798" s="28"/>
      <c r="W798" s="28"/>
      <c r="Z798" s="28"/>
      <c r="AC798" s="28"/>
      <c r="AF798" s="28"/>
      <c r="AI798" s="28"/>
      <c r="AL798" s="28"/>
      <c r="AO798" s="28"/>
      <c r="AR798" s="28"/>
      <c r="AU798" s="28"/>
      <c r="AX798" s="28"/>
      <c r="BA798" s="28"/>
      <c r="BD798" s="28"/>
      <c r="BG798" s="28"/>
      <c r="BJ798" s="28"/>
      <c r="BM798" s="28"/>
      <c r="BP798" s="28"/>
      <c r="BS798" s="28"/>
      <c r="BV798" s="28"/>
      <c r="BY798" s="28"/>
      <c r="CB798" s="28"/>
      <c r="CE798" s="28"/>
      <c r="CH798" s="28"/>
      <c r="CK798" s="28"/>
      <c r="CN798" s="28"/>
      <c r="CQ798" s="28"/>
      <c r="CT798" s="28"/>
      <c r="CW798" s="28"/>
      <c r="CZ798" s="28"/>
      <c r="DC798" s="28"/>
      <c r="DF798" s="28"/>
      <c r="DI798" s="28"/>
      <c r="DL798" s="28"/>
      <c r="DO798" s="28"/>
      <c r="DR798" s="28"/>
      <c r="DU798" s="28"/>
      <c r="DX798" s="28"/>
      <c r="EA798" s="28"/>
      <c r="ED798" s="28"/>
      <c r="EG798" s="28"/>
      <c r="EJ798" s="28"/>
      <c r="EM798" s="28"/>
      <c r="EP798" s="28"/>
      <c r="ES798" s="28"/>
      <c r="EV798" s="28"/>
      <c r="EY798" s="28"/>
      <c r="FB798" s="28"/>
      <c r="FE798" s="28"/>
      <c r="FH798" s="28"/>
      <c r="FK798" s="28"/>
      <c r="FN798" s="28"/>
      <c r="FQ798" s="28"/>
      <c r="FT798" s="28"/>
      <c r="FW798" s="28"/>
      <c r="FZ798" s="28"/>
      <c r="GC798" s="28"/>
    </row>
    <row r="799" spans="1:185" s="25" customFormat="1" x14ac:dyDescent="0.3">
      <c r="A799" s="27"/>
      <c r="B799" s="28"/>
      <c r="C799" s="27"/>
      <c r="D799" s="26"/>
      <c r="E799" s="28"/>
      <c r="H799" s="28"/>
      <c r="K799" s="28"/>
      <c r="N799" s="28"/>
      <c r="Q799" s="28"/>
      <c r="T799" s="28"/>
      <c r="W799" s="28"/>
      <c r="Z799" s="28"/>
      <c r="AC799" s="28"/>
      <c r="AF799" s="28"/>
      <c r="AI799" s="28"/>
      <c r="AL799" s="28"/>
      <c r="AO799" s="28"/>
      <c r="AR799" s="28"/>
      <c r="AU799" s="28"/>
      <c r="AX799" s="28"/>
      <c r="BA799" s="28"/>
      <c r="BD799" s="28"/>
      <c r="BG799" s="28"/>
      <c r="BJ799" s="28"/>
      <c r="BM799" s="28"/>
      <c r="BP799" s="28"/>
      <c r="BS799" s="28"/>
      <c r="BV799" s="28"/>
      <c r="BY799" s="28"/>
      <c r="CB799" s="28"/>
      <c r="CE799" s="28"/>
      <c r="CH799" s="28"/>
      <c r="CK799" s="28"/>
      <c r="CN799" s="28"/>
      <c r="CQ799" s="28"/>
      <c r="CT799" s="28"/>
      <c r="CW799" s="28"/>
      <c r="CZ799" s="28"/>
      <c r="DC799" s="28"/>
      <c r="DF799" s="28"/>
      <c r="DI799" s="28"/>
      <c r="DL799" s="28"/>
      <c r="DO799" s="28"/>
      <c r="DR799" s="28"/>
      <c r="DU799" s="28"/>
      <c r="DX799" s="28"/>
      <c r="EA799" s="28"/>
      <c r="ED799" s="28"/>
      <c r="EG799" s="28"/>
      <c r="EJ799" s="28"/>
      <c r="EM799" s="28"/>
      <c r="EP799" s="28"/>
      <c r="ES799" s="28"/>
      <c r="EV799" s="28"/>
      <c r="EY799" s="28"/>
      <c r="FB799" s="28"/>
      <c r="FE799" s="28"/>
      <c r="FH799" s="28"/>
      <c r="FK799" s="28"/>
      <c r="FN799" s="28"/>
      <c r="FQ799" s="28"/>
      <c r="FT799" s="28"/>
      <c r="FW799" s="28"/>
      <c r="FZ799" s="28"/>
      <c r="GC799" s="28"/>
    </row>
    <row r="800" spans="1:185" s="25" customFormat="1" x14ac:dyDescent="0.3">
      <c r="A800" s="27"/>
      <c r="B800" s="28"/>
      <c r="C800" s="27"/>
      <c r="D800" s="26"/>
      <c r="E800" s="28"/>
      <c r="H800" s="28"/>
      <c r="K800" s="28"/>
      <c r="N800" s="28"/>
      <c r="Q800" s="28"/>
      <c r="T800" s="28"/>
      <c r="W800" s="28"/>
      <c r="Z800" s="28"/>
      <c r="AC800" s="28"/>
      <c r="AF800" s="28"/>
      <c r="AI800" s="28"/>
      <c r="AL800" s="28"/>
      <c r="AO800" s="28"/>
      <c r="AR800" s="28"/>
      <c r="AU800" s="28"/>
      <c r="AX800" s="28"/>
      <c r="BA800" s="28"/>
      <c r="BD800" s="28"/>
      <c r="BG800" s="28"/>
      <c r="BJ800" s="28"/>
      <c r="BM800" s="28"/>
      <c r="BP800" s="28"/>
      <c r="BS800" s="28"/>
      <c r="BV800" s="28"/>
      <c r="BY800" s="28"/>
      <c r="CB800" s="28"/>
      <c r="CE800" s="28"/>
      <c r="CH800" s="28"/>
      <c r="CK800" s="28"/>
      <c r="CN800" s="28"/>
      <c r="CQ800" s="28"/>
      <c r="CT800" s="28"/>
      <c r="CW800" s="28"/>
      <c r="CZ800" s="28"/>
      <c r="DC800" s="28"/>
      <c r="DF800" s="28"/>
      <c r="DI800" s="28"/>
      <c r="DL800" s="28"/>
      <c r="DO800" s="28"/>
      <c r="DR800" s="28"/>
      <c r="DU800" s="28"/>
      <c r="DX800" s="28"/>
      <c r="EA800" s="28"/>
      <c r="ED800" s="28"/>
      <c r="EG800" s="28"/>
      <c r="EJ800" s="28"/>
      <c r="EM800" s="28"/>
      <c r="EP800" s="28"/>
      <c r="ES800" s="28"/>
      <c r="EV800" s="28"/>
      <c r="EY800" s="28"/>
      <c r="FB800" s="28"/>
      <c r="FE800" s="28"/>
      <c r="FH800" s="28"/>
      <c r="FK800" s="28"/>
      <c r="FN800" s="28"/>
      <c r="FQ800" s="28"/>
      <c r="FT800" s="28"/>
      <c r="FW800" s="28"/>
      <c r="FZ800" s="28"/>
      <c r="GC800" s="28"/>
    </row>
    <row r="801" spans="1:185" s="25" customFormat="1" x14ac:dyDescent="0.3">
      <c r="A801" s="27"/>
      <c r="B801" s="28"/>
      <c r="C801" s="27"/>
      <c r="D801" s="26"/>
      <c r="E801" s="28"/>
      <c r="H801" s="28"/>
      <c r="K801" s="28"/>
      <c r="N801" s="28"/>
      <c r="Q801" s="28"/>
      <c r="T801" s="28"/>
      <c r="W801" s="28"/>
      <c r="Z801" s="28"/>
      <c r="AC801" s="28"/>
      <c r="AF801" s="28"/>
      <c r="AI801" s="28"/>
      <c r="AL801" s="28"/>
      <c r="AO801" s="28"/>
      <c r="AR801" s="28"/>
      <c r="AU801" s="28"/>
      <c r="AX801" s="28"/>
      <c r="BA801" s="28"/>
      <c r="BD801" s="28"/>
      <c r="BG801" s="28"/>
      <c r="BJ801" s="28"/>
      <c r="BM801" s="28"/>
      <c r="BP801" s="28"/>
      <c r="BS801" s="28"/>
      <c r="BV801" s="28"/>
      <c r="BY801" s="28"/>
      <c r="CB801" s="28"/>
      <c r="CE801" s="28"/>
      <c r="CH801" s="28"/>
      <c r="CK801" s="28"/>
      <c r="CN801" s="28"/>
      <c r="CQ801" s="28"/>
      <c r="CT801" s="28"/>
      <c r="CW801" s="28"/>
      <c r="CZ801" s="28"/>
      <c r="DC801" s="28"/>
      <c r="DF801" s="28"/>
      <c r="DI801" s="28"/>
      <c r="DL801" s="28"/>
      <c r="DO801" s="28"/>
      <c r="DR801" s="28"/>
      <c r="DU801" s="28"/>
      <c r="DX801" s="28"/>
      <c r="EA801" s="28"/>
      <c r="ED801" s="28"/>
      <c r="EG801" s="28"/>
      <c r="EJ801" s="28"/>
      <c r="EM801" s="28"/>
      <c r="EP801" s="28"/>
      <c r="ES801" s="28"/>
      <c r="EV801" s="28"/>
      <c r="EY801" s="28"/>
      <c r="FB801" s="28"/>
      <c r="FE801" s="28"/>
      <c r="FH801" s="28"/>
      <c r="FK801" s="28"/>
      <c r="FN801" s="28"/>
      <c r="FQ801" s="28"/>
      <c r="FT801" s="28"/>
      <c r="FW801" s="28"/>
      <c r="FZ801" s="28"/>
      <c r="GC801" s="28"/>
    </row>
    <row r="802" spans="1:185" s="25" customFormat="1" x14ac:dyDescent="0.3">
      <c r="A802" s="27"/>
      <c r="B802" s="28"/>
      <c r="C802" s="27"/>
      <c r="D802" s="26"/>
      <c r="E802" s="28"/>
      <c r="H802" s="28"/>
      <c r="K802" s="28"/>
      <c r="N802" s="28"/>
      <c r="Q802" s="28"/>
      <c r="T802" s="28"/>
      <c r="W802" s="28"/>
      <c r="Z802" s="28"/>
      <c r="AC802" s="28"/>
      <c r="AF802" s="28"/>
      <c r="AI802" s="28"/>
      <c r="AL802" s="28"/>
      <c r="AO802" s="28"/>
      <c r="AR802" s="28"/>
      <c r="AU802" s="28"/>
      <c r="AX802" s="28"/>
      <c r="BA802" s="28"/>
      <c r="BD802" s="28"/>
      <c r="BG802" s="28"/>
      <c r="BJ802" s="28"/>
      <c r="BM802" s="28"/>
      <c r="BP802" s="28"/>
      <c r="BS802" s="28"/>
      <c r="BV802" s="28"/>
      <c r="BY802" s="28"/>
      <c r="CB802" s="28"/>
      <c r="CE802" s="28"/>
      <c r="CH802" s="28"/>
      <c r="CK802" s="28"/>
      <c r="CN802" s="28"/>
      <c r="CQ802" s="28"/>
      <c r="CT802" s="28"/>
      <c r="CW802" s="28"/>
      <c r="CZ802" s="28"/>
      <c r="DC802" s="28"/>
      <c r="DF802" s="28"/>
      <c r="DI802" s="28"/>
      <c r="DL802" s="28"/>
      <c r="DO802" s="28"/>
      <c r="DR802" s="28"/>
      <c r="DU802" s="28"/>
      <c r="DX802" s="28"/>
      <c r="EA802" s="28"/>
      <c r="ED802" s="28"/>
      <c r="EG802" s="28"/>
      <c r="EJ802" s="28"/>
      <c r="EM802" s="28"/>
      <c r="EP802" s="28"/>
      <c r="ES802" s="28"/>
      <c r="EV802" s="28"/>
      <c r="EY802" s="28"/>
      <c r="FB802" s="28"/>
      <c r="FE802" s="28"/>
      <c r="FH802" s="28"/>
      <c r="FK802" s="28"/>
      <c r="FN802" s="28"/>
      <c r="FQ802" s="28"/>
      <c r="FT802" s="28"/>
      <c r="FW802" s="28"/>
      <c r="FZ802" s="28"/>
      <c r="GC802" s="28"/>
    </row>
    <row r="803" spans="1:185" s="25" customFormat="1" x14ac:dyDescent="0.3">
      <c r="A803" s="27"/>
      <c r="B803" s="28"/>
      <c r="C803" s="27"/>
      <c r="D803" s="26"/>
      <c r="E803" s="28"/>
      <c r="H803" s="28"/>
      <c r="K803" s="28"/>
      <c r="N803" s="28"/>
      <c r="Q803" s="28"/>
      <c r="T803" s="28"/>
      <c r="W803" s="28"/>
      <c r="Z803" s="28"/>
      <c r="AC803" s="28"/>
      <c r="AF803" s="28"/>
      <c r="AI803" s="28"/>
      <c r="AL803" s="28"/>
      <c r="AO803" s="28"/>
      <c r="AR803" s="28"/>
      <c r="AU803" s="28"/>
      <c r="AX803" s="28"/>
      <c r="BA803" s="28"/>
      <c r="BD803" s="28"/>
      <c r="BG803" s="28"/>
      <c r="BJ803" s="28"/>
      <c r="BM803" s="28"/>
      <c r="BP803" s="28"/>
      <c r="BS803" s="28"/>
      <c r="BV803" s="28"/>
      <c r="BY803" s="28"/>
      <c r="CB803" s="28"/>
      <c r="CE803" s="28"/>
      <c r="CH803" s="28"/>
      <c r="CK803" s="28"/>
      <c r="CN803" s="28"/>
      <c r="CQ803" s="28"/>
      <c r="CT803" s="28"/>
      <c r="CW803" s="28"/>
      <c r="CZ803" s="28"/>
      <c r="DC803" s="28"/>
      <c r="DF803" s="28"/>
      <c r="DI803" s="28"/>
      <c r="DL803" s="28"/>
      <c r="DO803" s="28"/>
      <c r="DR803" s="28"/>
      <c r="DU803" s="28"/>
      <c r="DX803" s="28"/>
      <c r="EA803" s="28"/>
      <c r="ED803" s="28"/>
      <c r="EG803" s="28"/>
      <c r="EJ803" s="28"/>
      <c r="EM803" s="28"/>
      <c r="EP803" s="28"/>
      <c r="ES803" s="28"/>
      <c r="EV803" s="28"/>
      <c r="EY803" s="28"/>
      <c r="FB803" s="28"/>
      <c r="FE803" s="28"/>
      <c r="FH803" s="28"/>
      <c r="FK803" s="28"/>
      <c r="FN803" s="28"/>
      <c r="FQ803" s="28"/>
      <c r="FT803" s="28"/>
      <c r="FW803" s="28"/>
      <c r="FZ803" s="28"/>
      <c r="GC803" s="28"/>
    </row>
    <row r="804" spans="1:185" s="25" customFormat="1" x14ac:dyDescent="0.3">
      <c r="A804" s="27"/>
      <c r="B804" s="28"/>
      <c r="C804" s="27"/>
      <c r="D804" s="26"/>
      <c r="E804" s="28"/>
      <c r="H804" s="28"/>
      <c r="K804" s="28"/>
      <c r="N804" s="28"/>
      <c r="Q804" s="28"/>
      <c r="T804" s="28"/>
      <c r="W804" s="28"/>
      <c r="Z804" s="28"/>
      <c r="AC804" s="28"/>
      <c r="AF804" s="28"/>
      <c r="AI804" s="28"/>
      <c r="AL804" s="28"/>
      <c r="AO804" s="28"/>
      <c r="AR804" s="28"/>
      <c r="AU804" s="28"/>
      <c r="AX804" s="28"/>
      <c r="BA804" s="28"/>
      <c r="BD804" s="28"/>
      <c r="BG804" s="28"/>
      <c r="BJ804" s="28"/>
      <c r="BM804" s="28"/>
      <c r="BP804" s="28"/>
      <c r="BS804" s="28"/>
      <c r="BV804" s="28"/>
      <c r="BY804" s="28"/>
      <c r="CB804" s="28"/>
      <c r="CE804" s="28"/>
      <c r="CH804" s="28"/>
      <c r="CK804" s="28"/>
      <c r="CN804" s="28"/>
      <c r="CQ804" s="28"/>
      <c r="CT804" s="28"/>
      <c r="CW804" s="28"/>
      <c r="CZ804" s="28"/>
      <c r="DC804" s="28"/>
      <c r="DF804" s="28"/>
      <c r="DI804" s="28"/>
      <c r="DL804" s="28"/>
      <c r="DO804" s="28"/>
      <c r="DR804" s="28"/>
      <c r="DU804" s="28"/>
      <c r="DX804" s="28"/>
      <c r="EA804" s="28"/>
      <c r="ED804" s="28"/>
      <c r="EG804" s="28"/>
      <c r="EJ804" s="28"/>
      <c r="EM804" s="28"/>
      <c r="EP804" s="28"/>
      <c r="ES804" s="28"/>
      <c r="EV804" s="28"/>
      <c r="EY804" s="28"/>
      <c r="FB804" s="28"/>
      <c r="FE804" s="28"/>
      <c r="FH804" s="28"/>
      <c r="FK804" s="28"/>
      <c r="FN804" s="28"/>
      <c r="FQ804" s="28"/>
      <c r="FT804" s="28"/>
      <c r="FW804" s="28"/>
      <c r="FZ804" s="28"/>
      <c r="GC804" s="28"/>
    </row>
    <row r="805" spans="1:185" s="25" customFormat="1" x14ac:dyDescent="0.3">
      <c r="A805" s="27"/>
      <c r="B805" s="28"/>
      <c r="C805" s="27"/>
      <c r="D805" s="26"/>
      <c r="E805" s="28"/>
      <c r="H805" s="28"/>
      <c r="K805" s="28"/>
      <c r="N805" s="28"/>
      <c r="Q805" s="28"/>
      <c r="T805" s="28"/>
      <c r="W805" s="28"/>
      <c r="Z805" s="28"/>
      <c r="AC805" s="28"/>
      <c r="AF805" s="28"/>
      <c r="AI805" s="28"/>
      <c r="AL805" s="28"/>
      <c r="AO805" s="28"/>
      <c r="AR805" s="28"/>
      <c r="AU805" s="28"/>
      <c r="AX805" s="28"/>
      <c r="BA805" s="28"/>
      <c r="BD805" s="28"/>
      <c r="BG805" s="28"/>
      <c r="BJ805" s="28"/>
      <c r="BM805" s="28"/>
      <c r="BP805" s="28"/>
      <c r="BS805" s="28"/>
      <c r="BV805" s="28"/>
      <c r="BY805" s="28"/>
      <c r="CB805" s="28"/>
      <c r="CE805" s="28"/>
      <c r="CH805" s="28"/>
      <c r="CK805" s="28"/>
      <c r="CN805" s="28"/>
      <c r="CQ805" s="28"/>
      <c r="CT805" s="28"/>
      <c r="CW805" s="28"/>
      <c r="CZ805" s="28"/>
      <c r="DC805" s="28"/>
      <c r="DF805" s="28"/>
      <c r="DI805" s="28"/>
      <c r="DL805" s="28"/>
      <c r="DO805" s="28"/>
      <c r="DR805" s="28"/>
      <c r="DU805" s="28"/>
      <c r="DX805" s="28"/>
      <c r="EA805" s="28"/>
      <c r="ED805" s="28"/>
      <c r="EG805" s="28"/>
      <c r="EJ805" s="28"/>
      <c r="EM805" s="28"/>
      <c r="EP805" s="28"/>
      <c r="ES805" s="28"/>
      <c r="EV805" s="28"/>
      <c r="EY805" s="28"/>
      <c r="FB805" s="28"/>
      <c r="FE805" s="28"/>
      <c r="FH805" s="28"/>
      <c r="FK805" s="28"/>
      <c r="FN805" s="28"/>
      <c r="FQ805" s="28"/>
      <c r="FT805" s="28"/>
      <c r="FW805" s="28"/>
      <c r="FZ805" s="28"/>
      <c r="GC805" s="28"/>
    </row>
    <row r="806" spans="1:185" s="25" customFormat="1" x14ac:dyDescent="0.3">
      <c r="A806" s="27"/>
      <c r="B806" s="28"/>
      <c r="C806" s="27"/>
      <c r="D806" s="26"/>
      <c r="E806" s="28"/>
      <c r="H806" s="28"/>
      <c r="K806" s="28"/>
      <c r="N806" s="28"/>
      <c r="Q806" s="28"/>
      <c r="T806" s="28"/>
      <c r="W806" s="28"/>
      <c r="Z806" s="28"/>
      <c r="AC806" s="28"/>
      <c r="AF806" s="28"/>
      <c r="AI806" s="28"/>
      <c r="AL806" s="28"/>
      <c r="AO806" s="28"/>
      <c r="AR806" s="28"/>
      <c r="AU806" s="28"/>
      <c r="AX806" s="28"/>
      <c r="BA806" s="28"/>
      <c r="BD806" s="28"/>
      <c r="BG806" s="28"/>
      <c r="BJ806" s="28"/>
      <c r="BM806" s="28"/>
      <c r="BP806" s="28"/>
      <c r="BS806" s="28"/>
      <c r="BV806" s="28"/>
      <c r="BY806" s="28"/>
      <c r="CB806" s="28"/>
      <c r="CE806" s="28"/>
      <c r="CH806" s="28"/>
      <c r="CK806" s="28"/>
      <c r="CN806" s="28"/>
      <c r="CQ806" s="28"/>
      <c r="CT806" s="28"/>
      <c r="CW806" s="28"/>
      <c r="CZ806" s="28"/>
      <c r="DC806" s="28"/>
      <c r="DF806" s="28"/>
      <c r="DI806" s="28"/>
      <c r="DL806" s="28"/>
      <c r="DO806" s="28"/>
      <c r="DR806" s="28"/>
      <c r="DU806" s="28"/>
      <c r="DX806" s="28"/>
      <c r="EA806" s="28"/>
      <c r="ED806" s="28"/>
      <c r="EG806" s="28"/>
      <c r="EJ806" s="28"/>
      <c r="EM806" s="28"/>
      <c r="EP806" s="28"/>
      <c r="ES806" s="28"/>
      <c r="EV806" s="28"/>
      <c r="EY806" s="28"/>
      <c r="FB806" s="28"/>
      <c r="FE806" s="28"/>
      <c r="FH806" s="28"/>
      <c r="FK806" s="28"/>
      <c r="FN806" s="28"/>
      <c r="FQ806" s="28"/>
      <c r="FT806" s="28"/>
      <c r="FW806" s="28"/>
      <c r="FZ806" s="28"/>
      <c r="GC806" s="28"/>
    </row>
    <row r="807" spans="1:185" s="25" customFormat="1" x14ac:dyDescent="0.3">
      <c r="A807" s="27"/>
      <c r="B807" s="28"/>
      <c r="C807" s="27"/>
      <c r="D807" s="26"/>
      <c r="E807" s="28"/>
      <c r="H807" s="28"/>
      <c r="K807" s="28"/>
      <c r="N807" s="28"/>
      <c r="Q807" s="28"/>
      <c r="T807" s="28"/>
      <c r="W807" s="28"/>
      <c r="Z807" s="28"/>
      <c r="AC807" s="28"/>
      <c r="AF807" s="28"/>
      <c r="AI807" s="28"/>
      <c r="AL807" s="28"/>
      <c r="AO807" s="28"/>
      <c r="AR807" s="28"/>
      <c r="AU807" s="28"/>
      <c r="AX807" s="28"/>
      <c r="BA807" s="28"/>
      <c r="BD807" s="28"/>
      <c r="BG807" s="28"/>
      <c r="BJ807" s="28"/>
      <c r="BM807" s="28"/>
      <c r="BP807" s="28"/>
      <c r="BS807" s="28"/>
      <c r="BV807" s="28"/>
      <c r="BY807" s="28"/>
      <c r="CB807" s="28"/>
      <c r="CE807" s="28"/>
      <c r="CH807" s="28"/>
      <c r="CK807" s="28"/>
      <c r="CN807" s="28"/>
      <c r="CQ807" s="28"/>
      <c r="CT807" s="28"/>
      <c r="CW807" s="28"/>
      <c r="CZ807" s="28"/>
      <c r="DC807" s="28"/>
      <c r="DF807" s="28"/>
      <c r="DI807" s="28"/>
      <c r="DL807" s="28"/>
      <c r="DO807" s="28"/>
      <c r="DR807" s="28"/>
      <c r="DU807" s="28"/>
      <c r="DX807" s="28"/>
      <c r="EA807" s="28"/>
      <c r="ED807" s="28"/>
      <c r="EG807" s="28"/>
      <c r="EJ807" s="28"/>
      <c r="EM807" s="28"/>
      <c r="EP807" s="28"/>
      <c r="ES807" s="28"/>
      <c r="EV807" s="28"/>
      <c r="EY807" s="28"/>
      <c r="FB807" s="28"/>
      <c r="FE807" s="28"/>
      <c r="FH807" s="28"/>
      <c r="FK807" s="28"/>
      <c r="FN807" s="28"/>
      <c r="FQ807" s="28"/>
      <c r="FT807" s="28"/>
      <c r="FW807" s="28"/>
      <c r="FZ807" s="28"/>
      <c r="GC807" s="28"/>
    </row>
    <row r="808" spans="1:185" s="25" customFormat="1" x14ac:dyDescent="0.3">
      <c r="A808" s="27"/>
      <c r="B808" s="28"/>
      <c r="C808" s="27"/>
      <c r="D808" s="26"/>
      <c r="E808" s="28"/>
      <c r="H808" s="28"/>
      <c r="K808" s="28"/>
      <c r="N808" s="28"/>
      <c r="Q808" s="28"/>
      <c r="T808" s="28"/>
      <c r="W808" s="28"/>
      <c r="Z808" s="28"/>
      <c r="AC808" s="28"/>
      <c r="AF808" s="28"/>
      <c r="AI808" s="28"/>
      <c r="AL808" s="28"/>
      <c r="AO808" s="28"/>
      <c r="AR808" s="28"/>
      <c r="AU808" s="28"/>
      <c r="AX808" s="28"/>
      <c r="BA808" s="28"/>
      <c r="BD808" s="28"/>
      <c r="BG808" s="28"/>
      <c r="BJ808" s="28"/>
      <c r="BM808" s="28"/>
      <c r="BP808" s="28"/>
      <c r="BS808" s="28"/>
      <c r="BV808" s="28"/>
      <c r="BY808" s="28"/>
      <c r="CB808" s="28"/>
      <c r="CE808" s="28"/>
      <c r="CH808" s="28"/>
      <c r="CK808" s="28"/>
      <c r="CN808" s="28"/>
      <c r="CQ808" s="28"/>
      <c r="CT808" s="28"/>
      <c r="CW808" s="28"/>
      <c r="CZ808" s="28"/>
      <c r="DC808" s="28"/>
      <c r="DF808" s="28"/>
      <c r="DI808" s="28"/>
      <c r="DL808" s="28"/>
      <c r="DO808" s="28"/>
      <c r="DR808" s="28"/>
      <c r="DU808" s="28"/>
      <c r="DX808" s="28"/>
      <c r="EA808" s="28"/>
      <c r="ED808" s="28"/>
      <c r="EG808" s="28"/>
      <c r="EJ808" s="28"/>
      <c r="EM808" s="28"/>
      <c r="EP808" s="28"/>
      <c r="ES808" s="28"/>
      <c r="EV808" s="28"/>
      <c r="EY808" s="28"/>
      <c r="FB808" s="28"/>
      <c r="FE808" s="28"/>
      <c r="FH808" s="28"/>
      <c r="FK808" s="28"/>
      <c r="FN808" s="28"/>
      <c r="FQ808" s="28"/>
      <c r="FT808" s="28"/>
      <c r="FW808" s="28"/>
      <c r="FZ808" s="28"/>
      <c r="GC808" s="28"/>
    </row>
    <row r="809" spans="1:185" s="25" customFormat="1" x14ac:dyDescent="0.3">
      <c r="A809" s="27"/>
      <c r="B809" s="28"/>
      <c r="C809" s="27"/>
      <c r="D809" s="26"/>
      <c r="E809" s="28"/>
      <c r="H809" s="28"/>
      <c r="K809" s="28"/>
      <c r="N809" s="28"/>
      <c r="Q809" s="28"/>
      <c r="T809" s="28"/>
      <c r="W809" s="28"/>
      <c r="Z809" s="28"/>
      <c r="AC809" s="28"/>
      <c r="AF809" s="28"/>
      <c r="AI809" s="28"/>
      <c r="AL809" s="28"/>
      <c r="AO809" s="28"/>
      <c r="AR809" s="28"/>
      <c r="AU809" s="28"/>
      <c r="AX809" s="28"/>
      <c r="BA809" s="28"/>
      <c r="BD809" s="28"/>
      <c r="BG809" s="28"/>
      <c r="BJ809" s="28"/>
      <c r="BM809" s="28"/>
      <c r="BP809" s="28"/>
      <c r="BS809" s="28"/>
      <c r="BV809" s="28"/>
      <c r="BY809" s="28"/>
      <c r="CB809" s="28"/>
      <c r="CE809" s="28"/>
      <c r="CH809" s="28"/>
      <c r="CK809" s="28"/>
      <c r="CN809" s="28"/>
      <c r="CQ809" s="28"/>
      <c r="CT809" s="28"/>
      <c r="CW809" s="28"/>
      <c r="CZ809" s="28"/>
      <c r="DC809" s="28"/>
      <c r="DF809" s="28"/>
      <c r="DI809" s="28"/>
      <c r="DL809" s="28"/>
      <c r="DO809" s="28"/>
      <c r="DR809" s="28"/>
      <c r="DU809" s="28"/>
      <c r="DX809" s="28"/>
      <c r="EA809" s="28"/>
      <c r="ED809" s="28"/>
      <c r="EG809" s="28"/>
      <c r="EJ809" s="28"/>
      <c r="EM809" s="28"/>
      <c r="EP809" s="28"/>
      <c r="ES809" s="28"/>
      <c r="EV809" s="28"/>
      <c r="EY809" s="28"/>
      <c r="FB809" s="28"/>
      <c r="FE809" s="28"/>
      <c r="FH809" s="28"/>
      <c r="FK809" s="28"/>
      <c r="FN809" s="28"/>
      <c r="FQ809" s="28"/>
      <c r="FT809" s="28"/>
      <c r="FW809" s="28"/>
      <c r="FZ809" s="28"/>
      <c r="GC809" s="28"/>
    </row>
    <row r="810" spans="1:185" s="25" customFormat="1" x14ac:dyDescent="0.3">
      <c r="A810" s="27"/>
      <c r="B810" s="28"/>
      <c r="C810" s="27"/>
      <c r="D810" s="26"/>
      <c r="E810" s="28"/>
      <c r="H810" s="28"/>
      <c r="K810" s="28"/>
      <c r="N810" s="28"/>
      <c r="Q810" s="28"/>
      <c r="T810" s="28"/>
      <c r="W810" s="28"/>
      <c r="Z810" s="28"/>
      <c r="AC810" s="28"/>
      <c r="AF810" s="28"/>
      <c r="AI810" s="28"/>
      <c r="AL810" s="28"/>
      <c r="AO810" s="28"/>
      <c r="AR810" s="28"/>
      <c r="AU810" s="28"/>
      <c r="AX810" s="28"/>
      <c r="BA810" s="28"/>
      <c r="BD810" s="28"/>
      <c r="BG810" s="28"/>
      <c r="BJ810" s="28"/>
      <c r="BM810" s="28"/>
      <c r="BP810" s="28"/>
      <c r="BS810" s="28"/>
      <c r="BV810" s="28"/>
      <c r="BY810" s="28"/>
      <c r="CB810" s="28"/>
      <c r="CE810" s="28"/>
      <c r="CH810" s="28"/>
      <c r="CK810" s="28"/>
      <c r="CN810" s="28"/>
      <c r="CQ810" s="28"/>
      <c r="CT810" s="28"/>
      <c r="CW810" s="28"/>
      <c r="CZ810" s="28"/>
      <c r="DC810" s="28"/>
      <c r="DF810" s="28"/>
      <c r="DI810" s="28"/>
      <c r="DL810" s="28"/>
      <c r="DO810" s="28"/>
      <c r="DR810" s="28"/>
      <c r="DU810" s="28"/>
      <c r="DX810" s="28"/>
      <c r="EA810" s="28"/>
      <c r="ED810" s="28"/>
      <c r="EG810" s="28"/>
      <c r="EJ810" s="28"/>
      <c r="EM810" s="28"/>
      <c r="EP810" s="28"/>
      <c r="ES810" s="28"/>
      <c r="EV810" s="28"/>
      <c r="EY810" s="28"/>
      <c r="FB810" s="28"/>
      <c r="FE810" s="28"/>
      <c r="FH810" s="28"/>
      <c r="FK810" s="28"/>
      <c r="FN810" s="28"/>
      <c r="FQ810" s="28"/>
      <c r="FT810" s="28"/>
      <c r="FW810" s="28"/>
      <c r="FZ810" s="28"/>
      <c r="GC810" s="28"/>
    </row>
    <row r="811" spans="1:185" s="25" customFormat="1" x14ac:dyDescent="0.3">
      <c r="A811" s="27"/>
      <c r="B811" s="28"/>
      <c r="C811" s="27"/>
      <c r="D811" s="26"/>
      <c r="E811" s="28"/>
      <c r="H811" s="28"/>
      <c r="K811" s="28"/>
      <c r="N811" s="28"/>
      <c r="Q811" s="28"/>
      <c r="T811" s="28"/>
      <c r="W811" s="28"/>
      <c r="Z811" s="28"/>
      <c r="AC811" s="28"/>
      <c r="AF811" s="28"/>
      <c r="AI811" s="28"/>
      <c r="AL811" s="28"/>
      <c r="AO811" s="28"/>
      <c r="AR811" s="28"/>
      <c r="AU811" s="28"/>
      <c r="AX811" s="28"/>
      <c r="BA811" s="28"/>
      <c r="BD811" s="28"/>
      <c r="BG811" s="28"/>
      <c r="BJ811" s="28"/>
      <c r="BM811" s="28"/>
      <c r="BP811" s="28"/>
      <c r="BS811" s="28"/>
      <c r="BV811" s="28"/>
      <c r="BY811" s="28"/>
      <c r="CB811" s="28"/>
      <c r="CE811" s="28"/>
      <c r="CH811" s="28"/>
      <c r="CK811" s="28"/>
      <c r="CN811" s="28"/>
      <c r="CQ811" s="28"/>
      <c r="CT811" s="28"/>
      <c r="CW811" s="28"/>
      <c r="CZ811" s="28"/>
      <c r="DC811" s="28"/>
      <c r="DF811" s="28"/>
      <c r="DI811" s="28"/>
      <c r="DL811" s="28"/>
      <c r="DO811" s="28"/>
      <c r="DR811" s="28"/>
      <c r="DU811" s="28"/>
      <c r="DX811" s="28"/>
      <c r="EA811" s="28"/>
      <c r="ED811" s="28"/>
      <c r="EG811" s="28"/>
      <c r="EJ811" s="28"/>
      <c r="EM811" s="28"/>
      <c r="EP811" s="28"/>
      <c r="ES811" s="28"/>
      <c r="EV811" s="28"/>
      <c r="EY811" s="28"/>
      <c r="FB811" s="28"/>
      <c r="FE811" s="28"/>
      <c r="FH811" s="28"/>
      <c r="FK811" s="28"/>
      <c r="FN811" s="28"/>
      <c r="FQ811" s="28"/>
      <c r="FT811" s="28"/>
      <c r="FW811" s="28"/>
      <c r="FZ811" s="28"/>
      <c r="GC811" s="28"/>
    </row>
    <row r="812" spans="1:185" s="25" customFormat="1" x14ac:dyDescent="0.3">
      <c r="A812" s="27"/>
      <c r="B812" s="28"/>
      <c r="C812" s="27"/>
      <c r="D812" s="26"/>
      <c r="E812" s="28"/>
      <c r="H812" s="28"/>
      <c r="K812" s="28"/>
      <c r="N812" s="28"/>
      <c r="Q812" s="28"/>
      <c r="T812" s="28"/>
      <c r="W812" s="28"/>
      <c r="Z812" s="28"/>
      <c r="AC812" s="28"/>
      <c r="AF812" s="28"/>
      <c r="AI812" s="28"/>
      <c r="AL812" s="28"/>
      <c r="AO812" s="28"/>
      <c r="AR812" s="28"/>
      <c r="AU812" s="28"/>
      <c r="AX812" s="28"/>
      <c r="BA812" s="28"/>
      <c r="BD812" s="28"/>
      <c r="BG812" s="28"/>
      <c r="BJ812" s="28"/>
      <c r="BM812" s="28"/>
      <c r="BP812" s="28"/>
      <c r="BS812" s="28"/>
      <c r="BV812" s="28"/>
      <c r="BY812" s="28"/>
      <c r="CB812" s="28"/>
      <c r="CE812" s="28"/>
      <c r="CH812" s="28"/>
      <c r="CK812" s="28"/>
      <c r="CN812" s="28"/>
      <c r="CQ812" s="28"/>
      <c r="CT812" s="28"/>
      <c r="CW812" s="28"/>
      <c r="CZ812" s="28"/>
      <c r="DC812" s="28"/>
      <c r="DF812" s="28"/>
      <c r="DI812" s="28"/>
      <c r="DL812" s="28"/>
      <c r="DO812" s="28"/>
      <c r="DR812" s="28"/>
      <c r="DU812" s="28"/>
      <c r="DX812" s="28"/>
      <c r="EA812" s="28"/>
      <c r="ED812" s="28"/>
      <c r="EG812" s="28"/>
      <c r="EJ812" s="28"/>
      <c r="EM812" s="28"/>
      <c r="EP812" s="28"/>
      <c r="ES812" s="28"/>
      <c r="EV812" s="28"/>
      <c r="EY812" s="28"/>
      <c r="FB812" s="28"/>
      <c r="FE812" s="28"/>
      <c r="FH812" s="28"/>
      <c r="FK812" s="28"/>
      <c r="FN812" s="28"/>
      <c r="FQ812" s="28"/>
      <c r="FT812" s="28"/>
      <c r="FW812" s="28"/>
      <c r="FZ812" s="28"/>
      <c r="GC812" s="28"/>
    </row>
    <row r="813" spans="1:185" s="25" customFormat="1" x14ac:dyDescent="0.3">
      <c r="A813" s="27"/>
      <c r="B813" s="28"/>
      <c r="C813" s="27"/>
      <c r="D813" s="26"/>
      <c r="E813" s="28"/>
      <c r="H813" s="28"/>
      <c r="K813" s="28"/>
      <c r="N813" s="28"/>
      <c r="Q813" s="28"/>
      <c r="T813" s="28"/>
      <c r="W813" s="28"/>
      <c r="Z813" s="28"/>
      <c r="AC813" s="28"/>
      <c r="AF813" s="28"/>
      <c r="AI813" s="28"/>
      <c r="AL813" s="28"/>
      <c r="AO813" s="28"/>
      <c r="AR813" s="28"/>
      <c r="AU813" s="28"/>
      <c r="AX813" s="28"/>
      <c r="BA813" s="28"/>
      <c r="BD813" s="28"/>
      <c r="BG813" s="28"/>
      <c r="BJ813" s="28"/>
      <c r="BM813" s="28"/>
      <c r="BP813" s="28"/>
      <c r="BS813" s="28"/>
      <c r="BV813" s="28"/>
      <c r="BY813" s="28"/>
      <c r="CB813" s="28"/>
      <c r="CE813" s="28"/>
      <c r="CH813" s="28"/>
      <c r="CK813" s="28"/>
      <c r="CN813" s="28"/>
      <c r="CQ813" s="28"/>
      <c r="CT813" s="28"/>
      <c r="CW813" s="28"/>
      <c r="CZ813" s="28"/>
      <c r="DC813" s="28"/>
      <c r="DF813" s="28"/>
      <c r="DI813" s="28"/>
      <c r="DL813" s="28"/>
      <c r="DO813" s="28"/>
      <c r="DR813" s="28"/>
      <c r="DU813" s="28"/>
      <c r="DX813" s="28"/>
      <c r="EA813" s="28"/>
      <c r="ED813" s="28"/>
      <c r="EG813" s="28"/>
      <c r="EJ813" s="28"/>
      <c r="EM813" s="28"/>
      <c r="EP813" s="28"/>
      <c r="ES813" s="28"/>
      <c r="EV813" s="28"/>
      <c r="EY813" s="28"/>
      <c r="FB813" s="28"/>
      <c r="FE813" s="28"/>
      <c r="FH813" s="28"/>
      <c r="FK813" s="28"/>
      <c r="FN813" s="28"/>
      <c r="FQ813" s="28"/>
      <c r="FT813" s="28"/>
      <c r="FW813" s="28"/>
      <c r="FZ813" s="28"/>
      <c r="GC813" s="28"/>
    </row>
    <row r="814" spans="1:185" s="25" customFormat="1" x14ac:dyDescent="0.3">
      <c r="A814" s="27"/>
      <c r="B814" s="28"/>
      <c r="C814" s="27"/>
      <c r="D814" s="26"/>
      <c r="E814" s="28"/>
      <c r="H814" s="28"/>
      <c r="K814" s="28"/>
      <c r="N814" s="28"/>
      <c r="Q814" s="28"/>
      <c r="T814" s="28"/>
      <c r="W814" s="28"/>
      <c r="Z814" s="28"/>
      <c r="AC814" s="28"/>
      <c r="AF814" s="28"/>
      <c r="AI814" s="28"/>
      <c r="AL814" s="28"/>
      <c r="AO814" s="28"/>
      <c r="AR814" s="28"/>
      <c r="AU814" s="28"/>
      <c r="AX814" s="28"/>
      <c r="BA814" s="28"/>
      <c r="BD814" s="28"/>
      <c r="BG814" s="28"/>
      <c r="BJ814" s="28"/>
      <c r="BM814" s="28"/>
      <c r="BP814" s="28"/>
      <c r="BS814" s="28"/>
      <c r="BV814" s="28"/>
      <c r="BY814" s="28"/>
      <c r="CB814" s="28"/>
      <c r="CE814" s="28"/>
      <c r="CH814" s="28"/>
      <c r="CK814" s="28"/>
      <c r="CN814" s="28"/>
      <c r="CQ814" s="28"/>
      <c r="CT814" s="28"/>
      <c r="CW814" s="28"/>
      <c r="CZ814" s="28"/>
      <c r="DC814" s="28"/>
      <c r="DF814" s="28"/>
      <c r="DI814" s="28"/>
      <c r="DL814" s="28"/>
      <c r="DO814" s="28"/>
      <c r="DR814" s="28"/>
      <c r="DU814" s="28"/>
      <c r="DX814" s="28"/>
      <c r="EA814" s="28"/>
      <c r="ED814" s="28"/>
      <c r="EG814" s="28"/>
      <c r="EJ814" s="28"/>
      <c r="EM814" s="28"/>
      <c r="EP814" s="28"/>
      <c r="ES814" s="28"/>
      <c r="EV814" s="28"/>
      <c r="EY814" s="28"/>
      <c r="FB814" s="28"/>
      <c r="FE814" s="28"/>
      <c r="FH814" s="28"/>
      <c r="FK814" s="28"/>
      <c r="FN814" s="28"/>
      <c r="FQ814" s="28"/>
      <c r="FT814" s="28"/>
      <c r="FW814" s="28"/>
      <c r="FZ814" s="28"/>
      <c r="GC814" s="28"/>
    </row>
    <row r="815" spans="1:185" s="25" customFormat="1" x14ac:dyDescent="0.3">
      <c r="A815" s="27"/>
      <c r="B815" s="28"/>
      <c r="C815" s="27"/>
      <c r="D815" s="26"/>
      <c r="E815" s="28"/>
      <c r="H815" s="28"/>
      <c r="K815" s="28"/>
      <c r="N815" s="28"/>
      <c r="Q815" s="28"/>
      <c r="T815" s="28"/>
      <c r="W815" s="28"/>
      <c r="Z815" s="28"/>
      <c r="AC815" s="28"/>
      <c r="AF815" s="28"/>
      <c r="AI815" s="28"/>
      <c r="AL815" s="28"/>
      <c r="AO815" s="28"/>
      <c r="AR815" s="28"/>
      <c r="AU815" s="28"/>
      <c r="AX815" s="28"/>
      <c r="BA815" s="28"/>
      <c r="BD815" s="28"/>
      <c r="BG815" s="28"/>
      <c r="BJ815" s="28"/>
      <c r="BM815" s="28"/>
      <c r="BP815" s="28"/>
      <c r="BS815" s="28"/>
      <c r="BV815" s="28"/>
      <c r="BY815" s="28"/>
      <c r="CB815" s="28"/>
      <c r="CE815" s="28"/>
      <c r="CH815" s="28"/>
      <c r="CK815" s="28"/>
      <c r="CN815" s="28"/>
      <c r="CQ815" s="28"/>
      <c r="CT815" s="28"/>
      <c r="CW815" s="28"/>
      <c r="CZ815" s="28"/>
      <c r="DC815" s="28"/>
      <c r="DF815" s="28"/>
      <c r="DI815" s="28"/>
      <c r="DL815" s="28"/>
      <c r="DO815" s="28"/>
      <c r="DR815" s="28"/>
      <c r="DU815" s="28"/>
      <c r="DX815" s="28"/>
      <c r="EA815" s="28"/>
      <c r="ED815" s="28"/>
      <c r="EG815" s="28"/>
      <c r="EJ815" s="28"/>
      <c r="EM815" s="28"/>
      <c r="EP815" s="28"/>
      <c r="ES815" s="28"/>
      <c r="EV815" s="28"/>
      <c r="EY815" s="28"/>
      <c r="FB815" s="28"/>
      <c r="FE815" s="28"/>
      <c r="FH815" s="28"/>
      <c r="FK815" s="28"/>
      <c r="FN815" s="28"/>
      <c r="FQ815" s="28"/>
      <c r="FT815" s="28"/>
      <c r="FW815" s="28"/>
      <c r="FZ815" s="28"/>
      <c r="GC815" s="28"/>
    </row>
    <row r="816" spans="1:185" s="25" customFormat="1" x14ac:dyDescent="0.3">
      <c r="A816" s="27"/>
      <c r="B816" s="28"/>
      <c r="C816" s="27"/>
      <c r="D816" s="26"/>
      <c r="E816" s="28"/>
      <c r="H816" s="28"/>
      <c r="K816" s="28"/>
      <c r="N816" s="28"/>
      <c r="Q816" s="28"/>
      <c r="T816" s="28"/>
      <c r="W816" s="28"/>
      <c r="Z816" s="28"/>
      <c r="AC816" s="28"/>
      <c r="AF816" s="28"/>
      <c r="AI816" s="28"/>
      <c r="AL816" s="28"/>
      <c r="AO816" s="28"/>
      <c r="AR816" s="28"/>
      <c r="AU816" s="28"/>
      <c r="AX816" s="28"/>
      <c r="BA816" s="28"/>
      <c r="BD816" s="28"/>
      <c r="BG816" s="28"/>
      <c r="BJ816" s="28"/>
      <c r="BM816" s="28"/>
      <c r="BP816" s="28"/>
      <c r="BS816" s="28"/>
      <c r="BV816" s="28"/>
      <c r="BY816" s="28"/>
      <c r="CB816" s="28"/>
      <c r="CE816" s="28"/>
      <c r="CH816" s="28"/>
      <c r="CK816" s="28"/>
      <c r="CN816" s="28"/>
      <c r="CQ816" s="28"/>
      <c r="CT816" s="28"/>
      <c r="CW816" s="28"/>
      <c r="CZ816" s="28"/>
      <c r="DC816" s="28"/>
      <c r="DF816" s="28"/>
      <c r="DI816" s="28"/>
      <c r="DL816" s="28"/>
      <c r="DO816" s="28"/>
      <c r="DR816" s="28"/>
      <c r="DU816" s="28"/>
      <c r="DX816" s="28"/>
      <c r="EA816" s="28"/>
      <c r="ED816" s="28"/>
      <c r="EG816" s="28"/>
      <c r="EJ816" s="28"/>
      <c r="EM816" s="28"/>
      <c r="EP816" s="28"/>
      <c r="ES816" s="28"/>
      <c r="EV816" s="28"/>
      <c r="EY816" s="28"/>
      <c r="FB816" s="28"/>
      <c r="FE816" s="28"/>
      <c r="FH816" s="28"/>
      <c r="FK816" s="28"/>
      <c r="FN816" s="28"/>
      <c r="FQ816" s="28"/>
      <c r="FT816" s="28"/>
      <c r="FW816" s="28"/>
      <c r="FZ816" s="28"/>
      <c r="GC816" s="28"/>
    </row>
    <row r="817" spans="1:185" s="25" customFormat="1" x14ac:dyDescent="0.3">
      <c r="A817" s="27"/>
      <c r="B817" s="28"/>
      <c r="C817" s="27"/>
      <c r="D817" s="26"/>
      <c r="E817" s="28"/>
      <c r="H817" s="28"/>
      <c r="K817" s="28"/>
      <c r="N817" s="28"/>
      <c r="Q817" s="28"/>
      <c r="T817" s="28"/>
      <c r="W817" s="28"/>
      <c r="Z817" s="28"/>
      <c r="AC817" s="28"/>
      <c r="AF817" s="28"/>
      <c r="AI817" s="28"/>
      <c r="AL817" s="28"/>
      <c r="AO817" s="28"/>
      <c r="AR817" s="28"/>
      <c r="AU817" s="28"/>
      <c r="AX817" s="28"/>
      <c r="BA817" s="28"/>
      <c r="BD817" s="28"/>
      <c r="BG817" s="28"/>
      <c r="BJ817" s="28"/>
      <c r="BM817" s="28"/>
      <c r="BP817" s="28"/>
      <c r="BS817" s="28"/>
      <c r="BV817" s="28"/>
      <c r="BY817" s="28"/>
      <c r="CB817" s="28"/>
      <c r="CE817" s="28"/>
      <c r="CH817" s="28"/>
      <c r="CK817" s="28"/>
      <c r="CN817" s="28"/>
      <c r="CQ817" s="28"/>
      <c r="CT817" s="28"/>
      <c r="CW817" s="28"/>
      <c r="CZ817" s="28"/>
      <c r="DC817" s="28"/>
      <c r="DF817" s="28"/>
      <c r="DI817" s="28"/>
      <c r="DL817" s="28"/>
      <c r="DO817" s="28"/>
      <c r="DR817" s="28"/>
      <c r="DU817" s="28"/>
      <c r="DX817" s="28"/>
      <c r="EA817" s="28"/>
      <c r="ED817" s="28"/>
      <c r="EG817" s="28"/>
      <c r="EJ817" s="28"/>
      <c r="EM817" s="28"/>
      <c r="EP817" s="28"/>
      <c r="ES817" s="28"/>
      <c r="EV817" s="28"/>
      <c r="EY817" s="28"/>
      <c r="FB817" s="28"/>
      <c r="FE817" s="28"/>
      <c r="FH817" s="28"/>
      <c r="FK817" s="28"/>
      <c r="FN817" s="28"/>
      <c r="FQ817" s="28"/>
      <c r="FT817" s="28"/>
      <c r="FW817" s="28"/>
      <c r="FZ817" s="28"/>
      <c r="GC817" s="28"/>
    </row>
    <row r="818" spans="1:185" s="25" customFormat="1" x14ac:dyDescent="0.3">
      <c r="A818" s="27"/>
      <c r="B818" s="28"/>
      <c r="C818" s="27"/>
      <c r="D818" s="26"/>
      <c r="E818" s="28"/>
      <c r="H818" s="28"/>
      <c r="K818" s="28"/>
      <c r="N818" s="28"/>
      <c r="Q818" s="28"/>
      <c r="T818" s="28"/>
      <c r="W818" s="28"/>
      <c r="Z818" s="28"/>
      <c r="AC818" s="28"/>
      <c r="AF818" s="28"/>
      <c r="AI818" s="28"/>
      <c r="AL818" s="28"/>
      <c r="AO818" s="28"/>
      <c r="AR818" s="28"/>
      <c r="AU818" s="28"/>
      <c r="AX818" s="28"/>
      <c r="BA818" s="28"/>
      <c r="BD818" s="28"/>
      <c r="BG818" s="28"/>
      <c r="BJ818" s="28"/>
      <c r="BM818" s="28"/>
      <c r="BP818" s="28"/>
      <c r="BS818" s="28"/>
      <c r="BV818" s="28"/>
      <c r="BY818" s="28"/>
      <c r="CB818" s="28"/>
      <c r="CE818" s="28"/>
      <c r="CH818" s="28"/>
      <c r="CK818" s="28"/>
      <c r="CN818" s="28"/>
      <c r="CQ818" s="28"/>
      <c r="CT818" s="28"/>
      <c r="CW818" s="28"/>
      <c r="CZ818" s="28"/>
      <c r="DC818" s="28"/>
      <c r="DF818" s="28"/>
      <c r="DI818" s="28"/>
      <c r="DL818" s="28"/>
      <c r="DO818" s="28"/>
      <c r="DR818" s="28"/>
      <c r="DU818" s="28"/>
      <c r="DX818" s="28"/>
      <c r="EA818" s="28"/>
      <c r="ED818" s="28"/>
      <c r="EG818" s="28"/>
      <c r="EJ818" s="28"/>
      <c r="EM818" s="28"/>
      <c r="EP818" s="28"/>
      <c r="ES818" s="28"/>
      <c r="EV818" s="28"/>
      <c r="EY818" s="28"/>
      <c r="FB818" s="28"/>
      <c r="FE818" s="28"/>
      <c r="FH818" s="28"/>
      <c r="FK818" s="28"/>
      <c r="FN818" s="28"/>
      <c r="FQ818" s="28"/>
      <c r="FT818" s="28"/>
      <c r="FW818" s="28"/>
      <c r="FZ818" s="28"/>
      <c r="GC818" s="28"/>
    </row>
    <row r="819" spans="1:185" s="25" customFormat="1" x14ac:dyDescent="0.3">
      <c r="A819" s="27"/>
      <c r="B819" s="28"/>
      <c r="C819" s="27"/>
      <c r="D819" s="26"/>
      <c r="E819" s="28"/>
      <c r="H819" s="28"/>
      <c r="K819" s="28"/>
      <c r="N819" s="28"/>
      <c r="Q819" s="28"/>
      <c r="T819" s="28"/>
      <c r="W819" s="28"/>
      <c r="Z819" s="28"/>
      <c r="AC819" s="28"/>
      <c r="AF819" s="28"/>
      <c r="AI819" s="28"/>
      <c r="AL819" s="28"/>
      <c r="AO819" s="28"/>
      <c r="AR819" s="28"/>
      <c r="AU819" s="28"/>
      <c r="AX819" s="28"/>
      <c r="BA819" s="28"/>
      <c r="BD819" s="28"/>
      <c r="BG819" s="28"/>
      <c r="BJ819" s="28"/>
      <c r="BM819" s="28"/>
      <c r="BP819" s="28"/>
      <c r="BS819" s="28"/>
      <c r="BV819" s="28"/>
      <c r="BY819" s="28"/>
      <c r="CB819" s="28"/>
      <c r="CE819" s="28"/>
      <c r="CH819" s="28"/>
      <c r="CK819" s="28"/>
      <c r="CN819" s="28"/>
      <c r="CQ819" s="28"/>
      <c r="CT819" s="28"/>
      <c r="CW819" s="28"/>
      <c r="CZ819" s="28"/>
      <c r="DC819" s="28"/>
      <c r="DF819" s="28"/>
      <c r="DI819" s="28"/>
      <c r="DL819" s="28"/>
      <c r="DO819" s="28"/>
      <c r="DR819" s="28"/>
      <c r="DU819" s="28"/>
      <c r="DX819" s="28"/>
      <c r="EA819" s="28"/>
      <c r="ED819" s="28"/>
      <c r="EG819" s="28"/>
      <c r="EJ819" s="28"/>
      <c r="EM819" s="28"/>
      <c r="EP819" s="28"/>
      <c r="ES819" s="28"/>
      <c r="EV819" s="28"/>
      <c r="EY819" s="28"/>
      <c r="FB819" s="28"/>
      <c r="FE819" s="28"/>
      <c r="FH819" s="28"/>
      <c r="FK819" s="28"/>
      <c r="FN819" s="28"/>
      <c r="FQ819" s="28"/>
      <c r="FT819" s="28"/>
      <c r="FW819" s="28"/>
      <c r="FZ819" s="28"/>
      <c r="GC819" s="28"/>
    </row>
    <row r="820" spans="1:185" s="25" customFormat="1" x14ac:dyDescent="0.3">
      <c r="A820" s="27"/>
      <c r="B820" s="28"/>
      <c r="C820" s="27"/>
      <c r="D820" s="26"/>
      <c r="E820" s="28"/>
      <c r="H820" s="28"/>
      <c r="K820" s="28"/>
      <c r="N820" s="28"/>
      <c r="Q820" s="28"/>
      <c r="T820" s="28"/>
      <c r="W820" s="28"/>
      <c r="Z820" s="28"/>
      <c r="AC820" s="28"/>
      <c r="AF820" s="28"/>
      <c r="AI820" s="28"/>
      <c r="AL820" s="28"/>
      <c r="AO820" s="28"/>
      <c r="AR820" s="28"/>
      <c r="AU820" s="28"/>
      <c r="AX820" s="28"/>
      <c r="BA820" s="28"/>
      <c r="BD820" s="28"/>
      <c r="BG820" s="28"/>
      <c r="BJ820" s="28"/>
      <c r="BM820" s="28"/>
      <c r="BP820" s="28"/>
      <c r="BS820" s="28"/>
      <c r="BV820" s="28"/>
      <c r="BY820" s="28"/>
      <c r="CB820" s="28"/>
      <c r="CE820" s="28"/>
      <c r="CH820" s="28"/>
      <c r="CK820" s="28"/>
      <c r="CN820" s="28"/>
      <c r="CQ820" s="28"/>
      <c r="CT820" s="28"/>
      <c r="CW820" s="28"/>
      <c r="CZ820" s="28"/>
      <c r="DC820" s="28"/>
      <c r="DF820" s="28"/>
      <c r="DI820" s="28"/>
      <c r="DL820" s="28"/>
      <c r="DO820" s="28"/>
      <c r="DR820" s="28"/>
      <c r="DU820" s="28"/>
      <c r="DX820" s="28"/>
      <c r="EA820" s="28"/>
      <c r="ED820" s="28"/>
      <c r="EG820" s="28"/>
      <c r="EJ820" s="28"/>
      <c r="EM820" s="28"/>
      <c r="EP820" s="28"/>
      <c r="ES820" s="28"/>
      <c r="EV820" s="28"/>
      <c r="EY820" s="28"/>
      <c r="FB820" s="28"/>
      <c r="FE820" s="28"/>
      <c r="FH820" s="28"/>
      <c r="FK820" s="28"/>
      <c r="FN820" s="28"/>
      <c r="FQ820" s="28"/>
      <c r="FT820" s="28"/>
      <c r="FW820" s="28"/>
      <c r="FZ820" s="28"/>
      <c r="GC820" s="28"/>
    </row>
    <row r="821" spans="1:185" s="25" customFormat="1" x14ac:dyDescent="0.3">
      <c r="A821" s="27"/>
      <c r="B821" s="28"/>
      <c r="C821" s="27"/>
      <c r="D821" s="26"/>
      <c r="E821" s="28"/>
      <c r="H821" s="28"/>
      <c r="K821" s="28"/>
      <c r="N821" s="28"/>
      <c r="Q821" s="28"/>
      <c r="T821" s="28"/>
      <c r="W821" s="28"/>
      <c r="Z821" s="28"/>
      <c r="AC821" s="28"/>
      <c r="AF821" s="28"/>
      <c r="AI821" s="28"/>
      <c r="AL821" s="28"/>
      <c r="AO821" s="28"/>
      <c r="AR821" s="28"/>
      <c r="AU821" s="28"/>
      <c r="AX821" s="28"/>
      <c r="BA821" s="28"/>
      <c r="BD821" s="28"/>
      <c r="BG821" s="28"/>
      <c r="BJ821" s="28"/>
      <c r="BM821" s="28"/>
      <c r="BP821" s="28"/>
      <c r="BS821" s="28"/>
      <c r="BV821" s="28"/>
      <c r="BY821" s="28"/>
      <c r="CB821" s="28"/>
      <c r="CE821" s="28"/>
      <c r="CH821" s="28"/>
      <c r="CK821" s="28"/>
      <c r="CN821" s="28"/>
      <c r="CQ821" s="28"/>
      <c r="CT821" s="28"/>
      <c r="CW821" s="28"/>
      <c r="CZ821" s="28"/>
      <c r="DC821" s="28"/>
      <c r="DF821" s="28"/>
      <c r="DI821" s="28"/>
      <c r="DL821" s="28"/>
      <c r="DO821" s="28"/>
      <c r="DR821" s="28"/>
      <c r="DU821" s="28"/>
      <c r="DX821" s="28"/>
      <c r="EA821" s="28"/>
      <c r="ED821" s="28"/>
      <c r="EG821" s="28"/>
      <c r="EJ821" s="28"/>
      <c r="EM821" s="28"/>
      <c r="EP821" s="28"/>
      <c r="ES821" s="28"/>
      <c r="EV821" s="28"/>
      <c r="EY821" s="28"/>
      <c r="FB821" s="28"/>
      <c r="FE821" s="28"/>
      <c r="FH821" s="28"/>
      <c r="FK821" s="28"/>
      <c r="FN821" s="28"/>
      <c r="FQ821" s="28"/>
      <c r="FT821" s="28"/>
      <c r="FW821" s="28"/>
      <c r="FZ821" s="28"/>
      <c r="GC821" s="28"/>
    </row>
    <row r="822" spans="1:185" s="25" customFormat="1" x14ac:dyDescent="0.3">
      <c r="A822" s="27"/>
      <c r="B822" s="28"/>
      <c r="C822" s="27"/>
      <c r="D822" s="26"/>
      <c r="E822" s="28"/>
      <c r="H822" s="28"/>
      <c r="K822" s="28"/>
      <c r="N822" s="28"/>
      <c r="Q822" s="28"/>
      <c r="T822" s="28"/>
      <c r="W822" s="28"/>
      <c r="Z822" s="28"/>
      <c r="AC822" s="28"/>
      <c r="AF822" s="28"/>
      <c r="AI822" s="28"/>
      <c r="AL822" s="28"/>
      <c r="AO822" s="28"/>
      <c r="AR822" s="28"/>
      <c r="AU822" s="28"/>
      <c r="AX822" s="28"/>
      <c r="BA822" s="28"/>
      <c r="BD822" s="28"/>
      <c r="BG822" s="28"/>
      <c r="BJ822" s="28"/>
      <c r="BM822" s="28"/>
      <c r="BP822" s="28"/>
      <c r="BS822" s="28"/>
      <c r="BV822" s="28"/>
      <c r="BY822" s="28"/>
      <c r="CB822" s="28"/>
      <c r="CE822" s="28"/>
      <c r="CH822" s="28"/>
      <c r="CK822" s="28"/>
      <c r="CN822" s="28"/>
      <c r="CQ822" s="28"/>
      <c r="CT822" s="28"/>
      <c r="CW822" s="28"/>
      <c r="CZ822" s="28"/>
      <c r="DC822" s="28"/>
      <c r="DF822" s="28"/>
      <c r="DI822" s="28"/>
      <c r="DL822" s="28"/>
      <c r="DO822" s="28"/>
      <c r="DR822" s="28"/>
      <c r="DU822" s="28"/>
      <c r="DX822" s="28"/>
      <c r="EA822" s="28"/>
      <c r="ED822" s="28"/>
      <c r="EG822" s="28"/>
      <c r="EJ822" s="28"/>
      <c r="EM822" s="28"/>
      <c r="EP822" s="28"/>
      <c r="ES822" s="28"/>
      <c r="EV822" s="28"/>
      <c r="EY822" s="28"/>
      <c r="FB822" s="28"/>
      <c r="FE822" s="28"/>
      <c r="FH822" s="28"/>
      <c r="FK822" s="28"/>
      <c r="FN822" s="28"/>
      <c r="FQ822" s="28"/>
      <c r="FT822" s="28"/>
      <c r="FW822" s="28"/>
      <c r="FZ822" s="28"/>
      <c r="GC822" s="28"/>
    </row>
    <row r="823" spans="1:185" s="25" customFormat="1" x14ac:dyDescent="0.3">
      <c r="A823" s="27"/>
      <c r="B823" s="28"/>
      <c r="C823" s="27"/>
      <c r="D823" s="26"/>
      <c r="E823" s="28"/>
      <c r="H823" s="28"/>
      <c r="K823" s="28"/>
      <c r="N823" s="28"/>
      <c r="Q823" s="28"/>
      <c r="T823" s="28"/>
      <c r="W823" s="28"/>
      <c r="Z823" s="28"/>
      <c r="AC823" s="28"/>
      <c r="AF823" s="28"/>
      <c r="AI823" s="28"/>
      <c r="AL823" s="28"/>
      <c r="AO823" s="28"/>
      <c r="AR823" s="28"/>
      <c r="AU823" s="28"/>
      <c r="AX823" s="28"/>
      <c r="BA823" s="28"/>
      <c r="BD823" s="28"/>
      <c r="BG823" s="28"/>
      <c r="BJ823" s="28"/>
      <c r="BM823" s="28"/>
      <c r="BP823" s="28"/>
      <c r="BS823" s="28"/>
      <c r="BV823" s="28"/>
      <c r="BY823" s="28"/>
      <c r="CB823" s="28"/>
      <c r="CE823" s="28"/>
      <c r="CH823" s="28"/>
      <c r="CK823" s="28"/>
      <c r="CN823" s="28"/>
      <c r="CQ823" s="28"/>
      <c r="CT823" s="28"/>
      <c r="CW823" s="28"/>
      <c r="CZ823" s="28"/>
      <c r="DC823" s="28"/>
      <c r="DF823" s="28"/>
      <c r="DI823" s="28"/>
      <c r="DL823" s="28"/>
      <c r="DO823" s="28"/>
      <c r="DR823" s="28"/>
      <c r="DU823" s="28"/>
      <c r="DX823" s="28"/>
      <c r="EA823" s="28"/>
      <c r="ED823" s="28"/>
      <c r="EG823" s="28"/>
      <c r="EJ823" s="28"/>
      <c r="EM823" s="28"/>
      <c r="EP823" s="28"/>
      <c r="ES823" s="28"/>
      <c r="EV823" s="28"/>
      <c r="EY823" s="28"/>
      <c r="FB823" s="28"/>
      <c r="FE823" s="28"/>
      <c r="FH823" s="28"/>
      <c r="FK823" s="28"/>
      <c r="FN823" s="28"/>
      <c r="FQ823" s="28"/>
      <c r="FT823" s="28"/>
      <c r="FW823" s="28"/>
      <c r="FZ823" s="28"/>
      <c r="GC823" s="28"/>
    </row>
    <row r="824" spans="1:185" s="25" customFormat="1" x14ac:dyDescent="0.3">
      <c r="A824" s="27"/>
      <c r="B824" s="28"/>
      <c r="C824" s="27"/>
      <c r="D824" s="26"/>
      <c r="E824" s="28"/>
      <c r="H824" s="28"/>
      <c r="K824" s="28"/>
      <c r="N824" s="28"/>
      <c r="Q824" s="28"/>
      <c r="T824" s="28"/>
      <c r="W824" s="28"/>
      <c r="Z824" s="28"/>
      <c r="AC824" s="28"/>
      <c r="AF824" s="28"/>
      <c r="AI824" s="28"/>
      <c r="AL824" s="28"/>
      <c r="AO824" s="28"/>
      <c r="AR824" s="28"/>
      <c r="AU824" s="28"/>
      <c r="AX824" s="28"/>
      <c r="BA824" s="28"/>
      <c r="BD824" s="28"/>
      <c r="BG824" s="28"/>
      <c r="BJ824" s="28"/>
      <c r="BM824" s="28"/>
      <c r="BP824" s="28"/>
      <c r="BS824" s="28"/>
      <c r="BV824" s="28"/>
      <c r="BY824" s="28"/>
      <c r="CB824" s="28"/>
      <c r="CE824" s="28"/>
      <c r="CH824" s="28"/>
      <c r="CK824" s="28"/>
      <c r="CN824" s="28"/>
      <c r="CQ824" s="28"/>
      <c r="CT824" s="28"/>
      <c r="CW824" s="28"/>
      <c r="CZ824" s="28"/>
      <c r="DC824" s="28"/>
      <c r="DF824" s="28"/>
      <c r="DI824" s="28"/>
      <c r="DL824" s="28"/>
      <c r="DO824" s="28"/>
      <c r="DR824" s="28"/>
      <c r="DU824" s="28"/>
      <c r="DX824" s="28"/>
      <c r="EA824" s="28"/>
      <c r="ED824" s="28"/>
      <c r="EG824" s="28"/>
      <c r="EJ824" s="28"/>
      <c r="EM824" s="28"/>
      <c r="EP824" s="28"/>
      <c r="ES824" s="28"/>
      <c r="EV824" s="28"/>
      <c r="EY824" s="28"/>
      <c r="FB824" s="28"/>
      <c r="FE824" s="28"/>
      <c r="FH824" s="28"/>
      <c r="FK824" s="28"/>
      <c r="FN824" s="28"/>
      <c r="FQ824" s="28"/>
      <c r="FT824" s="28"/>
      <c r="FW824" s="28"/>
      <c r="FZ824" s="28"/>
      <c r="GC824" s="28"/>
    </row>
    <row r="825" spans="1:185" s="25" customFormat="1" x14ac:dyDescent="0.3">
      <c r="A825" s="27"/>
      <c r="B825" s="28"/>
      <c r="C825" s="27"/>
      <c r="D825" s="26"/>
      <c r="E825" s="28"/>
      <c r="H825" s="28"/>
      <c r="K825" s="28"/>
      <c r="N825" s="28"/>
      <c r="Q825" s="28"/>
      <c r="T825" s="28"/>
      <c r="W825" s="28"/>
      <c r="Z825" s="28"/>
      <c r="AC825" s="28"/>
      <c r="AF825" s="28"/>
      <c r="AI825" s="28"/>
      <c r="AL825" s="28"/>
      <c r="AO825" s="28"/>
      <c r="AR825" s="28"/>
      <c r="AU825" s="28"/>
      <c r="AX825" s="28"/>
      <c r="BA825" s="28"/>
      <c r="BD825" s="28"/>
      <c r="BG825" s="28"/>
      <c r="BJ825" s="28"/>
      <c r="BM825" s="28"/>
      <c r="BP825" s="28"/>
      <c r="BS825" s="28"/>
      <c r="BV825" s="28"/>
      <c r="BY825" s="28"/>
      <c r="CB825" s="28"/>
      <c r="CE825" s="28"/>
      <c r="CH825" s="28"/>
      <c r="CK825" s="28"/>
      <c r="CN825" s="28"/>
      <c r="CQ825" s="28"/>
      <c r="CT825" s="28"/>
      <c r="CW825" s="28"/>
      <c r="CZ825" s="28"/>
      <c r="DC825" s="28"/>
      <c r="DF825" s="28"/>
      <c r="DI825" s="28"/>
      <c r="DL825" s="28"/>
      <c r="DO825" s="28"/>
      <c r="DR825" s="28"/>
      <c r="DU825" s="28"/>
      <c r="DX825" s="28"/>
      <c r="EA825" s="28"/>
      <c r="ED825" s="28"/>
      <c r="EG825" s="28"/>
      <c r="EJ825" s="28"/>
      <c r="EM825" s="28"/>
      <c r="EP825" s="28"/>
      <c r="ES825" s="28"/>
      <c r="EV825" s="28"/>
      <c r="EY825" s="28"/>
      <c r="FB825" s="28"/>
      <c r="FE825" s="28"/>
      <c r="FH825" s="28"/>
      <c r="FK825" s="28"/>
      <c r="FN825" s="28"/>
      <c r="FQ825" s="28"/>
      <c r="FT825" s="28"/>
      <c r="FW825" s="28"/>
      <c r="FZ825" s="28"/>
      <c r="GC825" s="28"/>
    </row>
    <row r="826" spans="1:185" s="25" customFormat="1" x14ac:dyDescent="0.3">
      <c r="A826" s="27"/>
      <c r="B826" s="28"/>
      <c r="C826" s="27"/>
      <c r="D826" s="26"/>
      <c r="E826" s="28"/>
      <c r="H826" s="28"/>
      <c r="K826" s="28"/>
      <c r="N826" s="28"/>
      <c r="Q826" s="28"/>
      <c r="T826" s="28"/>
      <c r="W826" s="28"/>
      <c r="Z826" s="28"/>
      <c r="AC826" s="28"/>
      <c r="AF826" s="28"/>
      <c r="AI826" s="28"/>
      <c r="AL826" s="28"/>
      <c r="AO826" s="28"/>
      <c r="AR826" s="28"/>
      <c r="AU826" s="28"/>
      <c r="AX826" s="28"/>
      <c r="BA826" s="28"/>
      <c r="BD826" s="28"/>
      <c r="BG826" s="28"/>
      <c r="BJ826" s="28"/>
      <c r="BM826" s="28"/>
      <c r="BP826" s="28"/>
      <c r="BS826" s="28"/>
      <c r="BV826" s="28"/>
      <c r="BY826" s="28"/>
      <c r="CB826" s="28"/>
      <c r="CE826" s="28"/>
      <c r="CH826" s="28"/>
      <c r="CK826" s="28"/>
      <c r="CN826" s="28"/>
      <c r="CQ826" s="28"/>
      <c r="CT826" s="28"/>
      <c r="CW826" s="28"/>
      <c r="CZ826" s="28"/>
      <c r="DC826" s="28"/>
      <c r="DF826" s="28"/>
      <c r="DI826" s="28"/>
      <c r="DL826" s="28"/>
      <c r="DO826" s="28"/>
      <c r="DR826" s="28"/>
      <c r="DU826" s="28"/>
      <c r="DX826" s="28"/>
      <c r="EA826" s="28"/>
      <c r="ED826" s="28"/>
      <c r="EG826" s="28"/>
      <c r="EJ826" s="28"/>
      <c r="EM826" s="28"/>
      <c r="EP826" s="28"/>
      <c r="ES826" s="28"/>
      <c r="EV826" s="28"/>
      <c r="EY826" s="28"/>
      <c r="FB826" s="28"/>
      <c r="FE826" s="28"/>
      <c r="FH826" s="28"/>
      <c r="FK826" s="28"/>
      <c r="FN826" s="28"/>
      <c r="FQ826" s="28"/>
      <c r="FT826" s="28"/>
      <c r="FW826" s="28"/>
      <c r="FZ826" s="28"/>
      <c r="GC826" s="28"/>
    </row>
    <row r="827" spans="1:185" s="25" customFormat="1" x14ac:dyDescent="0.3">
      <c r="A827" s="27"/>
      <c r="B827" s="28"/>
      <c r="C827" s="27"/>
      <c r="D827" s="26"/>
      <c r="E827" s="28"/>
      <c r="H827" s="28"/>
      <c r="K827" s="28"/>
      <c r="N827" s="28"/>
      <c r="Q827" s="28"/>
      <c r="T827" s="28"/>
      <c r="W827" s="28"/>
      <c r="Z827" s="28"/>
      <c r="AC827" s="28"/>
      <c r="AF827" s="28"/>
      <c r="AI827" s="28"/>
      <c r="AL827" s="28"/>
      <c r="AO827" s="28"/>
      <c r="AR827" s="28"/>
      <c r="AU827" s="28"/>
      <c r="AX827" s="28"/>
      <c r="BA827" s="28"/>
      <c r="BD827" s="28"/>
      <c r="BG827" s="28"/>
      <c r="BJ827" s="28"/>
      <c r="BM827" s="28"/>
      <c r="BP827" s="28"/>
      <c r="BS827" s="28"/>
      <c r="BV827" s="28"/>
      <c r="BY827" s="28"/>
      <c r="CB827" s="28"/>
      <c r="CE827" s="28"/>
      <c r="CH827" s="28"/>
      <c r="CK827" s="28"/>
      <c r="CN827" s="28"/>
      <c r="CQ827" s="28"/>
      <c r="CT827" s="28"/>
      <c r="CW827" s="28"/>
      <c r="CZ827" s="28"/>
      <c r="DC827" s="28"/>
      <c r="DF827" s="28"/>
      <c r="DI827" s="28"/>
      <c r="DL827" s="28"/>
      <c r="DO827" s="28"/>
      <c r="DR827" s="28"/>
      <c r="DU827" s="28"/>
      <c r="DX827" s="28"/>
      <c r="EA827" s="28"/>
      <c r="ED827" s="28"/>
      <c r="EG827" s="28"/>
      <c r="EJ827" s="28"/>
      <c r="EM827" s="28"/>
      <c r="EP827" s="28"/>
      <c r="ES827" s="28"/>
      <c r="EV827" s="28"/>
      <c r="EY827" s="28"/>
      <c r="FB827" s="28"/>
      <c r="FE827" s="28"/>
      <c r="FH827" s="28"/>
      <c r="FK827" s="28"/>
      <c r="FN827" s="28"/>
      <c r="FQ827" s="28"/>
      <c r="FT827" s="28"/>
      <c r="FW827" s="28"/>
      <c r="FZ827" s="28"/>
      <c r="GC827" s="28"/>
    </row>
    <row r="828" spans="1:185" s="25" customFormat="1" x14ac:dyDescent="0.3">
      <c r="A828" s="27"/>
      <c r="B828" s="28"/>
      <c r="C828" s="27"/>
      <c r="D828" s="26"/>
      <c r="E828" s="28"/>
      <c r="H828" s="28"/>
      <c r="K828" s="28"/>
      <c r="N828" s="28"/>
      <c r="Q828" s="28"/>
      <c r="T828" s="28"/>
      <c r="W828" s="28"/>
      <c r="Z828" s="28"/>
      <c r="AC828" s="28"/>
      <c r="AF828" s="28"/>
      <c r="AI828" s="28"/>
      <c r="AL828" s="28"/>
      <c r="AO828" s="28"/>
      <c r="AR828" s="28"/>
      <c r="AU828" s="28"/>
      <c r="AX828" s="28"/>
      <c r="BA828" s="28"/>
      <c r="BD828" s="28"/>
      <c r="BG828" s="28"/>
      <c r="BJ828" s="28"/>
      <c r="BM828" s="28"/>
      <c r="BP828" s="28"/>
      <c r="BS828" s="28"/>
      <c r="BV828" s="28"/>
      <c r="BY828" s="28"/>
      <c r="CB828" s="28"/>
      <c r="CE828" s="28"/>
      <c r="CH828" s="28"/>
      <c r="CK828" s="28"/>
      <c r="CN828" s="28"/>
      <c r="CQ828" s="28"/>
      <c r="CT828" s="28"/>
      <c r="CW828" s="28"/>
      <c r="CZ828" s="28"/>
      <c r="DC828" s="28"/>
      <c r="DF828" s="28"/>
      <c r="DI828" s="28"/>
      <c r="DL828" s="28"/>
      <c r="DO828" s="28"/>
      <c r="DR828" s="28"/>
      <c r="DU828" s="28"/>
      <c r="DX828" s="28"/>
      <c r="EA828" s="28"/>
      <c r="ED828" s="28"/>
      <c r="EG828" s="28"/>
      <c r="EJ828" s="28"/>
      <c r="EM828" s="28"/>
      <c r="EP828" s="28"/>
      <c r="ES828" s="28"/>
      <c r="EV828" s="28"/>
      <c r="EY828" s="28"/>
      <c r="FB828" s="28"/>
      <c r="FE828" s="28"/>
      <c r="FH828" s="28"/>
      <c r="FK828" s="28"/>
      <c r="FN828" s="28"/>
      <c r="FQ828" s="28"/>
      <c r="FT828" s="28"/>
      <c r="FW828" s="28"/>
      <c r="FZ828" s="28"/>
      <c r="GC828" s="28"/>
    </row>
    <row r="829" spans="1:185" s="25" customFormat="1" x14ac:dyDescent="0.3">
      <c r="A829" s="27"/>
      <c r="B829" s="28"/>
      <c r="C829" s="27"/>
      <c r="D829" s="26"/>
      <c r="E829" s="28"/>
      <c r="H829" s="28"/>
      <c r="K829" s="28"/>
      <c r="N829" s="28"/>
      <c r="Q829" s="28"/>
      <c r="T829" s="28"/>
      <c r="W829" s="28"/>
      <c r="Z829" s="28"/>
      <c r="AC829" s="28"/>
      <c r="AF829" s="28"/>
      <c r="AI829" s="28"/>
      <c r="AL829" s="28"/>
      <c r="AO829" s="28"/>
      <c r="AR829" s="28"/>
      <c r="AU829" s="28"/>
      <c r="AX829" s="28"/>
      <c r="BA829" s="28"/>
      <c r="BD829" s="28"/>
      <c r="BG829" s="28"/>
      <c r="BJ829" s="28"/>
      <c r="BM829" s="28"/>
      <c r="BP829" s="28"/>
      <c r="BS829" s="28"/>
      <c r="BV829" s="28"/>
      <c r="BY829" s="28"/>
      <c r="CB829" s="28"/>
      <c r="CE829" s="28"/>
      <c r="CH829" s="28"/>
      <c r="CK829" s="28"/>
      <c r="CN829" s="28"/>
      <c r="CQ829" s="28"/>
      <c r="CT829" s="28"/>
      <c r="CW829" s="28"/>
      <c r="CZ829" s="28"/>
      <c r="DC829" s="28"/>
      <c r="DF829" s="28"/>
      <c r="DI829" s="28"/>
      <c r="DL829" s="28"/>
      <c r="DO829" s="28"/>
      <c r="DR829" s="28"/>
      <c r="DU829" s="28"/>
      <c r="DX829" s="28"/>
      <c r="EA829" s="28"/>
      <c r="ED829" s="28"/>
      <c r="EG829" s="28"/>
      <c r="EJ829" s="28"/>
      <c r="EM829" s="28"/>
      <c r="EP829" s="28"/>
      <c r="ES829" s="28"/>
      <c r="EV829" s="28"/>
      <c r="EY829" s="28"/>
      <c r="FB829" s="28"/>
      <c r="FE829" s="28"/>
      <c r="FH829" s="28"/>
      <c r="FK829" s="28"/>
      <c r="FN829" s="28"/>
      <c r="FQ829" s="28"/>
      <c r="FT829" s="28"/>
      <c r="FW829" s="28"/>
      <c r="FZ829" s="28"/>
      <c r="GC829" s="28"/>
    </row>
    <row r="830" spans="1:185" s="25" customFormat="1" x14ac:dyDescent="0.3">
      <c r="A830" s="27"/>
      <c r="B830" s="28"/>
      <c r="C830" s="27"/>
      <c r="D830" s="26"/>
      <c r="E830" s="28"/>
      <c r="H830" s="28"/>
      <c r="K830" s="28"/>
      <c r="N830" s="28"/>
      <c r="Q830" s="28"/>
      <c r="T830" s="28"/>
      <c r="W830" s="28"/>
      <c r="Z830" s="28"/>
      <c r="AC830" s="28"/>
      <c r="AF830" s="28"/>
      <c r="AI830" s="28"/>
      <c r="AL830" s="28"/>
      <c r="AO830" s="28"/>
      <c r="AR830" s="28"/>
      <c r="AU830" s="28"/>
      <c r="AX830" s="28"/>
      <c r="BA830" s="28"/>
      <c r="BD830" s="28"/>
      <c r="BG830" s="28"/>
      <c r="BJ830" s="28"/>
      <c r="BM830" s="28"/>
      <c r="BP830" s="28"/>
      <c r="BS830" s="28"/>
      <c r="BV830" s="28"/>
      <c r="BY830" s="28"/>
      <c r="CB830" s="28"/>
      <c r="CE830" s="28"/>
      <c r="CH830" s="28"/>
      <c r="CK830" s="28"/>
      <c r="CN830" s="28"/>
      <c r="CQ830" s="28"/>
      <c r="CT830" s="28"/>
      <c r="CW830" s="28"/>
      <c r="CZ830" s="28"/>
      <c r="DC830" s="28"/>
      <c r="DF830" s="28"/>
      <c r="DI830" s="28"/>
      <c r="DL830" s="28"/>
      <c r="DO830" s="28"/>
      <c r="DR830" s="28"/>
      <c r="DU830" s="28"/>
      <c r="DX830" s="28"/>
      <c r="EA830" s="28"/>
      <c r="ED830" s="28"/>
      <c r="EG830" s="28"/>
      <c r="EJ830" s="28"/>
      <c r="EM830" s="28"/>
      <c r="EP830" s="28"/>
      <c r="ES830" s="28"/>
      <c r="EV830" s="28"/>
      <c r="EY830" s="28"/>
      <c r="FB830" s="28"/>
      <c r="FE830" s="28"/>
      <c r="FH830" s="28"/>
      <c r="FK830" s="28"/>
      <c r="FN830" s="28"/>
      <c r="FQ830" s="28"/>
      <c r="FT830" s="28"/>
      <c r="FW830" s="28"/>
      <c r="FZ830" s="28"/>
      <c r="GC830" s="28"/>
    </row>
    <row r="831" spans="1:185" s="25" customFormat="1" x14ac:dyDescent="0.3">
      <c r="A831" s="27"/>
      <c r="B831" s="28"/>
      <c r="C831" s="27"/>
      <c r="D831" s="26"/>
      <c r="E831" s="28"/>
      <c r="H831" s="28"/>
      <c r="K831" s="28"/>
      <c r="N831" s="28"/>
      <c r="Q831" s="28"/>
      <c r="T831" s="28"/>
      <c r="W831" s="28"/>
      <c r="Z831" s="28"/>
      <c r="AC831" s="28"/>
      <c r="AF831" s="28"/>
      <c r="AI831" s="28"/>
      <c r="AL831" s="28"/>
      <c r="AO831" s="28"/>
      <c r="AR831" s="28"/>
      <c r="AU831" s="28"/>
      <c r="AX831" s="28"/>
      <c r="BA831" s="28"/>
      <c r="BD831" s="28"/>
      <c r="BG831" s="28"/>
      <c r="BJ831" s="28"/>
      <c r="BM831" s="28"/>
      <c r="BP831" s="28"/>
      <c r="BS831" s="28"/>
      <c r="BV831" s="28"/>
      <c r="BY831" s="28"/>
      <c r="CB831" s="28"/>
      <c r="CE831" s="28"/>
      <c r="CH831" s="28"/>
      <c r="CK831" s="28"/>
      <c r="CN831" s="28"/>
      <c r="CQ831" s="28"/>
      <c r="CT831" s="28"/>
      <c r="CW831" s="28"/>
      <c r="CZ831" s="28"/>
      <c r="DC831" s="28"/>
      <c r="DF831" s="28"/>
      <c r="DI831" s="28"/>
      <c r="DL831" s="28"/>
      <c r="DO831" s="28"/>
      <c r="DR831" s="28"/>
      <c r="DU831" s="28"/>
      <c r="DX831" s="28"/>
      <c r="EA831" s="28"/>
      <c r="ED831" s="28"/>
      <c r="EG831" s="28"/>
      <c r="EJ831" s="28"/>
      <c r="EM831" s="28"/>
      <c r="EP831" s="28"/>
      <c r="ES831" s="28"/>
      <c r="EV831" s="28"/>
      <c r="EY831" s="28"/>
      <c r="FB831" s="28"/>
      <c r="FE831" s="28"/>
      <c r="FH831" s="28"/>
      <c r="FK831" s="28"/>
      <c r="FN831" s="28"/>
      <c r="FQ831" s="28"/>
      <c r="FT831" s="28"/>
      <c r="FW831" s="28"/>
      <c r="FZ831" s="28"/>
      <c r="GC831" s="28"/>
    </row>
    <row r="832" spans="1:185" s="25" customFormat="1" x14ac:dyDescent="0.3">
      <c r="A832" s="27"/>
      <c r="B832" s="28"/>
      <c r="C832" s="27"/>
      <c r="D832" s="26"/>
      <c r="E832" s="28"/>
      <c r="H832" s="28"/>
      <c r="K832" s="28"/>
      <c r="N832" s="28"/>
      <c r="Q832" s="28"/>
      <c r="T832" s="28"/>
      <c r="W832" s="28"/>
      <c r="Z832" s="28"/>
      <c r="AC832" s="28"/>
      <c r="AF832" s="28"/>
      <c r="AI832" s="28"/>
      <c r="AL832" s="28"/>
      <c r="AO832" s="28"/>
      <c r="AR832" s="28"/>
      <c r="AU832" s="28"/>
      <c r="AX832" s="28"/>
      <c r="BA832" s="28"/>
      <c r="BD832" s="28"/>
      <c r="BG832" s="28"/>
      <c r="BJ832" s="28"/>
      <c r="BM832" s="28"/>
      <c r="BP832" s="28"/>
      <c r="BS832" s="28"/>
      <c r="BV832" s="28"/>
      <c r="BY832" s="28"/>
      <c r="CB832" s="28"/>
      <c r="CE832" s="28"/>
      <c r="CH832" s="28"/>
      <c r="CK832" s="28"/>
      <c r="CN832" s="28"/>
      <c r="CQ832" s="28"/>
      <c r="CT832" s="28"/>
      <c r="CW832" s="28"/>
      <c r="CZ832" s="28"/>
      <c r="DC832" s="28"/>
      <c r="DF832" s="28"/>
      <c r="DI832" s="28"/>
      <c r="DL832" s="28"/>
      <c r="DO832" s="28"/>
      <c r="DR832" s="28"/>
      <c r="DU832" s="28"/>
      <c r="DX832" s="28"/>
      <c r="EA832" s="28"/>
      <c r="ED832" s="28"/>
      <c r="EG832" s="28"/>
      <c r="EJ832" s="28"/>
      <c r="EM832" s="28"/>
      <c r="EP832" s="28"/>
      <c r="ES832" s="28"/>
      <c r="EV832" s="28"/>
      <c r="EY832" s="28"/>
      <c r="FB832" s="28"/>
      <c r="FE832" s="28"/>
      <c r="FH832" s="28"/>
      <c r="FK832" s="28"/>
      <c r="FN832" s="28"/>
      <c r="FQ832" s="28"/>
      <c r="FT832" s="28"/>
      <c r="FW832" s="28"/>
      <c r="FZ832" s="28"/>
      <c r="GC832" s="28"/>
    </row>
    <row r="833" spans="1:185" s="25" customFormat="1" x14ac:dyDescent="0.3">
      <c r="A833" s="27"/>
      <c r="B833" s="28"/>
      <c r="C833" s="27"/>
      <c r="D833" s="26"/>
      <c r="E833" s="28"/>
      <c r="H833" s="28"/>
      <c r="K833" s="28"/>
      <c r="N833" s="28"/>
      <c r="Q833" s="28"/>
      <c r="T833" s="28"/>
      <c r="W833" s="28"/>
      <c r="Z833" s="28"/>
      <c r="AC833" s="28"/>
      <c r="AF833" s="28"/>
      <c r="AI833" s="28"/>
      <c r="AL833" s="28"/>
      <c r="AO833" s="28"/>
      <c r="AR833" s="28"/>
      <c r="AU833" s="28"/>
      <c r="AX833" s="28"/>
      <c r="BA833" s="28"/>
      <c r="BD833" s="28"/>
      <c r="BG833" s="28"/>
      <c r="BJ833" s="28"/>
      <c r="BM833" s="28"/>
      <c r="BP833" s="28"/>
      <c r="BS833" s="28"/>
      <c r="BV833" s="28"/>
      <c r="BY833" s="28"/>
      <c r="CB833" s="28"/>
      <c r="CE833" s="28"/>
      <c r="CH833" s="28"/>
      <c r="CK833" s="28"/>
      <c r="CN833" s="28"/>
      <c r="CQ833" s="28"/>
      <c r="CT833" s="28"/>
      <c r="CW833" s="28"/>
      <c r="CZ833" s="28"/>
      <c r="DC833" s="28"/>
      <c r="DF833" s="28"/>
      <c r="DI833" s="28"/>
      <c r="DL833" s="28"/>
      <c r="DO833" s="28"/>
      <c r="DR833" s="28"/>
      <c r="DU833" s="28"/>
      <c r="DX833" s="28"/>
      <c r="EA833" s="28"/>
      <c r="ED833" s="28"/>
      <c r="EG833" s="28"/>
      <c r="EJ833" s="28"/>
      <c r="EM833" s="28"/>
      <c r="EP833" s="28"/>
      <c r="ES833" s="28"/>
      <c r="EV833" s="28"/>
      <c r="EY833" s="28"/>
      <c r="FB833" s="28"/>
      <c r="FE833" s="28"/>
      <c r="FH833" s="28"/>
      <c r="FK833" s="28"/>
      <c r="FN833" s="28"/>
      <c r="FQ833" s="28"/>
      <c r="FT833" s="28"/>
      <c r="FW833" s="28"/>
      <c r="FZ833" s="28"/>
      <c r="GC833" s="28"/>
    </row>
    <row r="834" spans="1:185" s="25" customFormat="1" x14ac:dyDescent="0.3">
      <c r="A834" s="27"/>
      <c r="B834" s="28"/>
      <c r="C834" s="27"/>
      <c r="D834" s="26"/>
      <c r="E834" s="28"/>
      <c r="H834" s="28"/>
      <c r="K834" s="28"/>
      <c r="N834" s="28"/>
      <c r="Q834" s="28"/>
      <c r="T834" s="28"/>
      <c r="W834" s="28"/>
      <c r="Z834" s="28"/>
      <c r="AC834" s="28"/>
      <c r="AF834" s="28"/>
      <c r="AI834" s="28"/>
      <c r="AL834" s="28"/>
      <c r="AO834" s="28"/>
      <c r="AR834" s="28"/>
      <c r="AU834" s="28"/>
      <c r="AX834" s="28"/>
      <c r="BA834" s="28"/>
      <c r="BD834" s="28"/>
      <c r="BG834" s="28"/>
      <c r="BJ834" s="28"/>
      <c r="BM834" s="28"/>
      <c r="BP834" s="28"/>
      <c r="BS834" s="28"/>
      <c r="BV834" s="28"/>
      <c r="BY834" s="28"/>
      <c r="CB834" s="28"/>
      <c r="CE834" s="28"/>
      <c r="CH834" s="28"/>
      <c r="CK834" s="28"/>
      <c r="CN834" s="28"/>
      <c r="CQ834" s="28"/>
      <c r="CT834" s="28"/>
      <c r="CW834" s="28"/>
      <c r="CZ834" s="28"/>
      <c r="DC834" s="28"/>
      <c r="DF834" s="28"/>
      <c r="DI834" s="28"/>
      <c r="DL834" s="28"/>
      <c r="DO834" s="28"/>
      <c r="DR834" s="28"/>
      <c r="DU834" s="28"/>
      <c r="DX834" s="28"/>
      <c r="EA834" s="28"/>
      <c r="ED834" s="28"/>
      <c r="EG834" s="28"/>
      <c r="EJ834" s="28"/>
      <c r="EM834" s="28"/>
      <c r="EP834" s="28"/>
      <c r="ES834" s="28"/>
      <c r="EV834" s="28"/>
      <c r="EY834" s="28"/>
      <c r="FB834" s="28"/>
      <c r="FE834" s="28"/>
      <c r="FH834" s="28"/>
      <c r="FK834" s="28"/>
      <c r="FN834" s="28"/>
      <c r="FQ834" s="28"/>
      <c r="FT834" s="28"/>
      <c r="FW834" s="28"/>
      <c r="FZ834" s="28"/>
      <c r="GC834" s="28"/>
    </row>
    <row r="835" spans="1:185" s="25" customFormat="1" x14ac:dyDescent="0.3">
      <c r="A835" s="27"/>
      <c r="B835" s="28"/>
      <c r="C835" s="27"/>
      <c r="D835" s="26"/>
      <c r="E835" s="28"/>
      <c r="H835" s="28"/>
      <c r="K835" s="28"/>
      <c r="N835" s="28"/>
      <c r="Q835" s="28"/>
      <c r="T835" s="28"/>
      <c r="W835" s="28"/>
      <c r="Z835" s="28"/>
      <c r="AC835" s="28"/>
      <c r="AF835" s="28"/>
      <c r="AI835" s="28"/>
      <c r="AL835" s="28"/>
      <c r="AO835" s="28"/>
      <c r="AR835" s="28"/>
      <c r="AU835" s="28"/>
      <c r="AX835" s="28"/>
      <c r="BA835" s="28"/>
      <c r="BD835" s="28"/>
      <c r="BG835" s="28"/>
      <c r="BJ835" s="28"/>
      <c r="BM835" s="28"/>
      <c r="BP835" s="28"/>
      <c r="BS835" s="28"/>
      <c r="BV835" s="28"/>
      <c r="BY835" s="28"/>
      <c r="CB835" s="28"/>
      <c r="CE835" s="28"/>
      <c r="CH835" s="28"/>
      <c r="CK835" s="28"/>
      <c r="CN835" s="28"/>
      <c r="CQ835" s="28"/>
      <c r="CT835" s="28"/>
      <c r="CW835" s="28"/>
      <c r="CZ835" s="28"/>
      <c r="DC835" s="28"/>
      <c r="DF835" s="28"/>
      <c r="DI835" s="28"/>
      <c r="DL835" s="28"/>
      <c r="DO835" s="28"/>
      <c r="DR835" s="28"/>
      <c r="DU835" s="28"/>
      <c r="DX835" s="28"/>
      <c r="EA835" s="28"/>
      <c r="ED835" s="28"/>
      <c r="EG835" s="28"/>
      <c r="EJ835" s="28"/>
      <c r="EM835" s="28"/>
      <c r="EP835" s="28"/>
      <c r="ES835" s="28"/>
      <c r="EV835" s="28"/>
      <c r="EY835" s="28"/>
      <c r="FB835" s="28"/>
      <c r="FE835" s="28"/>
      <c r="FH835" s="28"/>
      <c r="FK835" s="28"/>
      <c r="FN835" s="28"/>
      <c r="FQ835" s="28"/>
      <c r="FT835" s="28"/>
      <c r="FW835" s="28"/>
      <c r="FZ835" s="28"/>
      <c r="GC835" s="28"/>
    </row>
    <row r="836" spans="1:185" s="25" customFormat="1" x14ac:dyDescent="0.3">
      <c r="A836" s="27"/>
      <c r="B836" s="28"/>
      <c r="C836" s="27"/>
      <c r="D836" s="26"/>
      <c r="E836" s="28"/>
      <c r="H836" s="28"/>
      <c r="K836" s="28"/>
      <c r="N836" s="28"/>
      <c r="Q836" s="28"/>
      <c r="T836" s="28"/>
      <c r="W836" s="28"/>
      <c r="Z836" s="28"/>
      <c r="AC836" s="28"/>
      <c r="AF836" s="28"/>
      <c r="AI836" s="28"/>
      <c r="AL836" s="28"/>
      <c r="AO836" s="28"/>
      <c r="AR836" s="28"/>
      <c r="AU836" s="28"/>
      <c r="AX836" s="28"/>
      <c r="BA836" s="28"/>
      <c r="BD836" s="28"/>
      <c r="BG836" s="28"/>
      <c r="BJ836" s="28"/>
      <c r="BM836" s="28"/>
      <c r="BP836" s="28"/>
      <c r="BS836" s="28"/>
      <c r="BV836" s="28"/>
      <c r="BY836" s="28"/>
      <c r="CB836" s="28"/>
      <c r="CE836" s="28"/>
      <c r="CH836" s="28"/>
      <c r="CK836" s="28"/>
      <c r="CN836" s="28"/>
      <c r="CQ836" s="28"/>
      <c r="CT836" s="28"/>
      <c r="CW836" s="28"/>
      <c r="CZ836" s="28"/>
      <c r="DC836" s="28"/>
      <c r="DF836" s="28"/>
      <c r="DI836" s="28"/>
      <c r="DL836" s="28"/>
      <c r="DO836" s="28"/>
      <c r="DR836" s="28"/>
      <c r="DU836" s="28"/>
      <c r="DX836" s="28"/>
      <c r="EA836" s="28"/>
      <c r="ED836" s="28"/>
      <c r="EG836" s="28"/>
      <c r="EJ836" s="28"/>
      <c r="EM836" s="28"/>
      <c r="EP836" s="28"/>
      <c r="ES836" s="28"/>
      <c r="EV836" s="28"/>
      <c r="EY836" s="28"/>
      <c r="FB836" s="28"/>
      <c r="FE836" s="28"/>
      <c r="FH836" s="28"/>
      <c r="FK836" s="28"/>
      <c r="FN836" s="28"/>
      <c r="FQ836" s="28"/>
      <c r="FT836" s="28"/>
      <c r="FW836" s="28"/>
      <c r="FZ836" s="28"/>
      <c r="GC836" s="28"/>
    </row>
    <row r="837" spans="1:185" s="25" customFormat="1" x14ac:dyDescent="0.3">
      <c r="A837" s="27"/>
      <c r="B837" s="28"/>
      <c r="C837" s="27"/>
      <c r="D837" s="26"/>
      <c r="E837" s="28"/>
      <c r="H837" s="28"/>
      <c r="K837" s="28"/>
      <c r="N837" s="28"/>
      <c r="Q837" s="28"/>
      <c r="T837" s="28"/>
      <c r="W837" s="28"/>
      <c r="Z837" s="28"/>
      <c r="AC837" s="28"/>
      <c r="AF837" s="28"/>
      <c r="AI837" s="28"/>
      <c r="AL837" s="28"/>
      <c r="AO837" s="28"/>
      <c r="AR837" s="28"/>
      <c r="AU837" s="28"/>
      <c r="AX837" s="28"/>
      <c r="BA837" s="28"/>
      <c r="BD837" s="28"/>
      <c r="BG837" s="28"/>
      <c r="BJ837" s="28"/>
      <c r="BM837" s="28"/>
      <c r="BP837" s="28"/>
      <c r="BS837" s="28"/>
      <c r="BV837" s="28"/>
      <c r="BY837" s="28"/>
      <c r="CB837" s="28"/>
      <c r="CE837" s="28"/>
      <c r="CH837" s="28"/>
      <c r="CK837" s="28"/>
      <c r="CN837" s="28"/>
      <c r="CQ837" s="28"/>
      <c r="CT837" s="28"/>
      <c r="CW837" s="28"/>
      <c r="CZ837" s="28"/>
      <c r="DC837" s="28"/>
      <c r="DF837" s="28"/>
      <c r="DI837" s="28"/>
      <c r="DL837" s="28"/>
      <c r="DO837" s="28"/>
      <c r="DR837" s="28"/>
      <c r="DU837" s="28"/>
      <c r="DX837" s="28"/>
      <c r="EA837" s="28"/>
      <c r="ED837" s="28"/>
      <c r="EG837" s="28"/>
      <c r="EJ837" s="28"/>
      <c r="EM837" s="28"/>
      <c r="EP837" s="28"/>
      <c r="ES837" s="28"/>
      <c r="EV837" s="28"/>
      <c r="EY837" s="28"/>
      <c r="FB837" s="28"/>
      <c r="FE837" s="28"/>
      <c r="FH837" s="28"/>
      <c r="FK837" s="28"/>
      <c r="FN837" s="28"/>
      <c r="FQ837" s="28"/>
      <c r="FT837" s="28"/>
      <c r="FW837" s="28"/>
      <c r="FZ837" s="28"/>
      <c r="GC837" s="28"/>
    </row>
    <row r="838" spans="1:185" s="25" customFormat="1" x14ac:dyDescent="0.3">
      <c r="A838" s="27"/>
      <c r="B838" s="28"/>
      <c r="C838" s="27"/>
      <c r="D838" s="26"/>
      <c r="E838" s="28"/>
      <c r="H838" s="28"/>
      <c r="K838" s="28"/>
      <c r="N838" s="28"/>
      <c r="Q838" s="28"/>
      <c r="T838" s="28"/>
      <c r="W838" s="28"/>
      <c r="Z838" s="28"/>
      <c r="AC838" s="28"/>
      <c r="AF838" s="28"/>
      <c r="AI838" s="28"/>
      <c r="AL838" s="28"/>
      <c r="AO838" s="28"/>
      <c r="AR838" s="28"/>
      <c r="AU838" s="28"/>
      <c r="AX838" s="28"/>
      <c r="BA838" s="28"/>
      <c r="BD838" s="28"/>
      <c r="BG838" s="28"/>
      <c r="BJ838" s="28"/>
      <c r="BM838" s="28"/>
      <c r="BP838" s="28"/>
      <c r="BS838" s="28"/>
      <c r="BV838" s="28"/>
      <c r="BY838" s="28"/>
      <c r="CB838" s="28"/>
      <c r="CE838" s="28"/>
      <c r="CH838" s="28"/>
      <c r="CK838" s="28"/>
      <c r="CN838" s="28"/>
      <c r="CQ838" s="28"/>
      <c r="CT838" s="28"/>
      <c r="CW838" s="28"/>
      <c r="CZ838" s="28"/>
      <c r="DC838" s="28"/>
      <c r="DF838" s="28"/>
      <c r="DI838" s="28"/>
      <c r="DL838" s="28"/>
      <c r="DO838" s="28"/>
      <c r="DR838" s="28"/>
      <c r="DU838" s="28"/>
      <c r="DX838" s="28"/>
      <c r="EA838" s="28"/>
      <c r="ED838" s="28"/>
      <c r="EG838" s="28"/>
      <c r="EJ838" s="28"/>
      <c r="EM838" s="28"/>
      <c r="EP838" s="28"/>
      <c r="ES838" s="28"/>
      <c r="EV838" s="28"/>
      <c r="EY838" s="28"/>
      <c r="FB838" s="28"/>
      <c r="FE838" s="28"/>
      <c r="FH838" s="28"/>
      <c r="FK838" s="28"/>
      <c r="FN838" s="28"/>
      <c r="FQ838" s="28"/>
      <c r="FT838" s="28"/>
      <c r="FW838" s="28"/>
      <c r="FZ838" s="28"/>
      <c r="GC838" s="28"/>
    </row>
    <row r="839" spans="1:185" s="25" customFormat="1" x14ac:dyDescent="0.3">
      <c r="A839" s="27"/>
      <c r="B839" s="28"/>
      <c r="C839" s="27"/>
      <c r="D839" s="26"/>
      <c r="E839" s="28"/>
      <c r="H839" s="28"/>
      <c r="K839" s="28"/>
      <c r="N839" s="28"/>
      <c r="Q839" s="28"/>
      <c r="T839" s="28"/>
      <c r="W839" s="28"/>
      <c r="Z839" s="28"/>
      <c r="AC839" s="28"/>
      <c r="AF839" s="28"/>
      <c r="AI839" s="28"/>
      <c r="AL839" s="28"/>
      <c r="AO839" s="28"/>
      <c r="AR839" s="28"/>
      <c r="AU839" s="28"/>
      <c r="AX839" s="28"/>
      <c r="BA839" s="28"/>
      <c r="BD839" s="28"/>
      <c r="BG839" s="28"/>
      <c r="BJ839" s="28"/>
      <c r="BM839" s="28"/>
      <c r="BP839" s="28"/>
      <c r="BS839" s="28"/>
      <c r="BV839" s="28"/>
      <c r="BY839" s="28"/>
      <c r="CB839" s="28"/>
      <c r="CE839" s="28"/>
      <c r="CH839" s="28"/>
      <c r="CK839" s="28"/>
      <c r="CN839" s="28"/>
      <c r="CQ839" s="28"/>
      <c r="CT839" s="28"/>
      <c r="CW839" s="28"/>
      <c r="CZ839" s="28"/>
      <c r="DC839" s="28"/>
      <c r="DF839" s="28"/>
      <c r="DI839" s="28"/>
      <c r="DL839" s="28"/>
      <c r="DO839" s="28"/>
      <c r="DR839" s="28"/>
      <c r="DU839" s="28"/>
      <c r="DX839" s="28"/>
      <c r="EA839" s="28"/>
      <c r="ED839" s="28"/>
      <c r="EG839" s="28"/>
      <c r="EJ839" s="28"/>
      <c r="EM839" s="28"/>
      <c r="EP839" s="28"/>
      <c r="ES839" s="28"/>
      <c r="EV839" s="28"/>
      <c r="EY839" s="28"/>
      <c r="FB839" s="28"/>
      <c r="FE839" s="28"/>
      <c r="FH839" s="28"/>
      <c r="FK839" s="28"/>
      <c r="FN839" s="28"/>
      <c r="FQ839" s="28"/>
      <c r="FT839" s="28"/>
      <c r="FW839" s="28"/>
      <c r="FZ839" s="28"/>
      <c r="GC839" s="28"/>
    </row>
    <row r="840" spans="1:185" s="25" customFormat="1" x14ac:dyDescent="0.3">
      <c r="A840" s="27"/>
      <c r="B840" s="28"/>
      <c r="C840" s="27"/>
      <c r="D840" s="26"/>
      <c r="E840" s="28"/>
      <c r="H840" s="28"/>
      <c r="K840" s="28"/>
      <c r="N840" s="28"/>
      <c r="Q840" s="28"/>
      <c r="T840" s="28"/>
      <c r="W840" s="28"/>
      <c r="Z840" s="28"/>
      <c r="AC840" s="28"/>
      <c r="AF840" s="28"/>
      <c r="AI840" s="28"/>
      <c r="AL840" s="28"/>
      <c r="AO840" s="28"/>
      <c r="AR840" s="28"/>
      <c r="AU840" s="28"/>
      <c r="AX840" s="28"/>
      <c r="BA840" s="28"/>
      <c r="BD840" s="28"/>
      <c r="BG840" s="28"/>
      <c r="BJ840" s="28"/>
      <c r="BM840" s="28"/>
      <c r="BP840" s="28"/>
      <c r="BS840" s="28"/>
      <c r="BV840" s="28"/>
      <c r="BY840" s="28"/>
      <c r="CB840" s="28"/>
      <c r="CE840" s="28"/>
      <c r="CH840" s="28"/>
      <c r="CK840" s="28"/>
      <c r="CN840" s="28"/>
      <c r="CQ840" s="28"/>
      <c r="CT840" s="28"/>
      <c r="CW840" s="28"/>
      <c r="CZ840" s="28"/>
      <c r="DC840" s="28"/>
      <c r="DF840" s="28"/>
      <c r="DI840" s="28"/>
      <c r="DL840" s="28"/>
      <c r="DO840" s="28"/>
      <c r="DR840" s="28"/>
      <c r="DU840" s="28"/>
      <c r="DX840" s="28"/>
      <c r="EA840" s="28"/>
      <c r="ED840" s="28"/>
      <c r="EG840" s="28"/>
      <c r="EJ840" s="28"/>
      <c r="EM840" s="28"/>
      <c r="EP840" s="28"/>
      <c r="ES840" s="28"/>
      <c r="EV840" s="28"/>
      <c r="EY840" s="28"/>
      <c r="FB840" s="28"/>
      <c r="FE840" s="28"/>
      <c r="FH840" s="28"/>
      <c r="FK840" s="28"/>
      <c r="FN840" s="28"/>
      <c r="FQ840" s="28"/>
      <c r="FT840" s="28"/>
      <c r="FW840" s="28"/>
      <c r="FZ840" s="28"/>
      <c r="GC840" s="28"/>
    </row>
    <row r="841" spans="1:185" s="25" customFormat="1" x14ac:dyDescent="0.3">
      <c r="A841" s="27"/>
      <c r="B841" s="28"/>
      <c r="C841" s="27"/>
      <c r="D841" s="26"/>
      <c r="E841" s="28"/>
      <c r="H841" s="28"/>
      <c r="K841" s="28"/>
      <c r="N841" s="28"/>
      <c r="Q841" s="28"/>
      <c r="T841" s="28"/>
      <c r="W841" s="28"/>
      <c r="Z841" s="28"/>
      <c r="AC841" s="28"/>
      <c r="AF841" s="28"/>
      <c r="AI841" s="28"/>
      <c r="AL841" s="28"/>
      <c r="AO841" s="28"/>
      <c r="AR841" s="28"/>
      <c r="AU841" s="28"/>
      <c r="AX841" s="28"/>
      <c r="BA841" s="28"/>
      <c r="BD841" s="28"/>
      <c r="BG841" s="28"/>
      <c r="BJ841" s="28"/>
      <c r="BM841" s="28"/>
      <c r="BP841" s="28"/>
      <c r="BS841" s="28"/>
      <c r="BV841" s="28"/>
      <c r="BY841" s="28"/>
      <c r="CB841" s="28"/>
      <c r="CE841" s="28"/>
      <c r="CH841" s="28"/>
      <c r="CK841" s="28"/>
      <c r="CN841" s="28"/>
      <c r="CQ841" s="28"/>
      <c r="CT841" s="28"/>
      <c r="CW841" s="28"/>
      <c r="CZ841" s="28"/>
      <c r="DC841" s="28"/>
      <c r="DF841" s="28"/>
      <c r="DI841" s="28"/>
      <c r="DL841" s="28"/>
      <c r="DO841" s="28"/>
      <c r="DR841" s="28"/>
      <c r="DU841" s="28"/>
      <c r="DX841" s="28"/>
      <c r="EA841" s="28"/>
      <c r="ED841" s="28"/>
      <c r="EG841" s="28"/>
      <c r="EJ841" s="28"/>
      <c r="EM841" s="28"/>
      <c r="EP841" s="28"/>
      <c r="ES841" s="28"/>
      <c r="EV841" s="28"/>
      <c r="EY841" s="28"/>
      <c r="FB841" s="28"/>
      <c r="FE841" s="28"/>
      <c r="FH841" s="28"/>
      <c r="FK841" s="28"/>
      <c r="FN841" s="28"/>
      <c r="FQ841" s="28"/>
      <c r="FT841" s="28"/>
      <c r="FW841" s="28"/>
      <c r="FZ841" s="28"/>
      <c r="GC841" s="28"/>
    </row>
    <row r="842" spans="1:185" s="25" customFormat="1" x14ac:dyDescent="0.3">
      <c r="A842" s="27"/>
      <c r="B842" s="28"/>
      <c r="C842" s="27"/>
      <c r="D842" s="26"/>
      <c r="E842" s="28"/>
      <c r="H842" s="28"/>
      <c r="K842" s="28"/>
      <c r="N842" s="28"/>
      <c r="Q842" s="28"/>
      <c r="T842" s="28"/>
      <c r="W842" s="28"/>
      <c r="Z842" s="28"/>
      <c r="AC842" s="28"/>
      <c r="AF842" s="28"/>
      <c r="AI842" s="28"/>
      <c r="AL842" s="28"/>
      <c r="AO842" s="28"/>
      <c r="AR842" s="28"/>
      <c r="AU842" s="28"/>
      <c r="AX842" s="28"/>
      <c r="BA842" s="28"/>
      <c r="BD842" s="28"/>
      <c r="BG842" s="28"/>
      <c r="BJ842" s="28"/>
      <c r="BM842" s="28"/>
      <c r="BP842" s="28"/>
      <c r="BS842" s="28"/>
      <c r="BV842" s="28"/>
      <c r="BY842" s="28"/>
      <c r="CB842" s="28"/>
      <c r="CE842" s="28"/>
      <c r="CH842" s="28"/>
      <c r="CK842" s="28"/>
      <c r="CN842" s="28"/>
      <c r="CQ842" s="28"/>
      <c r="CT842" s="28"/>
      <c r="CW842" s="28"/>
      <c r="CZ842" s="28"/>
      <c r="DC842" s="28"/>
      <c r="DF842" s="28"/>
      <c r="DI842" s="28"/>
      <c r="DL842" s="28"/>
      <c r="DO842" s="28"/>
      <c r="DR842" s="28"/>
      <c r="DU842" s="28"/>
      <c r="DX842" s="28"/>
      <c r="EA842" s="28"/>
      <c r="ED842" s="28"/>
      <c r="EG842" s="28"/>
      <c r="EJ842" s="28"/>
      <c r="EM842" s="28"/>
      <c r="EP842" s="28"/>
      <c r="ES842" s="28"/>
      <c r="EV842" s="28"/>
      <c r="EY842" s="28"/>
      <c r="FB842" s="28"/>
      <c r="FE842" s="28"/>
      <c r="FH842" s="28"/>
      <c r="FK842" s="28"/>
      <c r="FN842" s="28"/>
      <c r="FQ842" s="28"/>
      <c r="FT842" s="28"/>
      <c r="FW842" s="28"/>
      <c r="FZ842" s="28"/>
      <c r="GC842" s="28"/>
    </row>
    <row r="843" spans="1:185" s="25" customFormat="1" x14ac:dyDescent="0.3">
      <c r="A843" s="27"/>
      <c r="B843" s="28"/>
      <c r="C843" s="27"/>
      <c r="D843" s="26"/>
      <c r="E843" s="28"/>
      <c r="H843" s="28"/>
      <c r="K843" s="28"/>
      <c r="N843" s="28"/>
      <c r="Q843" s="28"/>
      <c r="T843" s="28"/>
      <c r="W843" s="28"/>
      <c r="Z843" s="28"/>
      <c r="AC843" s="28"/>
      <c r="AF843" s="28"/>
      <c r="AI843" s="28"/>
      <c r="AL843" s="28"/>
      <c r="AO843" s="28"/>
      <c r="AR843" s="28"/>
      <c r="AU843" s="28"/>
      <c r="AX843" s="28"/>
      <c r="BA843" s="28"/>
      <c r="BD843" s="28"/>
      <c r="BG843" s="28"/>
      <c r="BJ843" s="28"/>
      <c r="BM843" s="28"/>
      <c r="BP843" s="28"/>
      <c r="BS843" s="28"/>
      <c r="BV843" s="28"/>
      <c r="BY843" s="28"/>
      <c r="CB843" s="28"/>
      <c r="CE843" s="28"/>
      <c r="CH843" s="28"/>
      <c r="CK843" s="28"/>
      <c r="CN843" s="28"/>
      <c r="CQ843" s="28"/>
      <c r="CT843" s="28"/>
      <c r="CW843" s="28"/>
      <c r="CZ843" s="28"/>
      <c r="DC843" s="28"/>
      <c r="DF843" s="28"/>
      <c r="DI843" s="28"/>
      <c r="DL843" s="28"/>
      <c r="DO843" s="28"/>
      <c r="DR843" s="28"/>
      <c r="DU843" s="28"/>
      <c r="DX843" s="28"/>
      <c r="EA843" s="28"/>
      <c r="ED843" s="28"/>
      <c r="EG843" s="28"/>
      <c r="EJ843" s="28"/>
      <c r="EM843" s="28"/>
      <c r="EP843" s="28"/>
      <c r="ES843" s="28"/>
      <c r="EV843" s="28"/>
      <c r="EY843" s="28"/>
      <c r="FB843" s="28"/>
      <c r="FE843" s="28"/>
      <c r="FH843" s="28"/>
      <c r="FK843" s="28"/>
      <c r="FN843" s="28"/>
      <c r="FQ843" s="28"/>
      <c r="FT843" s="28"/>
      <c r="FW843" s="28"/>
      <c r="FZ843" s="28"/>
      <c r="GC843" s="28"/>
    </row>
    <row r="844" spans="1:185" s="25" customFormat="1" x14ac:dyDescent="0.3">
      <c r="A844" s="27"/>
      <c r="B844" s="28"/>
      <c r="C844" s="27"/>
      <c r="D844" s="26"/>
      <c r="E844" s="28"/>
      <c r="H844" s="28"/>
      <c r="K844" s="28"/>
      <c r="N844" s="28"/>
      <c r="Q844" s="28"/>
      <c r="T844" s="28"/>
      <c r="W844" s="28"/>
      <c r="Z844" s="28"/>
      <c r="AC844" s="28"/>
      <c r="AF844" s="28"/>
      <c r="AI844" s="28"/>
      <c r="AL844" s="28"/>
      <c r="AO844" s="28"/>
      <c r="AR844" s="28"/>
      <c r="AU844" s="28"/>
      <c r="AX844" s="28"/>
      <c r="BA844" s="28"/>
      <c r="BD844" s="28"/>
      <c r="BG844" s="28"/>
      <c r="BJ844" s="28"/>
      <c r="BM844" s="28"/>
      <c r="BP844" s="28"/>
      <c r="BS844" s="28"/>
      <c r="BV844" s="28"/>
      <c r="BY844" s="28"/>
      <c r="CB844" s="28"/>
      <c r="CE844" s="28"/>
      <c r="CH844" s="28"/>
      <c r="CK844" s="28"/>
      <c r="CN844" s="28"/>
      <c r="CQ844" s="28"/>
      <c r="CT844" s="28"/>
      <c r="CW844" s="28"/>
      <c r="CZ844" s="28"/>
      <c r="DC844" s="28"/>
      <c r="DF844" s="28"/>
      <c r="DI844" s="28"/>
      <c r="DL844" s="28"/>
      <c r="DO844" s="28"/>
      <c r="DR844" s="28"/>
      <c r="DU844" s="28"/>
      <c r="DX844" s="28"/>
      <c r="EA844" s="28"/>
      <c r="ED844" s="28"/>
      <c r="EG844" s="28"/>
      <c r="EJ844" s="28"/>
      <c r="EM844" s="28"/>
      <c r="EP844" s="28"/>
      <c r="ES844" s="28"/>
      <c r="EV844" s="28"/>
      <c r="EY844" s="28"/>
      <c r="FB844" s="28"/>
      <c r="FE844" s="28"/>
      <c r="FH844" s="28"/>
      <c r="FK844" s="28"/>
      <c r="FN844" s="28"/>
      <c r="FQ844" s="28"/>
      <c r="FT844" s="28"/>
      <c r="FW844" s="28"/>
      <c r="FZ844" s="28"/>
      <c r="GC844" s="28"/>
    </row>
    <row r="845" spans="1:185" s="25" customFormat="1" x14ac:dyDescent="0.3">
      <c r="A845" s="27"/>
      <c r="B845" s="28"/>
      <c r="C845" s="27"/>
      <c r="D845" s="26"/>
      <c r="E845" s="28"/>
      <c r="H845" s="28"/>
      <c r="K845" s="28"/>
      <c r="N845" s="28"/>
      <c r="Q845" s="28"/>
      <c r="T845" s="28"/>
      <c r="W845" s="28"/>
      <c r="Z845" s="28"/>
      <c r="AC845" s="28"/>
      <c r="AF845" s="28"/>
      <c r="AI845" s="28"/>
      <c r="AL845" s="28"/>
      <c r="AO845" s="28"/>
      <c r="AR845" s="28"/>
      <c r="AU845" s="28"/>
      <c r="AX845" s="28"/>
      <c r="BA845" s="28"/>
      <c r="BD845" s="28"/>
      <c r="BG845" s="28"/>
      <c r="BJ845" s="28"/>
      <c r="BM845" s="28"/>
      <c r="BP845" s="28"/>
      <c r="BS845" s="28"/>
      <c r="BV845" s="28"/>
      <c r="BY845" s="28"/>
      <c r="CB845" s="28"/>
      <c r="CE845" s="28"/>
      <c r="CH845" s="28"/>
      <c r="CK845" s="28"/>
      <c r="CN845" s="28"/>
      <c r="CQ845" s="28"/>
      <c r="CT845" s="28"/>
      <c r="CW845" s="28"/>
      <c r="CZ845" s="28"/>
      <c r="DC845" s="28"/>
      <c r="DF845" s="28"/>
      <c r="DI845" s="28"/>
      <c r="DL845" s="28"/>
      <c r="DO845" s="28"/>
      <c r="DR845" s="28"/>
      <c r="DU845" s="28"/>
      <c r="DX845" s="28"/>
      <c r="EA845" s="28"/>
      <c r="ED845" s="28"/>
      <c r="EG845" s="28"/>
      <c r="EJ845" s="28"/>
      <c r="EM845" s="28"/>
      <c r="EP845" s="28"/>
      <c r="ES845" s="28"/>
      <c r="EV845" s="28"/>
      <c r="EY845" s="28"/>
      <c r="FB845" s="28"/>
      <c r="FE845" s="28"/>
      <c r="FH845" s="28"/>
      <c r="FK845" s="28"/>
      <c r="FN845" s="28"/>
      <c r="FQ845" s="28"/>
      <c r="FT845" s="28"/>
      <c r="FW845" s="28"/>
      <c r="FZ845" s="28"/>
      <c r="GC845" s="28"/>
    </row>
    <row r="846" spans="1:185" s="25" customFormat="1" x14ac:dyDescent="0.3">
      <c r="A846" s="27"/>
      <c r="B846" s="28"/>
      <c r="C846" s="27"/>
      <c r="D846" s="26"/>
      <c r="E846" s="28"/>
      <c r="H846" s="28"/>
      <c r="K846" s="28"/>
      <c r="N846" s="28"/>
      <c r="Q846" s="28"/>
      <c r="T846" s="28"/>
      <c r="W846" s="28"/>
      <c r="Z846" s="28"/>
      <c r="AC846" s="28"/>
      <c r="AF846" s="28"/>
      <c r="AI846" s="28"/>
      <c r="AL846" s="28"/>
      <c r="AO846" s="28"/>
      <c r="AR846" s="28"/>
      <c r="AU846" s="28"/>
      <c r="AX846" s="28"/>
      <c r="BA846" s="28"/>
      <c r="BD846" s="28"/>
      <c r="BG846" s="28"/>
      <c r="BJ846" s="28"/>
      <c r="BM846" s="28"/>
      <c r="BP846" s="28"/>
      <c r="BS846" s="28"/>
      <c r="BV846" s="28"/>
      <c r="BY846" s="28"/>
      <c r="CB846" s="28"/>
      <c r="CE846" s="28"/>
      <c r="CH846" s="28"/>
      <c r="CK846" s="28"/>
      <c r="CN846" s="28"/>
      <c r="CQ846" s="28"/>
      <c r="CT846" s="28"/>
      <c r="CW846" s="28"/>
      <c r="CZ846" s="28"/>
      <c r="DC846" s="28"/>
      <c r="DF846" s="28"/>
      <c r="DI846" s="28"/>
      <c r="DL846" s="28"/>
      <c r="DO846" s="28"/>
      <c r="DR846" s="28"/>
      <c r="DU846" s="28"/>
      <c r="DX846" s="28"/>
      <c r="EA846" s="28"/>
      <c r="ED846" s="28"/>
      <c r="EG846" s="28"/>
      <c r="EJ846" s="28"/>
      <c r="EM846" s="28"/>
      <c r="EP846" s="28"/>
      <c r="ES846" s="28"/>
      <c r="EV846" s="28"/>
      <c r="EY846" s="28"/>
      <c r="FB846" s="28"/>
      <c r="FE846" s="28"/>
      <c r="FH846" s="28"/>
      <c r="FK846" s="28"/>
      <c r="FN846" s="28"/>
      <c r="FQ846" s="28"/>
      <c r="FT846" s="28"/>
      <c r="FW846" s="28"/>
      <c r="FZ846" s="28"/>
      <c r="GC846" s="28"/>
    </row>
    <row r="847" spans="1:185" s="25" customFormat="1" x14ac:dyDescent="0.3">
      <c r="A847" s="27"/>
      <c r="B847" s="28"/>
      <c r="C847" s="27"/>
      <c r="D847" s="26"/>
      <c r="E847" s="28"/>
      <c r="H847" s="28"/>
      <c r="K847" s="28"/>
      <c r="N847" s="28"/>
      <c r="Q847" s="28"/>
      <c r="T847" s="28"/>
      <c r="W847" s="28"/>
      <c r="Z847" s="28"/>
      <c r="AC847" s="28"/>
      <c r="AF847" s="28"/>
      <c r="AI847" s="28"/>
      <c r="AL847" s="28"/>
      <c r="AO847" s="28"/>
      <c r="AR847" s="28"/>
      <c r="AU847" s="28"/>
      <c r="AX847" s="28"/>
      <c r="BA847" s="28"/>
      <c r="BD847" s="28"/>
      <c r="BG847" s="28"/>
      <c r="BJ847" s="28"/>
      <c r="BM847" s="28"/>
      <c r="BP847" s="28"/>
      <c r="BS847" s="28"/>
      <c r="BV847" s="28"/>
      <c r="BY847" s="28"/>
      <c r="CB847" s="28"/>
      <c r="CE847" s="28"/>
      <c r="CH847" s="28"/>
      <c r="CK847" s="28"/>
      <c r="CN847" s="28"/>
      <c r="CQ847" s="28"/>
      <c r="CT847" s="28"/>
      <c r="CW847" s="28"/>
      <c r="CZ847" s="28"/>
      <c r="DC847" s="28"/>
      <c r="DF847" s="28"/>
      <c r="DI847" s="28"/>
      <c r="DL847" s="28"/>
      <c r="DO847" s="28"/>
      <c r="DR847" s="28"/>
      <c r="DU847" s="28"/>
      <c r="DX847" s="28"/>
      <c r="EA847" s="28"/>
      <c r="ED847" s="28"/>
      <c r="EG847" s="28"/>
      <c r="EJ847" s="28"/>
      <c r="EM847" s="28"/>
      <c r="EP847" s="28"/>
      <c r="ES847" s="28"/>
      <c r="EV847" s="28"/>
      <c r="EY847" s="28"/>
      <c r="FB847" s="28"/>
      <c r="FE847" s="28"/>
      <c r="FH847" s="28"/>
      <c r="FK847" s="28"/>
      <c r="FN847" s="28"/>
      <c r="FQ847" s="28"/>
      <c r="FT847" s="28"/>
      <c r="FW847" s="28"/>
      <c r="FZ847" s="28"/>
      <c r="GC847" s="28"/>
    </row>
    <row r="848" spans="1:185" s="25" customFormat="1" x14ac:dyDescent="0.3">
      <c r="A848" s="27"/>
      <c r="B848" s="28"/>
      <c r="C848" s="27"/>
      <c r="D848" s="26"/>
      <c r="E848" s="28"/>
      <c r="H848" s="28"/>
      <c r="K848" s="28"/>
      <c r="N848" s="28"/>
      <c r="Q848" s="28"/>
      <c r="T848" s="28"/>
      <c r="W848" s="28"/>
      <c r="Z848" s="28"/>
      <c r="AC848" s="28"/>
      <c r="AF848" s="28"/>
      <c r="AI848" s="28"/>
      <c r="AL848" s="28"/>
      <c r="AO848" s="28"/>
      <c r="AR848" s="28"/>
      <c r="AU848" s="28"/>
      <c r="AX848" s="28"/>
      <c r="BA848" s="28"/>
      <c r="BD848" s="28"/>
      <c r="BG848" s="28"/>
      <c r="BJ848" s="28"/>
      <c r="BM848" s="28"/>
      <c r="BP848" s="28"/>
      <c r="BS848" s="28"/>
      <c r="BV848" s="28"/>
      <c r="BY848" s="28"/>
      <c r="CB848" s="28"/>
      <c r="CE848" s="28"/>
      <c r="CH848" s="28"/>
      <c r="CK848" s="28"/>
      <c r="CN848" s="28"/>
      <c r="CQ848" s="28"/>
      <c r="CT848" s="28"/>
      <c r="CW848" s="28"/>
      <c r="CZ848" s="28"/>
      <c r="DC848" s="28"/>
      <c r="DF848" s="28"/>
      <c r="DI848" s="28"/>
      <c r="DL848" s="28"/>
      <c r="DO848" s="28"/>
      <c r="DR848" s="28"/>
      <c r="DU848" s="28"/>
      <c r="DX848" s="28"/>
      <c r="EA848" s="28"/>
      <c r="ED848" s="28"/>
      <c r="EG848" s="28"/>
      <c r="EJ848" s="28"/>
      <c r="EM848" s="28"/>
      <c r="EP848" s="28"/>
      <c r="ES848" s="28"/>
      <c r="EV848" s="28"/>
      <c r="EY848" s="28"/>
      <c r="FB848" s="28"/>
      <c r="FE848" s="28"/>
      <c r="FH848" s="28"/>
      <c r="FK848" s="28"/>
      <c r="FN848" s="28"/>
      <c r="FQ848" s="28"/>
      <c r="FT848" s="28"/>
      <c r="FW848" s="28"/>
      <c r="FZ848" s="28"/>
      <c r="GC848" s="28"/>
    </row>
    <row r="849" spans="1:185" s="25" customFormat="1" x14ac:dyDescent="0.3">
      <c r="A849" s="27"/>
      <c r="B849" s="28"/>
      <c r="C849" s="27"/>
      <c r="D849" s="26"/>
      <c r="E849" s="28"/>
      <c r="H849" s="28"/>
      <c r="K849" s="28"/>
      <c r="N849" s="28"/>
      <c r="Q849" s="28"/>
      <c r="T849" s="28"/>
      <c r="W849" s="28"/>
      <c r="Z849" s="28"/>
      <c r="AC849" s="28"/>
      <c r="AF849" s="28"/>
      <c r="AI849" s="28"/>
      <c r="AL849" s="28"/>
      <c r="AO849" s="28"/>
      <c r="AR849" s="28"/>
      <c r="AU849" s="28"/>
      <c r="AX849" s="28"/>
      <c r="BA849" s="28"/>
      <c r="BD849" s="28"/>
      <c r="BG849" s="28"/>
      <c r="BJ849" s="28"/>
      <c r="BM849" s="28"/>
      <c r="BP849" s="28"/>
      <c r="BS849" s="28"/>
      <c r="BV849" s="28"/>
      <c r="BY849" s="28"/>
      <c r="CB849" s="28"/>
      <c r="CE849" s="28"/>
      <c r="CH849" s="28"/>
      <c r="CK849" s="28"/>
      <c r="CN849" s="28"/>
      <c r="CQ849" s="28"/>
      <c r="CT849" s="28"/>
      <c r="CW849" s="28"/>
      <c r="CZ849" s="28"/>
      <c r="DC849" s="28"/>
      <c r="DF849" s="28"/>
      <c r="DI849" s="28"/>
      <c r="DL849" s="28"/>
      <c r="DO849" s="28"/>
      <c r="DR849" s="28"/>
      <c r="DU849" s="28"/>
      <c r="DX849" s="28"/>
      <c r="EA849" s="28"/>
      <c r="ED849" s="28"/>
      <c r="EG849" s="28"/>
      <c r="EJ849" s="28"/>
      <c r="EM849" s="28"/>
      <c r="EP849" s="28"/>
      <c r="ES849" s="28"/>
      <c r="EV849" s="28"/>
      <c r="EY849" s="28"/>
      <c r="FB849" s="28"/>
      <c r="FE849" s="28"/>
      <c r="FH849" s="28"/>
      <c r="FK849" s="28"/>
      <c r="FN849" s="28"/>
      <c r="FQ849" s="28"/>
      <c r="FT849" s="28"/>
      <c r="FW849" s="28"/>
      <c r="FZ849" s="28"/>
      <c r="GC849" s="28"/>
    </row>
    <row r="850" spans="1:185" s="25" customFormat="1" x14ac:dyDescent="0.3">
      <c r="A850" s="27"/>
      <c r="B850" s="28"/>
      <c r="C850" s="27"/>
      <c r="D850" s="26"/>
      <c r="E850" s="28"/>
      <c r="H850" s="28"/>
      <c r="K850" s="28"/>
      <c r="N850" s="28"/>
      <c r="Q850" s="28"/>
      <c r="T850" s="28"/>
      <c r="W850" s="28"/>
      <c r="Z850" s="28"/>
      <c r="AC850" s="28"/>
      <c r="AF850" s="28"/>
      <c r="AI850" s="28"/>
      <c r="AL850" s="28"/>
      <c r="AO850" s="28"/>
      <c r="AR850" s="28"/>
      <c r="AU850" s="28"/>
      <c r="AX850" s="28"/>
      <c r="BA850" s="28"/>
      <c r="BD850" s="28"/>
      <c r="BG850" s="28"/>
      <c r="BJ850" s="28"/>
      <c r="BM850" s="28"/>
      <c r="BP850" s="28"/>
      <c r="BS850" s="28"/>
      <c r="BV850" s="28"/>
      <c r="BY850" s="28"/>
      <c r="CB850" s="28"/>
      <c r="CE850" s="28"/>
      <c r="CH850" s="28"/>
      <c r="CK850" s="28"/>
      <c r="CN850" s="28"/>
      <c r="CQ850" s="28"/>
      <c r="CT850" s="28"/>
      <c r="CW850" s="28"/>
      <c r="CZ850" s="28"/>
      <c r="DC850" s="28"/>
      <c r="DF850" s="28"/>
      <c r="DI850" s="28"/>
      <c r="DL850" s="28"/>
      <c r="DO850" s="28"/>
      <c r="DR850" s="28"/>
      <c r="DU850" s="28"/>
      <c r="DX850" s="28"/>
      <c r="EA850" s="28"/>
      <c r="ED850" s="28"/>
      <c r="EG850" s="28"/>
      <c r="EJ850" s="28"/>
      <c r="EM850" s="28"/>
      <c r="EP850" s="28"/>
      <c r="ES850" s="28"/>
      <c r="EV850" s="28"/>
      <c r="EY850" s="28"/>
      <c r="FB850" s="28"/>
      <c r="FE850" s="28"/>
      <c r="FH850" s="28"/>
      <c r="FK850" s="28"/>
      <c r="FN850" s="28"/>
      <c r="FQ850" s="28"/>
      <c r="FT850" s="28"/>
      <c r="FW850" s="28"/>
      <c r="FZ850" s="28"/>
      <c r="GC850" s="28"/>
    </row>
    <row r="851" spans="1:185" s="25" customFormat="1" x14ac:dyDescent="0.3">
      <c r="A851" s="27"/>
      <c r="B851" s="28"/>
      <c r="C851" s="27"/>
      <c r="D851" s="26"/>
      <c r="E851" s="28"/>
      <c r="H851" s="28"/>
      <c r="K851" s="28"/>
      <c r="N851" s="28"/>
      <c r="Q851" s="28"/>
      <c r="T851" s="28"/>
      <c r="W851" s="28"/>
      <c r="Z851" s="28"/>
      <c r="AC851" s="28"/>
      <c r="AF851" s="28"/>
      <c r="AI851" s="28"/>
      <c r="AL851" s="28"/>
      <c r="AO851" s="28"/>
      <c r="AR851" s="28"/>
      <c r="AU851" s="28"/>
      <c r="AX851" s="28"/>
      <c r="BA851" s="28"/>
      <c r="BD851" s="28"/>
      <c r="BG851" s="28"/>
      <c r="BJ851" s="28"/>
      <c r="BM851" s="28"/>
      <c r="BP851" s="28"/>
      <c r="BS851" s="28"/>
      <c r="BV851" s="28"/>
      <c r="BY851" s="28"/>
      <c r="CB851" s="28"/>
      <c r="CE851" s="28"/>
      <c r="CH851" s="28"/>
      <c r="CK851" s="28"/>
      <c r="CN851" s="28"/>
      <c r="CQ851" s="28"/>
      <c r="CT851" s="28"/>
      <c r="CW851" s="28"/>
      <c r="CZ851" s="28"/>
      <c r="DC851" s="28"/>
      <c r="DF851" s="28"/>
      <c r="DI851" s="28"/>
      <c r="DL851" s="28"/>
      <c r="DO851" s="28"/>
      <c r="DR851" s="28"/>
      <c r="DU851" s="28"/>
      <c r="DX851" s="28"/>
      <c r="EA851" s="28"/>
      <c r="ED851" s="28"/>
      <c r="EG851" s="28"/>
      <c r="EJ851" s="28"/>
      <c r="EM851" s="28"/>
      <c r="EP851" s="28"/>
      <c r="ES851" s="28"/>
      <c r="EV851" s="28"/>
      <c r="EY851" s="28"/>
      <c r="FB851" s="28"/>
      <c r="FE851" s="28"/>
      <c r="FH851" s="28"/>
      <c r="FK851" s="28"/>
      <c r="FN851" s="28"/>
      <c r="FQ851" s="28"/>
      <c r="FT851" s="28"/>
      <c r="FW851" s="28"/>
      <c r="FZ851" s="28"/>
      <c r="GC851" s="28"/>
    </row>
    <row r="852" spans="1:185" s="25" customFormat="1" x14ac:dyDescent="0.3">
      <c r="A852" s="27"/>
      <c r="B852" s="28"/>
      <c r="C852" s="27"/>
      <c r="D852" s="26"/>
      <c r="E852" s="28"/>
      <c r="H852" s="28"/>
      <c r="K852" s="28"/>
      <c r="N852" s="28"/>
      <c r="Q852" s="28"/>
      <c r="T852" s="28"/>
      <c r="W852" s="28"/>
      <c r="Z852" s="28"/>
      <c r="AC852" s="28"/>
      <c r="AF852" s="28"/>
      <c r="AI852" s="28"/>
      <c r="AL852" s="28"/>
      <c r="AO852" s="28"/>
      <c r="AR852" s="28"/>
      <c r="AU852" s="28"/>
      <c r="AX852" s="28"/>
      <c r="BA852" s="28"/>
      <c r="BD852" s="28"/>
      <c r="BG852" s="28"/>
      <c r="BJ852" s="28"/>
      <c r="BM852" s="28"/>
      <c r="BP852" s="28"/>
      <c r="BS852" s="28"/>
      <c r="BV852" s="28"/>
      <c r="BY852" s="28"/>
      <c r="CB852" s="28"/>
      <c r="CE852" s="28"/>
      <c r="CH852" s="28"/>
      <c r="CK852" s="28"/>
      <c r="CN852" s="28"/>
      <c r="CQ852" s="28"/>
      <c r="CT852" s="28"/>
      <c r="CW852" s="28"/>
      <c r="CZ852" s="28"/>
      <c r="DC852" s="28"/>
      <c r="DF852" s="28"/>
      <c r="DI852" s="28"/>
      <c r="DL852" s="28"/>
      <c r="DO852" s="28"/>
      <c r="DR852" s="28"/>
      <c r="DU852" s="28"/>
      <c r="DX852" s="28"/>
      <c r="EA852" s="28"/>
      <c r="ED852" s="28"/>
      <c r="EG852" s="28"/>
      <c r="EJ852" s="28"/>
      <c r="EM852" s="28"/>
      <c r="EP852" s="28"/>
      <c r="ES852" s="28"/>
      <c r="EV852" s="28"/>
      <c r="EY852" s="28"/>
      <c r="FB852" s="28"/>
      <c r="FE852" s="28"/>
      <c r="FH852" s="28"/>
      <c r="FK852" s="28"/>
      <c r="FN852" s="28"/>
      <c r="FQ852" s="28"/>
      <c r="FT852" s="28"/>
      <c r="FW852" s="28"/>
      <c r="FZ852" s="28"/>
      <c r="GC852" s="28"/>
    </row>
    <row r="853" spans="1:185" s="25" customFormat="1" x14ac:dyDescent="0.3">
      <c r="A853" s="27"/>
      <c r="B853" s="28"/>
      <c r="C853" s="27"/>
      <c r="D853" s="26"/>
      <c r="E853" s="28"/>
      <c r="H853" s="28"/>
      <c r="K853" s="28"/>
      <c r="N853" s="28"/>
      <c r="Q853" s="28"/>
      <c r="T853" s="28"/>
      <c r="W853" s="28"/>
      <c r="Z853" s="28"/>
      <c r="AC853" s="28"/>
      <c r="AF853" s="28"/>
      <c r="AI853" s="28"/>
      <c r="AL853" s="28"/>
      <c r="AO853" s="28"/>
      <c r="AR853" s="28"/>
      <c r="AU853" s="28"/>
      <c r="AX853" s="28"/>
      <c r="BA853" s="28"/>
      <c r="BD853" s="28"/>
      <c r="BG853" s="28"/>
      <c r="BJ853" s="28"/>
      <c r="BM853" s="28"/>
      <c r="BP853" s="28"/>
      <c r="BS853" s="28"/>
      <c r="BV853" s="28"/>
      <c r="BY853" s="28"/>
      <c r="CB853" s="28"/>
      <c r="CE853" s="28"/>
      <c r="CH853" s="28"/>
      <c r="CK853" s="28"/>
      <c r="CN853" s="28"/>
      <c r="CQ853" s="28"/>
      <c r="CT853" s="28"/>
      <c r="CW853" s="28"/>
      <c r="CZ853" s="28"/>
      <c r="DC853" s="28"/>
      <c r="DF853" s="28"/>
      <c r="DI853" s="28"/>
      <c r="DL853" s="28"/>
      <c r="DO853" s="28"/>
      <c r="DR853" s="28"/>
      <c r="DU853" s="28"/>
      <c r="DX853" s="28"/>
      <c r="EA853" s="28"/>
      <c r="ED853" s="28"/>
      <c r="EG853" s="28"/>
      <c r="EJ853" s="28"/>
      <c r="EM853" s="28"/>
      <c r="EP853" s="28"/>
      <c r="ES853" s="28"/>
      <c r="EV853" s="28"/>
      <c r="EY853" s="28"/>
      <c r="FB853" s="28"/>
      <c r="FE853" s="28"/>
      <c r="FH853" s="28"/>
      <c r="FK853" s="28"/>
      <c r="FN853" s="28"/>
      <c r="FQ853" s="28"/>
      <c r="FT853" s="28"/>
      <c r="FW853" s="28"/>
      <c r="FZ853" s="28"/>
      <c r="GC853" s="28"/>
    </row>
    <row r="854" spans="1:185" s="25" customFormat="1" x14ac:dyDescent="0.3">
      <c r="A854" s="27"/>
      <c r="B854" s="28"/>
      <c r="C854" s="27"/>
      <c r="D854" s="26"/>
      <c r="E854" s="28"/>
      <c r="H854" s="28"/>
      <c r="K854" s="28"/>
      <c r="N854" s="28"/>
      <c r="Q854" s="28"/>
      <c r="T854" s="28"/>
      <c r="W854" s="28"/>
      <c r="Z854" s="28"/>
      <c r="AC854" s="28"/>
      <c r="AF854" s="28"/>
      <c r="AI854" s="28"/>
      <c r="AL854" s="28"/>
      <c r="AO854" s="28"/>
      <c r="AR854" s="28"/>
      <c r="AU854" s="28"/>
      <c r="AX854" s="28"/>
      <c r="BA854" s="28"/>
      <c r="BD854" s="28"/>
      <c r="BG854" s="28"/>
      <c r="BJ854" s="28"/>
      <c r="BM854" s="28"/>
      <c r="BP854" s="28"/>
      <c r="BS854" s="28"/>
      <c r="BV854" s="28"/>
      <c r="BY854" s="28"/>
      <c r="CB854" s="28"/>
      <c r="CE854" s="28"/>
      <c r="CH854" s="28"/>
      <c r="CK854" s="28"/>
      <c r="CN854" s="28"/>
      <c r="CQ854" s="28"/>
      <c r="CT854" s="28"/>
      <c r="CW854" s="28"/>
      <c r="CZ854" s="28"/>
      <c r="DC854" s="28"/>
      <c r="DF854" s="28"/>
      <c r="DI854" s="28"/>
      <c r="DL854" s="28"/>
      <c r="DO854" s="28"/>
      <c r="DR854" s="28"/>
      <c r="DU854" s="28"/>
      <c r="DX854" s="28"/>
      <c r="EA854" s="28"/>
      <c r="ED854" s="28"/>
      <c r="EG854" s="28"/>
      <c r="EJ854" s="28"/>
      <c r="EM854" s="28"/>
      <c r="EP854" s="28"/>
      <c r="ES854" s="28"/>
      <c r="EV854" s="28"/>
      <c r="EY854" s="28"/>
      <c r="FB854" s="28"/>
      <c r="FE854" s="28"/>
      <c r="FH854" s="28"/>
      <c r="FK854" s="28"/>
      <c r="FN854" s="28"/>
      <c r="FQ854" s="28"/>
      <c r="FT854" s="28"/>
      <c r="FW854" s="28"/>
      <c r="FZ854" s="28"/>
      <c r="GC854" s="28"/>
    </row>
    <row r="855" spans="1:185" s="25" customFormat="1" x14ac:dyDescent="0.3">
      <c r="A855" s="27"/>
      <c r="B855" s="28"/>
      <c r="C855" s="27"/>
      <c r="D855" s="26"/>
      <c r="E855" s="28"/>
      <c r="H855" s="28"/>
      <c r="K855" s="28"/>
      <c r="N855" s="28"/>
      <c r="Q855" s="28"/>
      <c r="T855" s="28"/>
      <c r="W855" s="28"/>
      <c r="Z855" s="28"/>
      <c r="AC855" s="28"/>
      <c r="AF855" s="28"/>
      <c r="AI855" s="28"/>
      <c r="AL855" s="28"/>
      <c r="AO855" s="28"/>
      <c r="AR855" s="28"/>
      <c r="AU855" s="28"/>
      <c r="AX855" s="28"/>
      <c r="BA855" s="28"/>
      <c r="BD855" s="28"/>
      <c r="BG855" s="28"/>
      <c r="BJ855" s="28"/>
      <c r="BM855" s="28"/>
      <c r="BP855" s="28"/>
      <c r="BS855" s="28"/>
      <c r="BV855" s="28"/>
      <c r="BY855" s="28"/>
      <c r="CB855" s="28"/>
      <c r="CE855" s="28"/>
      <c r="CH855" s="28"/>
      <c r="CK855" s="28"/>
      <c r="CN855" s="28"/>
      <c r="CQ855" s="28"/>
      <c r="CT855" s="28"/>
      <c r="CW855" s="28"/>
      <c r="CZ855" s="28"/>
      <c r="DC855" s="28"/>
      <c r="DF855" s="28"/>
      <c r="DI855" s="28"/>
      <c r="DL855" s="28"/>
      <c r="DO855" s="28"/>
      <c r="DR855" s="28"/>
      <c r="DU855" s="28"/>
      <c r="DX855" s="28"/>
      <c r="EA855" s="28"/>
      <c r="ED855" s="28"/>
      <c r="EG855" s="28"/>
      <c r="EJ855" s="28"/>
      <c r="EM855" s="28"/>
      <c r="EP855" s="28"/>
      <c r="ES855" s="28"/>
      <c r="EV855" s="28"/>
      <c r="EY855" s="28"/>
      <c r="FB855" s="28"/>
      <c r="FE855" s="28"/>
      <c r="FH855" s="28"/>
      <c r="FK855" s="28"/>
      <c r="FN855" s="28"/>
      <c r="FQ855" s="28"/>
      <c r="FT855" s="28"/>
      <c r="FW855" s="28"/>
      <c r="FZ855" s="28"/>
      <c r="GC855" s="28"/>
    </row>
    <row r="856" spans="1:185" s="25" customFormat="1" x14ac:dyDescent="0.3">
      <c r="A856" s="27"/>
      <c r="B856" s="28"/>
      <c r="C856" s="27"/>
      <c r="D856" s="26"/>
      <c r="E856" s="28"/>
      <c r="H856" s="28"/>
      <c r="K856" s="28"/>
      <c r="N856" s="28"/>
      <c r="Q856" s="28"/>
      <c r="T856" s="28"/>
      <c r="W856" s="28"/>
      <c r="Z856" s="28"/>
      <c r="AC856" s="28"/>
      <c r="AF856" s="28"/>
      <c r="AI856" s="28"/>
      <c r="AL856" s="28"/>
      <c r="AO856" s="28"/>
      <c r="AR856" s="28"/>
      <c r="AU856" s="28"/>
      <c r="AX856" s="28"/>
      <c r="BA856" s="28"/>
      <c r="BD856" s="28"/>
      <c r="BG856" s="28"/>
      <c r="BJ856" s="28"/>
      <c r="BM856" s="28"/>
      <c r="BP856" s="28"/>
      <c r="BS856" s="28"/>
      <c r="BV856" s="28"/>
      <c r="BY856" s="28"/>
      <c r="CB856" s="28"/>
      <c r="CE856" s="28"/>
      <c r="CH856" s="28"/>
      <c r="CK856" s="28"/>
      <c r="CN856" s="28"/>
      <c r="CQ856" s="28"/>
      <c r="CT856" s="28"/>
      <c r="CW856" s="28"/>
      <c r="CZ856" s="28"/>
      <c r="DC856" s="28"/>
      <c r="DF856" s="28"/>
      <c r="DI856" s="28"/>
      <c r="DL856" s="28"/>
      <c r="DO856" s="28"/>
      <c r="DR856" s="28"/>
      <c r="DU856" s="28"/>
      <c r="DX856" s="28"/>
      <c r="EA856" s="28"/>
      <c r="ED856" s="28"/>
      <c r="EG856" s="28"/>
      <c r="EJ856" s="28"/>
      <c r="EM856" s="28"/>
      <c r="EP856" s="28"/>
      <c r="ES856" s="28"/>
      <c r="EV856" s="28"/>
      <c r="EY856" s="28"/>
      <c r="FB856" s="28"/>
      <c r="FE856" s="28"/>
      <c r="FH856" s="28"/>
      <c r="FK856" s="28"/>
      <c r="FN856" s="28"/>
      <c r="FQ856" s="28"/>
      <c r="FT856" s="28"/>
      <c r="FW856" s="28"/>
      <c r="FZ856" s="28"/>
      <c r="GC856" s="28"/>
    </row>
    <row r="857" spans="1:185" s="25" customFormat="1" x14ac:dyDescent="0.3">
      <c r="A857" s="27"/>
      <c r="B857" s="28"/>
      <c r="C857" s="27"/>
      <c r="D857" s="26"/>
      <c r="E857" s="28"/>
      <c r="H857" s="28"/>
      <c r="K857" s="28"/>
      <c r="N857" s="28"/>
      <c r="Q857" s="28"/>
      <c r="T857" s="28"/>
      <c r="W857" s="28"/>
      <c r="Z857" s="28"/>
      <c r="AC857" s="28"/>
      <c r="AF857" s="28"/>
      <c r="AI857" s="28"/>
      <c r="AL857" s="28"/>
      <c r="AO857" s="28"/>
      <c r="AR857" s="28"/>
      <c r="AU857" s="28"/>
      <c r="AX857" s="28"/>
      <c r="BA857" s="28"/>
      <c r="BD857" s="28"/>
      <c r="BG857" s="28"/>
      <c r="BJ857" s="28"/>
      <c r="BM857" s="28"/>
      <c r="BP857" s="28"/>
      <c r="BS857" s="28"/>
      <c r="BV857" s="28"/>
      <c r="BY857" s="28"/>
      <c r="CB857" s="28"/>
      <c r="CE857" s="28"/>
      <c r="CH857" s="28"/>
      <c r="CK857" s="28"/>
      <c r="CN857" s="28"/>
      <c r="CQ857" s="28"/>
      <c r="CT857" s="28"/>
      <c r="CW857" s="28"/>
      <c r="CZ857" s="28"/>
      <c r="DC857" s="28"/>
      <c r="DF857" s="28"/>
      <c r="DI857" s="28"/>
      <c r="DL857" s="28"/>
      <c r="DO857" s="28"/>
      <c r="DR857" s="28"/>
      <c r="DU857" s="28"/>
      <c r="DX857" s="28"/>
      <c r="EA857" s="28"/>
      <c r="ED857" s="28"/>
      <c r="EG857" s="28"/>
      <c r="EJ857" s="28"/>
      <c r="EM857" s="28"/>
      <c r="EP857" s="28"/>
      <c r="ES857" s="28"/>
      <c r="EV857" s="28"/>
      <c r="EY857" s="28"/>
      <c r="FB857" s="28"/>
      <c r="FE857" s="28"/>
      <c r="FH857" s="28"/>
      <c r="FK857" s="28"/>
      <c r="FN857" s="28"/>
      <c r="FQ857" s="28"/>
      <c r="FT857" s="28"/>
      <c r="FW857" s="28"/>
      <c r="FZ857" s="28"/>
      <c r="GC857" s="28"/>
    </row>
    <row r="858" spans="1:185" s="25" customFormat="1" x14ac:dyDescent="0.3">
      <c r="A858" s="27"/>
      <c r="B858" s="28"/>
      <c r="C858" s="27"/>
      <c r="D858" s="26"/>
      <c r="E858" s="28"/>
      <c r="H858" s="28"/>
      <c r="K858" s="28"/>
      <c r="N858" s="28"/>
      <c r="Q858" s="28"/>
      <c r="T858" s="28"/>
      <c r="W858" s="28"/>
      <c r="Z858" s="28"/>
      <c r="AC858" s="28"/>
      <c r="AF858" s="28"/>
      <c r="AI858" s="28"/>
      <c r="AL858" s="28"/>
      <c r="AO858" s="28"/>
      <c r="AR858" s="28"/>
      <c r="AU858" s="28"/>
      <c r="AX858" s="28"/>
      <c r="BA858" s="28"/>
      <c r="BD858" s="28"/>
      <c r="BG858" s="28"/>
      <c r="BJ858" s="28"/>
      <c r="BM858" s="28"/>
      <c r="BP858" s="28"/>
      <c r="BS858" s="28"/>
      <c r="BV858" s="28"/>
      <c r="BY858" s="28"/>
      <c r="CB858" s="28"/>
      <c r="CE858" s="28"/>
      <c r="CH858" s="28"/>
      <c r="CK858" s="28"/>
      <c r="CN858" s="28"/>
      <c r="CQ858" s="28"/>
      <c r="CT858" s="28"/>
      <c r="CW858" s="28"/>
      <c r="CZ858" s="28"/>
      <c r="DC858" s="28"/>
      <c r="DF858" s="28"/>
      <c r="DI858" s="28"/>
      <c r="DL858" s="28"/>
      <c r="DO858" s="28"/>
      <c r="DR858" s="28"/>
      <c r="DU858" s="28"/>
      <c r="DX858" s="28"/>
      <c r="EA858" s="28"/>
      <c r="ED858" s="28"/>
      <c r="EG858" s="28"/>
      <c r="EJ858" s="28"/>
      <c r="EM858" s="28"/>
      <c r="EP858" s="28"/>
      <c r="ES858" s="28"/>
      <c r="EV858" s="28"/>
      <c r="EY858" s="28"/>
      <c r="FB858" s="28"/>
      <c r="FE858" s="28"/>
      <c r="FH858" s="28"/>
      <c r="FK858" s="28"/>
      <c r="FN858" s="28"/>
      <c r="FQ858" s="28"/>
      <c r="FT858" s="28"/>
      <c r="FW858" s="28"/>
      <c r="FZ858" s="28"/>
      <c r="GC858" s="28"/>
    </row>
    <row r="859" spans="1:185" s="25" customFormat="1" x14ac:dyDescent="0.3">
      <c r="A859" s="27"/>
      <c r="B859" s="28"/>
      <c r="C859" s="27"/>
      <c r="D859" s="26"/>
      <c r="E859" s="28"/>
      <c r="H859" s="28"/>
      <c r="K859" s="28"/>
      <c r="N859" s="28"/>
      <c r="Q859" s="28"/>
      <c r="T859" s="28"/>
      <c r="W859" s="28"/>
      <c r="Z859" s="28"/>
      <c r="AC859" s="28"/>
      <c r="AF859" s="28"/>
      <c r="AI859" s="28"/>
      <c r="AL859" s="28"/>
      <c r="AO859" s="28"/>
      <c r="AR859" s="28"/>
      <c r="AU859" s="28"/>
      <c r="AX859" s="28"/>
      <c r="BA859" s="28"/>
      <c r="BD859" s="28"/>
      <c r="BG859" s="28"/>
      <c r="BJ859" s="28"/>
      <c r="BM859" s="28"/>
      <c r="BP859" s="28"/>
      <c r="BS859" s="28"/>
      <c r="BV859" s="28"/>
      <c r="BY859" s="28"/>
      <c r="CB859" s="28"/>
      <c r="CE859" s="28"/>
      <c r="CH859" s="28"/>
      <c r="CK859" s="28"/>
      <c r="CN859" s="28"/>
      <c r="CQ859" s="28"/>
      <c r="CT859" s="28"/>
      <c r="CW859" s="28"/>
      <c r="CZ859" s="28"/>
      <c r="DC859" s="28"/>
      <c r="DF859" s="28"/>
      <c r="DI859" s="28"/>
      <c r="DL859" s="28"/>
      <c r="DO859" s="28"/>
      <c r="DR859" s="28"/>
      <c r="DU859" s="28"/>
      <c r="DX859" s="28"/>
      <c r="EA859" s="28"/>
      <c r="ED859" s="28"/>
      <c r="EG859" s="28"/>
      <c r="EJ859" s="28"/>
      <c r="EM859" s="28"/>
      <c r="EP859" s="28"/>
      <c r="ES859" s="28"/>
      <c r="EV859" s="28"/>
      <c r="EY859" s="28"/>
      <c r="FB859" s="28"/>
      <c r="FE859" s="28"/>
      <c r="FH859" s="28"/>
      <c r="FK859" s="28"/>
      <c r="FN859" s="28"/>
      <c r="FQ859" s="28"/>
      <c r="FT859" s="28"/>
      <c r="FW859" s="28"/>
      <c r="FZ859" s="28"/>
      <c r="GC859" s="28"/>
    </row>
    <row r="860" spans="1:185" s="25" customFormat="1" x14ac:dyDescent="0.3">
      <c r="A860" s="27"/>
      <c r="B860" s="28"/>
      <c r="C860" s="27"/>
      <c r="D860" s="26"/>
      <c r="E860" s="28"/>
      <c r="H860" s="28"/>
      <c r="K860" s="28"/>
      <c r="N860" s="28"/>
      <c r="Q860" s="28"/>
      <c r="T860" s="28"/>
      <c r="W860" s="28"/>
      <c r="Z860" s="28"/>
      <c r="AC860" s="28"/>
      <c r="AF860" s="28"/>
      <c r="AI860" s="28"/>
      <c r="AL860" s="28"/>
      <c r="AO860" s="28"/>
      <c r="AR860" s="28"/>
      <c r="AU860" s="28"/>
      <c r="AX860" s="28"/>
      <c r="BA860" s="28"/>
      <c r="BD860" s="28"/>
      <c r="BG860" s="28"/>
      <c r="BJ860" s="28"/>
      <c r="BM860" s="28"/>
      <c r="BP860" s="28"/>
      <c r="BS860" s="28"/>
      <c r="BV860" s="28"/>
      <c r="BY860" s="28"/>
      <c r="CB860" s="28"/>
      <c r="CE860" s="28"/>
      <c r="CH860" s="28"/>
      <c r="CK860" s="28"/>
      <c r="CN860" s="28"/>
      <c r="CQ860" s="28"/>
      <c r="CT860" s="28"/>
      <c r="CW860" s="28"/>
      <c r="CZ860" s="28"/>
      <c r="DC860" s="28"/>
      <c r="DF860" s="28"/>
      <c r="DI860" s="28"/>
      <c r="DL860" s="28"/>
      <c r="DO860" s="28"/>
      <c r="DR860" s="28"/>
      <c r="DU860" s="28"/>
      <c r="DX860" s="28"/>
      <c r="EA860" s="28"/>
      <c r="ED860" s="28"/>
      <c r="EG860" s="28"/>
      <c r="EJ860" s="28"/>
      <c r="EM860" s="28"/>
      <c r="EP860" s="28"/>
      <c r="ES860" s="28"/>
      <c r="EV860" s="28"/>
      <c r="EY860" s="28"/>
      <c r="FB860" s="28"/>
      <c r="FE860" s="28"/>
      <c r="FH860" s="28"/>
      <c r="FK860" s="28"/>
      <c r="FN860" s="28"/>
      <c r="FQ860" s="28"/>
      <c r="FT860" s="28"/>
      <c r="FW860" s="28"/>
      <c r="FZ860" s="28"/>
      <c r="GC860" s="28"/>
    </row>
    <row r="861" spans="1:185" s="25" customFormat="1" x14ac:dyDescent="0.3">
      <c r="A861" s="27"/>
      <c r="B861" s="28"/>
      <c r="C861" s="27"/>
      <c r="D861" s="26"/>
      <c r="E861" s="28"/>
      <c r="H861" s="28"/>
      <c r="K861" s="28"/>
      <c r="N861" s="28"/>
      <c r="Q861" s="28"/>
      <c r="T861" s="28"/>
      <c r="W861" s="28"/>
      <c r="Z861" s="28"/>
      <c r="AC861" s="28"/>
      <c r="AF861" s="28"/>
      <c r="AI861" s="28"/>
      <c r="AL861" s="28"/>
      <c r="AO861" s="28"/>
      <c r="AR861" s="28"/>
      <c r="AU861" s="28"/>
      <c r="AX861" s="28"/>
      <c r="BA861" s="28"/>
      <c r="BD861" s="28"/>
      <c r="BG861" s="28"/>
      <c r="BJ861" s="28"/>
      <c r="BM861" s="28"/>
      <c r="BP861" s="28"/>
      <c r="BS861" s="28"/>
      <c r="BV861" s="28"/>
      <c r="BY861" s="28"/>
      <c r="CB861" s="28"/>
      <c r="CE861" s="28"/>
      <c r="CH861" s="28"/>
      <c r="CK861" s="28"/>
      <c r="CN861" s="28"/>
      <c r="CQ861" s="28"/>
      <c r="CT861" s="28"/>
      <c r="CW861" s="28"/>
      <c r="CZ861" s="28"/>
      <c r="DC861" s="28"/>
      <c r="DF861" s="28"/>
      <c r="DI861" s="28"/>
      <c r="DL861" s="28"/>
      <c r="DO861" s="28"/>
      <c r="DR861" s="28"/>
      <c r="DU861" s="28"/>
      <c r="DX861" s="28"/>
      <c r="EA861" s="28"/>
      <c r="ED861" s="28"/>
      <c r="EG861" s="28"/>
      <c r="EJ861" s="28"/>
      <c r="EM861" s="28"/>
      <c r="EP861" s="28"/>
      <c r="ES861" s="28"/>
      <c r="EV861" s="28"/>
      <c r="EY861" s="28"/>
      <c r="FB861" s="28"/>
      <c r="FE861" s="28"/>
      <c r="FH861" s="28"/>
      <c r="FK861" s="28"/>
      <c r="FN861" s="28"/>
      <c r="FQ861" s="28"/>
      <c r="FT861" s="28"/>
      <c r="FW861" s="28"/>
      <c r="FZ861" s="28"/>
      <c r="GC861" s="28"/>
    </row>
    <row r="862" spans="1:185" s="25" customFormat="1" x14ac:dyDescent="0.3">
      <c r="A862" s="27"/>
      <c r="B862" s="28"/>
      <c r="C862" s="27"/>
      <c r="D862" s="26"/>
      <c r="E862" s="28"/>
      <c r="H862" s="28"/>
      <c r="K862" s="28"/>
      <c r="N862" s="28"/>
      <c r="Q862" s="28"/>
      <c r="T862" s="28"/>
      <c r="W862" s="28"/>
      <c r="Z862" s="28"/>
      <c r="AC862" s="28"/>
      <c r="AF862" s="28"/>
      <c r="AI862" s="28"/>
      <c r="AL862" s="28"/>
      <c r="AO862" s="28"/>
      <c r="AR862" s="28"/>
      <c r="AU862" s="28"/>
      <c r="AX862" s="28"/>
      <c r="BA862" s="28"/>
      <c r="BD862" s="28"/>
      <c r="BG862" s="28"/>
      <c r="BJ862" s="28"/>
      <c r="BM862" s="28"/>
      <c r="BP862" s="28"/>
      <c r="BS862" s="28"/>
      <c r="BV862" s="28"/>
      <c r="BY862" s="28"/>
      <c r="CB862" s="28"/>
      <c r="CE862" s="28"/>
      <c r="CH862" s="28"/>
      <c r="CK862" s="28"/>
      <c r="CN862" s="28"/>
      <c r="CQ862" s="28"/>
      <c r="CT862" s="28"/>
      <c r="CW862" s="28"/>
      <c r="CZ862" s="28"/>
      <c r="DC862" s="28"/>
      <c r="DF862" s="28"/>
      <c r="DI862" s="28"/>
      <c r="DL862" s="28"/>
      <c r="DO862" s="28"/>
      <c r="DR862" s="28"/>
      <c r="DU862" s="28"/>
      <c r="DX862" s="28"/>
      <c r="EA862" s="28"/>
      <c r="ED862" s="28"/>
      <c r="EG862" s="28"/>
      <c r="EJ862" s="28"/>
      <c r="EM862" s="28"/>
      <c r="EP862" s="28"/>
      <c r="ES862" s="28"/>
      <c r="EV862" s="28"/>
      <c r="EY862" s="28"/>
      <c r="FB862" s="28"/>
      <c r="FE862" s="28"/>
      <c r="FH862" s="28"/>
      <c r="FK862" s="28"/>
      <c r="FN862" s="28"/>
      <c r="FQ862" s="28"/>
      <c r="FT862" s="28"/>
      <c r="FW862" s="28"/>
      <c r="FZ862" s="28"/>
      <c r="GC862" s="28"/>
    </row>
    <row r="863" spans="1:185" s="25" customFormat="1" x14ac:dyDescent="0.3">
      <c r="A863" s="27"/>
      <c r="B863" s="28"/>
      <c r="C863" s="27"/>
      <c r="D863" s="26"/>
      <c r="E863" s="28"/>
      <c r="H863" s="28"/>
      <c r="K863" s="28"/>
      <c r="N863" s="28"/>
      <c r="Q863" s="28"/>
      <c r="T863" s="28"/>
      <c r="W863" s="28"/>
      <c r="Z863" s="28"/>
      <c r="AC863" s="28"/>
      <c r="AF863" s="28"/>
      <c r="AI863" s="28"/>
      <c r="AL863" s="28"/>
      <c r="AO863" s="28"/>
      <c r="AR863" s="28"/>
      <c r="AU863" s="28"/>
      <c r="AX863" s="28"/>
      <c r="BA863" s="28"/>
      <c r="BD863" s="28"/>
      <c r="BG863" s="28"/>
      <c r="BJ863" s="28"/>
      <c r="BM863" s="28"/>
      <c r="BP863" s="28"/>
      <c r="BS863" s="28"/>
      <c r="BV863" s="28"/>
      <c r="BY863" s="28"/>
      <c r="CB863" s="28"/>
      <c r="CE863" s="28"/>
      <c r="CH863" s="28"/>
      <c r="CK863" s="28"/>
      <c r="CN863" s="28"/>
      <c r="CQ863" s="28"/>
      <c r="CT863" s="28"/>
      <c r="CW863" s="28"/>
      <c r="CZ863" s="28"/>
      <c r="DC863" s="28"/>
      <c r="DF863" s="28"/>
      <c r="DI863" s="28"/>
      <c r="DL863" s="28"/>
      <c r="DO863" s="28"/>
      <c r="DR863" s="28"/>
      <c r="DU863" s="28"/>
      <c r="DX863" s="28"/>
      <c r="EA863" s="28"/>
      <c r="ED863" s="28"/>
      <c r="EG863" s="28"/>
      <c r="EJ863" s="28"/>
      <c r="EM863" s="28"/>
      <c r="EP863" s="28"/>
      <c r="ES863" s="28"/>
      <c r="EV863" s="28"/>
      <c r="EY863" s="28"/>
      <c r="FB863" s="28"/>
      <c r="FE863" s="28"/>
      <c r="FH863" s="28"/>
      <c r="FK863" s="28"/>
      <c r="FN863" s="28"/>
      <c r="FQ863" s="28"/>
      <c r="FT863" s="28"/>
      <c r="FW863" s="28"/>
      <c r="FZ863" s="28"/>
      <c r="GC863" s="28"/>
    </row>
    <row r="864" spans="1:185" s="25" customFormat="1" x14ac:dyDescent="0.3">
      <c r="A864" s="27"/>
      <c r="B864" s="28"/>
      <c r="C864" s="27"/>
      <c r="D864" s="26"/>
      <c r="E864" s="28"/>
      <c r="H864" s="28"/>
      <c r="K864" s="28"/>
      <c r="N864" s="28"/>
      <c r="Q864" s="28"/>
      <c r="T864" s="28"/>
      <c r="W864" s="28"/>
      <c r="Z864" s="28"/>
      <c r="AC864" s="28"/>
      <c r="AF864" s="28"/>
      <c r="AI864" s="28"/>
      <c r="AL864" s="28"/>
      <c r="AO864" s="28"/>
      <c r="AR864" s="28"/>
      <c r="AU864" s="28"/>
      <c r="AX864" s="28"/>
      <c r="BA864" s="28"/>
      <c r="BD864" s="28"/>
      <c r="BG864" s="28"/>
      <c r="BJ864" s="28"/>
      <c r="BM864" s="28"/>
      <c r="BP864" s="28"/>
      <c r="BS864" s="28"/>
      <c r="BV864" s="28"/>
      <c r="BY864" s="28"/>
      <c r="CB864" s="28"/>
      <c r="CE864" s="28"/>
      <c r="CH864" s="28"/>
      <c r="CK864" s="28"/>
      <c r="CN864" s="28"/>
      <c r="CQ864" s="28"/>
      <c r="CT864" s="28"/>
      <c r="CW864" s="28"/>
      <c r="CZ864" s="28"/>
      <c r="DC864" s="28"/>
      <c r="DF864" s="28"/>
      <c r="DI864" s="28"/>
      <c r="DL864" s="28"/>
      <c r="DO864" s="28"/>
      <c r="DR864" s="28"/>
      <c r="DU864" s="28"/>
      <c r="DX864" s="28"/>
      <c r="EA864" s="28"/>
      <c r="ED864" s="28"/>
      <c r="EG864" s="28"/>
      <c r="EJ864" s="28"/>
      <c r="EM864" s="28"/>
      <c r="EP864" s="28"/>
      <c r="ES864" s="28"/>
      <c r="EV864" s="28"/>
      <c r="EY864" s="28"/>
      <c r="FB864" s="28"/>
      <c r="FE864" s="28"/>
      <c r="FH864" s="28"/>
      <c r="FK864" s="28"/>
      <c r="FN864" s="28"/>
      <c r="FQ864" s="28"/>
      <c r="FT864" s="28"/>
      <c r="FW864" s="28"/>
      <c r="FZ864" s="28"/>
      <c r="GC864" s="28"/>
    </row>
    <row r="865" spans="1:185" s="25" customFormat="1" x14ac:dyDescent="0.3">
      <c r="A865" s="27"/>
      <c r="B865" s="28"/>
      <c r="C865" s="27"/>
      <c r="D865" s="26"/>
      <c r="E865" s="28"/>
      <c r="H865" s="28"/>
      <c r="K865" s="28"/>
      <c r="N865" s="28"/>
      <c r="Q865" s="28"/>
      <c r="T865" s="28"/>
      <c r="W865" s="28"/>
      <c r="Z865" s="28"/>
      <c r="AC865" s="28"/>
      <c r="AF865" s="28"/>
      <c r="AI865" s="28"/>
      <c r="AL865" s="28"/>
      <c r="AO865" s="28"/>
      <c r="AR865" s="28"/>
      <c r="AU865" s="28"/>
      <c r="AX865" s="28"/>
      <c r="BA865" s="28"/>
      <c r="BD865" s="28"/>
      <c r="BG865" s="28"/>
      <c r="BJ865" s="28"/>
      <c r="BM865" s="28"/>
      <c r="BP865" s="28"/>
      <c r="BS865" s="28"/>
      <c r="BV865" s="28"/>
      <c r="BY865" s="28"/>
      <c r="CB865" s="28"/>
      <c r="CE865" s="28"/>
      <c r="CH865" s="28"/>
      <c r="CK865" s="28"/>
      <c r="CN865" s="28"/>
      <c r="CQ865" s="28"/>
      <c r="CT865" s="28"/>
      <c r="CW865" s="28"/>
      <c r="CZ865" s="28"/>
      <c r="DC865" s="28"/>
      <c r="DF865" s="28"/>
      <c r="DI865" s="28"/>
      <c r="DL865" s="28"/>
      <c r="DO865" s="28"/>
      <c r="DR865" s="28"/>
      <c r="DU865" s="28"/>
      <c r="DX865" s="28"/>
      <c r="EA865" s="28"/>
      <c r="ED865" s="28"/>
      <c r="EG865" s="28"/>
      <c r="EJ865" s="28"/>
      <c r="EM865" s="28"/>
      <c r="EP865" s="28"/>
      <c r="ES865" s="28"/>
      <c r="EV865" s="28"/>
      <c r="EY865" s="28"/>
      <c r="FB865" s="28"/>
      <c r="FE865" s="28"/>
      <c r="FH865" s="28"/>
      <c r="FK865" s="28"/>
      <c r="FN865" s="28"/>
      <c r="FQ865" s="28"/>
      <c r="FT865" s="28"/>
      <c r="FW865" s="28"/>
      <c r="FZ865" s="28"/>
      <c r="GC865" s="28"/>
    </row>
    <row r="866" spans="1:185" s="25" customFormat="1" x14ac:dyDescent="0.3">
      <c r="A866" s="27"/>
      <c r="B866" s="28"/>
      <c r="C866" s="27"/>
      <c r="D866" s="26"/>
      <c r="E866" s="28"/>
      <c r="H866" s="28"/>
      <c r="K866" s="28"/>
      <c r="N866" s="28"/>
      <c r="Q866" s="28"/>
      <c r="T866" s="28"/>
      <c r="W866" s="28"/>
      <c r="Z866" s="28"/>
      <c r="AC866" s="28"/>
      <c r="AF866" s="28"/>
      <c r="AI866" s="28"/>
      <c r="AL866" s="28"/>
      <c r="AO866" s="28"/>
      <c r="AR866" s="28"/>
      <c r="AU866" s="28"/>
      <c r="AX866" s="28"/>
      <c r="BA866" s="28"/>
      <c r="BD866" s="28"/>
      <c r="BG866" s="28"/>
      <c r="BJ866" s="28"/>
      <c r="BM866" s="28"/>
      <c r="BP866" s="28"/>
      <c r="BS866" s="28"/>
      <c r="BV866" s="28"/>
      <c r="BY866" s="28"/>
      <c r="CB866" s="28"/>
      <c r="CE866" s="28"/>
      <c r="CH866" s="28"/>
      <c r="CK866" s="28"/>
      <c r="CN866" s="28"/>
      <c r="CQ866" s="28"/>
      <c r="CT866" s="28"/>
      <c r="CW866" s="28"/>
      <c r="CZ866" s="28"/>
      <c r="DC866" s="28"/>
      <c r="DF866" s="28"/>
      <c r="DI866" s="28"/>
      <c r="DL866" s="28"/>
      <c r="DO866" s="28"/>
      <c r="DR866" s="28"/>
      <c r="DU866" s="28"/>
      <c r="DX866" s="28"/>
      <c r="EA866" s="28"/>
      <c r="ED866" s="28"/>
      <c r="EG866" s="28"/>
      <c r="EJ866" s="28"/>
      <c r="EM866" s="28"/>
      <c r="EP866" s="28"/>
      <c r="ES866" s="28"/>
      <c r="EV866" s="28"/>
      <c r="EY866" s="28"/>
      <c r="FB866" s="28"/>
      <c r="FE866" s="28"/>
      <c r="FH866" s="28"/>
      <c r="FK866" s="28"/>
      <c r="FN866" s="28"/>
      <c r="FQ866" s="28"/>
      <c r="FT866" s="28"/>
      <c r="FW866" s="28"/>
      <c r="FZ866" s="28"/>
      <c r="GC866" s="28"/>
    </row>
    <row r="867" spans="1:185" s="25" customFormat="1" x14ac:dyDescent="0.3">
      <c r="A867" s="27"/>
      <c r="B867" s="28"/>
      <c r="C867" s="27"/>
      <c r="D867" s="26"/>
      <c r="E867" s="28"/>
      <c r="H867" s="28"/>
      <c r="K867" s="28"/>
      <c r="N867" s="28"/>
      <c r="Q867" s="28"/>
      <c r="T867" s="28"/>
      <c r="W867" s="28"/>
      <c r="Z867" s="28"/>
      <c r="AC867" s="28"/>
      <c r="AF867" s="28"/>
      <c r="AI867" s="28"/>
      <c r="AL867" s="28"/>
      <c r="AO867" s="28"/>
      <c r="AR867" s="28"/>
      <c r="AU867" s="28"/>
      <c r="AX867" s="28"/>
      <c r="BA867" s="28"/>
      <c r="BD867" s="28"/>
      <c r="BG867" s="28"/>
      <c r="BJ867" s="28"/>
      <c r="BM867" s="28"/>
      <c r="BP867" s="28"/>
      <c r="BS867" s="28"/>
      <c r="BV867" s="28"/>
      <c r="BY867" s="28"/>
      <c r="CB867" s="28"/>
      <c r="CE867" s="28"/>
      <c r="CH867" s="28"/>
      <c r="CK867" s="28"/>
      <c r="CN867" s="28"/>
      <c r="CQ867" s="28"/>
      <c r="CT867" s="28"/>
      <c r="CW867" s="28"/>
      <c r="CZ867" s="28"/>
      <c r="DC867" s="28"/>
      <c r="DF867" s="28"/>
      <c r="DI867" s="28"/>
      <c r="DL867" s="28"/>
      <c r="DO867" s="28"/>
      <c r="DR867" s="28"/>
      <c r="DU867" s="28"/>
      <c r="DX867" s="28"/>
      <c r="EA867" s="28"/>
      <c r="ED867" s="28"/>
      <c r="EG867" s="28"/>
      <c r="EJ867" s="28"/>
      <c r="EM867" s="28"/>
      <c r="EP867" s="28"/>
      <c r="ES867" s="28"/>
      <c r="EV867" s="28"/>
      <c r="EY867" s="28"/>
      <c r="FB867" s="28"/>
      <c r="FE867" s="28"/>
      <c r="FH867" s="28"/>
      <c r="FK867" s="28"/>
      <c r="FN867" s="28"/>
      <c r="FQ867" s="28"/>
      <c r="FT867" s="28"/>
      <c r="FW867" s="28"/>
      <c r="FZ867" s="28"/>
      <c r="GC867" s="28"/>
    </row>
    <row r="868" spans="1:185" s="25" customFormat="1" x14ac:dyDescent="0.3">
      <c r="A868" s="27"/>
      <c r="B868" s="28"/>
      <c r="C868" s="27"/>
      <c r="D868" s="26"/>
      <c r="E868" s="28"/>
      <c r="H868" s="28"/>
      <c r="K868" s="28"/>
      <c r="N868" s="28"/>
      <c r="Q868" s="28"/>
      <c r="T868" s="28"/>
      <c r="W868" s="28"/>
      <c r="Z868" s="28"/>
      <c r="AC868" s="28"/>
      <c r="AF868" s="28"/>
      <c r="AI868" s="28"/>
      <c r="AL868" s="28"/>
      <c r="AO868" s="28"/>
      <c r="AR868" s="28"/>
      <c r="AU868" s="28"/>
      <c r="AX868" s="28"/>
      <c r="BA868" s="28"/>
      <c r="BD868" s="28"/>
      <c r="BG868" s="28"/>
      <c r="BJ868" s="28"/>
      <c r="BM868" s="28"/>
      <c r="BP868" s="28"/>
      <c r="BS868" s="28"/>
      <c r="BV868" s="28"/>
      <c r="BY868" s="28"/>
      <c r="CB868" s="28"/>
      <c r="CE868" s="28"/>
      <c r="CH868" s="28"/>
      <c r="CK868" s="28"/>
      <c r="CN868" s="28"/>
      <c r="CQ868" s="28"/>
      <c r="CT868" s="28"/>
      <c r="CW868" s="28"/>
      <c r="CZ868" s="28"/>
      <c r="DC868" s="28"/>
      <c r="DF868" s="28"/>
      <c r="DI868" s="28"/>
      <c r="DL868" s="28"/>
      <c r="DO868" s="28"/>
      <c r="DR868" s="28"/>
      <c r="DU868" s="28"/>
      <c r="DX868" s="28"/>
      <c r="EA868" s="28"/>
      <c r="ED868" s="28"/>
      <c r="EG868" s="28"/>
      <c r="EJ868" s="28"/>
      <c r="EM868" s="28"/>
      <c r="EP868" s="28"/>
      <c r="ES868" s="28"/>
      <c r="EV868" s="28"/>
      <c r="EY868" s="28"/>
      <c r="FB868" s="28"/>
      <c r="FE868" s="28"/>
      <c r="FH868" s="28"/>
      <c r="FK868" s="28"/>
      <c r="FN868" s="28"/>
      <c r="FQ868" s="28"/>
      <c r="FT868" s="28"/>
      <c r="FW868" s="28"/>
      <c r="FZ868" s="28"/>
      <c r="GC868" s="28"/>
    </row>
    <row r="869" spans="1:185" s="25" customFormat="1" x14ac:dyDescent="0.3">
      <c r="A869" s="27"/>
      <c r="B869" s="28"/>
      <c r="C869" s="27"/>
      <c r="D869" s="26"/>
      <c r="E869" s="28"/>
      <c r="H869" s="28"/>
      <c r="K869" s="28"/>
      <c r="N869" s="28"/>
      <c r="Q869" s="28"/>
      <c r="T869" s="28"/>
      <c r="W869" s="28"/>
      <c r="Z869" s="28"/>
      <c r="AC869" s="28"/>
      <c r="AF869" s="28"/>
      <c r="AI869" s="28"/>
      <c r="AL869" s="28"/>
      <c r="AO869" s="28"/>
      <c r="AR869" s="28"/>
      <c r="AU869" s="28"/>
      <c r="AX869" s="28"/>
      <c r="BA869" s="28"/>
      <c r="BD869" s="28"/>
      <c r="BG869" s="28"/>
      <c r="BJ869" s="28"/>
      <c r="BM869" s="28"/>
      <c r="BP869" s="28"/>
      <c r="BS869" s="28"/>
      <c r="BV869" s="28"/>
      <c r="BY869" s="28"/>
      <c r="CB869" s="28"/>
      <c r="CE869" s="28"/>
      <c r="CH869" s="28"/>
      <c r="CK869" s="28"/>
      <c r="CN869" s="28"/>
      <c r="CQ869" s="28"/>
      <c r="CT869" s="28"/>
      <c r="CW869" s="28"/>
      <c r="CZ869" s="28"/>
      <c r="DC869" s="28"/>
      <c r="DF869" s="28"/>
      <c r="DI869" s="28"/>
      <c r="DL869" s="28"/>
      <c r="DO869" s="28"/>
      <c r="DR869" s="28"/>
      <c r="DU869" s="28"/>
      <c r="DX869" s="28"/>
      <c r="EA869" s="28"/>
      <c r="ED869" s="28"/>
      <c r="EG869" s="28"/>
      <c r="EJ869" s="28"/>
      <c r="EM869" s="28"/>
      <c r="EP869" s="28"/>
      <c r="ES869" s="28"/>
      <c r="EV869" s="28"/>
      <c r="EY869" s="28"/>
      <c r="FB869" s="28"/>
      <c r="FE869" s="28"/>
      <c r="FH869" s="28"/>
      <c r="FK869" s="28"/>
      <c r="FN869" s="28"/>
      <c r="FQ869" s="28"/>
      <c r="FT869" s="28"/>
      <c r="FW869" s="28"/>
      <c r="FZ869" s="28"/>
      <c r="GC869" s="28"/>
    </row>
    <row r="870" spans="1:185" s="25" customFormat="1" x14ac:dyDescent="0.3">
      <c r="A870" s="27"/>
      <c r="B870" s="28"/>
      <c r="C870" s="27"/>
      <c r="D870" s="26"/>
      <c r="E870" s="28"/>
      <c r="H870" s="28"/>
      <c r="K870" s="28"/>
      <c r="N870" s="28"/>
      <c r="Q870" s="28"/>
      <c r="T870" s="28"/>
      <c r="W870" s="28"/>
      <c r="Z870" s="28"/>
      <c r="AC870" s="28"/>
      <c r="AF870" s="28"/>
      <c r="AI870" s="28"/>
      <c r="AL870" s="28"/>
      <c r="AO870" s="28"/>
      <c r="AR870" s="28"/>
      <c r="AU870" s="28"/>
      <c r="AX870" s="28"/>
      <c r="BA870" s="28"/>
      <c r="BD870" s="28"/>
      <c r="BG870" s="28"/>
      <c r="BJ870" s="28"/>
      <c r="BM870" s="28"/>
      <c r="BP870" s="28"/>
      <c r="BS870" s="28"/>
      <c r="BV870" s="28"/>
      <c r="BY870" s="28"/>
      <c r="CB870" s="28"/>
      <c r="CE870" s="28"/>
      <c r="CH870" s="28"/>
      <c r="CK870" s="28"/>
      <c r="CN870" s="28"/>
      <c r="CQ870" s="28"/>
      <c r="CT870" s="28"/>
      <c r="CW870" s="28"/>
      <c r="CZ870" s="28"/>
      <c r="DC870" s="28"/>
      <c r="DF870" s="28"/>
      <c r="DI870" s="28"/>
      <c r="DL870" s="28"/>
      <c r="DO870" s="28"/>
      <c r="DR870" s="28"/>
      <c r="DU870" s="28"/>
      <c r="DX870" s="28"/>
      <c r="EA870" s="28"/>
      <c r="ED870" s="28"/>
      <c r="EG870" s="28"/>
      <c r="EJ870" s="28"/>
      <c r="EM870" s="28"/>
      <c r="EP870" s="28"/>
      <c r="ES870" s="28"/>
      <c r="EV870" s="28"/>
      <c r="EY870" s="28"/>
      <c r="FB870" s="28"/>
      <c r="FE870" s="28"/>
      <c r="FH870" s="28"/>
      <c r="FK870" s="28"/>
      <c r="FN870" s="28"/>
      <c r="FQ870" s="28"/>
      <c r="FT870" s="28"/>
      <c r="FW870" s="28"/>
      <c r="FZ870" s="28"/>
      <c r="GC870" s="28"/>
    </row>
    <row r="871" spans="1:185" s="25" customFormat="1" x14ac:dyDescent="0.3">
      <c r="A871" s="27"/>
      <c r="B871" s="28"/>
      <c r="C871" s="27"/>
      <c r="D871" s="26"/>
      <c r="E871" s="28"/>
      <c r="H871" s="28"/>
      <c r="K871" s="28"/>
      <c r="N871" s="28"/>
      <c r="Q871" s="28"/>
      <c r="T871" s="28"/>
      <c r="W871" s="28"/>
      <c r="Z871" s="28"/>
      <c r="AC871" s="28"/>
      <c r="AF871" s="28"/>
      <c r="AI871" s="28"/>
      <c r="AL871" s="28"/>
      <c r="AO871" s="28"/>
      <c r="AR871" s="28"/>
      <c r="AU871" s="28"/>
      <c r="AX871" s="28"/>
      <c r="BA871" s="28"/>
      <c r="BD871" s="28"/>
      <c r="BG871" s="28"/>
      <c r="BJ871" s="28"/>
      <c r="BM871" s="28"/>
      <c r="BP871" s="28"/>
      <c r="BS871" s="28"/>
      <c r="BV871" s="28"/>
      <c r="BY871" s="28"/>
      <c r="CB871" s="28"/>
      <c r="CE871" s="28"/>
      <c r="CH871" s="28"/>
      <c r="CK871" s="28"/>
      <c r="CN871" s="28"/>
      <c r="CQ871" s="28"/>
      <c r="CT871" s="28"/>
      <c r="CW871" s="28"/>
      <c r="CZ871" s="28"/>
      <c r="DC871" s="28"/>
      <c r="DF871" s="28"/>
      <c r="DI871" s="28"/>
      <c r="DL871" s="28"/>
      <c r="DO871" s="28"/>
      <c r="DR871" s="28"/>
      <c r="DU871" s="28"/>
      <c r="DX871" s="28"/>
      <c r="EA871" s="28"/>
      <c r="ED871" s="28"/>
      <c r="EG871" s="28"/>
      <c r="EJ871" s="28"/>
      <c r="EM871" s="28"/>
      <c r="EP871" s="28"/>
      <c r="ES871" s="28"/>
      <c r="EV871" s="28"/>
      <c r="EY871" s="28"/>
      <c r="FB871" s="28"/>
      <c r="FE871" s="28"/>
      <c r="FH871" s="28"/>
      <c r="FK871" s="28"/>
      <c r="FN871" s="28"/>
      <c r="FQ871" s="28"/>
      <c r="FT871" s="28"/>
      <c r="FW871" s="28"/>
      <c r="FZ871" s="28"/>
      <c r="GC871" s="28"/>
    </row>
    <row r="872" spans="1:185" s="25" customFormat="1" x14ac:dyDescent="0.3">
      <c r="A872" s="27"/>
      <c r="B872" s="28"/>
      <c r="C872" s="27"/>
      <c r="D872" s="26"/>
      <c r="E872" s="28"/>
      <c r="H872" s="28"/>
      <c r="K872" s="28"/>
      <c r="N872" s="28"/>
      <c r="Q872" s="28"/>
      <c r="T872" s="28"/>
      <c r="W872" s="28"/>
      <c r="Z872" s="28"/>
      <c r="AC872" s="28"/>
      <c r="AF872" s="28"/>
      <c r="AI872" s="28"/>
      <c r="AL872" s="28"/>
      <c r="AO872" s="28"/>
      <c r="AR872" s="28"/>
      <c r="AU872" s="28"/>
      <c r="AX872" s="28"/>
      <c r="BA872" s="28"/>
      <c r="BD872" s="28"/>
      <c r="BG872" s="28"/>
      <c r="BJ872" s="28"/>
      <c r="BM872" s="28"/>
      <c r="BP872" s="28"/>
      <c r="BS872" s="28"/>
      <c r="BV872" s="28"/>
      <c r="BY872" s="28"/>
      <c r="CB872" s="28"/>
      <c r="CE872" s="28"/>
      <c r="CH872" s="28"/>
      <c r="CK872" s="28"/>
      <c r="CN872" s="28"/>
      <c r="CQ872" s="28"/>
      <c r="CT872" s="28"/>
      <c r="CW872" s="28"/>
      <c r="CZ872" s="28"/>
      <c r="DC872" s="28"/>
      <c r="DF872" s="28"/>
      <c r="DI872" s="28"/>
      <c r="DL872" s="28"/>
      <c r="DO872" s="28"/>
      <c r="DR872" s="28"/>
      <c r="DU872" s="28"/>
      <c r="DX872" s="28"/>
      <c r="EA872" s="28"/>
      <c r="ED872" s="28"/>
      <c r="EG872" s="28"/>
      <c r="EJ872" s="28"/>
      <c r="EM872" s="28"/>
      <c r="EP872" s="28"/>
      <c r="ES872" s="28"/>
      <c r="EV872" s="28"/>
      <c r="EY872" s="28"/>
      <c r="FB872" s="28"/>
      <c r="FE872" s="28"/>
      <c r="FH872" s="28"/>
      <c r="FK872" s="28"/>
      <c r="FN872" s="28"/>
      <c r="FQ872" s="28"/>
      <c r="FT872" s="28"/>
      <c r="FW872" s="28"/>
      <c r="FZ872" s="28"/>
      <c r="GC872" s="28"/>
    </row>
    <row r="873" spans="1:185" s="25" customFormat="1" x14ac:dyDescent="0.3">
      <c r="A873" s="27"/>
      <c r="B873" s="28"/>
      <c r="C873" s="27"/>
      <c r="D873" s="26"/>
      <c r="E873" s="28"/>
      <c r="H873" s="28"/>
      <c r="K873" s="28"/>
      <c r="N873" s="28"/>
      <c r="Q873" s="28"/>
      <c r="T873" s="28"/>
      <c r="W873" s="28"/>
      <c r="Z873" s="28"/>
      <c r="AC873" s="28"/>
      <c r="AF873" s="28"/>
      <c r="AI873" s="28"/>
      <c r="AL873" s="28"/>
      <c r="AO873" s="28"/>
      <c r="AR873" s="28"/>
      <c r="AU873" s="28"/>
      <c r="AX873" s="28"/>
      <c r="BA873" s="28"/>
      <c r="BD873" s="28"/>
      <c r="BG873" s="28"/>
      <c r="BJ873" s="28"/>
      <c r="BM873" s="28"/>
      <c r="BP873" s="28"/>
      <c r="BS873" s="28"/>
      <c r="BV873" s="28"/>
      <c r="BY873" s="28"/>
      <c r="CB873" s="28"/>
      <c r="CE873" s="28"/>
      <c r="CH873" s="28"/>
      <c r="CK873" s="28"/>
      <c r="CN873" s="28"/>
      <c r="CQ873" s="28"/>
      <c r="CT873" s="28"/>
      <c r="CW873" s="28"/>
      <c r="CZ873" s="28"/>
      <c r="DC873" s="28"/>
      <c r="DF873" s="28"/>
      <c r="DI873" s="28"/>
      <c r="DL873" s="28"/>
      <c r="DO873" s="28"/>
      <c r="DR873" s="28"/>
      <c r="DU873" s="28"/>
      <c r="DX873" s="28"/>
      <c r="EA873" s="28"/>
      <c r="ED873" s="28"/>
      <c r="EG873" s="28"/>
      <c r="EJ873" s="28"/>
      <c r="EM873" s="28"/>
      <c r="EP873" s="28"/>
      <c r="ES873" s="28"/>
      <c r="EV873" s="28"/>
      <c r="EY873" s="28"/>
      <c r="FB873" s="28"/>
      <c r="FE873" s="28"/>
      <c r="FH873" s="28"/>
      <c r="FK873" s="28"/>
      <c r="FN873" s="28"/>
      <c r="FQ873" s="28"/>
      <c r="FT873" s="28"/>
      <c r="FW873" s="28"/>
      <c r="FZ873" s="28"/>
      <c r="GC873" s="28"/>
    </row>
    <row r="874" spans="1:185" s="25" customFormat="1" x14ac:dyDescent="0.3">
      <c r="A874" s="27"/>
      <c r="B874" s="28"/>
      <c r="C874" s="27"/>
      <c r="D874" s="26"/>
      <c r="E874" s="28"/>
      <c r="H874" s="28"/>
      <c r="K874" s="28"/>
      <c r="N874" s="28"/>
      <c r="Q874" s="28"/>
      <c r="T874" s="28"/>
      <c r="W874" s="28"/>
      <c r="Z874" s="28"/>
      <c r="AC874" s="28"/>
      <c r="AF874" s="28"/>
      <c r="AI874" s="28"/>
      <c r="AL874" s="28"/>
      <c r="AO874" s="28"/>
      <c r="AR874" s="28"/>
      <c r="AU874" s="28"/>
      <c r="AX874" s="28"/>
      <c r="BA874" s="28"/>
      <c r="BD874" s="28"/>
      <c r="BG874" s="28"/>
      <c r="BJ874" s="28"/>
      <c r="BM874" s="28"/>
      <c r="BP874" s="28"/>
      <c r="BS874" s="28"/>
      <c r="BV874" s="28"/>
      <c r="BY874" s="28"/>
      <c r="CB874" s="28"/>
      <c r="CE874" s="28"/>
      <c r="CH874" s="28"/>
      <c r="CK874" s="28"/>
      <c r="CN874" s="28"/>
      <c r="CQ874" s="28"/>
      <c r="CT874" s="28"/>
      <c r="CW874" s="28"/>
      <c r="CZ874" s="28"/>
      <c r="DC874" s="28"/>
      <c r="DF874" s="28"/>
      <c r="DI874" s="28"/>
      <c r="DL874" s="28"/>
      <c r="DO874" s="28"/>
      <c r="DR874" s="28"/>
      <c r="DU874" s="28"/>
      <c r="DX874" s="28"/>
      <c r="EA874" s="28"/>
      <c r="ED874" s="28"/>
      <c r="EG874" s="28"/>
      <c r="EJ874" s="28"/>
      <c r="EM874" s="28"/>
      <c r="EP874" s="28"/>
      <c r="ES874" s="28"/>
      <c r="EV874" s="28"/>
      <c r="EY874" s="28"/>
      <c r="FB874" s="28"/>
      <c r="FE874" s="28"/>
      <c r="FH874" s="28"/>
      <c r="FK874" s="28"/>
      <c r="FN874" s="28"/>
      <c r="FQ874" s="28"/>
      <c r="FT874" s="28"/>
      <c r="FW874" s="28"/>
      <c r="FZ874" s="28"/>
      <c r="GC874" s="28"/>
    </row>
    <row r="875" spans="1:185" s="25" customFormat="1" x14ac:dyDescent="0.3">
      <c r="A875" s="27"/>
      <c r="B875" s="28"/>
      <c r="C875" s="27"/>
      <c r="D875" s="26"/>
      <c r="E875" s="28"/>
      <c r="H875" s="28"/>
      <c r="K875" s="28"/>
      <c r="N875" s="28"/>
      <c r="Q875" s="28"/>
      <c r="T875" s="28"/>
      <c r="W875" s="28"/>
      <c r="Z875" s="28"/>
      <c r="AC875" s="28"/>
      <c r="AF875" s="28"/>
      <c r="AI875" s="28"/>
      <c r="AL875" s="28"/>
      <c r="AO875" s="28"/>
      <c r="AR875" s="28"/>
      <c r="AU875" s="28"/>
      <c r="AX875" s="28"/>
      <c r="BA875" s="28"/>
      <c r="BD875" s="28"/>
      <c r="BG875" s="28"/>
      <c r="BJ875" s="28"/>
      <c r="BM875" s="28"/>
      <c r="BP875" s="28"/>
      <c r="BS875" s="28"/>
      <c r="BV875" s="28"/>
      <c r="BY875" s="28"/>
      <c r="CB875" s="28"/>
      <c r="CE875" s="28"/>
      <c r="CH875" s="28"/>
      <c r="CK875" s="28"/>
      <c r="CN875" s="28"/>
      <c r="CQ875" s="28"/>
      <c r="CT875" s="28"/>
      <c r="CW875" s="28"/>
      <c r="CZ875" s="28"/>
      <c r="DC875" s="28"/>
      <c r="DF875" s="28"/>
      <c r="DI875" s="28"/>
      <c r="DL875" s="28"/>
      <c r="DO875" s="28"/>
      <c r="DR875" s="28"/>
      <c r="DU875" s="28"/>
      <c r="DX875" s="28"/>
      <c r="EA875" s="28"/>
      <c r="ED875" s="28"/>
      <c r="EG875" s="28"/>
      <c r="EJ875" s="28"/>
      <c r="EM875" s="28"/>
      <c r="EP875" s="28"/>
      <c r="ES875" s="28"/>
      <c r="EV875" s="28"/>
      <c r="EY875" s="28"/>
      <c r="FB875" s="28"/>
      <c r="FE875" s="28"/>
      <c r="FH875" s="28"/>
      <c r="FK875" s="28"/>
      <c r="FN875" s="28"/>
      <c r="FQ875" s="28"/>
      <c r="FT875" s="28"/>
      <c r="FW875" s="28"/>
      <c r="FZ875" s="28"/>
      <c r="GC875" s="28"/>
    </row>
    <row r="876" spans="1:185" s="25" customFormat="1" x14ac:dyDescent="0.3">
      <c r="A876" s="27"/>
      <c r="B876" s="28"/>
      <c r="C876" s="27"/>
      <c r="D876" s="26"/>
      <c r="E876" s="28"/>
      <c r="H876" s="28"/>
      <c r="K876" s="28"/>
      <c r="N876" s="28"/>
      <c r="Q876" s="28"/>
      <c r="T876" s="28"/>
      <c r="W876" s="28"/>
      <c r="Z876" s="28"/>
      <c r="AC876" s="28"/>
      <c r="AF876" s="28"/>
      <c r="AI876" s="28"/>
      <c r="AL876" s="28"/>
      <c r="AO876" s="28"/>
      <c r="AR876" s="28"/>
      <c r="AU876" s="28"/>
      <c r="AX876" s="28"/>
      <c r="BA876" s="28"/>
      <c r="BD876" s="28"/>
      <c r="BG876" s="28"/>
      <c r="BJ876" s="28"/>
      <c r="BM876" s="28"/>
      <c r="BP876" s="28"/>
      <c r="BS876" s="28"/>
      <c r="BV876" s="28"/>
      <c r="BY876" s="28"/>
      <c r="CB876" s="28"/>
      <c r="CE876" s="28"/>
      <c r="CH876" s="28"/>
      <c r="CK876" s="28"/>
      <c r="CN876" s="28"/>
      <c r="CQ876" s="28"/>
      <c r="CT876" s="28"/>
      <c r="CW876" s="28"/>
      <c r="CZ876" s="28"/>
      <c r="DC876" s="28"/>
      <c r="DF876" s="28"/>
      <c r="DI876" s="28"/>
      <c r="DL876" s="28"/>
      <c r="DO876" s="28"/>
      <c r="DR876" s="28"/>
      <c r="DU876" s="28"/>
      <c r="DX876" s="28"/>
      <c r="EA876" s="28"/>
      <c r="ED876" s="28"/>
      <c r="EG876" s="28"/>
      <c r="EJ876" s="28"/>
      <c r="EM876" s="28"/>
      <c r="EP876" s="28"/>
      <c r="ES876" s="28"/>
      <c r="EV876" s="28"/>
      <c r="EY876" s="28"/>
      <c r="FB876" s="28"/>
      <c r="FE876" s="28"/>
      <c r="FH876" s="28"/>
      <c r="FK876" s="28"/>
      <c r="FN876" s="28"/>
      <c r="FQ876" s="28"/>
      <c r="FT876" s="28"/>
      <c r="FW876" s="28"/>
      <c r="FZ876" s="28"/>
      <c r="GC876" s="28"/>
    </row>
    <row r="877" spans="1:185" s="25" customFormat="1" x14ac:dyDescent="0.3">
      <c r="A877" s="27"/>
      <c r="B877" s="28"/>
      <c r="C877" s="27"/>
      <c r="D877" s="26"/>
      <c r="E877" s="28"/>
      <c r="H877" s="28"/>
      <c r="K877" s="28"/>
      <c r="N877" s="28"/>
      <c r="Q877" s="28"/>
      <c r="T877" s="28"/>
      <c r="W877" s="28"/>
      <c r="Z877" s="28"/>
      <c r="AC877" s="28"/>
      <c r="AF877" s="28"/>
      <c r="AI877" s="28"/>
      <c r="AL877" s="28"/>
      <c r="AO877" s="28"/>
      <c r="AR877" s="28"/>
      <c r="AU877" s="28"/>
      <c r="AX877" s="28"/>
      <c r="BA877" s="28"/>
      <c r="BD877" s="28"/>
      <c r="BG877" s="28"/>
      <c r="BJ877" s="28"/>
      <c r="BM877" s="28"/>
      <c r="BP877" s="28"/>
      <c r="BS877" s="28"/>
      <c r="BV877" s="28"/>
      <c r="BY877" s="28"/>
      <c r="CB877" s="28"/>
      <c r="CE877" s="28"/>
      <c r="CH877" s="28"/>
      <c r="CK877" s="28"/>
      <c r="CN877" s="28"/>
      <c r="CQ877" s="28"/>
      <c r="CT877" s="28"/>
      <c r="CW877" s="28"/>
      <c r="CZ877" s="28"/>
      <c r="DC877" s="28"/>
      <c r="DF877" s="28"/>
      <c r="DI877" s="28"/>
      <c r="DL877" s="28"/>
      <c r="DO877" s="28"/>
      <c r="DR877" s="28"/>
      <c r="DU877" s="28"/>
      <c r="DX877" s="28"/>
      <c r="EA877" s="28"/>
      <c r="ED877" s="28"/>
      <c r="EG877" s="28"/>
      <c r="EJ877" s="28"/>
      <c r="EM877" s="28"/>
      <c r="EP877" s="28"/>
      <c r="ES877" s="28"/>
      <c r="EV877" s="28"/>
      <c r="EY877" s="28"/>
      <c r="FB877" s="28"/>
      <c r="FE877" s="28"/>
      <c r="FH877" s="28"/>
      <c r="FK877" s="28"/>
      <c r="FN877" s="28"/>
      <c r="FQ877" s="28"/>
      <c r="FT877" s="28"/>
      <c r="FW877" s="28"/>
      <c r="FZ877" s="28"/>
      <c r="GC877" s="28"/>
    </row>
    <row r="878" spans="1:185" s="25" customFormat="1" x14ac:dyDescent="0.3">
      <c r="A878" s="27"/>
      <c r="B878" s="28"/>
      <c r="C878" s="27"/>
      <c r="D878" s="26"/>
      <c r="E878" s="28"/>
      <c r="H878" s="28"/>
      <c r="K878" s="28"/>
      <c r="N878" s="28"/>
      <c r="Q878" s="28"/>
      <c r="T878" s="28"/>
      <c r="W878" s="28"/>
      <c r="Z878" s="28"/>
      <c r="AC878" s="28"/>
      <c r="AF878" s="28"/>
      <c r="AI878" s="28"/>
      <c r="AL878" s="28"/>
      <c r="AO878" s="28"/>
      <c r="AR878" s="28"/>
      <c r="AU878" s="28"/>
      <c r="AX878" s="28"/>
      <c r="BA878" s="28"/>
      <c r="BD878" s="28"/>
      <c r="BG878" s="28"/>
      <c r="BJ878" s="28"/>
      <c r="BM878" s="28"/>
      <c r="BP878" s="28"/>
      <c r="BS878" s="28"/>
      <c r="BV878" s="28"/>
      <c r="BY878" s="28"/>
      <c r="CB878" s="28"/>
      <c r="CE878" s="28"/>
      <c r="CH878" s="28"/>
      <c r="CK878" s="28"/>
      <c r="CN878" s="28"/>
      <c r="CQ878" s="28"/>
      <c r="CT878" s="28"/>
      <c r="CW878" s="28"/>
      <c r="CZ878" s="28"/>
      <c r="DC878" s="28"/>
      <c r="DF878" s="28"/>
      <c r="DI878" s="28"/>
      <c r="DL878" s="28"/>
      <c r="DO878" s="28"/>
      <c r="DR878" s="28"/>
      <c r="DU878" s="28"/>
      <c r="DX878" s="28"/>
      <c r="EA878" s="28"/>
      <c r="ED878" s="28"/>
      <c r="EG878" s="28"/>
      <c r="EJ878" s="28"/>
      <c r="EM878" s="28"/>
      <c r="EP878" s="28"/>
      <c r="ES878" s="28"/>
      <c r="EV878" s="28"/>
      <c r="EY878" s="28"/>
      <c r="FB878" s="28"/>
      <c r="FE878" s="28"/>
      <c r="FH878" s="28"/>
      <c r="FK878" s="28"/>
      <c r="FN878" s="28"/>
      <c r="FQ878" s="28"/>
      <c r="FT878" s="28"/>
      <c r="FW878" s="28"/>
      <c r="FZ878" s="28"/>
      <c r="GC878" s="28"/>
    </row>
    <row r="879" spans="1:185" s="25" customFormat="1" x14ac:dyDescent="0.3">
      <c r="A879" s="27"/>
      <c r="B879" s="28"/>
      <c r="C879" s="27"/>
      <c r="D879" s="26"/>
      <c r="E879" s="28"/>
      <c r="H879" s="28"/>
      <c r="K879" s="28"/>
      <c r="N879" s="28"/>
      <c r="Q879" s="28"/>
      <c r="T879" s="28"/>
      <c r="W879" s="28"/>
      <c r="Z879" s="28"/>
      <c r="AC879" s="28"/>
      <c r="AF879" s="28"/>
      <c r="AI879" s="28"/>
      <c r="AL879" s="28"/>
      <c r="AO879" s="28"/>
      <c r="AR879" s="28"/>
      <c r="AU879" s="28"/>
      <c r="AX879" s="28"/>
      <c r="BA879" s="28"/>
      <c r="BD879" s="28"/>
      <c r="BG879" s="28"/>
      <c r="BJ879" s="28"/>
      <c r="BM879" s="28"/>
      <c r="BP879" s="28"/>
      <c r="BS879" s="28"/>
      <c r="BV879" s="28"/>
      <c r="BY879" s="28"/>
      <c r="CB879" s="28"/>
      <c r="CE879" s="28"/>
      <c r="CH879" s="28"/>
      <c r="CK879" s="28"/>
      <c r="CN879" s="28"/>
      <c r="CQ879" s="28"/>
      <c r="CT879" s="28"/>
      <c r="CW879" s="28"/>
      <c r="CZ879" s="28"/>
      <c r="DC879" s="28"/>
      <c r="DF879" s="28"/>
      <c r="DI879" s="28"/>
      <c r="DL879" s="28"/>
      <c r="DO879" s="28"/>
      <c r="DR879" s="28"/>
      <c r="DU879" s="28"/>
      <c r="DX879" s="28"/>
      <c r="EA879" s="28"/>
      <c r="ED879" s="28"/>
      <c r="EG879" s="28"/>
      <c r="EJ879" s="28"/>
      <c r="EM879" s="28"/>
      <c r="EP879" s="28"/>
      <c r="ES879" s="28"/>
      <c r="EV879" s="28"/>
      <c r="EY879" s="28"/>
      <c r="FB879" s="28"/>
      <c r="FE879" s="28"/>
      <c r="FH879" s="28"/>
      <c r="FK879" s="28"/>
      <c r="FN879" s="28"/>
      <c r="FQ879" s="28"/>
      <c r="FT879" s="28"/>
      <c r="FW879" s="28"/>
      <c r="FZ879" s="28"/>
      <c r="GC879" s="28"/>
    </row>
    <row r="880" spans="1:185" s="25" customFormat="1" x14ac:dyDescent="0.3">
      <c r="A880" s="27"/>
      <c r="B880" s="28"/>
      <c r="C880" s="27"/>
      <c r="D880" s="26"/>
      <c r="E880" s="28"/>
      <c r="H880" s="28"/>
      <c r="K880" s="28"/>
      <c r="N880" s="28"/>
      <c r="Q880" s="28"/>
      <c r="T880" s="28"/>
      <c r="W880" s="28"/>
      <c r="Z880" s="28"/>
      <c r="AC880" s="28"/>
      <c r="AF880" s="28"/>
      <c r="AI880" s="28"/>
      <c r="AL880" s="28"/>
      <c r="AO880" s="28"/>
      <c r="AR880" s="28"/>
      <c r="AU880" s="28"/>
      <c r="AX880" s="28"/>
      <c r="BA880" s="28"/>
      <c r="BD880" s="28"/>
      <c r="BG880" s="28"/>
      <c r="BJ880" s="28"/>
      <c r="BM880" s="28"/>
      <c r="BP880" s="28"/>
      <c r="BS880" s="28"/>
      <c r="BV880" s="28"/>
      <c r="BY880" s="28"/>
      <c r="CB880" s="28"/>
      <c r="CE880" s="28"/>
      <c r="CH880" s="28"/>
      <c r="CK880" s="28"/>
      <c r="CN880" s="28"/>
      <c r="CQ880" s="28"/>
      <c r="CT880" s="28"/>
      <c r="CW880" s="28"/>
      <c r="CZ880" s="28"/>
      <c r="DC880" s="28"/>
      <c r="DF880" s="28"/>
      <c r="DI880" s="28"/>
      <c r="DL880" s="28"/>
      <c r="DO880" s="28"/>
      <c r="DR880" s="28"/>
      <c r="DU880" s="28"/>
      <c r="DX880" s="28"/>
      <c r="EA880" s="28"/>
      <c r="ED880" s="28"/>
      <c r="EG880" s="28"/>
      <c r="EJ880" s="28"/>
      <c r="EM880" s="28"/>
      <c r="EP880" s="28"/>
      <c r="ES880" s="28"/>
      <c r="EV880" s="28"/>
      <c r="EY880" s="28"/>
      <c r="FB880" s="28"/>
      <c r="FE880" s="28"/>
      <c r="FH880" s="28"/>
      <c r="FK880" s="28"/>
      <c r="FN880" s="28"/>
      <c r="FQ880" s="28"/>
      <c r="FT880" s="28"/>
      <c r="FW880" s="28"/>
      <c r="FZ880" s="28"/>
      <c r="GC880" s="28"/>
    </row>
    <row r="881" spans="1:185" s="25" customFormat="1" x14ac:dyDescent="0.3">
      <c r="A881" s="27"/>
      <c r="B881" s="28"/>
      <c r="C881" s="27"/>
      <c r="D881" s="26"/>
      <c r="E881" s="28"/>
      <c r="H881" s="28"/>
      <c r="K881" s="28"/>
      <c r="N881" s="28"/>
      <c r="Q881" s="28"/>
      <c r="T881" s="28"/>
      <c r="W881" s="28"/>
      <c r="Z881" s="28"/>
      <c r="AC881" s="28"/>
      <c r="AF881" s="28"/>
      <c r="AI881" s="28"/>
      <c r="AL881" s="28"/>
      <c r="AO881" s="28"/>
      <c r="AR881" s="28"/>
      <c r="AU881" s="28"/>
      <c r="AX881" s="28"/>
      <c r="BA881" s="28"/>
      <c r="BD881" s="28"/>
      <c r="BG881" s="28"/>
      <c r="BJ881" s="28"/>
      <c r="BM881" s="28"/>
      <c r="BP881" s="28"/>
      <c r="BS881" s="28"/>
      <c r="BV881" s="28"/>
      <c r="BY881" s="28"/>
      <c r="CB881" s="28"/>
      <c r="CE881" s="28"/>
      <c r="CH881" s="28"/>
      <c r="CK881" s="28"/>
      <c r="CN881" s="28"/>
      <c r="CQ881" s="28"/>
      <c r="CT881" s="28"/>
      <c r="CW881" s="28"/>
      <c r="CZ881" s="28"/>
      <c r="DC881" s="28"/>
      <c r="DF881" s="28"/>
      <c r="DI881" s="28"/>
      <c r="DL881" s="28"/>
      <c r="DO881" s="28"/>
      <c r="DR881" s="28"/>
      <c r="DU881" s="28"/>
      <c r="DX881" s="28"/>
      <c r="EA881" s="28"/>
      <c r="ED881" s="28"/>
      <c r="EG881" s="28"/>
      <c r="EJ881" s="28"/>
      <c r="EM881" s="28"/>
      <c r="EP881" s="28"/>
      <c r="ES881" s="28"/>
      <c r="EV881" s="28"/>
      <c r="EY881" s="28"/>
      <c r="FB881" s="28"/>
      <c r="FE881" s="28"/>
      <c r="FH881" s="28"/>
      <c r="FK881" s="28"/>
      <c r="FN881" s="28"/>
      <c r="FQ881" s="28"/>
      <c r="FT881" s="28"/>
      <c r="FW881" s="28"/>
      <c r="FZ881" s="28"/>
      <c r="GC881" s="28"/>
    </row>
    <row r="882" spans="1:185" s="25" customFormat="1" x14ac:dyDescent="0.3">
      <c r="A882" s="27"/>
      <c r="B882" s="28"/>
      <c r="C882" s="27"/>
      <c r="D882" s="26"/>
      <c r="E882" s="28"/>
      <c r="H882" s="28"/>
      <c r="K882" s="28"/>
      <c r="N882" s="28"/>
      <c r="Q882" s="28"/>
      <c r="T882" s="28"/>
      <c r="W882" s="28"/>
      <c r="Z882" s="28"/>
      <c r="AC882" s="28"/>
      <c r="AF882" s="28"/>
      <c r="AI882" s="28"/>
      <c r="AL882" s="28"/>
      <c r="AO882" s="28"/>
      <c r="AR882" s="28"/>
      <c r="AU882" s="28"/>
      <c r="AX882" s="28"/>
      <c r="BA882" s="28"/>
      <c r="BD882" s="28"/>
      <c r="BG882" s="28"/>
      <c r="BJ882" s="28"/>
      <c r="BM882" s="28"/>
      <c r="BP882" s="28"/>
      <c r="BS882" s="28"/>
      <c r="BV882" s="28"/>
      <c r="BY882" s="28"/>
      <c r="CB882" s="28"/>
      <c r="CE882" s="28"/>
      <c r="CH882" s="28"/>
      <c r="CK882" s="28"/>
      <c r="CN882" s="28"/>
      <c r="CQ882" s="28"/>
      <c r="CT882" s="28"/>
      <c r="CW882" s="28"/>
      <c r="CZ882" s="28"/>
      <c r="DC882" s="28"/>
      <c r="DF882" s="28"/>
      <c r="DI882" s="28"/>
      <c r="DL882" s="28"/>
      <c r="DO882" s="28"/>
      <c r="DR882" s="28"/>
      <c r="DU882" s="28"/>
      <c r="DX882" s="28"/>
      <c r="EA882" s="28"/>
      <c r="ED882" s="28"/>
      <c r="EG882" s="28"/>
      <c r="EJ882" s="28"/>
      <c r="EM882" s="28"/>
      <c r="EP882" s="28"/>
      <c r="ES882" s="28"/>
      <c r="EV882" s="28"/>
      <c r="EY882" s="28"/>
      <c r="FB882" s="28"/>
      <c r="FE882" s="28"/>
      <c r="FH882" s="28"/>
      <c r="FK882" s="28"/>
      <c r="FN882" s="28"/>
      <c r="FQ882" s="28"/>
      <c r="FT882" s="28"/>
      <c r="FW882" s="28"/>
      <c r="FZ882" s="28"/>
      <c r="GC882" s="28"/>
    </row>
    <row r="883" spans="1:185" s="25" customFormat="1" x14ac:dyDescent="0.3">
      <c r="A883" s="27"/>
      <c r="B883" s="28"/>
      <c r="C883" s="27"/>
      <c r="D883" s="26"/>
      <c r="E883" s="28"/>
      <c r="H883" s="28"/>
      <c r="K883" s="28"/>
      <c r="N883" s="28"/>
      <c r="Q883" s="28"/>
      <c r="T883" s="28"/>
      <c r="W883" s="28"/>
      <c r="Z883" s="28"/>
      <c r="AC883" s="28"/>
      <c r="AF883" s="28"/>
      <c r="AI883" s="28"/>
      <c r="AL883" s="28"/>
      <c r="AO883" s="28"/>
      <c r="AR883" s="28"/>
      <c r="AU883" s="28"/>
      <c r="AX883" s="28"/>
      <c r="BA883" s="28"/>
      <c r="BD883" s="28"/>
      <c r="BG883" s="28"/>
      <c r="BJ883" s="28"/>
      <c r="BM883" s="28"/>
      <c r="BP883" s="28"/>
      <c r="BS883" s="28"/>
      <c r="BV883" s="28"/>
      <c r="BY883" s="28"/>
      <c r="CB883" s="28"/>
      <c r="CE883" s="28"/>
      <c r="CH883" s="28"/>
      <c r="CK883" s="28"/>
      <c r="CN883" s="28"/>
      <c r="CQ883" s="28"/>
      <c r="CT883" s="28"/>
      <c r="CW883" s="28"/>
      <c r="CZ883" s="28"/>
      <c r="DC883" s="28"/>
      <c r="DF883" s="28"/>
      <c r="DI883" s="28"/>
      <c r="DL883" s="28"/>
      <c r="DO883" s="28"/>
      <c r="DR883" s="28"/>
      <c r="DU883" s="28"/>
      <c r="DX883" s="28"/>
      <c r="EA883" s="28"/>
      <c r="ED883" s="28"/>
      <c r="EG883" s="28"/>
      <c r="EJ883" s="28"/>
      <c r="EM883" s="28"/>
      <c r="EP883" s="28"/>
      <c r="ES883" s="28"/>
      <c r="EV883" s="28"/>
      <c r="EY883" s="28"/>
      <c r="FB883" s="28"/>
      <c r="FE883" s="28"/>
      <c r="FH883" s="28"/>
      <c r="FK883" s="28"/>
      <c r="FN883" s="28"/>
      <c r="FQ883" s="28"/>
      <c r="FT883" s="28"/>
      <c r="FW883" s="28"/>
      <c r="FZ883" s="28"/>
      <c r="GC883" s="28"/>
    </row>
    <row r="884" spans="1:185" s="25" customFormat="1" x14ac:dyDescent="0.3">
      <c r="A884" s="27"/>
      <c r="B884" s="28"/>
      <c r="C884" s="27"/>
      <c r="D884" s="26"/>
      <c r="E884" s="28"/>
      <c r="H884" s="28"/>
      <c r="K884" s="28"/>
      <c r="N884" s="28"/>
      <c r="Q884" s="28"/>
      <c r="T884" s="28"/>
      <c r="W884" s="28"/>
      <c r="Z884" s="28"/>
      <c r="AC884" s="28"/>
      <c r="AF884" s="28"/>
      <c r="AI884" s="28"/>
      <c r="AL884" s="28"/>
      <c r="AO884" s="28"/>
      <c r="AR884" s="28"/>
      <c r="AU884" s="28"/>
      <c r="AX884" s="28"/>
      <c r="BA884" s="28"/>
      <c r="BD884" s="28"/>
      <c r="BG884" s="28"/>
      <c r="BJ884" s="28"/>
      <c r="BM884" s="28"/>
      <c r="BP884" s="28"/>
      <c r="BS884" s="28"/>
      <c r="BV884" s="28"/>
      <c r="BY884" s="28"/>
      <c r="CB884" s="28"/>
      <c r="CE884" s="28"/>
      <c r="CH884" s="28"/>
      <c r="CK884" s="28"/>
      <c r="CN884" s="28"/>
      <c r="CQ884" s="28"/>
      <c r="CT884" s="28"/>
      <c r="CW884" s="28"/>
      <c r="CZ884" s="28"/>
      <c r="DC884" s="28"/>
      <c r="DF884" s="28"/>
      <c r="DI884" s="28"/>
      <c r="DL884" s="28"/>
      <c r="DO884" s="28"/>
      <c r="DR884" s="28"/>
      <c r="DU884" s="28"/>
      <c r="DX884" s="28"/>
      <c r="EA884" s="28"/>
      <c r="ED884" s="28"/>
      <c r="EG884" s="28"/>
      <c r="EJ884" s="28"/>
      <c r="EM884" s="28"/>
      <c r="EP884" s="28"/>
      <c r="ES884" s="28"/>
      <c r="EV884" s="28"/>
      <c r="EY884" s="28"/>
      <c r="FB884" s="28"/>
      <c r="FE884" s="28"/>
      <c r="FH884" s="28"/>
      <c r="FK884" s="28"/>
      <c r="FN884" s="28"/>
      <c r="FQ884" s="28"/>
      <c r="FT884" s="28"/>
      <c r="FW884" s="28"/>
      <c r="FZ884" s="28"/>
      <c r="GC884" s="28"/>
    </row>
    <row r="885" spans="1:185" s="25" customFormat="1" x14ac:dyDescent="0.3">
      <c r="A885" s="27"/>
      <c r="B885" s="28"/>
      <c r="C885" s="27"/>
      <c r="D885" s="26"/>
      <c r="E885" s="28"/>
      <c r="H885" s="28"/>
      <c r="K885" s="28"/>
      <c r="N885" s="28"/>
      <c r="Q885" s="28"/>
      <c r="T885" s="28"/>
      <c r="W885" s="28"/>
      <c r="Z885" s="28"/>
      <c r="AC885" s="28"/>
      <c r="AF885" s="28"/>
      <c r="AI885" s="28"/>
      <c r="AL885" s="28"/>
      <c r="AO885" s="28"/>
      <c r="AR885" s="28"/>
      <c r="AU885" s="28"/>
      <c r="AX885" s="28"/>
      <c r="BA885" s="28"/>
      <c r="BD885" s="28"/>
      <c r="BG885" s="28"/>
      <c r="BJ885" s="28"/>
      <c r="BM885" s="28"/>
      <c r="BP885" s="28"/>
      <c r="BS885" s="28"/>
      <c r="BV885" s="28"/>
      <c r="BY885" s="28"/>
      <c r="CB885" s="28"/>
      <c r="CE885" s="28"/>
      <c r="CH885" s="28"/>
      <c r="CK885" s="28"/>
      <c r="CN885" s="28"/>
      <c r="CQ885" s="28"/>
      <c r="CT885" s="28"/>
      <c r="CW885" s="28"/>
      <c r="CZ885" s="28"/>
      <c r="DC885" s="28"/>
      <c r="DF885" s="28"/>
      <c r="DI885" s="28"/>
      <c r="DL885" s="28"/>
      <c r="DO885" s="28"/>
      <c r="DR885" s="28"/>
      <c r="DU885" s="28"/>
      <c r="DX885" s="28"/>
      <c r="EA885" s="28"/>
      <c r="ED885" s="28"/>
      <c r="EG885" s="28"/>
      <c r="EJ885" s="28"/>
      <c r="EM885" s="28"/>
      <c r="EP885" s="28"/>
      <c r="ES885" s="28"/>
      <c r="EV885" s="28"/>
      <c r="EY885" s="28"/>
      <c r="FB885" s="28"/>
      <c r="FE885" s="28"/>
      <c r="FH885" s="28"/>
      <c r="FK885" s="28"/>
      <c r="FN885" s="28"/>
      <c r="FQ885" s="28"/>
      <c r="FT885" s="28"/>
      <c r="FW885" s="28"/>
      <c r="FZ885" s="28"/>
      <c r="GC885" s="28"/>
    </row>
    <row r="886" spans="1:185" s="25" customFormat="1" x14ac:dyDescent="0.3">
      <c r="A886" s="27"/>
      <c r="B886" s="28"/>
      <c r="C886" s="27"/>
      <c r="D886" s="26"/>
      <c r="E886" s="28"/>
      <c r="H886" s="28"/>
      <c r="K886" s="28"/>
      <c r="N886" s="28"/>
      <c r="Q886" s="28"/>
      <c r="T886" s="28"/>
      <c r="W886" s="28"/>
      <c r="Z886" s="28"/>
      <c r="AC886" s="28"/>
      <c r="AF886" s="28"/>
      <c r="AI886" s="28"/>
      <c r="AL886" s="28"/>
      <c r="AO886" s="28"/>
      <c r="AR886" s="28"/>
      <c r="AU886" s="28"/>
      <c r="AX886" s="28"/>
      <c r="BA886" s="28"/>
      <c r="BD886" s="28"/>
      <c r="BG886" s="28"/>
      <c r="BJ886" s="28"/>
      <c r="BM886" s="28"/>
      <c r="BP886" s="28"/>
      <c r="BS886" s="28"/>
      <c r="BV886" s="28"/>
      <c r="BY886" s="28"/>
      <c r="CB886" s="28"/>
      <c r="CE886" s="28"/>
      <c r="CH886" s="28"/>
      <c r="CK886" s="28"/>
      <c r="CN886" s="28"/>
      <c r="CQ886" s="28"/>
      <c r="CT886" s="28"/>
      <c r="CW886" s="28"/>
      <c r="CZ886" s="28"/>
      <c r="DC886" s="28"/>
      <c r="DF886" s="28"/>
      <c r="DI886" s="28"/>
      <c r="DL886" s="28"/>
      <c r="DO886" s="28"/>
      <c r="DR886" s="28"/>
      <c r="DU886" s="28"/>
      <c r="DX886" s="28"/>
      <c r="EA886" s="28"/>
      <c r="ED886" s="28"/>
      <c r="EG886" s="28"/>
      <c r="EJ886" s="28"/>
      <c r="EM886" s="28"/>
      <c r="EP886" s="28"/>
      <c r="ES886" s="28"/>
      <c r="EV886" s="28"/>
      <c r="EY886" s="28"/>
      <c r="FB886" s="28"/>
      <c r="FE886" s="28"/>
      <c r="FH886" s="28"/>
      <c r="FK886" s="28"/>
      <c r="FN886" s="28"/>
      <c r="FQ886" s="28"/>
      <c r="FT886" s="28"/>
      <c r="FW886" s="28"/>
      <c r="FZ886" s="28"/>
      <c r="GC886" s="28"/>
    </row>
    <row r="887" spans="1:185" s="25" customFormat="1" x14ac:dyDescent="0.3">
      <c r="A887" s="27"/>
      <c r="B887" s="28"/>
      <c r="C887" s="27"/>
      <c r="D887" s="26"/>
      <c r="E887" s="28"/>
      <c r="H887" s="28"/>
      <c r="K887" s="28"/>
      <c r="N887" s="28"/>
      <c r="Q887" s="28"/>
      <c r="T887" s="28"/>
      <c r="W887" s="28"/>
      <c r="Z887" s="28"/>
      <c r="AC887" s="28"/>
      <c r="AF887" s="28"/>
      <c r="AI887" s="28"/>
      <c r="AL887" s="28"/>
      <c r="AO887" s="28"/>
      <c r="AR887" s="28"/>
      <c r="AU887" s="28"/>
      <c r="AX887" s="28"/>
      <c r="BA887" s="28"/>
      <c r="BD887" s="28"/>
      <c r="BG887" s="28"/>
      <c r="BJ887" s="28"/>
      <c r="BM887" s="28"/>
      <c r="BP887" s="28"/>
      <c r="BS887" s="28"/>
      <c r="BV887" s="28"/>
      <c r="BY887" s="28"/>
      <c r="CB887" s="28"/>
      <c r="CE887" s="28"/>
      <c r="CH887" s="28"/>
      <c r="CK887" s="28"/>
      <c r="CN887" s="28"/>
      <c r="CQ887" s="28"/>
      <c r="CT887" s="28"/>
      <c r="CW887" s="28"/>
      <c r="CZ887" s="28"/>
      <c r="DC887" s="28"/>
      <c r="DF887" s="28"/>
      <c r="DI887" s="28"/>
      <c r="DL887" s="28"/>
      <c r="DO887" s="28"/>
      <c r="DR887" s="28"/>
      <c r="DU887" s="28"/>
      <c r="DX887" s="28"/>
      <c r="EA887" s="28"/>
      <c r="ED887" s="28"/>
      <c r="EG887" s="28"/>
      <c r="EJ887" s="28"/>
      <c r="EM887" s="28"/>
      <c r="EP887" s="28"/>
      <c r="ES887" s="28"/>
      <c r="EV887" s="28"/>
      <c r="EY887" s="28"/>
      <c r="FB887" s="28"/>
      <c r="FE887" s="28"/>
      <c r="FH887" s="28"/>
      <c r="FK887" s="28"/>
      <c r="FN887" s="28"/>
      <c r="FQ887" s="28"/>
      <c r="FT887" s="28"/>
      <c r="FW887" s="28"/>
      <c r="FZ887" s="28"/>
      <c r="GC887" s="28"/>
    </row>
    <row r="888" spans="1:185" s="25" customFormat="1" x14ac:dyDescent="0.3">
      <c r="A888" s="27"/>
      <c r="B888" s="28"/>
      <c r="C888" s="27"/>
      <c r="D888" s="26"/>
      <c r="E888" s="28"/>
      <c r="H888" s="28"/>
      <c r="K888" s="28"/>
      <c r="N888" s="28"/>
      <c r="Q888" s="28"/>
      <c r="T888" s="28"/>
      <c r="W888" s="28"/>
      <c r="Z888" s="28"/>
      <c r="AC888" s="28"/>
      <c r="AF888" s="28"/>
      <c r="AI888" s="28"/>
      <c r="AL888" s="28"/>
      <c r="AO888" s="28"/>
      <c r="AR888" s="28"/>
      <c r="AU888" s="28"/>
      <c r="AX888" s="28"/>
      <c r="BA888" s="28"/>
      <c r="BD888" s="28"/>
      <c r="BG888" s="28"/>
      <c r="BJ888" s="28"/>
      <c r="BM888" s="28"/>
      <c r="BP888" s="28"/>
      <c r="BS888" s="28"/>
      <c r="BV888" s="28"/>
      <c r="BY888" s="28"/>
      <c r="CB888" s="28"/>
      <c r="CE888" s="28"/>
      <c r="CH888" s="28"/>
      <c r="CK888" s="28"/>
      <c r="CN888" s="28"/>
      <c r="CQ888" s="28"/>
      <c r="CT888" s="28"/>
      <c r="CW888" s="28"/>
      <c r="CZ888" s="28"/>
      <c r="DC888" s="28"/>
      <c r="DF888" s="28"/>
      <c r="DI888" s="28"/>
      <c r="DL888" s="28"/>
      <c r="DO888" s="28"/>
      <c r="DR888" s="28"/>
      <c r="DU888" s="28"/>
      <c r="DX888" s="28"/>
      <c r="EA888" s="28"/>
      <c r="ED888" s="28"/>
      <c r="EG888" s="28"/>
      <c r="EJ888" s="28"/>
      <c r="EM888" s="28"/>
      <c r="EP888" s="28"/>
      <c r="ES888" s="28"/>
      <c r="EV888" s="28"/>
      <c r="EY888" s="28"/>
      <c r="FB888" s="28"/>
      <c r="FE888" s="28"/>
      <c r="FH888" s="28"/>
      <c r="FK888" s="28"/>
      <c r="FN888" s="28"/>
      <c r="FQ888" s="28"/>
      <c r="FT888" s="28"/>
      <c r="FW888" s="28"/>
      <c r="FZ888" s="28"/>
      <c r="GC888" s="28"/>
    </row>
    <row r="889" spans="1:185" s="25" customFormat="1" x14ac:dyDescent="0.3">
      <c r="A889" s="27"/>
      <c r="B889" s="28"/>
      <c r="C889" s="27"/>
      <c r="D889" s="26"/>
      <c r="E889" s="28"/>
      <c r="H889" s="28"/>
      <c r="K889" s="28"/>
      <c r="N889" s="28"/>
      <c r="Q889" s="28"/>
      <c r="T889" s="28"/>
      <c r="W889" s="28"/>
      <c r="Z889" s="28"/>
      <c r="AC889" s="28"/>
      <c r="AF889" s="28"/>
      <c r="AI889" s="28"/>
      <c r="AL889" s="28"/>
      <c r="AO889" s="28"/>
      <c r="AR889" s="28"/>
      <c r="AU889" s="28"/>
      <c r="AX889" s="28"/>
      <c r="BA889" s="28"/>
      <c r="BD889" s="28"/>
      <c r="BG889" s="28"/>
      <c r="BJ889" s="28"/>
      <c r="BM889" s="28"/>
      <c r="BP889" s="28"/>
      <c r="BS889" s="28"/>
      <c r="BV889" s="28"/>
      <c r="BY889" s="28"/>
      <c r="CB889" s="28"/>
      <c r="CE889" s="28"/>
      <c r="CH889" s="28"/>
      <c r="CK889" s="28"/>
      <c r="CN889" s="28"/>
      <c r="CQ889" s="28"/>
      <c r="CT889" s="28"/>
      <c r="CW889" s="28"/>
      <c r="CZ889" s="28"/>
      <c r="DC889" s="28"/>
      <c r="DF889" s="28"/>
      <c r="DI889" s="28"/>
      <c r="DL889" s="28"/>
      <c r="DO889" s="28"/>
      <c r="DR889" s="28"/>
      <c r="DU889" s="28"/>
      <c r="DX889" s="28"/>
      <c r="EA889" s="28"/>
      <c r="ED889" s="28"/>
      <c r="EG889" s="28"/>
      <c r="EJ889" s="28"/>
      <c r="EM889" s="28"/>
      <c r="EP889" s="28"/>
      <c r="ES889" s="28"/>
      <c r="EV889" s="28"/>
      <c r="EY889" s="28"/>
      <c r="FB889" s="28"/>
      <c r="FE889" s="28"/>
      <c r="FH889" s="28"/>
      <c r="FK889" s="28"/>
      <c r="FN889" s="28"/>
      <c r="FQ889" s="28"/>
      <c r="FT889" s="28"/>
      <c r="FW889" s="28"/>
      <c r="FZ889" s="28"/>
      <c r="GC889" s="28"/>
    </row>
    <row r="890" spans="1:185" s="25" customFormat="1" x14ac:dyDescent="0.3">
      <c r="A890" s="27"/>
      <c r="B890" s="28"/>
      <c r="C890" s="27"/>
      <c r="D890" s="26"/>
      <c r="E890" s="28"/>
      <c r="H890" s="28"/>
      <c r="K890" s="28"/>
      <c r="N890" s="28"/>
      <c r="Q890" s="28"/>
      <c r="T890" s="28"/>
      <c r="W890" s="28"/>
      <c r="Z890" s="28"/>
      <c r="AC890" s="28"/>
      <c r="AF890" s="28"/>
      <c r="AI890" s="28"/>
      <c r="AL890" s="28"/>
      <c r="AO890" s="28"/>
      <c r="AR890" s="28"/>
      <c r="AU890" s="28"/>
      <c r="AX890" s="28"/>
      <c r="BA890" s="28"/>
      <c r="BD890" s="28"/>
      <c r="BG890" s="28"/>
      <c r="BJ890" s="28"/>
      <c r="BM890" s="28"/>
      <c r="BP890" s="28"/>
      <c r="BS890" s="28"/>
      <c r="BV890" s="28"/>
      <c r="BY890" s="28"/>
      <c r="CB890" s="28"/>
      <c r="CE890" s="28"/>
      <c r="CH890" s="28"/>
      <c r="CK890" s="28"/>
      <c r="CN890" s="28"/>
      <c r="CQ890" s="28"/>
      <c r="CT890" s="28"/>
      <c r="CW890" s="28"/>
      <c r="CZ890" s="28"/>
      <c r="DC890" s="28"/>
      <c r="DF890" s="28"/>
      <c r="DI890" s="28"/>
      <c r="DL890" s="28"/>
      <c r="DO890" s="28"/>
      <c r="DR890" s="28"/>
      <c r="DU890" s="28"/>
      <c r="DX890" s="28"/>
      <c r="EA890" s="28"/>
      <c r="ED890" s="28"/>
      <c r="EG890" s="28"/>
      <c r="EJ890" s="28"/>
      <c r="EM890" s="28"/>
      <c r="EP890" s="28"/>
      <c r="ES890" s="28"/>
      <c r="EV890" s="28"/>
      <c r="EY890" s="28"/>
      <c r="FB890" s="28"/>
      <c r="FE890" s="28"/>
      <c r="FH890" s="28"/>
      <c r="FK890" s="28"/>
      <c r="FN890" s="28"/>
      <c r="FQ890" s="28"/>
      <c r="FT890" s="28"/>
      <c r="FW890" s="28"/>
      <c r="FZ890" s="28"/>
      <c r="GC890" s="28"/>
    </row>
    <row r="891" spans="1:185" s="25" customFormat="1" x14ac:dyDescent="0.3">
      <c r="A891" s="27"/>
      <c r="B891" s="28"/>
      <c r="C891" s="27"/>
      <c r="D891" s="26"/>
      <c r="E891" s="28"/>
      <c r="H891" s="28"/>
      <c r="K891" s="28"/>
      <c r="N891" s="28"/>
      <c r="Q891" s="28"/>
      <c r="T891" s="28"/>
      <c r="W891" s="28"/>
      <c r="Z891" s="28"/>
      <c r="AC891" s="28"/>
      <c r="AF891" s="28"/>
      <c r="AI891" s="28"/>
      <c r="AL891" s="28"/>
      <c r="AO891" s="28"/>
      <c r="AR891" s="28"/>
      <c r="AU891" s="28"/>
      <c r="AX891" s="28"/>
      <c r="BA891" s="28"/>
      <c r="BD891" s="28"/>
      <c r="BG891" s="28"/>
      <c r="BJ891" s="28"/>
      <c r="BM891" s="28"/>
      <c r="BP891" s="28"/>
      <c r="BS891" s="28"/>
      <c r="BV891" s="28"/>
      <c r="BY891" s="28"/>
      <c r="CB891" s="28"/>
      <c r="CE891" s="28"/>
      <c r="CH891" s="28"/>
      <c r="CK891" s="28"/>
      <c r="CN891" s="28"/>
      <c r="CQ891" s="28"/>
      <c r="CT891" s="28"/>
      <c r="CW891" s="28"/>
      <c r="CZ891" s="28"/>
      <c r="DC891" s="28"/>
      <c r="DF891" s="28"/>
      <c r="DI891" s="28"/>
      <c r="DL891" s="28"/>
      <c r="DO891" s="28"/>
      <c r="DR891" s="28"/>
      <c r="DU891" s="28"/>
      <c r="DX891" s="28"/>
      <c r="EA891" s="28"/>
      <c r="ED891" s="28"/>
      <c r="EG891" s="28"/>
      <c r="EJ891" s="28"/>
      <c r="EM891" s="28"/>
      <c r="EP891" s="28"/>
      <c r="ES891" s="28"/>
      <c r="EV891" s="28"/>
      <c r="EY891" s="28"/>
      <c r="FB891" s="28"/>
      <c r="FE891" s="28"/>
      <c r="FH891" s="28"/>
      <c r="FK891" s="28"/>
      <c r="FN891" s="28"/>
      <c r="FQ891" s="28"/>
      <c r="FT891" s="28"/>
      <c r="FW891" s="28"/>
      <c r="FZ891" s="28"/>
      <c r="GC891" s="28"/>
    </row>
    <row r="892" spans="1:185" s="25" customFormat="1" x14ac:dyDescent="0.3">
      <c r="A892" s="27"/>
      <c r="B892" s="28"/>
      <c r="C892" s="27"/>
      <c r="D892" s="26"/>
      <c r="E892" s="28"/>
      <c r="H892" s="28"/>
      <c r="K892" s="28"/>
      <c r="N892" s="28"/>
      <c r="Q892" s="28"/>
      <c r="T892" s="28"/>
      <c r="W892" s="28"/>
      <c r="Z892" s="28"/>
      <c r="AC892" s="28"/>
      <c r="AF892" s="28"/>
      <c r="AI892" s="28"/>
      <c r="AL892" s="28"/>
      <c r="AO892" s="28"/>
      <c r="AR892" s="28"/>
      <c r="AU892" s="28"/>
      <c r="AX892" s="28"/>
      <c r="BA892" s="28"/>
      <c r="BD892" s="28"/>
      <c r="BG892" s="28"/>
      <c r="BJ892" s="28"/>
      <c r="BM892" s="28"/>
      <c r="BP892" s="28"/>
      <c r="BS892" s="28"/>
      <c r="BV892" s="28"/>
      <c r="BY892" s="28"/>
      <c r="CB892" s="28"/>
      <c r="CE892" s="28"/>
      <c r="CH892" s="28"/>
      <c r="CK892" s="28"/>
      <c r="CN892" s="28"/>
      <c r="CQ892" s="28"/>
      <c r="CT892" s="28"/>
      <c r="CW892" s="28"/>
      <c r="CZ892" s="28"/>
      <c r="DC892" s="28"/>
      <c r="DF892" s="28"/>
      <c r="DI892" s="28"/>
      <c r="DL892" s="28"/>
      <c r="DO892" s="28"/>
      <c r="DR892" s="28"/>
      <c r="DU892" s="28"/>
      <c r="DX892" s="28"/>
      <c r="EA892" s="28"/>
      <c r="ED892" s="28"/>
      <c r="EG892" s="28"/>
      <c r="EJ892" s="28"/>
      <c r="EM892" s="28"/>
      <c r="EP892" s="28"/>
      <c r="ES892" s="28"/>
      <c r="EV892" s="28"/>
      <c r="EY892" s="28"/>
      <c r="FB892" s="28"/>
      <c r="FE892" s="28"/>
      <c r="FH892" s="28"/>
      <c r="FK892" s="28"/>
      <c r="FN892" s="28"/>
      <c r="FQ892" s="28"/>
      <c r="FT892" s="28"/>
      <c r="FW892" s="28"/>
      <c r="FZ892" s="28"/>
      <c r="GC892" s="28"/>
    </row>
    <row r="893" spans="1:185" s="25" customFormat="1" x14ac:dyDescent="0.3">
      <c r="A893" s="27"/>
      <c r="B893" s="28"/>
      <c r="C893" s="27"/>
      <c r="D893" s="26"/>
      <c r="E893" s="28"/>
      <c r="H893" s="28"/>
      <c r="K893" s="28"/>
      <c r="N893" s="28"/>
      <c r="Q893" s="28"/>
      <c r="T893" s="28"/>
      <c r="W893" s="28"/>
      <c r="Z893" s="28"/>
      <c r="AC893" s="28"/>
      <c r="AF893" s="28"/>
      <c r="AI893" s="28"/>
      <c r="AL893" s="28"/>
      <c r="AO893" s="28"/>
      <c r="AR893" s="28"/>
      <c r="AU893" s="28"/>
      <c r="AX893" s="28"/>
      <c r="BA893" s="28"/>
      <c r="BD893" s="28"/>
      <c r="BG893" s="28"/>
      <c r="BJ893" s="28"/>
      <c r="BM893" s="28"/>
      <c r="BP893" s="28"/>
      <c r="BS893" s="28"/>
      <c r="BV893" s="28"/>
      <c r="BY893" s="28"/>
      <c r="CB893" s="28"/>
      <c r="CE893" s="28"/>
      <c r="CH893" s="28"/>
      <c r="CK893" s="28"/>
      <c r="CN893" s="28"/>
      <c r="CQ893" s="28"/>
      <c r="CT893" s="28"/>
      <c r="CW893" s="28"/>
      <c r="CZ893" s="28"/>
      <c r="DC893" s="28"/>
      <c r="DF893" s="28"/>
      <c r="DI893" s="28"/>
      <c r="DL893" s="28"/>
      <c r="DO893" s="28"/>
      <c r="DR893" s="28"/>
      <c r="DU893" s="28"/>
      <c r="DX893" s="28"/>
      <c r="EA893" s="28"/>
      <c r="ED893" s="28"/>
      <c r="EG893" s="28"/>
      <c r="EJ893" s="28"/>
      <c r="EM893" s="28"/>
      <c r="EP893" s="28"/>
      <c r="ES893" s="28"/>
      <c r="EV893" s="28"/>
      <c r="EY893" s="28"/>
      <c r="FB893" s="28"/>
      <c r="FE893" s="28"/>
      <c r="FH893" s="28"/>
      <c r="FK893" s="28"/>
      <c r="FN893" s="28"/>
      <c r="FQ893" s="28"/>
      <c r="FT893" s="28"/>
      <c r="FW893" s="28"/>
      <c r="FZ893" s="28"/>
      <c r="GC893" s="28"/>
    </row>
    <row r="894" spans="1:185" s="25" customFormat="1" x14ac:dyDescent="0.3">
      <c r="A894" s="27"/>
      <c r="B894" s="28"/>
      <c r="C894" s="27"/>
      <c r="D894" s="26"/>
      <c r="E894" s="28"/>
      <c r="H894" s="28"/>
      <c r="K894" s="28"/>
      <c r="N894" s="28"/>
      <c r="Q894" s="28"/>
      <c r="T894" s="28"/>
      <c r="W894" s="28"/>
      <c r="Z894" s="28"/>
      <c r="AC894" s="28"/>
      <c r="AF894" s="28"/>
      <c r="AI894" s="28"/>
      <c r="AL894" s="28"/>
      <c r="AO894" s="28"/>
      <c r="AR894" s="28"/>
      <c r="AU894" s="28"/>
      <c r="AX894" s="28"/>
      <c r="BA894" s="28"/>
      <c r="BD894" s="28"/>
      <c r="BG894" s="28"/>
      <c r="BJ894" s="28"/>
      <c r="BM894" s="28"/>
      <c r="BP894" s="28"/>
      <c r="BS894" s="28"/>
      <c r="BV894" s="28"/>
      <c r="BY894" s="28"/>
      <c r="CB894" s="28"/>
      <c r="CE894" s="28"/>
      <c r="CH894" s="28"/>
      <c r="CK894" s="28"/>
      <c r="CN894" s="28"/>
      <c r="CQ894" s="28"/>
      <c r="CT894" s="28"/>
      <c r="CW894" s="28"/>
      <c r="CZ894" s="28"/>
      <c r="DC894" s="28"/>
      <c r="DF894" s="28"/>
      <c r="DI894" s="28"/>
      <c r="DL894" s="28"/>
      <c r="DO894" s="28"/>
      <c r="DR894" s="28"/>
      <c r="DU894" s="28"/>
      <c r="DX894" s="28"/>
      <c r="EA894" s="28"/>
      <c r="ED894" s="28"/>
      <c r="EG894" s="28"/>
      <c r="EJ894" s="28"/>
      <c r="EM894" s="28"/>
      <c r="EP894" s="28"/>
      <c r="ES894" s="28"/>
      <c r="EV894" s="28"/>
      <c r="EY894" s="28"/>
      <c r="FB894" s="28"/>
      <c r="FE894" s="28"/>
      <c r="FH894" s="28"/>
      <c r="FK894" s="28"/>
      <c r="FN894" s="28"/>
      <c r="FQ894" s="28"/>
      <c r="FT894" s="28"/>
      <c r="FW894" s="28"/>
      <c r="FZ894" s="28"/>
      <c r="GC894" s="28"/>
    </row>
    <row r="895" spans="1:185" s="25" customFormat="1" x14ac:dyDescent="0.3">
      <c r="A895" s="27"/>
      <c r="B895" s="28"/>
      <c r="C895" s="27"/>
      <c r="D895" s="26"/>
      <c r="E895" s="28"/>
      <c r="H895" s="28"/>
      <c r="K895" s="28"/>
      <c r="N895" s="28"/>
      <c r="Q895" s="28"/>
      <c r="T895" s="28"/>
      <c r="W895" s="28"/>
      <c r="Z895" s="28"/>
      <c r="AC895" s="28"/>
      <c r="AF895" s="28"/>
      <c r="AI895" s="28"/>
      <c r="AL895" s="28"/>
      <c r="AO895" s="28"/>
      <c r="AR895" s="28"/>
      <c r="AU895" s="28"/>
      <c r="AX895" s="28"/>
      <c r="BA895" s="28"/>
      <c r="BD895" s="28"/>
      <c r="BG895" s="28"/>
      <c r="BJ895" s="28"/>
      <c r="BM895" s="28"/>
      <c r="BP895" s="28"/>
      <c r="BS895" s="28"/>
      <c r="BV895" s="28"/>
      <c r="BY895" s="28"/>
      <c r="CB895" s="28"/>
      <c r="CE895" s="28"/>
      <c r="CH895" s="28"/>
      <c r="CK895" s="28"/>
      <c r="CN895" s="28"/>
      <c r="CQ895" s="28"/>
      <c r="CT895" s="28"/>
      <c r="CW895" s="28"/>
      <c r="CZ895" s="28"/>
      <c r="DC895" s="28"/>
      <c r="DF895" s="28"/>
      <c r="DI895" s="28"/>
      <c r="DL895" s="28"/>
      <c r="DO895" s="28"/>
      <c r="DR895" s="28"/>
      <c r="DU895" s="28"/>
      <c r="DX895" s="28"/>
      <c r="EA895" s="28"/>
      <c r="ED895" s="28"/>
      <c r="EG895" s="28"/>
      <c r="EJ895" s="28"/>
      <c r="EM895" s="28"/>
      <c r="EP895" s="28"/>
      <c r="ES895" s="28"/>
      <c r="EV895" s="28"/>
      <c r="EY895" s="28"/>
      <c r="FB895" s="28"/>
      <c r="FE895" s="28"/>
      <c r="FH895" s="28"/>
      <c r="FK895" s="28"/>
      <c r="FN895" s="28"/>
      <c r="FQ895" s="28"/>
      <c r="FT895" s="28"/>
      <c r="FW895" s="28"/>
      <c r="FZ895" s="28"/>
      <c r="GC895" s="28"/>
    </row>
    <row r="896" spans="1:185" s="25" customFormat="1" x14ac:dyDescent="0.3">
      <c r="A896" s="27"/>
      <c r="B896" s="28"/>
      <c r="C896" s="27"/>
      <c r="D896" s="26"/>
      <c r="E896" s="28"/>
      <c r="H896" s="28"/>
      <c r="K896" s="28"/>
      <c r="N896" s="28"/>
      <c r="Q896" s="28"/>
      <c r="T896" s="28"/>
      <c r="W896" s="28"/>
      <c r="Z896" s="28"/>
      <c r="AC896" s="28"/>
      <c r="AF896" s="28"/>
      <c r="AI896" s="28"/>
      <c r="AL896" s="28"/>
      <c r="AO896" s="28"/>
      <c r="AR896" s="28"/>
      <c r="AU896" s="28"/>
      <c r="AX896" s="28"/>
      <c r="BA896" s="28"/>
      <c r="BD896" s="28"/>
      <c r="BG896" s="28"/>
      <c r="BJ896" s="28"/>
      <c r="BM896" s="28"/>
      <c r="BP896" s="28"/>
      <c r="BS896" s="28"/>
      <c r="BV896" s="28"/>
      <c r="BY896" s="28"/>
      <c r="CB896" s="28"/>
      <c r="CE896" s="28"/>
      <c r="CH896" s="28"/>
      <c r="CK896" s="28"/>
      <c r="CN896" s="28"/>
      <c r="CQ896" s="28"/>
      <c r="CT896" s="28"/>
      <c r="CW896" s="28"/>
      <c r="CZ896" s="28"/>
      <c r="DC896" s="28"/>
      <c r="DF896" s="28"/>
      <c r="DI896" s="28"/>
      <c r="DL896" s="28"/>
      <c r="DO896" s="28"/>
      <c r="DR896" s="28"/>
      <c r="DU896" s="28"/>
      <c r="DX896" s="28"/>
      <c r="EA896" s="28"/>
      <c r="ED896" s="28"/>
      <c r="EG896" s="28"/>
      <c r="EJ896" s="28"/>
      <c r="EM896" s="28"/>
      <c r="EP896" s="28"/>
      <c r="ES896" s="28"/>
      <c r="EV896" s="28"/>
      <c r="EY896" s="28"/>
      <c r="FB896" s="28"/>
      <c r="FE896" s="28"/>
      <c r="FH896" s="28"/>
      <c r="FK896" s="28"/>
      <c r="FN896" s="28"/>
      <c r="FQ896" s="28"/>
      <c r="FT896" s="28"/>
      <c r="FW896" s="28"/>
      <c r="FZ896" s="28"/>
      <c r="GC896" s="28"/>
    </row>
    <row r="897" spans="1:185" s="25" customFormat="1" x14ac:dyDescent="0.3">
      <c r="A897" s="27"/>
      <c r="B897" s="28"/>
      <c r="C897" s="27"/>
      <c r="D897" s="26"/>
      <c r="E897" s="28"/>
      <c r="H897" s="28"/>
      <c r="K897" s="28"/>
      <c r="N897" s="28"/>
      <c r="Q897" s="28"/>
      <c r="T897" s="28"/>
      <c r="W897" s="28"/>
      <c r="Z897" s="28"/>
      <c r="AC897" s="28"/>
      <c r="AF897" s="28"/>
      <c r="AI897" s="28"/>
      <c r="AL897" s="28"/>
      <c r="AO897" s="28"/>
      <c r="AR897" s="28"/>
      <c r="AU897" s="28"/>
      <c r="AX897" s="28"/>
      <c r="BA897" s="28"/>
      <c r="BD897" s="28"/>
      <c r="BG897" s="28"/>
      <c r="BJ897" s="28"/>
      <c r="BM897" s="28"/>
      <c r="BP897" s="28"/>
      <c r="BS897" s="28"/>
      <c r="BV897" s="28"/>
      <c r="BY897" s="28"/>
      <c r="CB897" s="28"/>
      <c r="CE897" s="28"/>
      <c r="CH897" s="28"/>
      <c r="CK897" s="28"/>
      <c r="CN897" s="28"/>
      <c r="CQ897" s="28"/>
      <c r="CT897" s="28"/>
      <c r="CW897" s="28"/>
      <c r="CZ897" s="28"/>
      <c r="DC897" s="28"/>
      <c r="DF897" s="28"/>
      <c r="DI897" s="28"/>
      <c r="DL897" s="28"/>
      <c r="DO897" s="28"/>
      <c r="DR897" s="28"/>
      <c r="DU897" s="28"/>
      <c r="DX897" s="28"/>
      <c r="EA897" s="28"/>
      <c r="ED897" s="28"/>
      <c r="EG897" s="28"/>
      <c r="EJ897" s="28"/>
      <c r="EM897" s="28"/>
      <c r="EP897" s="28"/>
      <c r="ES897" s="28"/>
      <c r="EV897" s="28"/>
      <c r="EY897" s="28"/>
      <c r="FB897" s="28"/>
      <c r="FE897" s="28"/>
      <c r="FH897" s="28"/>
      <c r="FK897" s="28"/>
      <c r="FN897" s="28"/>
      <c r="FQ897" s="28"/>
      <c r="FT897" s="28"/>
      <c r="FW897" s="28"/>
      <c r="FZ897" s="28"/>
      <c r="GC897" s="28"/>
    </row>
    <row r="898" spans="1:185" s="25" customFormat="1" x14ac:dyDescent="0.3">
      <c r="A898" s="27"/>
      <c r="B898" s="28"/>
      <c r="C898" s="27"/>
      <c r="D898" s="26"/>
      <c r="E898" s="28"/>
      <c r="H898" s="28"/>
      <c r="K898" s="28"/>
      <c r="N898" s="28"/>
      <c r="Q898" s="28"/>
      <c r="T898" s="28"/>
      <c r="W898" s="28"/>
      <c r="Z898" s="28"/>
      <c r="AC898" s="28"/>
      <c r="AF898" s="28"/>
      <c r="AI898" s="28"/>
      <c r="AL898" s="28"/>
      <c r="AO898" s="28"/>
      <c r="AR898" s="28"/>
      <c r="AU898" s="28"/>
      <c r="AX898" s="28"/>
      <c r="BA898" s="28"/>
      <c r="BD898" s="28"/>
      <c r="BG898" s="28"/>
      <c r="BJ898" s="28"/>
      <c r="BM898" s="28"/>
      <c r="BP898" s="28"/>
      <c r="BS898" s="28"/>
      <c r="BV898" s="28"/>
      <c r="BY898" s="28"/>
      <c r="CB898" s="28"/>
      <c r="CE898" s="28"/>
      <c r="CH898" s="28"/>
      <c r="CK898" s="28"/>
      <c r="CN898" s="28"/>
      <c r="CQ898" s="28"/>
      <c r="CT898" s="28"/>
      <c r="CW898" s="28"/>
      <c r="CZ898" s="28"/>
      <c r="DC898" s="28"/>
      <c r="DF898" s="28"/>
      <c r="DI898" s="28"/>
      <c r="DL898" s="28"/>
      <c r="DO898" s="28"/>
      <c r="DR898" s="28"/>
      <c r="DU898" s="28"/>
      <c r="DX898" s="28"/>
      <c r="EA898" s="28"/>
      <c r="ED898" s="28"/>
      <c r="EG898" s="28"/>
      <c r="EJ898" s="28"/>
      <c r="EM898" s="28"/>
      <c r="EP898" s="28"/>
      <c r="ES898" s="28"/>
      <c r="EV898" s="28"/>
      <c r="EY898" s="28"/>
      <c r="FB898" s="28"/>
      <c r="FE898" s="28"/>
      <c r="FH898" s="28"/>
      <c r="FK898" s="28"/>
      <c r="FN898" s="28"/>
      <c r="FQ898" s="28"/>
      <c r="FT898" s="28"/>
      <c r="FW898" s="28"/>
      <c r="FZ898" s="28"/>
      <c r="GC898" s="28"/>
    </row>
    <row r="899" spans="1:185" s="25" customFormat="1" x14ac:dyDescent="0.3">
      <c r="A899" s="27"/>
      <c r="B899" s="28"/>
      <c r="C899" s="27"/>
      <c r="D899" s="26"/>
      <c r="E899" s="28"/>
      <c r="H899" s="28"/>
      <c r="K899" s="28"/>
      <c r="N899" s="28"/>
      <c r="Q899" s="28"/>
      <c r="T899" s="28"/>
      <c r="W899" s="28"/>
      <c r="Z899" s="28"/>
      <c r="AC899" s="28"/>
      <c r="AF899" s="28"/>
      <c r="AI899" s="28"/>
      <c r="AL899" s="28"/>
      <c r="AO899" s="28"/>
      <c r="AR899" s="28"/>
      <c r="AU899" s="28"/>
      <c r="AX899" s="28"/>
      <c r="BA899" s="28"/>
      <c r="BD899" s="28"/>
      <c r="BG899" s="28"/>
      <c r="BJ899" s="28"/>
      <c r="BM899" s="28"/>
      <c r="BP899" s="28"/>
      <c r="BS899" s="28"/>
      <c r="BV899" s="28"/>
      <c r="BY899" s="28"/>
      <c r="CB899" s="28"/>
      <c r="CE899" s="28"/>
      <c r="CH899" s="28"/>
      <c r="CK899" s="28"/>
      <c r="CN899" s="28"/>
      <c r="CQ899" s="28"/>
      <c r="CT899" s="28"/>
      <c r="CW899" s="28"/>
      <c r="CZ899" s="28"/>
      <c r="DC899" s="28"/>
      <c r="DF899" s="28"/>
      <c r="DI899" s="28"/>
      <c r="DL899" s="28"/>
      <c r="DO899" s="28"/>
      <c r="DR899" s="28"/>
      <c r="DU899" s="28"/>
      <c r="DX899" s="28"/>
      <c r="EA899" s="28"/>
      <c r="ED899" s="28"/>
      <c r="EG899" s="28"/>
      <c r="EJ899" s="28"/>
      <c r="EM899" s="28"/>
      <c r="EP899" s="28"/>
      <c r="ES899" s="28"/>
      <c r="EV899" s="28"/>
      <c r="EY899" s="28"/>
      <c r="FB899" s="28"/>
      <c r="FE899" s="28"/>
      <c r="FH899" s="28"/>
      <c r="FK899" s="28"/>
      <c r="FN899" s="28"/>
      <c r="FQ899" s="28"/>
      <c r="FT899" s="28"/>
      <c r="FW899" s="28"/>
      <c r="FZ899" s="28"/>
      <c r="GC899" s="28"/>
    </row>
    <row r="900" spans="1:185" s="25" customFormat="1" x14ac:dyDescent="0.3">
      <c r="A900" s="27"/>
      <c r="B900" s="28"/>
      <c r="C900" s="27"/>
      <c r="D900" s="26"/>
      <c r="E900" s="28"/>
      <c r="H900" s="28"/>
      <c r="K900" s="28"/>
      <c r="N900" s="28"/>
      <c r="Q900" s="28"/>
      <c r="T900" s="28"/>
      <c r="W900" s="28"/>
      <c r="Z900" s="28"/>
      <c r="AC900" s="28"/>
      <c r="AF900" s="28"/>
      <c r="AI900" s="28"/>
      <c r="AL900" s="28"/>
      <c r="AO900" s="28"/>
      <c r="AR900" s="28"/>
      <c r="AU900" s="28"/>
      <c r="AX900" s="28"/>
      <c r="BA900" s="28"/>
      <c r="BD900" s="28"/>
      <c r="BG900" s="28"/>
      <c r="BJ900" s="28"/>
      <c r="BM900" s="28"/>
      <c r="BP900" s="28"/>
      <c r="BS900" s="28"/>
      <c r="BV900" s="28"/>
      <c r="BY900" s="28"/>
      <c r="CB900" s="28"/>
      <c r="CE900" s="28"/>
      <c r="CH900" s="28"/>
      <c r="CK900" s="28"/>
      <c r="CN900" s="28"/>
      <c r="CQ900" s="28"/>
      <c r="CT900" s="28"/>
      <c r="CW900" s="28"/>
      <c r="CZ900" s="28"/>
      <c r="DC900" s="28"/>
      <c r="DF900" s="28"/>
      <c r="DI900" s="28"/>
      <c r="DL900" s="28"/>
      <c r="DO900" s="28"/>
      <c r="DR900" s="28"/>
      <c r="DU900" s="28"/>
      <c r="DX900" s="28"/>
      <c r="EA900" s="28"/>
      <c r="ED900" s="28"/>
      <c r="EG900" s="28"/>
      <c r="EJ900" s="28"/>
      <c r="EM900" s="28"/>
      <c r="EP900" s="28"/>
      <c r="ES900" s="28"/>
      <c r="EV900" s="28"/>
      <c r="EY900" s="28"/>
      <c r="FB900" s="28"/>
      <c r="FE900" s="28"/>
      <c r="FH900" s="28"/>
      <c r="FK900" s="28"/>
      <c r="FN900" s="28"/>
      <c r="FQ900" s="28"/>
      <c r="FT900" s="28"/>
      <c r="FW900" s="28"/>
      <c r="FZ900" s="28"/>
      <c r="GC900" s="28"/>
    </row>
    <row r="901" spans="1:185" s="25" customFormat="1" x14ac:dyDescent="0.3">
      <c r="A901" s="27"/>
      <c r="B901" s="28"/>
      <c r="C901" s="27"/>
      <c r="D901" s="26"/>
      <c r="E901" s="28"/>
      <c r="H901" s="28"/>
      <c r="K901" s="28"/>
      <c r="N901" s="28"/>
      <c r="Q901" s="28"/>
      <c r="T901" s="28"/>
      <c r="W901" s="28"/>
      <c r="Z901" s="28"/>
      <c r="AC901" s="28"/>
      <c r="AF901" s="28"/>
      <c r="AI901" s="28"/>
      <c r="AL901" s="28"/>
      <c r="AO901" s="28"/>
      <c r="AR901" s="28"/>
      <c r="AU901" s="28"/>
      <c r="AX901" s="28"/>
      <c r="BA901" s="28"/>
      <c r="BD901" s="28"/>
      <c r="BG901" s="28"/>
      <c r="BJ901" s="28"/>
      <c r="BM901" s="28"/>
      <c r="BP901" s="28"/>
      <c r="BS901" s="28"/>
      <c r="BV901" s="28"/>
      <c r="BY901" s="28"/>
      <c r="CB901" s="28"/>
      <c r="CE901" s="28"/>
      <c r="CH901" s="28"/>
      <c r="CK901" s="28"/>
      <c r="CN901" s="28"/>
      <c r="CQ901" s="28"/>
      <c r="CT901" s="28"/>
      <c r="CW901" s="28"/>
      <c r="CZ901" s="28"/>
      <c r="DC901" s="28"/>
      <c r="DF901" s="28"/>
      <c r="DI901" s="28"/>
      <c r="DL901" s="28"/>
      <c r="DO901" s="28"/>
      <c r="DR901" s="28"/>
      <c r="DU901" s="28"/>
      <c r="DX901" s="28"/>
      <c r="EA901" s="28"/>
      <c r="ED901" s="28"/>
      <c r="EG901" s="28"/>
      <c r="EJ901" s="28"/>
      <c r="EM901" s="28"/>
      <c r="EP901" s="28"/>
      <c r="ES901" s="28"/>
      <c r="EV901" s="28"/>
      <c r="EY901" s="28"/>
      <c r="FB901" s="28"/>
      <c r="FE901" s="28"/>
      <c r="FH901" s="28"/>
      <c r="FK901" s="28"/>
      <c r="FN901" s="28"/>
      <c r="FQ901" s="28"/>
      <c r="FT901" s="28"/>
      <c r="FW901" s="28"/>
      <c r="FZ901" s="28"/>
      <c r="GC901" s="28"/>
    </row>
    <row r="902" spans="1:185" s="25" customFormat="1" x14ac:dyDescent="0.3">
      <c r="A902" s="27"/>
      <c r="B902" s="28"/>
      <c r="C902" s="27"/>
      <c r="D902" s="26"/>
      <c r="E902" s="28"/>
      <c r="H902" s="28"/>
      <c r="K902" s="28"/>
      <c r="N902" s="28"/>
      <c r="Q902" s="28"/>
      <c r="T902" s="28"/>
      <c r="W902" s="28"/>
      <c r="Z902" s="28"/>
      <c r="AC902" s="28"/>
      <c r="AF902" s="28"/>
      <c r="AI902" s="28"/>
      <c r="AL902" s="28"/>
      <c r="AO902" s="28"/>
      <c r="AR902" s="28"/>
      <c r="AU902" s="28"/>
      <c r="AX902" s="28"/>
      <c r="BA902" s="28"/>
      <c r="BD902" s="28"/>
      <c r="BG902" s="28"/>
      <c r="BJ902" s="28"/>
      <c r="BM902" s="28"/>
      <c r="BP902" s="28"/>
      <c r="BS902" s="28"/>
      <c r="BV902" s="28"/>
      <c r="BY902" s="28"/>
      <c r="CB902" s="28"/>
      <c r="CE902" s="28"/>
      <c r="CH902" s="28"/>
      <c r="CK902" s="28"/>
      <c r="CN902" s="28"/>
      <c r="CQ902" s="28"/>
      <c r="CT902" s="28"/>
      <c r="CW902" s="28"/>
      <c r="CZ902" s="28"/>
      <c r="DC902" s="28"/>
      <c r="DF902" s="28"/>
      <c r="DI902" s="28"/>
      <c r="DL902" s="28"/>
      <c r="DO902" s="28"/>
      <c r="DR902" s="28"/>
      <c r="DU902" s="28"/>
      <c r="DX902" s="28"/>
      <c r="EA902" s="28"/>
      <c r="ED902" s="28"/>
      <c r="EG902" s="28"/>
      <c r="EJ902" s="28"/>
      <c r="EM902" s="28"/>
      <c r="EP902" s="28"/>
      <c r="ES902" s="28"/>
      <c r="EV902" s="28"/>
      <c r="EY902" s="28"/>
      <c r="FB902" s="28"/>
      <c r="FE902" s="28"/>
      <c r="FH902" s="28"/>
      <c r="FK902" s="28"/>
      <c r="FN902" s="28"/>
      <c r="FQ902" s="28"/>
      <c r="FT902" s="28"/>
      <c r="FW902" s="28"/>
      <c r="FZ902" s="28"/>
      <c r="GC902" s="28"/>
    </row>
    <row r="903" spans="1:185" s="25" customFormat="1" x14ac:dyDescent="0.3">
      <c r="A903" s="27"/>
      <c r="B903" s="28"/>
      <c r="C903" s="27"/>
      <c r="D903" s="26"/>
      <c r="E903" s="28"/>
      <c r="H903" s="28"/>
      <c r="K903" s="28"/>
      <c r="N903" s="28"/>
      <c r="Q903" s="28"/>
      <c r="T903" s="28"/>
      <c r="W903" s="28"/>
      <c r="Z903" s="28"/>
      <c r="AC903" s="28"/>
      <c r="AF903" s="28"/>
      <c r="AI903" s="28"/>
      <c r="AL903" s="28"/>
      <c r="AO903" s="28"/>
      <c r="AR903" s="28"/>
      <c r="AU903" s="28"/>
      <c r="AX903" s="28"/>
      <c r="BA903" s="28"/>
      <c r="BD903" s="28"/>
      <c r="BG903" s="28"/>
      <c r="BJ903" s="28"/>
      <c r="BM903" s="28"/>
      <c r="BP903" s="28"/>
      <c r="BS903" s="28"/>
      <c r="BV903" s="28"/>
      <c r="BY903" s="28"/>
      <c r="CB903" s="28"/>
      <c r="CE903" s="28"/>
      <c r="CH903" s="28"/>
      <c r="CK903" s="28"/>
      <c r="CN903" s="28"/>
      <c r="CQ903" s="28"/>
      <c r="CT903" s="28"/>
      <c r="CW903" s="28"/>
      <c r="CZ903" s="28"/>
      <c r="DC903" s="28"/>
      <c r="DF903" s="28"/>
      <c r="DI903" s="28"/>
      <c r="DL903" s="28"/>
      <c r="DO903" s="28"/>
      <c r="DR903" s="28"/>
      <c r="DU903" s="28"/>
      <c r="DX903" s="28"/>
      <c r="EA903" s="28"/>
      <c r="ED903" s="28"/>
      <c r="EG903" s="28"/>
      <c r="EJ903" s="28"/>
      <c r="EM903" s="28"/>
      <c r="EP903" s="28"/>
      <c r="ES903" s="28"/>
      <c r="EV903" s="28"/>
      <c r="EY903" s="28"/>
      <c r="FB903" s="28"/>
      <c r="FE903" s="28"/>
      <c r="FH903" s="28"/>
      <c r="FK903" s="28"/>
      <c r="FN903" s="28"/>
      <c r="FQ903" s="28"/>
      <c r="FT903" s="28"/>
      <c r="FW903" s="28"/>
      <c r="FZ903" s="28"/>
      <c r="GC903" s="28"/>
    </row>
    <row r="904" spans="1:185" s="25" customFormat="1" x14ac:dyDescent="0.3">
      <c r="A904" s="27"/>
      <c r="B904" s="28"/>
      <c r="C904" s="27"/>
      <c r="D904" s="26"/>
      <c r="E904" s="28"/>
      <c r="H904" s="28"/>
      <c r="K904" s="28"/>
      <c r="N904" s="28"/>
      <c r="Q904" s="28"/>
      <c r="T904" s="28"/>
      <c r="W904" s="28"/>
      <c r="Z904" s="28"/>
      <c r="AC904" s="28"/>
      <c r="AF904" s="28"/>
      <c r="AI904" s="28"/>
      <c r="AL904" s="28"/>
      <c r="AO904" s="28"/>
      <c r="AR904" s="28"/>
      <c r="AU904" s="28"/>
      <c r="AX904" s="28"/>
      <c r="BA904" s="28"/>
      <c r="BD904" s="28"/>
      <c r="BG904" s="28"/>
      <c r="BJ904" s="28"/>
      <c r="BM904" s="28"/>
      <c r="BP904" s="28"/>
      <c r="BS904" s="28"/>
      <c r="BV904" s="28"/>
      <c r="BY904" s="28"/>
      <c r="CB904" s="28"/>
      <c r="CE904" s="28"/>
      <c r="CH904" s="28"/>
      <c r="CK904" s="28"/>
      <c r="CN904" s="28"/>
      <c r="CQ904" s="28"/>
      <c r="CT904" s="28"/>
      <c r="CW904" s="28"/>
      <c r="CZ904" s="28"/>
      <c r="DC904" s="28"/>
      <c r="DF904" s="28"/>
      <c r="DI904" s="28"/>
      <c r="DL904" s="28"/>
      <c r="DO904" s="28"/>
      <c r="DR904" s="28"/>
      <c r="DU904" s="28"/>
      <c r="DX904" s="28"/>
      <c r="EA904" s="28"/>
      <c r="ED904" s="28"/>
      <c r="EG904" s="28"/>
      <c r="EJ904" s="28"/>
      <c r="EM904" s="28"/>
      <c r="EP904" s="28"/>
      <c r="ES904" s="28"/>
      <c r="EV904" s="28"/>
      <c r="EY904" s="28"/>
      <c r="FB904" s="28"/>
      <c r="FE904" s="28"/>
      <c r="FH904" s="28"/>
      <c r="FK904" s="28"/>
      <c r="FN904" s="28"/>
      <c r="FQ904" s="28"/>
      <c r="FT904" s="28"/>
      <c r="FW904" s="28"/>
      <c r="FZ904" s="28"/>
      <c r="GC904" s="28"/>
    </row>
    <row r="905" spans="1:185" s="25" customFormat="1" x14ac:dyDescent="0.3">
      <c r="A905" s="27"/>
      <c r="B905" s="28"/>
      <c r="C905" s="27"/>
      <c r="D905" s="26"/>
      <c r="E905" s="28"/>
      <c r="H905" s="28"/>
      <c r="K905" s="28"/>
      <c r="N905" s="28"/>
      <c r="Q905" s="28"/>
      <c r="T905" s="28"/>
      <c r="W905" s="28"/>
      <c r="Z905" s="28"/>
      <c r="AC905" s="28"/>
      <c r="AF905" s="28"/>
      <c r="AI905" s="28"/>
      <c r="AL905" s="28"/>
      <c r="AO905" s="28"/>
      <c r="AR905" s="28"/>
      <c r="AU905" s="28"/>
      <c r="AX905" s="28"/>
      <c r="BA905" s="28"/>
      <c r="BD905" s="28"/>
      <c r="BG905" s="28"/>
      <c r="BJ905" s="28"/>
      <c r="BM905" s="28"/>
      <c r="BP905" s="28"/>
      <c r="BS905" s="28"/>
      <c r="BV905" s="28"/>
      <c r="BY905" s="28"/>
      <c r="CB905" s="28"/>
      <c r="CE905" s="28"/>
      <c r="CH905" s="28"/>
      <c r="CK905" s="28"/>
      <c r="CN905" s="28"/>
      <c r="CQ905" s="28"/>
      <c r="CT905" s="28"/>
      <c r="CW905" s="28"/>
      <c r="CZ905" s="28"/>
      <c r="DC905" s="28"/>
      <c r="DF905" s="28"/>
      <c r="DI905" s="28"/>
      <c r="DL905" s="28"/>
      <c r="DO905" s="28"/>
      <c r="DR905" s="28"/>
      <c r="DU905" s="28"/>
      <c r="DX905" s="28"/>
      <c r="EA905" s="28"/>
      <c r="ED905" s="28"/>
      <c r="EG905" s="28"/>
      <c r="EJ905" s="28"/>
      <c r="EM905" s="28"/>
      <c r="EP905" s="28"/>
      <c r="ES905" s="28"/>
      <c r="EV905" s="28"/>
      <c r="EY905" s="28"/>
      <c r="FB905" s="28"/>
      <c r="FE905" s="28"/>
      <c r="FH905" s="28"/>
      <c r="FK905" s="28"/>
      <c r="FN905" s="28"/>
      <c r="FQ905" s="28"/>
      <c r="FT905" s="28"/>
      <c r="FW905" s="28"/>
      <c r="FZ905" s="28"/>
      <c r="GC905" s="28"/>
    </row>
    <row r="906" spans="1:185" s="25" customFormat="1" x14ac:dyDescent="0.3">
      <c r="A906" s="27"/>
      <c r="B906" s="28"/>
      <c r="C906" s="27"/>
      <c r="D906" s="26"/>
      <c r="E906" s="28"/>
      <c r="H906" s="28"/>
      <c r="K906" s="28"/>
      <c r="N906" s="28"/>
      <c r="Q906" s="28"/>
      <c r="T906" s="28"/>
      <c r="W906" s="28"/>
      <c r="Z906" s="28"/>
      <c r="AC906" s="28"/>
      <c r="AF906" s="28"/>
      <c r="AI906" s="28"/>
      <c r="AL906" s="28"/>
      <c r="AO906" s="28"/>
      <c r="AR906" s="28"/>
      <c r="AU906" s="28"/>
      <c r="AX906" s="28"/>
      <c r="BA906" s="28"/>
      <c r="BD906" s="28"/>
      <c r="BG906" s="28"/>
      <c r="BJ906" s="28"/>
      <c r="BM906" s="28"/>
      <c r="BP906" s="28"/>
      <c r="BS906" s="28"/>
      <c r="BV906" s="28"/>
      <c r="BY906" s="28"/>
      <c r="CB906" s="28"/>
      <c r="CE906" s="28"/>
      <c r="CH906" s="28"/>
      <c r="CK906" s="28"/>
      <c r="CN906" s="28"/>
      <c r="CQ906" s="28"/>
      <c r="CT906" s="28"/>
      <c r="CW906" s="28"/>
      <c r="CZ906" s="28"/>
      <c r="DC906" s="28"/>
      <c r="DF906" s="28"/>
      <c r="DI906" s="28"/>
      <c r="DL906" s="28"/>
      <c r="DO906" s="28"/>
      <c r="DR906" s="28"/>
      <c r="DU906" s="28"/>
      <c r="DX906" s="28"/>
      <c r="EA906" s="28"/>
      <c r="ED906" s="28"/>
      <c r="EG906" s="28"/>
      <c r="EJ906" s="28"/>
      <c r="EM906" s="28"/>
      <c r="EP906" s="28"/>
      <c r="ES906" s="28"/>
      <c r="EV906" s="28"/>
      <c r="EY906" s="28"/>
      <c r="FB906" s="28"/>
      <c r="FE906" s="28"/>
      <c r="FH906" s="28"/>
      <c r="FK906" s="28"/>
      <c r="FN906" s="28"/>
      <c r="FQ906" s="28"/>
      <c r="FT906" s="28"/>
      <c r="FW906" s="28"/>
      <c r="FZ906" s="28"/>
      <c r="GC906" s="28"/>
    </row>
    <row r="907" spans="1:185" s="25" customFormat="1" x14ac:dyDescent="0.3">
      <c r="A907" s="27"/>
      <c r="B907" s="28"/>
      <c r="C907" s="27"/>
      <c r="D907" s="26"/>
      <c r="E907" s="28"/>
      <c r="H907" s="28"/>
      <c r="K907" s="28"/>
      <c r="N907" s="28"/>
      <c r="Q907" s="28"/>
      <c r="T907" s="28"/>
      <c r="W907" s="28"/>
      <c r="Z907" s="28"/>
      <c r="AC907" s="28"/>
      <c r="AF907" s="28"/>
      <c r="AI907" s="28"/>
      <c r="AL907" s="28"/>
      <c r="AO907" s="28"/>
      <c r="AR907" s="28"/>
      <c r="AU907" s="28"/>
      <c r="AX907" s="28"/>
      <c r="BA907" s="28"/>
      <c r="BD907" s="28"/>
      <c r="BG907" s="28"/>
      <c r="BJ907" s="28"/>
      <c r="BM907" s="28"/>
      <c r="BP907" s="28"/>
      <c r="BS907" s="28"/>
      <c r="BV907" s="28"/>
      <c r="BY907" s="28"/>
      <c r="CB907" s="28"/>
      <c r="CE907" s="28"/>
      <c r="CH907" s="28"/>
      <c r="CK907" s="28"/>
      <c r="CN907" s="28"/>
      <c r="CQ907" s="28"/>
      <c r="CT907" s="28"/>
      <c r="CW907" s="28"/>
      <c r="CZ907" s="28"/>
      <c r="DC907" s="28"/>
      <c r="DF907" s="28"/>
      <c r="DI907" s="28"/>
      <c r="DL907" s="28"/>
      <c r="DO907" s="28"/>
      <c r="DR907" s="28"/>
      <c r="DU907" s="28"/>
      <c r="DX907" s="28"/>
      <c r="EA907" s="28"/>
      <c r="ED907" s="28"/>
      <c r="EG907" s="28"/>
      <c r="EJ907" s="28"/>
      <c r="EM907" s="28"/>
      <c r="EP907" s="28"/>
      <c r="ES907" s="28"/>
      <c r="EV907" s="28"/>
      <c r="EY907" s="28"/>
      <c r="FB907" s="28"/>
      <c r="FE907" s="28"/>
      <c r="FH907" s="28"/>
      <c r="FK907" s="28"/>
      <c r="FN907" s="28"/>
      <c r="FQ907" s="28"/>
      <c r="FT907" s="28"/>
      <c r="FW907" s="28"/>
      <c r="FZ907" s="28"/>
      <c r="GC907" s="28"/>
    </row>
    <row r="908" spans="1:185" s="25" customFormat="1" x14ac:dyDescent="0.3">
      <c r="A908" s="27"/>
      <c r="B908" s="28"/>
      <c r="C908" s="27"/>
      <c r="D908" s="26"/>
      <c r="E908" s="28"/>
      <c r="H908" s="28"/>
      <c r="K908" s="28"/>
      <c r="N908" s="28"/>
      <c r="Q908" s="28"/>
      <c r="T908" s="28"/>
      <c r="W908" s="28"/>
      <c r="Z908" s="28"/>
      <c r="AC908" s="28"/>
      <c r="AF908" s="28"/>
      <c r="AI908" s="28"/>
      <c r="AL908" s="28"/>
      <c r="AO908" s="28"/>
      <c r="AR908" s="28"/>
      <c r="AU908" s="28"/>
      <c r="AX908" s="28"/>
      <c r="BA908" s="28"/>
      <c r="BD908" s="28"/>
      <c r="BG908" s="28"/>
      <c r="BJ908" s="28"/>
      <c r="BM908" s="28"/>
      <c r="BP908" s="28"/>
      <c r="BS908" s="28"/>
      <c r="BV908" s="28"/>
      <c r="BY908" s="28"/>
      <c r="CB908" s="28"/>
      <c r="CE908" s="28"/>
      <c r="CH908" s="28"/>
      <c r="CK908" s="28"/>
      <c r="CN908" s="28"/>
      <c r="CQ908" s="28"/>
      <c r="CT908" s="28"/>
      <c r="CW908" s="28"/>
      <c r="CZ908" s="28"/>
      <c r="DC908" s="28"/>
      <c r="DF908" s="28"/>
      <c r="DI908" s="28"/>
      <c r="DL908" s="28"/>
      <c r="DO908" s="28"/>
      <c r="DR908" s="28"/>
      <c r="DU908" s="28"/>
      <c r="DX908" s="28"/>
      <c r="EA908" s="28"/>
      <c r="ED908" s="28"/>
      <c r="EG908" s="28"/>
      <c r="EJ908" s="28"/>
      <c r="EM908" s="28"/>
      <c r="EP908" s="28"/>
      <c r="ES908" s="28"/>
      <c r="EV908" s="28"/>
      <c r="EY908" s="28"/>
      <c r="FB908" s="28"/>
      <c r="FE908" s="28"/>
      <c r="FH908" s="28"/>
      <c r="FK908" s="28"/>
      <c r="FN908" s="28"/>
      <c r="FQ908" s="28"/>
      <c r="FT908" s="28"/>
      <c r="FW908" s="28"/>
      <c r="FZ908" s="28"/>
      <c r="GC908" s="28"/>
    </row>
    <row r="909" spans="1:185" s="25" customFormat="1" x14ac:dyDescent="0.3">
      <c r="A909" s="27"/>
      <c r="B909" s="28"/>
      <c r="C909" s="27"/>
      <c r="D909" s="26"/>
      <c r="E909" s="28"/>
      <c r="H909" s="28"/>
      <c r="K909" s="28"/>
      <c r="N909" s="28"/>
      <c r="Q909" s="28"/>
      <c r="T909" s="28"/>
      <c r="W909" s="28"/>
      <c r="Z909" s="28"/>
      <c r="AC909" s="28"/>
      <c r="AF909" s="28"/>
      <c r="AI909" s="28"/>
      <c r="AL909" s="28"/>
      <c r="AO909" s="28"/>
      <c r="AR909" s="28"/>
      <c r="AU909" s="28"/>
      <c r="AX909" s="28"/>
      <c r="BA909" s="28"/>
      <c r="BD909" s="28"/>
      <c r="BG909" s="28"/>
      <c r="BJ909" s="28"/>
      <c r="BM909" s="28"/>
      <c r="BP909" s="28"/>
      <c r="BS909" s="28"/>
      <c r="BV909" s="28"/>
      <c r="BY909" s="28"/>
      <c r="CB909" s="28"/>
      <c r="CE909" s="28"/>
      <c r="CH909" s="28"/>
      <c r="CK909" s="28"/>
      <c r="CN909" s="28"/>
      <c r="CQ909" s="28"/>
      <c r="CT909" s="28"/>
      <c r="CW909" s="28"/>
      <c r="CZ909" s="28"/>
      <c r="DC909" s="28"/>
      <c r="DF909" s="28"/>
      <c r="DI909" s="28"/>
      <c r="DL909" s="28"/>
      <c r="DO909" s="28"/>
      <c r="DR909" s="28"/>
      <c r="DU909" s="28"/>
      <c r="DX909" s="28"/>
      <c r="EA909" s="28"/>
      <c r="ED909" s="28"/>
      <c r="EG909" s="28"/>
      <c r="EJ909" s="28"/>
      <c r="EM909" s="28"/>
      <c r="EP909" s="28"/>
      <c r="ES909" s="28"/>
      <c r="EV909" s="28"/>
      <c r="EY909" s="28"/>
      <c r="FB909" s="28"/>
      <c r="FE909" s="28"/>
      <c r="FH909" s="28"/>
      <c r="FK909" s="28"/>
      <c r="FN909" s="28"/>
      <c r="FQ909" s="28"/>
      <c r="FT909" s="28"/>
      <c r="FW909" s="28"/>
      <c r="FZ909" s="28"/>
      <c r="GC909" s="28"/>
    </row>
    <row r="910" spans="1:185" s="25" customFormat="1" x14ac:dyDescent="0.3">
      <c r="A910" s="27"/>
      <c r="B910" s="28"/>
      <c r="C910" s="27"/>
      <c r="D910" s="26"/>
      <c r="E910" s="28"/>
      <c r="H910" s="28"/>
      <c r="K910" s="28"/>
      <c r="N910" s="28"/>
      <c r="Q910" s="28"/>
      <c r="T910" s="28"/>
      <c r="W910" s="28"/>
      <c r="Z910" s="28"/>
      <c r="AC910" s="28"/>
      <c r="AF910" s="28"/>
      <c r="AI910" s="28"/>
      <c r="AL910" s="28"/>
      <c r="AO910" s="28"/>
      <c r="AR910" s="28"/>
      <c r="AU910" s="28"/>
      <c r="AX910" s="28"/>
      <c r="BA910" s="28"/>
      <c r="BD910" s="28"/>
      <c r="BG910" s="28"/>
      <c r="BJ910" s="28"/>
      <c r="BM910" s="28"/>
      <c r="BP910" s="28"/>
      <c r="BS910" s="28"/>
      <c r="BV910" s="28"/>
      <c r="BY910" s="28"/>
      <c r="CB910" s="28"/>
      <c r="CE910" s="28"/>
      <c r="CH910" s="28"/>
      <c r="CK910" s="28"/>
      <c r="CN910" s="28"/>
      <c r="CQ910" s="28"/>
      <c r="CT910" s="28"/>
      <c r="CW910" s="28"/>
      <c r="CZ910" s="28"/>
      <c r="DC910" s="28"/>
      <c r="DF910" s="28"/>
      <c r="DI910" s="28"/>
      <c r="DL910" s="28"/>
      <c r="DO910" s="28"/>
      <c r="DR910" s="28"/>
      <c r="DU910" s="28"/>
      <c r="DX910" s="28"/>
      <c r="EA910" s="28"/>
      <c r="ED910" s="28"/>
      <c r="EG910" s="28"/>
      <c r="EJ910" s="28"/>
      <c r="EM910" s="28"/>
      <c r="EP910" s="28"/>
      <c r="ES910" s="28"/>
      <c r="EV910" s="28"/>
      <c r="EY910" s="28"/>
      <c r="FB910" s="28"/>
      <c r="FE910" s="28"/>
      <c r="FH910" s="28"/>
      <c r="FK910" s="28"/>
      <c r="FN910" s="28"/>
      <c r="FQ910" s="28"/>
      <c r="FT910" s="28"/>
      <c r="FW910" s="28"/>
      <c r="FZ910" s="28"/>
      <c r="GC910" s="28"/>
    </row>
    <row r="911" spans="1:185" s="25" customFormat="1" x14ac:dyDescent="0.3">
      <c r="A911" s="27"/>
      <c r="B911" s="28"/>
      <c r="C911" s="27"/>
      <c r="D911" s="26"/>
      <c r="E911" s="28"/>
      <c r="H911" s="28"/>
      <c r="K911" s="28"/>
      <c r="N911" s="28"/>
      <c r="Q911" s="28"/>
      <c r="T911" s="28"/>
      <c r="W911" s="28"/>
      <c r="Z911" s="28"/>
      <c r="AC911" s="28"/>
      <c r="AF911" s="28"/>
      <c r="AI911" s="28"/>
      <c r="AL911" s="28"/>
      <c r="AO911" s="28"/>
      <c r="AR911" s="28"/>
      <c r="AU911" s="28"/>
      <c r="AX911" s="28"/>
      <c r="BA911" s="28"/>
      <c r="BD911" s="28"/>
      <c r="BG911" s="28"/>
      <c r="BJ911" s="28"/>
      <c r="BM911" s="28"/>
      <c r="BP911" s="28"/>
      <c r="BS911" s="28"/>
      <c r="BV911" s="28"/>
      <c r="BY911" s="28"/>
      <c r="CB911" s="28"/>
      <c r="CE911" s="28"/>
      <c r="CH911" s="28"/>
      <c r="CK911" s="28"/>
      <c r="CN911" s="28"/>
      <c r="CQ911" s="28"/>
      <c r="CT911" s="28"/>
      <c r="CW911" s="28"/>
      <c r="CZ911" s="28"/>
      <c r="DC911" s="28"/>
      <c r="DF911" s="28"/>
      <c r="DI911" s="28"/>
      <c r="DL911" s="28"/>
      <c r="DO911" s="28"/>
      <c r="DR911" s="28"/>
      <c r="DU911" s="28"/>
      <c r="DX911" s="28"/>
      <c r="EA911" s="28"/>
      <c r="ED911" s="28"/>
      <c r="EG911" s="28"/>
      <c r="EJ911" s="28"/>
      <c r="EM911" s="28"/>
      <c r="EP911" s="28"/>
      <c r="ES911" s="28"/>
      <c r="EV911" s="28"/>
      <c r="EY911" s="28"/>
      <c r="FB911" s="28"/>
      <c r="FE911" s="28"/>
      <c r="FH911" s="28"/>
      <c r="FK911" s="28"/>
      <c r="FN911" s="28"/>
      <c r="FQ911" s="28"/>
      <c r="FT911" s="28"/>
      <c r="FW911" s="28"/>
      <c r="FZ911" s="28"/>
      <c r="GC911" s="28"/>
    </row>
    <row r="912" spans="1:185" s="25" customFormat="1" x14ac:dyDescent="0.3">
      <c r="A912" s="27"/>
      <c r="B912" s="28"/>
      <c r="C912" s="27"/>
      <c r="D912" s="26"/>
      <c r="E912" s="28"/>
      <c r="H912" s="28"/>
      <c r="K912" s="28"/>
      <c r="N912" s="28"/>
      <c r="Q912" s="28"/>
      <c r="T912" s="28"/>
      <c r="W912" s="28"/>
      <c r="Z912" s="28"/>
      <c r="AC912" s="28"/>
      <c r="AF912" s="28"/>
      <c r="AI912" s="28"/>
      <c r="AL912" s="28"/>
      <c r="AO912" s="28"/>
      <c r="AR912" s="28"/>
      <c r="AU912" s="28"/>
      <c r="AX912" s="28"/>
      <c r="BA912" s="28"/>
      <c r="BD912" s="28"/>
      <c r="BG912" s="28"/>
      <c r="BJ912" s="28"/>
      <c r="BM912" s="28"/>
      <c r="BP912" s="28"/>
      <c r="BS912" s="28"/>
      <c r="BV912" s="28"/>
      <c r="BY912" s="28"/>
      <c r="CB912" s="28"/>
      <c r="CE912" s="28"/>
      <c r="CH912" s="28"/>
      <c r="CK912" s="28"/>
      <c r="CN912" s="28"/>
      <c r="CQ912" s="28"/>
      <c r="CT912" s="28"/>
      <c r="CW912" s="28"/>
      <c r="CZ912" s="28"/>
      <c r="DC912" s="28"/>
      <c r="DF912" s="28"/>
      <c r="DI912" s="28"/>
      <c r="DL912" s="28"/>
      <c r="DO912" s="28"/>
      <c r="DR912" s="28"/>
      <c r="DU912" s="28"/>
      <c r="DX912" s="28"/>
      <c r="EA912" s="28"/>
      <c r="ED912" s="28"/>
      <c r="EG912" s="28"/>
      <c r="EJ912" s="28"/>
      <c r="EM912" s="28"/>
      <c r="EP912" s="28"/>
      <c r="ES912" s="28"/>
      <c r="EV912" s="28"/>
      <c r="EY912" s="28"/>
      <c r="FB912" s="28"/>
      <c r="FE912" s="28"/>
      <c r="FH912" s="28"/>
      <c r="FK912" s="28"/>
      <c r="FN912" s="28"/>
      <c r="FQ912" s="28"/>
      <c r="FT912" s="28"/>
      <c r="FW912" s="28"/>
      <c r="FZ912" s="28"/>
      <c r="GC912" s="28"/>
    </row>
    <row r="913" spans="1:185" s="25" customFormat="1" x14ac:dyDescent="0.3">
      <c r="A913" s="27"/>
      <c r="B913" s="28"/>
      <c r="C913" s="27"/>
      <c r="D913" s="26"/>
      <c r="E913" s="28"/>
      <c r="H913" s="28"/>
      <c r="K913" s="28"/>
      <c r="N913" s="28"/>
      <c r="Q913" s="28"/>
      <c r="T913" s="28"/>
      <c r="W913" s="28"/>
      <c r="Z913" s="28"/>
      <c r="AC913" s="28"/>
      <c r="AF913" s="28"/>
      <c r="AI913" s="28"/>
      <c r="AL913" s="28"/>
      <c r="AO913" s="28"/>
      <c r="AR913" s="28"/>
      <c r="AU913" s="28"/>
      <c r="AX913" s="28"/>
      <c r="BA913" s="28"/>
      <c r="BD913" s="28"/>
      <c r="BG913" s="28"/>
      <c r="BJ913" s="28"/>
      <c r="BM913" s="28"/>
      <c r="BP913" s="28"/>
      <c r="BS913" s="28"/>
      <c r="BV913" s="28"/>
      <c r="BY913" s="28"/>
      <c r="CB913" s="28"/>
      <c r="CE913" s="28"/>
      <c r="CH913" s="28"/>
      <c r="CK913" s="28"/>
      <c r="CN913" s="28"/>
      <c r="CQ913" s="28"/>
      <c r="CT913" s="28"/>
      <c r="CW913" s="28"/>
      <c r="CZ913" s="28"/>
      <c r="DC913" s="28"/>
      <c r="DF913" s="28"/>
      <c r="DI913" s="28"/>
      <c r="DL913" s="28"/>
      <c r="DO913" s="28"/>
      <c r="DR913" s="28"/>
      <c r="DU913" s="28"/>
      <c r="DX913" s="28"/>
      <c r="EA913" s="28"/>
      <c r="ED913" s="28"/>
      <c r="EG913" s="28"/>
      <c r="EJ913" s="28"/>
      <c r="EM913" s="28"/>
      <c r="EP913" s="28"/>
      <c r="ES913" s="28"/>
      <c r="EV913" s="28"/>
      <c r="EY913" s="28"/>
      <c r="FB913" s="28"/>
      <c r="FE913" s="28"/>
      <c r="FH913" s="28"/>
      <c r="FK913" s="28"/>
      <c r="FN913" s="28"/>
      <c r="FQ913" s="28"/>
      <c r="FT913" s="28"/>
      <c r="FW913" s="28"/>
      <c r="FZ913" s="28"/>
      <c r="GC913" s="28"/>
    </row>
    <row r="914" spans="1:185" s="25" customFormat="1" x14ac:dyDescent="0.3">
      <c r="A914" s="27"/>
      <c r="B914" s="28"/>
      <c r="C914" s="27"/>
      <c r="D914" s="26"/>
      <c r="E914" s="28"/>
      <c r="H914" s="28"/>
      <c r="K914" s="28"/>
      <c r="N914" s="28"/>
      <c r="Q914" s="28"/>
      <c r="T914" s="28"/>
      <c r="W914" s="28"/>
      <c r="Z914" s="28"/>
      <c r="AC914" s="28"/>
      <c r="AF914" s="28"/>
      <c r="AI914" s="28"/>
      <c r="AL914" s="28"/>
      <c r="AO914" s="28"/>
      <c r="AR914" s="28"/>
      <c r="AU914" s="28"/>
      <c r="AX914" s="28"/>
      <c r="BA914" s="28"/>
      <c r="BD914" s="28"/>
      <c r="BG914" s="28"/>
      <c r="BJ914" s="28"/>
      <c r="BM914" s="28"/>
      <c r="BP914" s="28"/>
      <c r="BS914" s="28"/>
      <c r="BV914" s="28"/>
      <c r="BY914" s="28"/>
      <c r="CB914" s="28"/>
      <c r="CE914" s="28"/>
      <c r="CH914" s="28"/>
      <c r="CK914" s="28"/>
      <c r="CN914" s="28"/>
      <c r="CQ914" s="28"/>
      <c r="CT914" s="28"/>
      <c r="CW914" s="28"/>
      <c r="CZ914" s="28"/>
      <c r="DC914" s="28"/>
      <c r="DF914" s="28"/>
      <c r="DI914" s="28"/>
      <c r="DL914" s="28"/>
      <c r="DO914" s="28"/>
      <c r="DR914" s="28"/>
      <c r="DU914" s="28"/>
      <c r="DX914" s="28"/>
      <c r="EA914" s="28"/>
      <c r="ED914" s="28"/>
      <c r="EG914" s="28"/>
      <c r="EJ914" s="28"/>
      <c r="EM914" s="28"/>
      <c r="EP914" s="28"/>
      <c r="ES914" s="28"/>
      <c r="EV914" s="28"/>
      <c r="EY914" s="28"/>
      <c r="FB914" s="28"/>
      <c r="FE914" s="28"/>
      <c r="FH914" s="28"/>
      <c r="FK914" s="28"/>
      <c r="FN914" s="28"/>
      <c r="FQ914" s="28"/>
      <c r="FT914" s="28"/>
      <c r="FW914" s="28"/>
      <c r="FZ914" s="28"/>
      <c r="GC914" s="28"/>
    </row>
    <row r="915" spans="1:185" s="25" customFormat="1" x14ac:dyDescent="0.3">
      <c r="A915" s="27"/>
      <c r="B915" s="28"/>
      <c r="C915" s="27"/>
      <c r="D915" s="26"/>
      <c r="E915" s="28"/>
      <c r="H915" s="28"/>
      <c r="K915" s="28"/>
      <c r="N915" s="28"/>
      <c r="Q915" s="28"/>
      <c r="T915" s="28"/>
      <c r="W915" s="28"/>
      <c r="Z915" s="28"/>
      <c r="AC915" s="28"/>
      <c r="AF915" s="28"/>
      <c r="AI915" s="28"/>
      <c r="AL915" s="28"/>
      <c r="AO915" s="28"/>
      <c r="AR915" s="28"/>
      <c r="AU915" s="28"/>
      <c r="AX915" s="28"/>
      <c r="BA915" s="28"/>
      <c r="BD915" s="28"/>
      <c r="BG915" s="28"/>
      <c r="BJ915" s="28"/>
      <c r="BM915" s="28"/>
      <c r="BP915" s="28"/>
      <c r="BS915" s="28"/>
      <c r="BV915" s="28"/>
      <c r="BY915" s="28"/>
      <c r="CB915" s="28"/>
      <c r="CE915" s="28"/>
      <c r="CH915" s="28"/>
      <c r="CK915" s="28"/>
      <c r="CN915" s="28"/>
      <c r="CQ915" s="28"/>
      <c r="CT915" s="28"/>
      <c r="CW915" s="28"/>
      <c r="CZ915" s="28"/>
      <c r="DC915" s="28"/>
      <c r="DF915" s="28"/>
      <c r="DI915" s="28"/>
      <c r="DL915" s="28"/>
      <c r="DO915" s="28"/>
      <c r="DR915" s="28"/>
      <c r="DU915" s="28"/>
      <c r="DX915" s="28"/>
      <c r="EA915" s="28"/>
      <c r="ED915" s="28"/>
      <c r="EG915" s="28"/>
      <c r="EJ915" s="28"/>
      <c r="EM915" s="28"/>
      <c r="EP915" s="28"/>
      <c r="ES915" s="28"/>
      <c r="EV915" s="28"/>
      <c r="EY915" s="28"/>
      <c r="FB915" s="28"/>
      <c r="FE915" s="28"/>
      <c r="FH915" s="28"/>
      <c r="FK915" s="28"/>
      <c r="FN915" s="28"/>
      <c r="FQ915" s="28"/>
      <c r="FT915" s="28"/>
      <c r="FW915" s="28"/>
      <c r="FZ915" s="28"/>
      <c r="GC915" s="28"/>
    </row>
    <row r="916" spans="1:185" s="25" customFormat="1" x14ac:dyDescent="0.3">
      <c r="A916" s="27"/>
      <c r="B916" s="28"/>
      <c r="C916" s="27"/>
      <c r="D916" s="26"/>
      <c r="E916" s="28"/>
      <c r="H916" s="28"/>
      <c r="K916" s="28"/>
      <c r="N916" s="28"/>
      <c r="Q916" s="28"/>
      <c r="T916" s="28"/>
      <c r="W916" s="28"/>
      <c r="Z916" s="28"/>
      <c r="AC916" s="28"/>
      <c r="AF916" s="28"/>
      <c r="AI916" s="28"/>
      <c r="AL916" s="28"/>
      <c r="AO916" s="28"/>
      <c r="AR916" s="28"/>
      <c r="AU916" s="28"/>
      <c r="AX916" s="28"/>
      <c r="BA916" s="28"/>
      <c r="BD916" s="28"/>
      <c r="BG916" s="28"/>
      <c r="BJ916" s="28"/>
      <c r="BM916" s="28"/>
      <c r="BP916" s="28"/>
      <c r="BS916" s="28"/>
      <c r="BV916" s="28"/>
      <c r="BY916" s="28"/>
      <c r="CB916" s="28"/>
      <c r="CE916" s="28"/>
      <c r="CH916" s="28"/>
      <c r="CK916" s="28"/>
      <c r="CN916" s="28"/>
      <c r="CQ916" s="28"/>
      <c r="CT916" s="28"/>
      <c r="CW916" s="28"/>
      <c r="CZ916" s="28"/>
      <c r="DC916" s="28"/>
      <c r="DF916" s="28"/>
      <c r="DI916" s="28"/>
      <c r="DL916" s="28"/>
      <c r="DO916" s="28"/>
      <c r="DR916" s="28"/>
      <c r="DU916" s="28"/>
      <c r="DX916" s="28"/>
      <c r="EA916" s="28"/>
      <c r="ED916" s="28"/>
      <c r="EG916" s="28"/>
      <c r="EJ916" s="28"/>
      <c r="EM916" s="28"/>
      <c r="EP916" s="28"/>
      <c r="ES916" s="28"/>
      <c r="EV916" s="28"/>
      <c r="EY916" s="28"/>
      <c r="FB916" s="28"/>
      <c r="FE916" s="28"/>
      <c r="FH916" s="28"/>
      <c r="FK916" s="28"/>
      <c r="FN916" s="28"/>
      <c r="FQ916" s="28"/>
      <c r="FT916" s="28"/>
      <c r="FW916" s="28"/>
      <c r="FZ916" s="28"/>
      <c r="GC916" s="28"/>
    </row>
    <row r="917" spans="1:185" s="25" customFormat="1" x14ac:dyDescent="0.3">
      <c r="A917" s="27"/>
      <c r="B917" s="28"/>
      <c r="C917" s="27"/>
      <c r="D917" s="26"/>
      <c r="E917" s="28"/>
      <c r="H917" s="28"/>
      <c r="K917" s="28"/>
      <c r="N917" s="28"/>
      <c r="Q917" s="28"/>
      <c r="T917" s="28"/>
      <c r="W917" s="28"/>
      <c r="Z917" s="28"/>
      <c r="AC917" s="28"/>
      <c r="AF917" s="28"/>
      <c r="AI917" s="28"/>
      <c r="AL917" s="28"/>
      <c r="AO917" s="28"/>
      <c r="AR917" s="28"/>
      <c r="AU917" s="28"/>
      <c r="AX917" s="28"/>
      <c r="BA917" s="28"/>
      <c r="BD917" s="28"/>
      <c r="BG917" s="28"/>
      <c r="BJ917" s="28"/>
      <c r="BM917" s="28"/>
      <c r="BP917" s="28"/>
      <c r="BS917" s="28"/>
      <c r="BV917" s="28"/>
      <c r="BY917" s="28"/>
      <c r="CB917" s="28"/>
      <c r="CE917" s="28"/>
      <c r="CH917" s="28"/>
      <c r="CK917" s="28"/>
      <c r="CN917" s="28"/>
      <c r="CQ917" s="28"/>
      <c r="CT917" s="28"/>
      <c r="CW917" s="28"/>
      <c r="CZ917" s="28"/>
      <c r="DC917" s="28"/>
      <c r="DF917" s="28"/>
      <c r="DI917" s="28"/>
      <c r="DL917" s="28"/>
      <c r="DO917" s="28"/>
      <c r="DR917" s="28"/>
      <c r="DU917" s="28"/>
      <c r="DX917" s="28"/>
      <c r="EA917" s="28"/>
      <c r="ED917" s="28"/>
      <c r="EG917" s="28"/>
      <c r="EJ917" s="28"/>
      <c r="EM917" s="28"/>
      <c r="EP917" s="28"/>
      <c r="ES917" s="28"/>
      <c r="EV917" s="28"/>
      <c r="EY917" s="28"/>
      <c r="FB917" s="28"/>
      <c r="FE917" s="28"/>
      <c r="FH917" s="28"/>
      <c r="FK917" s="28"/>
      <c r="FN917" s="28"/>
      <c r="FQ917" s="28"/>
      <c r="FT917" s="28"/>
      <c r="FW917" s="28"/>
      <c r="FZ917" s="28"/>
      <c r="GC917" s="28"/>
    </row>
    <row r="918" spans="1:185" s="25" customFormat="1" x14ac:dyDescent="0.3">
      <c r="A918" s="27"/>
      <c r="B918" s="28"/>
      <c r="C918" s="27"/>
      <c r="D918" s="26"/>
      <c r="E918" s="28"/>
      <c r="H918" s="28"/>
      <c r="K918" s="28"/>
      <c r="N918" s="28"/>
      <c r="Q918" s="28"/>
      <c r="T918" s="28"/>
      <c r="W918" s="28"/>
      <c r="Z918" s="28"/>
      <c r="AC918" s="28"/>
      <c r="AF918" s="28"/>
      <c r="AI918" s="28"/>
      <c r="AL918" s="28"/>
      <c r="AO918" s="28"/>
      <c r="AR918" s="28"/>
      <c r="AU918" s="28"/>
      <c r="AX918" s="28"/>
      <c r="BA918" s="28"/>
      <c r="BD918" s="28"/>
      <c r="BG918" s="28"/>
      <c r="BJ918" s="28"/>
      <c r="BM918" s="28"/>
      <c r="BP918" s="28"/>
      <c r="BS918" s="28"/>
      <c r="BV918" s="28"/>
      <c r="BY918" s="28"/>
      <c r="CB918" s="28"/>
      <c r="CE918" s="28"/>
      <c r="CH918" s="28"/>
      <c r="CK918" s="28"/>
      <c r="CN918" s="28"/>
      <c r="CQ918" s="28"/>
      <c r="CT918" s="28"/>
      <c r="CW918" s="28"/>
      <c r="CZ918" s="28"/>
      <c r="DC918" s="28"/>
      <c r="DF918" s="28"/>
      <c r="DI918" s="28"/>
      <c r="DL918" s="28"/>
      <c r="DO918" s="28"/>
      <c r="DR918" s="28"/>
      <c r="DU918" s="28"/>
      <c r="DX918" s="28"/>
      <c r="EA918" s="28"/>
      <c r="ED918" s="28"/>
      <c r="EG918" s="28"/>
      <c r="EJ918" s="28"/>
      <c r="EM918" s="28"/>
      <c r="EP918" s="28"/>
      <c r="ES918" s="28"/>
      <c r="EV918" s="28"/>
      <c r="EY918" s="28"/>
      <c r="FB918" s="28"/>
      <c r="FE918" s="28"/>
      <c r="FH918" s="28"/>
      <c r="FK918" s="28"/>
      <c r="FN918" s="28"/>
      <c r="FQ918" s="28"/>
      <c r="FT918" s="28"/>
      <c r="FW918" s="28"/>
      <c r="FZ918" s="28"/>
      <c r="GC918" s="28"/>
    </row>
    <row r="919" spans="1:185" s="25" customFormat="1" x14ac:dyDescent="0.3">
      <c r="A919" s="27"/>
      <c r="B919" s="28"/>
      <c r="C919" s="27"/>
      <c r="D919" s="26"/>
      <c r="E919" s="28"/>
      <c r="H919" s="28"/>
      <c r="K919" s="28"/>
      <c r="N919" s="28"/>
      <c r="Q919" s="28"/>
      <c r="T919" s="28"/>
      <c r="W919" s="28"/>
      <c r="Z919" s="28"/>
      <c r="AC919" s="28"/>
      <c r="AF919" s="28"/>
      <c r="AI919" s="28"/>
      <c r="AL919" s="28"/>
      <c r="AO919" s="28"/>
      <c r="AR919" s="28"/>
      <c r="AU919" s="28"/>
      <c r="AX919" s="28"/>
      <c r="BA919" s="28"/>
      <c r="BD919" s="28"/>
      <c r="BG919" s="28"/>
      <c r="BJ919" s="28"/>
      <c r="BM919" s="28"/>
      <c r="BP919" s="28"/>
      <c r="BS919" s="28"/>
      <c r="BV919" s="28"/>
      <c r="BY919" s="28"/>
      <c r="CB919" s="28"/>
      <c r="CE919" s="28"/>
      <c r="CH919" s="28"/>
      <c r="CK919" s="28"/>
      <c r="CN919" s="28"/>
      <c r="CQ919" s="28"/>
      <c r="CT919" s="28"/>
      <c r="CW919" s="28"/>
      <c r="CZ919" s="28"/>
      <c r="DC919" s="28"/>
      <c r="DF919" s="28"/>
      <c r="DI919" s="28"/>
      <c r="DL919" s="28"/>
      <c r="DO919" s="28"/>
      <c r="DR919" s="28"/>
      <c r="DU919" s="28"/>
      <c r="DX919" s="28"/>
      <c r="EA919" s="28"/>
      <c r="ED919" s="28"/>
      <c r="EG919" s="28"/>
      <c r="EJ919" s="28"/>
      <c r="EM919" s="28"/>
      <c r="EP919" s="28"/>
      <c r="ES919" s="28"/>
      <c r="EV919" s="28"/>
      <c r="EY919" s="28"/>
      <c r="FB919" s="28"/>
      <c r="FE919" s="28"/>
      <c r="FH919" s="28"/>
      <c r="FK919" s="28"/>
      <c r="FN919" s="28"/>
      <c r="FQ919" s="28"/>
      <c r="FT919" s="28"/>
      <c r="FW919" s="28"/>
      <c r="FZ919" s="28"/>
      <c r="GC919" s="28"/>
    </row>
    <row r="920" spans="1:185" s="25" customFormat="1" x14ac:dyDescent="0.3">
      <c r="A920" s="27"/>
      <c r="B920" s="28"/>
      <c r="C920" s="27"/>
      <c r="D920" s="26"/>
      <c r="E920" s="28"/>
      <c r="H920" s="28"/>
      <c r="K920" s="28"/>
      <c r="N920" s="28"/>
      <c r="Q920" s="28"/>
      <c r="T920" s="28"/>
      <c r="W920" s="28"/>
      <c r="Z920" s="28"/>
      <c r="AC920" s="28"/>
      <c r="AF920" s="28"/>
      <c r="AI920" s="28"/>
      <c r="AL920" s="28"/>
      <c r="AO920" s="28"/>
      <c r="AR920" s="28"/>
      <c r="AU920" s="28"/>
      <c r="AX920" s="28"/>
      <c r="BA920" s="28"/>
      <c r="BD920" s="28"/>
      <c r="BG920" s="28"/>
      <c r="BJ920" s="28"/>
      <c r="BM920" s="28"/>
      <c r="BP920" s="28"/>
      <c r="BS920" s="28"/>
      <c r="BV920" s="28"/>
      <c r="BY920" s="28"/>
      <c r="CB920" s="28"/>
      <c r="CE920" s="28"/>
      <c r="CH920" s="28"/>
      <c r="CK920" s="28"/>
      <c r="CN920" s="28"/>
      <c r="CQ920" s="28"/>
      <c r="CT920" s="28"/>
      <c r="CW920" s="28"/>
      <c r="CZ920" s="28"/>
      <c r="DC920" s="28"/>
      <c r="DF920" s="28"/>
      <c r="DI920" s="28"/>
      <c r="DL920" s="28"/>
      <c r="DO920" s="28"/>
      <c r="DR920" s="28"/>
      <c r="DU920" s="28"/>
      <c r="DX920" s="28"/>
      <c r="EA920" s="28"/>
      <c r="ED920" s="28"/>
      <c r="EG920" s="28"/>
      <c r="EJ920" s="28"/>
      <c r="EM920" s="28"/>
      <c r="EP920" s="28"/>
      <c r="ES920" s="28"/>
      <c r="EV920" s="28"/>
      <c r="EY920" s="28"/>
      <c r="FB920" s="28"/>
      <c r="FE920" s="28"/>
      <c r="FH920" s="28"/>
      <c r="FK920" s="28"/>
      <c r="FN920" s="28"/>
      <c r="FQ920" s="28"/>
      <c r="FT920" s="28"/>
      <c r="FW920" s="28"/>
      <c r="FZ920" s="28"/>
      <c r="GC920" s="28"/>
    </row>
    <row r="921" spans="1:185" s="25" customFormat="1" x14ac:dyDescent="0.3">
      <c r="A921" s="27"/>
      <c r="B921" s="28"/>
      <c r="C921" s="27"/>
      <c r="D921" s="26"/>
      <c r="E921" s="28"/>
      <c r="H921" s="28"/>
      <c r="K921" s="28"/>
      <c r="N921" s="28"/>
      <c r="Q921" s="28"/>
      <c r="T921" s="28"/>
      <c r="W921" s="28"/>
      <c r="Z921" s="28"/>
      <c r="AC921" s="28"/>
      <c r="AF921" s="28"/>
      <c r="AI921" s="28"/>
      <c r="AL921" s="28"/>
      <c r="AO921" s="28"/>
      <c r="AR921" s="28"/>
      <c r="AU921" s="28"/>
      <c r="AX921" s="28"/>
      <c r="BA921" s="28"/>
      <c r="BD921" s="28"/>
      <c r="BG921" s="28"/>
      <c r="BJ921" s="28"/>
      <c r="BM921" s="28"/>
      <c r="BP921" s="28"/>
      <c r="BS921" s="28"/>
      <c r="BV921" s="28"/>
      <c r="BY921" s="28"/>
      <c r="CB921" s="28"/>
      <c r="CE921" s="28"/>
      <c r="CH921" s="28"/>
      <c r="CK921" s="28"/>
      <c r="CN921" s="28"/>
      <c r="CQ921" s="28"/>
      <c r="CT921" s="28"/>
      <c r="CW921" s="28"/>
      <c r="CZ921" s="28"/>
      <c r="DC921" s="28"/>
      <c r="DF921" s="28"/>
      <c r="DI921" s="28"/>
      <c r="DL921" s="28"/>
      <c r="DO921" s="28"/>
      <c r="DR921" s="28"/>
      <c r="DU921" s="28"/>
      <c r="DX921" s="28"/>
      <c r="EA921" s="28"/>
      <c r="ED921" s="28"/>
      <c r="EG921" s="28"/>
      <c r="EJ921" s="28"/>
      <c r="EM921" s="28"/>
      <c r="EP921" s="28"/>
      <c r="ES921" s="28"/>
      <c r="EV921" s="28"/>
      <c r="EY921" s="28"/>
      <c r="FB921" s="28"/>
      <c r="FE921" s="28"/>
      <c r="FH921" s="28"/>
      <c r="FK921" s="28"/>
      <c r="FN921" s="28"/>
      <c r="FQ921" s="28"/>
      <c r="FT921" s="28"/>
      <c r="FW921" s="28"/>
      <c r="FZ921" s="28"/>
      <c r="GC921" s="28"/>
    </row>
    <row r="922" spans="1:185" s="25" customFormat="1" x14ac:dyDescent="0.3">
      <c r="A922" s="27"/>
      <c r="B922" s="28"/>
      <c r="C922" s="27"/>
      <c r="D922" s="26"/>
      <c r="E922" s="28"/>
      <c r="H922" s="28"/>
      <c r="K922" s="28"/>
      <c r="N922" s="28"/>
      <c r="Q922" s="28"/>
      <c r="T922" s="28"/>
      <c r="W922" s="28"/>
      <c r="Z922" s="28"/>
      <c r="AC922" s="28"/>
      <c r="AF922" s="28"/>
      <c r="AI922" s="28"/>
      <c r="AL922" s="28"/>
      <c r="AO922" s="28"/>
      <c r="AR922" s="28"/>
      <c r="AU922" s="28"/>
      <c r="AX922" s="28"/>
      <c r="BA922" s="28"/>
      <c r="BD922" s="28"/>
      <c r="BG922" s="28"/>
      <c r="BJ922" s="28"/>
      <c r="BM922" s="28"/>
      <c r="BP922" s="28"/>
      <c r="BS922" s="28"/>
      <c r="BV922" s="28"/>
      <c r="BY922" s="28"/>
      <c r="CB922" s="28"/>
      <c r="CE922" s="28"/>
      <c r="CH922" s="28"/>
      <c r="CK922" s="28"/>
      <c r="CN922" s="28"/>
      <c r="CQ922" s="28"/>
      <c r="CT922" s="28"/>
      <c r="CW922" s="28"/>
      <c r="CZ922" s="28"/>
      <c r="DC922" s="28"/>
      <c r="DF922" s="28"/>
      <c r="DI922" s="28"/>
      <c r="DL922" s="28"/>
      <c r="DO922" s="28"/>
      <c r="DR922" s="28"/>
      <c r="DU922" s="28"/>
      <c r="DX922" s="28"/>
      <c r="EA922" s="28"/>
      <c r="ED922" s="28"/>
      <c r="EG922" s="28"/>
      <c r="EJ922" s="28"/>
      <c r="EM922" s="28"/>
      <c r="EP922" s="28"/>
      <c r="ES922" s="28"/>
      <c r="EV922" s="28"/>
      <c r="EY922" s="28"/>
      <c r="FB922" s="28"/>
      <c r="FE922" s="28"/>
      <c r="FH922" s="28"/>
      <c r="FK922" s="28"/>
      <c r="FN922" s="28"/>
      <c r="FQ922" s="28"/>
      <c r="FT922" s="28"/>
      <c r="FW922" s="28"/>
      <c r="FZ922" s="28"/>
      <c r="GC922" s="28"/>
    </row>
    <row r="923" spans="1:185" s="25" customFormat="1" x14ac:dyDescent="0.3">
      <c r="A923" s="27"/>
      <c r="B923" s="28"/>
      <c r="C923" s="27"/>
      <c r="D923" s="26"/>
      <c r="E923" s="28"/>
      <c r="H923" s="28"/>
      <c r="K923" s="28"/>
      <c r="N923" s="28"/>
      <c r="Q923" s="28"/>
      <c r="T923" s="28"/>
      <c r="W923" s="28"/>
      <c r="Z923" s="28"/>
      <c r="AC923" s="28"/>
      <c r="AF923" s="28"/>
      <c r="AI923" s="28"/>
      <c r="AL923" s="28"/>
      <c r="AO923" s="28"/>
      <c r="AR923" s="28"/>
      <c r="AU923" s="28"/>
      <c r="AX923" s="28"/>
      <c r="BA923" s="28"/>
      <c r="BD923" s="28"/>
      <c r="BG923" s="28"/>
      <c r="BJ923" s="28"/>
      <c r="BM923" s="28"/>
      <c r="BP923" s="28"/>
      <c r="BS923" s="28"/>
      <c r="BV923" s="28"/>
      <c r="BY923" s="28"/>
      <c r="CB923" s="28"/>
      <c r="CE923" s="28"/>
      <c r="CH923" s="28"/>
      <c r="CK923" s="28"/>
      <c r="CN923" s="28"/>
      <c r="CQ923" s="28"/>
      <c r="CT923" s="28"/>
      <c r="CW923" s="28"/>
      <c r="CZ923" s="28"/>
      <c r="DC923" s="28"/>
      <c r="DF923" s="28"/>
      <c r="DI923" s="28"/>
      <c r="DL923" s="28"/>
      <c r="DO923" s="28"/>
      <c r="DR923" s="28"/>
      <c r="DU923" s="28"/>
      <c r="DX923" s="28"/>
      <c r="EA923" s="28"/>
      <c r="ED923" s="28"/>
      <c r="EG923" s="28"/>
      <c r="EJ923" s="28"/>
      <c r="EM923" s="28"/>
      <c r="EP923" s="28"/>
      <c r="ES923" s="28"/>
      <c r="EV923" s="28"/>
      <c r="EY923" s="28"/>
      <c r="FB923" s="28"/>
      <c r="FE923" s="28"/>
      <c r="FH923" s="28"/>
      <c r="FK923" s="28"/>
      <c r="FN923" s="28"/>
      <c r="FQ923" s="28"/>
      <c r="FT923" s="28"/>
      <c r="FW923" s="28"/>
      <c r="FZ923" s="28"/>
      <c r="GC923" s="28"/>
    </row>
    <row r="924" spans="1:185" s="25" customFormat="1" x14ac:dyDescent="0.3">
      <c r="A924" s="27"/>
      <c r="B924" s="28"/>
      <c r="C924" s="27"/>
      <c r="D924" s="26"/>
      <c r="E924" s="28"/>
      <c r="H924" s="28"/>
      <c r="K924" s="28"/>
      <c r="N924" s="28"/>
      <c r="Q924" s="28"/>
      <c r="T924" s="28"/>
      <c r="W924" s="28"/>
      <c r="Z924" s="28"/>
      <c r="AC924" s="28"/>
      <c r="AF924" s="28"/>
      <c r="AI924" s="28"/>
      <c r="AL924" s="28"/>
      <c r="AO924" s="28"/>
      <c r="AR924" s="28"/>
      <c r="AU924" s="28"/>
      <c r="AX924" s="28"/>
      <c r="BA924" s="28"/>
      <c r="BD924" s="28"/>
      <c r="BG924" s="28"/>
      <c r="BJ924" s="28"/>
      <c r="BM924" s="28"/>
      <c r="BP924" s="28"/>
      <c r="BS924" s="28"/>
      <c r="BV924" s="28"/>
      <c r="BY924" s="28"/>
      <c r="CB924" s="28"/>
      <c r="CE924" s="28"/>
      <c r="CH924" s="28"/>
      <c r="CK924" s="28"/>
      <c r="CN924" s="28"/>
      <c r="CQ924" s="28"/>
      <c r="CT924" s="28"/>
      <c r="CW924" s="28"/>
      <c r="CZ924" s="28"/>
      <c r="DC924" s="28"/>
      <c r="DF924" s="28"/>
      <c r="DI924" s="28"/>
      <c r="DL924" s="28"/>
      <c r="DO924" s="28"/>
      <c r="DR924" s="28"/>
      <c r="DU924" s="28"/>
      <c r="DX924" s="28"/>
      <c r="EA924" s="28"/>
      <c r="ED924" s="28"/>
      <c r="EG924" s="28"/>
      <c r="EJ924" s="28"/>
      <c r="EM924" s="28"/>
      <c r="EP924" s="28"/>
      <c r="ES924" s="28"/>
      <c r="EV924" s="28"/>
      <c r="EY924" s="28"/>
      <c r="FB924" s="28"/>
      <c r="FE924" s="28"/>
      <c r="FH924" s="28"/>
      <c r="FK924" s="28"/>
      <c r="FN924" s="28"/>
      <c r="FQ924" s="28"/>
      <c r="FT924" s="28"/>
      <c r="FW924" s="28"/>
      <c r="FZ924" s="28"/>
      <c r="GC924" s="28"/>
    </row>
    <row r="925" spans="1:185" s="25" customFormat="1" x14ac:dyDescent="0.3">
      <c r="A925" s="27"/>
      <c r="B925" s="28"/>
      <c r="C925" s="27"/>
      <c r="D925" s="26"/>
      <c r="E925" s="28"/>
      <c r="H925" s="28"/>
      <c r="K925" s="28"/>
      <c r="N925" s="28"/>
      <c r="Q925" s="28"/>
      <c r="T925" s="28"/>
      <c r="W925" s="28"/>
      <c r="Z925" s="28"/>
      <c r="AC925" s="28"/>
      <c r="AF925" s="28"/>
      <c r="AI925" s="28"/>
      <c r="AL925" s="28"/>
      <c r="AO925" s="28"/>
      <c r="AR925" s="28"/>
      <c r="AU925" s="28"/>
      <c r="AX925" s="28"/>
      <c r="BA925" s="28"/>
      <c r="BD925" s="28"/>
      <c r="BG925" s="28"/>
      <c r="BJ925" s="28"/>
      <c r="BM925" s="28"/>
      <c r="BP925" s="28"/>
      <c r="BS925" s="28"/>
      <c r="BV925" s="28"/>
      <c r="BY925" s="28"/>
      <c r="CB925" s="28"/>
      <c r="CE925" s="28"/>
      <c r="CH925" s="28"/>
      <c r="CK925" s="28"/>
      <c r="CN925" s="28"/>
      <c r="CQ925" s="28"/>
      <c r="CT925" s="28"/>
      <c r="CW925" s="28"/>
      <c r="CZ925" s="28"/>
      <c r="DC925" s="28"/>
      <c r="DF925" s="28"/>
      <c r="DI925" s="28"/>
      <c r="DL925" s="28"/>
      <c r="DO925" s="28"/>
      <c r="DR925" s="28"/>
      <c r="DU925" s="28"/>
      <c r="DX925" s="28"/>
      <c r="EA925" s="28"/>
      <c r="ED925" s="28"/>
      <c r="EG925" s="28"/>
      <c r="EJ925" s="28"/>
      <c r="EM925" s="28"/>
      <c r="EP925" s="28"/>
      <c r="ES925" s="28"/>
      <c r="EV925" s="28"/>
      <c r="EY925" s="28"/>
      <c r="FB925" s="28"/>
      <c r="FE925" s="28"/>
      <c r="FH925" s="28"/>
      <c r="FK925" s="28"/>
      <c r="FN925" s="28"/>
      <c r="FQ925" s="28"/>
      <c r="FT925" s="28"/>
      <c r="FW925" s="28"/>
      <c r="FZ925" s="28"/>
      <c r="GC925" s="28"/>
    </row>
    <row r="926" spans="1:185" s="25" customFormat="1" x14ac:dyDescent="0.3">
      <c r="A926" s="27"/>
      <c r="B926" s="28"/>
      <c r="C926" s="27"/>
      <c r="D926" s="26"/>
      <c r="E926" s="28"/>
      <c r="H926" s="28"/>
      <c r="K926" s="28"/>
      <c r="N926" s="28"/>
      <c r="Q926" s="28"/>
      <c r="T926" s="28"/>
      <c r="W926" s="28"/>
      <c r="Z926" s="28"/>
      <c r="AC926" s="28"/>
      <c r="AF926" s="28"/>
      <c r="AI926" s="28"/>
      <c r="AL926" s="28"/>
      <c r="AO926" s="28"/>
      <c r="AR926" s="28"/>
      <c r="AU926" s="28"/>
      <c r="AX926" s="28"/>
      <c r="BA926" s="28"/>
      <c r="BD926" s="28"/>
      <c r="BG926" s="28"/>
      <c r="BJ926" s="28"/>
      <c r="BM926" s="28"/>
      <c r="BP926" s="28"/>
      <c r="BS926" s="28"/>
      <c r="BV926" s="28"/>
      <c r="BY926" s="28"/>
      <c r="CB926" s="28"/>
      <c r="CE926" s="28"/>
      <c r="CH926" s="28"/>
      <c r="CK926" s="28"/>
      <c r="CN926" s="28"/>
      <c r="CQ926" s="28"/>
      <c r="CT926" s="28"/>
      <c r="CW926" s="28"/>
      <c r="CZ926" s="28"/>
      <c r="DC926" s="28"/>
      <c r="DF926" s="28"/>
      <c r="DI926" s="28"/>
      <c r="DL926" s="28"/>
      <c r="DO926" s="28"/>
      <c r="DR926" s="28"/>
      <c r="DU926" s="28"/>
      <c r="DX926" s="28"/>
      <c r="EA926" s="28"/>
      <c r="ED926" s="28"/>
      <c r="EG926" s="28"/>
      <c r="EJ926" s="28"/>
      <c r="EM926" s="28"/>
      <c r="EP926" s="28"/>
      <c r="ES926" s="28"/>
      <c r="EV926" s="28"/>
      <c r="EY926" s="28"/>
      <c r="FB926" s="28"/>
      <c r="FE926" s="28"/>
      <c r="FH926" s="28"/>
      <c r="FK926" s="28"/>
      <c r="FN926" s="28"/>
      <c r="FQ926" s="28"/>
      <c r="FT926" s="28"/>
      <c r="FW926" s="28"/>
      <c r="FZ926" s="28"/>
      <c r="GC926" s="28"/>
    </row>
    <row r="927" spans="1:185" s="25" customFormat="1" x14ac:dyDescent="0.3">
      <c r="A927" s="27"/>
      <c r="B927" s="28"/>
      <c r="C927" s="27"/>
      <c r="D927" s="26"/>
      <c r="E927" s="28"/>
      <c r="H927" s="28"/>
      <c r="K927" s="28"/>
      <c r="N927" s="28"/>
      <c r="Q927" s="28"/>
      <c r="T927" s="28"/>
      <c r="W927" s="28"/>
      <c r="Z927" s="28"/>
      <c r="AC927" s="28"/>
      <c r="AF927" s="28"/>
      <c r="AI927" s="28"/>
      <c r="AL927" s="28"/>
      <c r="AO927" s="28"/>
      <c r="AR927" s="28"/>
      <c r="AU927" s="28"/>
      <c r="AX927" s="28"/>
      <c r="BA927" s="28"/>
      <c r="BD927" s="28"/>
      <c r="BG927" s="28"/>
      <c r="BJ927" s="28"/>
      <c r="BM927" s="28"/>
      <c r="BP927" s="28"/>
      <c r="BS927" s="28"/>
      <c r="BV927" s="28"/>
      <c r="BY927" s="28"/>
      <c r="CB927" s="28"/>
      <c r="CE927" s="28"/>
      <c r="CH927" s="28"/>
      <c r="CK927" s="28"/>
      <c r="CN927" s="28"/>
      <c r="CQ927" s="28"/>
      <c r="CT927" s="28"/>
      <c r="CW927" s="28"/>
      <c r="CZ927" s="28"/>
      <c r="DC927" s="28"/>
      <c r="DF927" s="28"/>
      <c r="DI927" s="28"/>
      <c r="DL927" s="28"/>
      <c r="DO927" s="28"/>
      <c r="DR927" s="28"/>
      <c r="DU927" s="28"/>
      <c r="DX927" s="28"/>
      <c r="EA927" s="28"/>
      <c r="ED927" s="28"/>
      <c r="EG927" s="28"/>
      <c r="EJ927" s="28"/>
      <c r="EM927" s="28"/>
      <c r="EP927" s="28"/>
      <c r="ES927" s="28"/>
      <c r="EV927" s="28"/>
      <c r="EY927" s="28"/>
      <c r="FB927" s="28"/>
      <c r="FE927" s="28"/>
      <c r="FH927" s="28"/>
      <c r="FK927" s="28"/>
      <c r="FN927" s="28"/>
      <c r="FQ927" s="28"/>
      <c r="FT927" s="28"/>
      <c r="FW927" s="28"/>
      <c r="FZ927" s="28"/>
      <c r="GC927" s="28"/>
    </row>
    <row r="928" spans="1:185" s="25" customFormat="1" x14ac:dyDescent="0.3">
      <c r="A928" s="27"/>
      <c r="B928" s="28"/>
      <c r="C928" s="27"/>
      <c r="D928" s="26"/>
      <c r="E928" s="28"/>
      <c r="H928" s="28"/>
      <c r="K928" s="28"/>
      <c r="N928" s="28"/>
      <c r="Q928" s="28"/>
      <c r="T928" s="28"/>
      <c r="W928" s="28"/>
      <c r="Z928" s="28"/>
      <c r="AC928" s="28"/>
      <c r="AF928" s="28"/>
      <c r="AI928" s="28"/>
      <c r="AL928" s="28"/>
      <c r="AO928" s="28"/>
      <c r="AR928" s="28"/>
      <c r="AU928" s="28"/>
      <c r="AX928" s="28"/>
      <c r="BA928" s="28"/>
      <c r="BD928" s="28"/>
      <c r="BG928" s="28"/>
      <c r="BJ928" s="28"/>
      <c r="BM928" s="28"/>
      <c r="BP928" s="28"/>
      <c r="BS928" s="28"/>
      <c r="BV928" s="28"/>
      <c r="BY928" s="28"/>
      <c r="CB928" s="28"/>
      <c r="CE928" s="28"/>
      <c r="CH928" s="28"/>
      <c r="CK928" s="28"/>
      <c r="CN928" s="28"/>
      <c r="CQ928" s="28"/>
      <c r="CT928" s="28"/>
      <c r="CW928" s="28"/>
      <c r="CZ928" s="28"/>
      <c r="DC928" s="28"/>
      <c r="DF928" s="28"/>
      <c r="DI928" s="28"/>
      <c r="DL928" s="28"/>
      <c r="DO928" s="28"/>
      <c r="DR928" s="28"/>
      <c r="DU928" s="28"/>
      <c r="DX928" s="28"/>
      <c r="EA928" s="28"/>
      <c r="ED928" s="28"/>
      <c r="EG928" s="28"/>
      <c r="EJ928" s="28"/>
      <c r="EM928" s="28"/>
      <c r="EP928" s="28"/>
      <c r="ES928" s="28"/>
      <c r="EV928" s="28"/>
      <c r="EY928" s="28"/>
      <c r="FB928" s="28"/>
      <c r="FE928" s="28"/>
      <c r="FH928" s="28"/>
      <c r="FK928" s="28"/>
      <c r="FN928" s="28"/>
      <c r="FQ928" s="28"/>
      <c r="FT928" s="28"/>
      <c r="FW928" s="28"/>
      <c r="FZ928" s="28"/>
      <c r="GC928" s="28"/>
    </row>
    <row r="929" spans="1:185" s="25" customFormat="1" x14ac:dyDescent="0.3">
      <c r="A929" s="27"/>
      <c r="B929" s="28"/>
      <c r="C929" s="27"/>
      <c r="D929" s="26"/>
      <c r="E929" s="28"/>
      <c r="H929" s="28"/>
      <c r="K929" s="28"/>
      <c r="N929" s="28"/>
      <c r="Q929" s="28"/>
      <c r="T929" s="28"/>
      <c r="W929" s="28"/>
      <c r="Z929" s="28"/>
      <c r="AC929" s="28"/>
      <c r="AF929" s="28"/>
      <c r="AI929" s="28"/>
      <c r="AL929" s="28"/>
      <c r="AO929" s="28"/>
      <c r="AR929" s="28"/>
      <c r="AU929" s="28"/>
      <c r="AX929" s="28"/>
      <c r="BA929" s="28"/>
      <c r="BD929" s="28"/>
      <c r="BG929" s="28"/>
      <c r="BJ929" s="28"/>
      <c r="BM929" s="28"/>
      <c r="BP929" s="28"/>
      <c r="BS929" s="28"/>
      <c r="BV929" s="28"/>
      <c r="BY929" s="28"/>
      <c r="CB929" s="28"/>
      <c r="CE929" s="28"/>
      <c r="CH929" s="28"/>
      <c r="CK929" s="28"/>
      <c r="CN929" s="28"/>
      <c r="CQ929" s="28"/>
      <c r="CT929" s="28"/>
      <c r="CW929" s="28"/>
      <c r="CZ929" s="28"/>
      <c r="DC929" s="28"/>
      <c r="DF929" s="28"/>
      <c r="DI929" s="28"/>
      <c r="DL929" s="28"/>
      <c r="DO929" s="28"/>
      <c r="DR929" s="28"/>
      <c r="DU929" s="28"/>
      <c r="DX929" s="28"/>
      <c r="EA929" s="28"/>
      <c r="ED929" s="28"/>
      <c r="EG929" s="28"/>
      <c r="EJ929" s="28"/>
      <c r="EM929" s="28"/>
      <c r="EP929" s="28"/>
      <c r="ES929" s="28"/>
      <c r="EV929" s="28"/>
      <c r="EY929" s="28"/>
      <c r="FB929" s="28"/>
      <c r="FE929" s="28"/>
      <c r="FH929" s="28"/>
      <c r="FK929" s="28"/>
      <c r="FN929" s="28"/>
      <c r="FQ929" s="28"/>
      <c r="FT929" s="28"/>
      <c r="FW929" s="28"/>
      <c r="FZ929" s="28"/>
      <c r="GC929" s="28"/>
    </row>
    <row r="930" spans="1:185" s="25" customFormat="1" x14ac:dyDescent="0.3">
      <c r="A930" s="27"/>
      <c r="B930" s="28"/>
      <c r="C930" s="27"/>
      <c r="D930" s="26"/>
      <c r="E930" s="28"/>
      <c r="H930" s="28"/>
      <c r="K930" s="28"/>
      <c r="N930" s="28"/>
      <c r="Q930" s="28"/>
      <c r="T930" s="28"/>
      <c r="W930" s="28"/>
      <c r="Z930" s="28"/>
      <c r="AC930" s="28"/>
      <c r="AF930" s="28"/>
      <c r="AI930" s="28"/>
      <c r="AL930" s="28"/>
      <c r="AO930" s="28"/>
      <c r="AR930" s="28"/>
      <c r="AU930" s="28"/>
      <c r="AX930" s="28"/>
      <c r="BA930" s="28"/>
      <c r="BD930" s="28"/>
      <c r="BG930" s="28"/>
      <c r="BJ930" s="28"/>
      <c r="BM930" s="28"/>
      <c r="BP930" s="28"/>
      <c r="BS930" s="28"/>
      <c r="BV930" s="28"/>
      <c r="BY930" s="28"/>
      <c r="CB930" s="28"/>
      <c r="CE930" s="28"/>
      <c r="CH930" s="28"/>
      <c r="CK930" s="28"/>
      <c r="CN930" s="28"/>
      <c r="CQ930" s="28"/>
      <c r="CT930" s="28"/>
      <c r="CW930" s="28"/>
      <c r="CZ930" s="28"/>
      <c r="DC930" s="28"/>
      <c r="DF930" s="28"/>
      <c r="DI930" s="28"/>
      <c r="DL930" s="28"/>
      <c r="DO930" s="28"/>
      <c r="DR930" s="28"/>
      <c r="DU930" s="28"/>
      <c r="DX930" s="28"/>
      <c r="EA930" s="28"/>
      <c r="ED930" s="28"/>
      <c r="EG930" s="28"/>
      <c r="EJ930" s="28"/>
      <c r="EM930" s="28"/>
      <c r="EP930" s="28"/>
      <c r="ES930" s="28"/>
      <c r="EV930" s="28"/>
      <c r="EY930" s="28"/>
      <c r="FB930" s="28"/>
      <c r="FE930" s="28"/>
      <c r="FH930" s="28"/>
      <c r="FK930" s="28"/>
      <c r="FN930" s="28"/>
      <c r="FQ930" s="28"/>
      <c r="FT930" s="28"/>
      <c r="FW930" s="28"/>
      <c r="FZ930" s="28"/>
      <c r="GC930" s="28"/>
    </row>
    <row r="931" spans="1:185" s="25" customFormat="1" x14ac:dyDescent="0.3">
      <c r="A931" s="27"/>
      <c r="B931" s="28"/>
      <c r="C931" s="27"/>
      <c r="D931" s="26"/>
      <c r="E931" s="28"/>
      <c r="H931" s="28"/>
      <c r="K931" s="28"/>
      <c r="N931" s="28"/>
      <c r="Q931" s="28"/>
      <c r="T931" s="28"/>
      <c r="W931" s="28"/>
      <c r="Z931" s="28"/>
      <c r="AC931" s="28"/>
      <c r="AF931" s="28"/>
      <c r="AI931" s="28"/>
      <c r="AL931" s="28"/>
      <c r="AO931" s="28"/>
      <c r="AR931" s="28"/>
      <c r="AU931" s="28"/>
      <c r="AX931" s="28"/>
      <c r="BA931" s="28"/>
      <c r="BD931" s="28"/>
      <c r="BG931" s="28"/>
      <c r="BJ931" s="28"/>
      <c r="BM931" s="28"/>
      <c r="BP931" s="28"/>
      <c r="BS931" s="28"/>
      <c r="BV931" s="28"/>
      <c r="BY931" s="28"/>
      <c r="CB931" s="28"/>
      <c r="CE931" s="28"/>
      <c r="CH931" s="28"/>
      <c r="CK931" s="28"/>
      <c r="CN931" s="28"/>
      <c r="CQ931" s="28"/>
      <c r="CT931" s="28"/>
      <c r="CW931" s="28"/>
      <c r="CZ931" s="28"/>
      <c r="DC931" s="28"/>
      <c r="DF931" s="28"/>
      <c r="DI931" s="28"/>
      <c r="DL931" s="28"/>
      <c r="DO931" s="28"/>
      <c r="DR931" s="28"/>
      <c r="DU931" s="28"/>
      <c r="DX931" s="28"/>
      <c r="EA931" s="28"/>
      <c r="ED931" s="28"/>
      <c r="EG931" s="28"/>
      <c r="EJ931" s="28"/>
      <c r="EM931" s="28"/>
      <c r="EP931" s="28"/>
      <c r="ES931" s="28"/>
      <c r="EV931" s="28"/>
      <c r="EY931" s="28"/>
      <c r="FB931" s="28"/>
      <c r="FE931" s="28"/>
      <c r="FH931" s="28"/>
      <c r="FK931" s="28"/>
      <c r="FN931" s="28"/>
      <c r="FQ931" s="28"/>
      <c r="FT931" s="28"/>
      <c r="FW931" s="28"/>
      <c r="FZ931" s="28"/>
      <c r="GC931" s="28"/>
    </row>
    <row r="932" spans="1:185" s="25" customFormat="1" x14ac:dyDescent="0.3">
      <c r="A932" s="27"/>
      <c r="B932" s="28"/>
      <c r="C932" s="27"/>
      <c r="D932" s="26"/>
      <c r="E932" s="28"/>
      <c r="H932" s="28"/>
      <c r="K932" s="28"/>
      <c r="N932" s="28"/>
      <c r="Q932" s="28"/>
      <c r="T932" s="28"/>
      <c r="W932" s="28"/>
      <c r="Z932" s="28"/>
      <c r="AC932" s="28"/>
      <c r="AF932" s="28"/>
      <c r="AI932" s="28"/>
      <c r="AL932" s="28"/>
      <c r="AO932" s="28"/>
      <c r="AR932" s="28"/>
      <c r="AU932" s="28"/>
      <c r="AX932" s="28"/>
      <c r="BA932" s="28"/>
      <c r="BD932" s="28"/>
      <c r="BG932" s="28"/>
      <c r="BJ932" s="28"/>
      <c r="BM932" s="28"/>
      <c r="BP932" s="28"/>
      <c r="BS932" s="28"/>
      <c r="BV932" s="28"/>
      <c r="BY932" s="28"/>
      <c r="CB932" s="28"/>
      <c r="CE932" s="28"/>
      <c r="CH932" s="28"/>
      <c r="CK932" s="28"/>
      <c r="CN932" s="28"/>
      <c r="CQ932" s="28"/>
      <c r="CT932" s="28"/>
      <c r="CW932" s="28"/>
      <c r="CZ932" s="28"/>
      <c r="DC932" s="28"/>
      <c r="DF932" s="28"/>
      <c r="DI932" s="28"/>
      <c r="DL932" s="28"/>
      <c r="DO932" s="28"/>
      <c r="DR932" s="28"/>
      <c r="DU932" s="28"/>
      <c r="DX932" s="28"/>
      <c r="EA932" s="28"/>
      <c r="ED932" s="28"/>
      <c r="EG932" s="28"/>
      <c r="EJ932" s="28"/>
      <c r="EM932" s="28"/>
      <c r="EP932" s="28"/>
      <c r="ES932" s="28"/>
      <c r="EV932" s="28"/>
      <c r="EY932" s="28"/>
      <c r="FB932" s="28"/>
      <c r="FE932" s="28"/>
      <c r="FH932" s="28"/>
      <c r="FK932" s="28"/>
      <c r="FN932" s="28"/>
      <c r="FQ932" s="28"/>
      <c r="FT932" s="28"/>
      <c r="FW932" s="28"/>
      <c r="FZ932" s="28"/>
      <c r="GC932" s="28"/>
    </row>
    <row r="933" spans="1:185" s="25" customFormat="1" x14ac:dyDescent="0.3">
      <c r="A933" s="27"/>
      <c r="B933" s="28"/>
      <c r="C933" s="27"/>
      <c r="D933" s="26"/>
      <c r="E933" s="28"/>
      <c r="H933" s="28"/>
      <c r="K933" s="28"/>
      <c r="N933" s="28"/>
      <c r="Q933" s="28"/>
      <c r="T933" s="28"/>
      <c r="W933" s="28"/>
      <c r="Z933" s="28"/>
      <c r="AC933" s="28"/>
      <c r="AF933" s="28"/>
      <c r="AI933" s="28"/>
      <c r="AL933" s="28"/>
      <c r="AO933" s="28"/>
      <c r="AR933" s="28"/>
      <c r="AU933" s="28"/>
      <c r="AX933" s="28"/>
      <c r="BA933" s="28"/>
      <c r="BD933" s="28"/>
      <c r="BG933" s="28"/>
      <c r="BJ933" s="28"/>
      <c r="BM933" s="28"/>
      <c r="BP933" s="28"/>
      <c r="BS933" s="28"/>
      <c r="BV933" s="28"/>
      <c r="BY933" s="28"/>
      <c r="CB933" s="28"/>
      <c r="CE933" s="28"/>
      <c r="CH933" s="28"/>
      <c r="CK933" s="28"/>
      <c r="CN933" s="28"/>
      <c r="CQ933" s="28"/>
      <c r="CT933" s="28"/>
      <c r="CW933" s="28"/>
      <c r="CZ933" s="28"/>
      <c r="DC933" s="28"/>
      <c r="DF933" s="28"/>
      <c r="DI933" s="28"/>
      <c r="DL933" s="28"/>
      <c r="DO933" s="28"/>
      <c r="DR933" s="28"/>
      <c r="DU933" s="28"/>
      <c r="DX933" s="28"/>
      <c r="EA933" s="28"/>
      <c r="ED933" s="28"/>
      <c r="EG933" s="28"/>
      <c r="EJ933" s="28"/>
      <c r="EM933" s="28"/>
      <c r="EP933" s="28"/>
      <c r="ES933" s="28"/>
      <c r="EV933" s="28"/>
      <c r="EY933" s="28"/>
      <c r="FB933" s="28"/>
      <c r="FE933" s="28"/>
      <c r="FH933" s="28"/>
      <c r="FK933" s="28"/>
      <c r="FN933" s="28"/>
      <c r="FQ933" s="28"/>
      <c r="FT933" s="28"/>
      <c r="FW933" s="28"/>
      <c r="FZ933" s="28"/>
      <c r="GC933" s="28"/>
    </row>
    <row r="934" spans="1:185" s="25" customFormat="1" x14ac:dyDescent="0.3">
      <c r="A934" s="27"/>
      <c r="B934" s="28"/>
      <c r="C934" s="27"/>
      <c r="D934" s="26"/>
      <c r="E934" s="28"/>
      <c r="H934" s="28"/>
      <c r="K934" s="28"/>
      <c r="N934" s="28"/>
      <c r="Q934" s="28"/>
      <c r="T934" s="28"/>
      <c r="W934" s="28"/>
      <c r="Z934" s="28"/>
      <c r="AC934" s="28"/>
      <c r="AF934" s="28"/>
      <c r="AI934" s="28"/>
      <c r="AL934" s="28"/>
      <c r="AO934" s="28"/>
      <c r="AR934" s="28"/>
      <c r="AU934" s="28"/>
      <c r="AX934" s="28"/>
      <c r="BA934" s="28"/>
      <c r="BD934" s="28"/>
      <c r="BG934" s="28"/>
      <c r="BJ934" s="28"/>
      <c r="BM934" s="28"/>
      <c r="BP934" s="28"/>
      <c r="BS934" s="28"/>
      <c r="BV934" s="28"/>
      <c r="BY934" s="28"/>
      <c r="CB934" s="28"/>
      <c r="CE934" s="28"/>
      <c r="CH934" s="28"/>
      <c r="CK934" s="28"/>
      <c r="CN934" s="28"/>
      <c r="CQ934" s="28"/>
      <c r="CT934" s="28"/>
      <c r="CW934" s="28"/>
      <c r="CZ934" s="28"/>
      <c r="DC934" s="28"/>
      <c r="DF934" s="28"/>
      <c r="DI934" s="28"/>
      <c r="DL934" s="28"/>
      <c r="DO934" s="28"/>
      <c r="DR934" s="28"/>
      <c r="DU934" s="28"/>
      <c r="DX934" s="28"/>
      <c r="EA934" s="28"/>
      <c r="ED934" s="28"/>
      <c r="EG934" s="28"/>
      <c r="EJ934" s="28"/>
      <c r="EM934" s="28"/>
      <c r="EP934" s="28"/>
      <c r="ES934" s="28"/>
      <c r="EV934" s="28"/>
      <c r="EY934" s="28"/>
      <c r="FB934" s="28"/>
      <c r="FE934" s="28"/>
      <c r="FH934" s="28"/>
      <c r="FK934" s="28"/>
      <c r="FN934" s="28"/>
      <c r="FQ934" s="28"/>
      <c r="FT934" s="28"/>
      <c r="FW934" s="28"/>
      <c r="FZ934" s="28"/>
      <c r="GC934" s="28"/>
    </row>
    <row r="935" spans="1:185" s="25" customFormat="1" x14ac:dyDescent="0.3">
      <c r="A935" s="27"/>
      <c r="B935" s="28"/>
      <c r="C935" s="27"/>
      <c r="D935" s="26"/>
      <c r="E935" s="28"/>
      <c r="H935" s="28"/>
      <c r="K935" s="28"/>
      <c r="N935" s="28"/>
      <c r="Q935" s="28"/>
      <c r="T935" s="28"/>
      <c r="W935" s="28"/>
      <c r="Z935" s="28"/>
      <c r="AC935" s="28"/>
      <c r="AF935" s="28"/>
      <c r="AI935" s="28"/>
      <c r="AL935" s="28"/>
      <c r="AO935" s="28"/>
      <c r="AR935" s="28"/>
      <c r="AU935" s="28"/>
      <c r="AX935" s="28"/>
      <c r="BA935" s="28"/>
      <c r="BD935" s="28"/>
      <c r="BG935" s="28"/>
      <c r="BJ935" s="28"/>
      <c r="BM935" s="28"/>
      <c r="BP935" s="28"/>
      <c r="BS935" s="28"/>
      <c r="BV935" s="28"/>
      <c r="BY935" s="28"/>
      <c r="CB935" s="28"/>
      <c r="CE935" s="28"/>
      <c r="CH935" s="28"/>
      <c r="CK935" s="28"/>
      <c r="CN935" s="28"/>
      <c r="CQ935" s="28"/>
      <c r="CT935" s="28"/>
      <c r="CW935" s="28"/>
      <c r="CZ935" s="28"/>
      <c r="DC935" s="28"/>
      <c r="DF935" s="28"/>
      <c r="DI935" s="28"/>
      <c r="DL935" s="28"/>
      <c r="DO935" s="28"/>
      <c r="DR935" s="28"/>
      <c r="DU935" s="28"/>
      <c r="DX935" s="28"/>
      <c r="EA935" s="28"/>
      <c r="ED935" s="28"/>
      <c r="EG935" s="28"/>
      <c r="EJ935" s="28"/>
      <c r="EM935" s="28"/>
      <c r="EP935" s="28"/>
      <c r="ES935" s="28"/>
      <c r="EV935" s="28"/>
      <c r="EY935" s="28"/>
      <c r="FB935" s="28"/>
      <c r="FE935" s="28"/>
      <c r="FH935" s="28"/>
      <c r="FK935" s="28"/>
      <c r="FN935" s="28"/>
      <c r="FQ935" s="28"/>
      <c r="FT935" s="28"/>
      <c r="FW935" s="28"/>
      <c r="FZ935" s="28"/>
      <c r="GC935" s="28"/>
    </row>
    <row r="936" spans="1:185" s="25" customFormat="1" x14ac:dyDescent="0.3">
      <c r="A936" s="27"/>
      <c r="B936" s="28"/>
      <c r="C936" s="27"/>
      <c r="D936" s="26"/>
      <c r="E936" s="28"/>
      <c r="H936" s="28"/>
      <c r="K936" s="28"/>
      <c r="N936" s="28"/>
      <c r="Q936" s="28"/>
      <c r="T936" s="28"/>
      <c r="W936" s="28"/>
      <c r="Z936" s="28"/>
      <c r="AC936" s="28"/>
      <c r="AF936" s="28"/>
      <c r="AI936" s="28"/>
      <c r="AL936" s="28"/>
      <c r="AO936" s="28"/>
      <c r="AR936" s="28"/>
      <c r="AU936" s="28"/>
      <c r="AX936" s="28"/>
      <c r="BA936" s="28"/>
      <c r="BD936" s="28"/>
      <c r="BG936" s="28"/>
      <c r="BJ936" s="28"/>
      <c r="BM936" s="28"/>
      <c r="BP936" s="28"/>
      <c r="BS936" s="28"/>
      <c r="BV936" s="28"/>
      <c r="BY936" s="28"/>
      <c r="CB936" s="28"/>
      <c r="CE936" s="28"/>
      <c r="CH936" s="28"/>
      <c r="CK936" s="28"/>
      <c r="CN936" s="28"/>
      <c r="CQ936" s="28"/>
      <c r="CT936" s="28"/>
      <c r="CW936" s="28"/>
      <c r="CZ936" s="28"/>
      <c r="DC936" s="28"/>
      <c r="DF936" s="28"/>
      <c r="DI936" s="28"/>
      <c r="DL936" s="28"/>
      <c r="DO936" s="28"/>
      <c r="DR936" s="28"/>
      <c r="DU936" s="28"/>
      <c r="DX936" s="28"/>
      <c r="EA936" s="28"/>
      <c r="ED936" s="28"/>
      <c r="EG936" s="28"/>
      <c r="EJ936" s="28"/>
      <c r="EM936" s="28"/>
      <c r="EP936" s="28"/>
      <c r="ES936" s="28"/>
      <c r="EV936" s="28"/>
      <c r="EY936" s="28"/>
      <c r="FB936" s="28"/>
      <c r="FE936" s="28"/>
      <c r="FH936" s="28"/>
      <c r="FK936" s="28"/>
      <c r="FN936" s="28"/>
      <c r="FQ936" s="28"/>
      <c r="FT936" s="28"/>
      <c r="FW936" s="28"/>
      <c r="FZ936" s="28"/>
      <c r="GC936" s="28"/>
    </row>
    <row r="937" spans="1:185" s="25" customFormat="1" x14ac:dyDescent="0.3">
      <c r="A937" s="27"/>
      <c r="B937" s="28"/>
      <c r="C937" s="27"/>
      <c r="D937" s="26"/>
      <c r="E937" s="28"/>
      <c r="H937" s="28"/>
      <c r="K937" s="28"/>
      <c r="N937" s="28"/>
      <c r="Q937" s="28"/>
      <c r="T937" s="28"/>
      <c r="W937" s="28"/>
      <c r="Z937" s="28"/>
      <c r="AC937" s="28"/>
      <c r="AF937" s="28"/>
      <c r="AI937" s="28"/>
      <c r="AL937" s="28"/>
      <c r="AO937" s="28"/>
      <c r="AR937" s="28"/>
      <c r="AU937" s="28"/>
      <c r="AX937" s="28"/>
      <c r="BA937" s="28"/>
      <c r="BD937" s="28"/>
      <c r="BG937" s="28"/>
      <c r="BJ937" s="28"/>
      <c r="BM937" s="28"/>
      <c r="BP937" s="28"/>
      <c r="BS937" s="28"/>
      <c r="BV937" s="28"/>
      <c r="BY937" s="28"/>
      <c r="CB937" s="28"/>
      <c r="CE937" s="28"/>
      <c r="CH937" s="28"/>
      <c r="CK937" s="28"/>
      <c r="CN937" s="28"/>
      <c r="CQ937" s="28"/>
      <c r="CT937" s="28"/>
      <c r="CW937" s="28"/>
      <c r="CZ937" s="28"/>
      <c r="DC937" s="28"/>
      <c r="DF937" s="28"/>
      <c r="DI937" s="28"/>
      <c r="DL937" s="28"/>
      <c r="DO937" s="28"/>
      <c r="DR937" s="28"/>
      <c r="DU937" s="28"/>
      <c r="DX937" s="28"/>
      <c r="EA937" s="28"/>
      <c r="ED937" s="28"/>
      <c r="EG937" s="28"/>
      <c r="EJ937" s="28"/>
      <c r="EM937" s="28"/>
      <c r="EP937" s="28"/>
      <c r="ES937" s="28"/>
      <c r="EV937" s="28"/>
      <c r="EY937" s="28"/>
      <c r="FB937" s="28"/>
      <c r="FE937" s="28"/>
      <c r="FH937" s="28"/>
      <c r="FK937" s="28"/>
      <c r="FN937" s="28"/>
      <c r="FQ937" s="28"/>
      <c r="FT937" s="28"/>
      <c r="FW937" s="28"/>
      <c r="FZ937" s="28"/>
      <c r="GC937" s="28"/>
    </row>
    <row r="938" spans="1:185" s="25" customFormat="1" x14ac:dyDescent="0.3">
      <c r="A938" s="27"/>
      <c r="B938" s="28"/>
      <c r="C938" s="27"/>
      <c r="D938" s="26"/>
      <c r="E938" s="28"/>
      <c r="H938" s="28"/>
      <c r="K938" s="28"/>
      <c r="N938" s="28"/>
      <c r="Q938" s="28"/>
      <c r="T938" s="28"/>
      <c r="W938" s="28"/>
      <c r="Z938" s="28"/>
      <c r="AC938" s="28"/>
      <c r="AF938" s="28"/>
      <c r="AI938" s="28"/>
      <c r="AL938" s="28"/>
      <c r="AO938" s="28"/>
      <c r="AR938" s="28"/>
      <c r="AU938" s="28"/>
      <c r="AX938" s="28"/>
      <c r="BA938" s="28"/>
      <c r="BD938" s="28"/>
      <c r="BG938" s="28"/>
      <c r="BJ938" s="28"/>
      <c r="BM938" s="28"/>
      <c r="BP938" s="28"/>
      <c r="BS938" s="28"/>
      <c r="BV938" s="28"/>
      <c r="BY938" s="28"/>
      <c r="CB938" s="28"/>
      <c r="CE938" s="28"/>
      <c r="CH938" s="28"/>
      <c r="CK938" s="28"/>
      <c r="CN938" s="28"/>
      <c r="CQ938" s="28"/>
      <c r="CT938" s="28"/>
      <c r="CW938" s="28"/>
      <c r="CZ938" s="28"/>
      <c r="DC938" s="28"/>
      <c r="DF938" s="28"/>
      <c r="DI938" s="28"/>
      <c r="DL938" s="28"/>
      <c r="DO938" s="28"/>
      <c r="DR938" s="28"/>
      <c r="DU938" s="28"/>
      <c r="DX938" s="28"/>
      <c r="EA938" s="28"/>
      <c r="ED938" s="28"/>
      <c r="EG938" s="28"/>
      <c r="EJ938" s="28"/>
      <c r="EM938" s="28"/>
      <c r="EP938" s="28"/>
      <c r="ES938" s="28"/>
      <c r="EV938" s="28"/>
      <c r="EY938" s="28"/>
      <c r="FB938" s="28"/>
      <c r="FE938" s="28"/>
      <c r="FH938" s="28"/>
      <c r="FK938" s="28"/>
      <c r="FN938" s="28"/>
      <c r="FQ938" s="28"/>
      <c r="FT938" s="28"/>
      <c r="FW938" s="28"/>
      <c r="FZ938" s="28"/>
      <c r="GC938" s="28"/>
    </row>
    <row r="939" spans="1:185" s="25" customFormat="1" x14ac:dyDescent="0.3">
      <c r="A939" s="27"/>
      <c r="B939" s="28"/>
      <c r="C939" s="27"/>
      <c r="D939" s="26"/>
      <c r="E939" s="28"/>
      <c r="H939" s="28"/>
      <c r="K939" s="28"/>
      <c r="N939" s="28"/>
      <c r="Q939" s="28"/>
      <c r="T939" s="28"/>
      <c r="W939" s="28"/>
      <c r="Z939" s="28"/>
      <c r="AC939" s="28"/>
      <c r="AF939" s="28"/>
      <c r="AI939" s="28"/>
      <c r="AL939" s="28"/>
      <c r="AO939" s="28"/>
      <c r="AR939" s="28"/>
      <c r="AU939" s="28"/>
      <c r="AX939" s="28"/>
      <c r="BA939" s="28"/>
      <c r="BD939" s="28"/>
      <c r="BG939" s="28"/>
      <c r="BJ939" s="28"/>
      <c r="BM939" s="28"/>
      <c r="BP939" s="28"/>
      <c r="BS939" s="28"/>
      <c r="BV939" s="28"/>
      <c r="BY939" s="28"/>
      <c r="CB939" s="28"/>
      <c r="CE939" s="28"/>
      <c r="CH939" s="28"/>
      <c r="CK939" s="28"/>
      <c r="CN939" s="28"/>
      <c r="CQ939" s="28"/>
      <c r="CT939" s="28"/>
      <c r="CW939" s="28"/>
      <c r="CZ939" s="28"/>
      <c r="DC939" s="28"/>
      <c r="DF939" s="28"/>
      <c r="DI939" s="28"/>
      <c r="DL939" s="28"/>
      <c r="DO939" s="28"/>
      <c r="DR939" s="28"/>
      <c r="DU939" s="28"/>
      <c r="DX939" s="28"/>
      <c r="EA939" s="28"/>
      <c r="ED939" s="28"/>
      <c r="EG939" s="28"/>
      <c r="EJ939" s="28"/>
      <c r="EM939" s="28"/>
      <c r="EP939" s="28"/>
      <c r="ES939" s="28"/>
      <c r="EV939" s="28"/>
      <c r="EY939" s="28"/>
      <c r="FB939" s="28"/>
      <c r="FE939" s="28"/>
      <c r="FH939" s="28"/>
      <c r="FK939" s="28"/>
      <c r="FN939" s="28"/>
      <c r="FQ939" s="28"/>
      <c r="FT939" s="28"/>
      <c r="FW939" s="28"/>
      <c r="FZ939" s="28"/>
      <c r="GC939" s="28"/>
    </row>
    <row r="940" spans="1:185" s="25" customFormat="1" x14ac:dyDescent="0.3">
      <c r="A940" s="27"/>
      <c r="B940" s="28"/>
      <c r="C940" s="27"/>
      <c r="D940" s="26"/>
      <c r="E940" s="28"/>
      <c r="H940" s="28"/>
      <c r="K940" s="28"/>
      <c r="N940" s="28"/>
      <c r="Q940" s="28"/>
      <c r="T940" s="28"/>
      <c r="W940" s="28"/>
      <c r="Z940" s="28"/>
      <c r="AC940" s="28"/>
      <c r="AF940" s="28"/>
      <c r="AI940" s="28"/>
      <c r="AL940" s="28"/>
      <c r="AO940" s="28"/>
      <c r="AR940" s="28"/>
      <c r="AU940" s="28"/>
      <c r="AX940" s="28"/>
      <c r="BA940" s="28"/>
      <c r="BD940" s="28"/>
      <c r="BG940" s="28"/>
      <c r="BJ940" s="28"/>
      <c r="BM940" s="28"/>
      <c r="BP940" s="28"/>
      <c r="BS940" s="28"/>
      <c r="BV940" s="28"/>
      <c r="BY940" s="28"/>
      <c r="CB940" s="28"/>
      <c r="CE940" s="28"/>
      <c r="CH940" s="28"/>
      <c r="CK940" s="28"/>
      <c r="CN940" s="28"/>
      <c r="CQ940" s="28"/>
      <c r="CT940" s="28"/>
      <c r="CW940" s="28"/>
      <c r="CZ940" s="28"/>
      <c r="DC940" s="28"/>
      <c r="DF940" s="28"/>
      <c r="DI940" s="28"/>
      <c r="DL940" s="28"/>
      <c r="DO940" s="28"/>
      <c r="DR940" s="28"/>
      <c r="DU940" s="28"/>
      <c r="DX940" s="28"/>
      <c r="EA940" s="28"/>
      <c r="ED940" s="28"/>
      <c r="EG940" s="28"/>
      <c r="EJ940" s="28"/>
      <c r="EM940" s="28"/>
      <c r="EP940" s="28"/>
      <c r="ES940" s="28"/>
      <c r="EV940" s="28"/>
      <c r="EY940" s="28"/>
      <c r="FB940" s="28"/>
      <c r="FE940" s="28"/>
      <c r="FH940" s="28"/>
      <c r="FK940" s="28"/>
      <c r="FN940" s="28"/>
      <c r="FQ940" s="28"/>
      <c r="FT940" s="28"/>
      <c r="FW940" s="28"/>
      <c r="FZ940" s="28"/>
      <c r="GC940" s="28"/>
    </row>
    <row r="941" spans="1:185" s="25" customFormat="1" x14ac:dyDescent="0.3">
      <c r="A941" s="27"/>
      <c r="B941" s="28"/>
      <c r="C941" s="27"/>
      <c r="D941" s="26"/>
      <c r="E941" s="28"/>
      <c r="H941" s="28"/>
      <c r="K941" s="28"/>
      <c r="N941" s="28"/>
      <c r="Q941" s="28"/>
      <c r="T941" s="28"/>
      <c r="W941" s="28"/>
      <c r="Z941" s="28"/>
      <c r="AC941" s="28"/>
      <c r="AF941" s="28"/>
      <c r="AI941" s="28"/>
      <c r="AL941" s="28"/>
      <c r="AO941" s="28"/>
      <c r="AR941" s="28"/>
      <c r="AU941" s="28"/>
      <c r="AX941" s="28"/>
      <c r="BA941" s="28"/>
      <c r="BD941" s="28"/>
      <c r="BG941" s="28"/>
      <c r="BJ941" s="28"/>
      <c r="BM941" s="28"/>
      <c r="BP941" s="28"/>
      <c r="BS941" s="28"/>
      <c r="BV941" s="28"/>
      <c r="BY941" s="28"/>
      <c r="CB941" s="28"/>
      <c r="CE941" s="28"/>
      <c r="CH941" s="28"/>
      <c r="CK941" s="28"/>
      <c r="CN941" s="28"/>
      <c r="CQ941" s="28"/>
      <c r="CT941" s="28"/>
      <c r="CW941" s="28"/>
      <c r="CZ941" s="28"/>
      <c r="DC941" s="28"/>
      <c r="DF941" s="28"/>
      <c r="DI941" s="28"/>
      <c r="DL941" s="28"/>
      <c r="DO941" s="28"/>
      <c r="DR941" s="28"/>
      <c r="DU941" s="28"/>
      <c r="DX941" s="28"/>
      <c r="EA941" s="28"/>
      <c r="ED941" s="28"/>
      <c r="EG941" s="28"/>
      <c r="EJ941" s="28"/>
      <c r="EM941" s="28"/>
      <c r="EP941" s="28"/>
      <c r="ES941" s="28"/>
      <c r="EV941" s="28"/>
      <c r="EY941" s="28"/>
      <c r="FB941" s="28"/>
      <c r="FE941" s="28"/>
      <c r="FH941" s="28"/>
      <c r="FK941" s="28"/>
      <c r="FN941" s="28"/>
      <c r="FQ941" s="28"/>
      <c r="FT941" s="28"/>
      <c r="FW941" s="28"/>
      <c r="FZ941" s="28"/>
      <c r="GC941" s="28"/>
    </row>
    <row r="942" spans="1:185" s="25" customFormat="1" x14ac:dyDescent="0.3">
      <c r="A942" s="27"/>
      <c r="B942" s="28"/>
      <c r="C942" s="27"/>
      <c r="D942" s="26"/>
      <c r="E942" s="28"/>
      <c r="H942" s="28"/>
      <c r="K942" s="28"/>
      <c r="N942" s="28"/>
      <c r="Q942" s="28"/>
      <c r="T942" s="28"/>
      <c r="W942" s="28"/>
      <c r="Z942" s="28"/>
      <c r="AC942" s="28"/>
      <c r="AF942" s="28"/>
      <c r="AI942" s="28"/>
      <c r="AL942" s="28"/>
      <c r="AO942" s="28"/>
      <c r="AR942" s="28"/>
      <c r="AU942" s="28"/>
      <c r="AX942" s="28"/>
      <c r="BA942" s="28"/>
      <c r="BD942" s="28"/>
      <c r="BG942" s="28"/>
      <c r="BJ942" s="28"/>
      <c r="BM942" s="28"/>
      <c r="BP942" s="28"/>
      <c r="BS942" s="28"/>
      <c r="BV942" s="28"/>
      <c r="BY942" s="28"/>
      <c r="CB942" s="28"/>
      <c r="CE942" s="28"/>
      <c r="CH942" s="28"/>
      <c r="CK942" s="28"/>
      <c r="CN942" s="28"/>
      <c r="CQ942" s="28"/>
      <c r="CT942" s="28"/>
      <c r="CW942" s="28"/>
      <c r="CZ942" s="28"/>
      <c r="DC942" s="28"/>
      <c r="DF942" s="28"/>
      <c r="DI942" s="28"/>
      <c r="DL942" s="28"/>
      <c r="DO942" s="28"/>
      <c r="DR942" s="28"/>
      <c r="DU942" s="28"/>
      <c r="DX942" s="28"/>
      <c r="EA942" s="28"/>
      <c r="ED942" s="28"/>
      <c r="EG942" s="28"/>
      <c r="EJ942" s="28"/>
      <c r="EM942" s="28"/>
      <c r="EP942" s="28"/>
      <c r="ES942" s="28"/>
      <c r="EV942" s="28"/>
      <c r="EY942" s="28"/>
      <c r="FB942" s="28"/>
      <c r="FE942" s="28"/>
      <c r="FH942" s="28"/>
      <c r="FK942" s="28"/>
      <c r="FN942" s="28"/>
      <c r="FQ942" s="28"/>
      <c r="FT942" s="28"/>
      <c r="FW942" s="28"/>
      <c r="FZ942" s="28"/>
      <c r="GC942" s="28"/>
    </row>
    <row r="943" spans="1:185" s="25" customFormat="1" x14ac:dyDescent="0.3">
      <c r="A943" s="27"/>
      <c r="B943" s="28"/>
      <c r="C943" s="27"/>
      <c r="D943" s="26"/>
      <c r="E943" s="28"/>
      <c r="H943" s="28"/>
      <c r="K943" s="28"/>
      <c r="N943" s="28"/>
      <c r="Q943" s="28"/>
      <c r="T943" s="28"/>
      <c r="W943" s="28"/>
      <c r="Z943" s="28"/>
      <c r="AC943" s="28"/>
      <c r="AF943" s="28"/>
      <c r="AI943" s="28"/>
      <c r="AL943" s="28"/>
      <c r="AO943" s="28"/>
      <c r="AR943" s="28"/>
      <c r="AU943" s="28"/>
      <c r="AX943" s="28"/>
      <c r="BA943" s="28"/>
      <c r="BD943" s="28"/>
      <c r="BG943" s="28"/>
      <c r="BJ943" s="28"/>
      <c r="BM943" s="28"/>
      <c r="BP943" s="28"/>
      <c r="BS943" s="28"/>
      <c r="BV943" s="28"/>
      <c r="BY943" s="28"/>
      <c r="CB943" s="28"/>
      <c r="CE943" s="28"/>
      <c r="CH943" s="28"/>
      <c r="CK943" s="28"/>
      <c r="CN943" s="28"/>
      <c r="CQ943" s="28"/>
      <c r="CT943" s="28"/>
      <c r="CW943" s="28"/>
      <c r="CZ943" s="28"/>
      <c r="DC943" s="28"/>
      <c r="DF943" s="28"/>
      <c r="DI943" s="28"/>
      <c r="DL943" s="28"/>
      <c r="DO943" s="28"/>
      <c r="DR943" s="28"/>
      <c r="DU943" s="28"/>
      <c r="DX943" s="28"/>
      <c r="EA943" s="28"/>
      <c r="ED943" s="28"/>
      <c r="EG943" s="28"/>
      <c r="EJ943" s="28"/>
      <c r="EM943" s="28"/>
      <c r="EP943" s="28"/>
      <c r="ES943" s="28"/>
      <c r="EV943" s="28"/>
      <c r="EY943" s="28"/>
      <c r="FB943" s="28"/>
      <c r="FE943" s="28"/>
      <c r="FH943" s="28"/>
      <c r="FK943" s="28"/>
      <c r="FN943" s="28"/>
      <c r="FQ943" s="28"/>
      <c r="FT943" s="28"/>
      <c r="FW943" s="28"/>
      <c r="FZ943" s="28"/>
      <c r="GC943" s="28"/>
    </row>
    <row r="944" spans="1:185" s="25" customFormat="1" x14ac:dyDescent="0.3">
      <c r="A944" s="27"/>
      <c r="B944" s="28"/>
      <c r="C944" s="27"/>
      <c r="D944" s="26"/>
      <c r="E944" s="28"/>
      <c r="H944" s="28"/>
      <c r="K944" s="28"/>
      <c r="N944" s="28"/>
      <c r="Q944" s="28"/>
      <c r="T944" s="28"/>
      <c r="W944" s="28"/>
      <c r="Z944" s="28"/>
      <c r="AC944" s="28"/>
      <c r="AF944" s="28"/>
      <c r="AI944" s="28"/>
      <c r="AL944" s="28"/>
      <c r="AO944" s="28"/>
      <c r="AR944" s="28"/>
      <c r="AU944" s="28"/>
      <c r="AX944" s="28"/>
      <c r="BA944" s="28"/>
      <c r="BD944" s="28"/>
      <c r="BG944" s="28"/>
      <c r="BJ944" s="28"/>
      <c r="BM944" s="28"/>
      <c r="BP944" s="28"/>
      <c r="BS944" s="28"/>
      <c r="BV944" s="28"/>
      <c r="BY944" s="28"/>
      <c r="CB944" s="28"/>
      <c r="CE944" s="28"/>
      <c r="CH944" s="28"/>
      <c r="CK944" s="28"/>
      <c r="CN944" s="28"/>
      <c r="CQ944" s="28"/>
      <c r="CT944" s="28"/>
      <c r="CW944" s="28"/>
      <c r="CZ944" s="28"/>
      <c r="DC944" s="28"/>
      <c r="DF944" s="28"/>
      <c r="DI944" s="28"/>
      <c r="DL944" s="28"/>
      <c r="DO944" s="28"/>
      <c r="DR944" s="28"/>
      <c r="DU944" s="28"/>
      <c r="DX944" s="28"/>
      <c r="EA944" s="28"/>
      <c r="ED944" s="28"/>
      <c r="EG944" s="28"/>
      <c r="EJ944" s="28"/>
      <c r="EM944" s="28"/>
      <c r="EP944" s="28"/>
      <c r="ES944" s="28"/>
      <c r="EV944" s="28"/>
      <c r="EY944" s="28"/>
      <c r="FB944" s="28"/>
      <c r="FE944" s="28"/>
      <c r="FH944" s="28"/>
      <c r="FK944" s="28"/>
      <c r="FN944" s="28"/>
      <c r="FQ944" s="28"/>
      <c r="FT944" s="28"/>
      <c r="FW944" s="28"/>
      <c r="FZ944" s="28"/>
      <c r="GC944" s="28"/>
    </row>
    <row r="945" spans="1:185" s="25" customFormat="1" x14ac:dyDescent="0.3">
      <c r="A945" s="27"/>
      <c r="B945" s="28"/>
      <c r="C945" s="27"/>
      <c r="D945" s="26"/>
      <c r="E945" s="28"/>
      <c r="H945" s="28"/>
      <c r="K945" s="28"/>
      <c r="N945" s="28"/>
      <c r="Q945" s="28"/>
      <c r="T945" s="28"/>
      <c r="W945" s="28"/>
      <c r="Z945" s="28"/>
      <c r="AC945" s="28"/>
      <c r="AF945" s="28"/>
      <c r="AI945" s="28"/>
      <c r="AL945" s="28"/>
      <c r="AO945" s="28"/>
      <c r="AR945" s="28"/>
      <c r="AU945" s="28"/>
      <c r="AX945" s="28"/>
      <c r="BA945" s="28"/>
      <c r="BD945" s="28"/>
      <c r="BG945" s="28"/>
      <c r="BJ945" s="28"/>
      <c r="BM945" s="28"/>
      <c r="BP945" s="28"/>
      <c r="BS945" s="28"/>
      <c r="BV945" s="28"/>
      <c r="BY945" s="28"/>
      <c r="CB945" s="28"/>
      <c r="CE945" s="28"/>
      <c r="CH945" s="28"/>
      <c r="CK945" s="28"/>
      <c r="CN945" s="28"/>
      <c r="CQ945" s="28"/>
      <c r="CT945" s="28"/>
      <c r="CW945" s="28"/>
      <c r="CZ945" s="28"/>
      <c r="DC945" s="28"/>
      <c r="DF945" s="28"/>
      <c r="DI945" s="28"/>
      <c r="DL945" s="28"/>
      <c r="DO945" s="28"/>
      <c r="DR945" s="28"/>
      <c r="DU945" s="28"/>
      <c r="DX945" s="28"/>
      <c r="EA945" s="28"/>
      <c r="ED945" s="28"/>
      <c r="EG945" s="28"/>
      <c r="EJ945" s="28"/>
      <c r="EM945" s="28"/>
      <c r="EP945" s="28"/>
      <c r="ES945" s="28"/>
      <c r="EV945" s="28"/>
      <c r="EY945" s="28"/>
      <c r="FB945" s="28"/>
      <c r="FE945" s="28"/>
      <c r="FH945" s="28"/>
      <c r="FK945" s="28"/>
      <c r="FN945" s="28"/>
      <c r="FQ945" s="28"/>
      <c r="FT945" s="28"/>
      <c r="FW945" s="28"/>
      <c r="FZ945" s="28"/>
      <c r="GC945" s="28"/>
    </row>
    <row r="946" spans="1:185" s="25" customFormat="1" x14ac:dyDescent="0.3">
      <c r="A946" s="27"/>
      <c r="B946" s="28"/>
      <c r="C946" s="27"/>
      <c r="D946" s="26"/>
      <c r="E946" s="28"/>
      <c r="H946" s="28"/>
      <c r="K946" s="28"/>
      <c r="N946" s="28"/>
      <c r="Q946" s="28"/>
      <c r="T946" s="28"/>
      <c r="W946" s="28"/>
      <c r="Z946" s="28"/>
      <c r="AC946" s="28"/>
      <c r="AF946" s="28"/>
      <c r="AI946" s="28"/>
      <c r="AL946" s="28"/>
      <c r="AO946" s="28"/>
      <c r="AR946" s="28"/>
      <c r="AU946" s="28"/>
      <c r="AX946" s="28"/>
      <c r="BA946" s="28"/>
      <c r="BD946" s="28"/>
      <c r="BG946" s="28"/>
      <c r="BJ946" s="28"/>
      <c r="BM946" s="28"/>
      <c r="BP946" s="28"/>
      <c r="BS946" s="28"/>
      <c r="BV946" s="28"/>
      <c r="BY946" s="28"/>
      <c r="CB946" s="28"/>
      <c r="CE946" s="28"/>
      <c r="CH946" s="28"/>
      <c r="CK946" s="28"/>
      <c r="CN946" s="28"/>
      <c r="CQ946" s="28"/>
      <c r="CT946" s="28"/>
      <c r="CW946" s="28"/>
      <c r="CZ946" s="28"/>
      <c r="DC946" s="28"/>
      <c r="DF946" s="28"/>
      <c r="DI946" s="28"/>
      <c r="DL946" s="28"/>
      <c r="DO946" s="28"/>
      <c r="DR946" s="28"/>
      <c r="DU946" s="28"/>
      <c r="DX946" s="28"/>
      <c r="EA946" s="28"/>
      <c r="ED946" s="28"/>
      <c r="EG946" s="28"/>
      <c r="EJ946" s="28"/>
      <c r="EM946" s="28"/>
      <c r="EP946" s="28"/>
      <c r="ES946" s="28"/>
      <c r="EV946" s="28"/>
      <c r="EY946" s="28"/>
      <c r="FB946" s="28"/>
      <c r="FE946" s="28"/>
      <c r="FH946" s="28"/>
      <c r="FK946" s="28"/>
      <c r="FN946" s="28"/>
      <c r="FQ946" s="28"/>
      <c r="FT946" s="28"/>
      <c r="FW946" s="28"/>
      <c r="FZ946" s="28"/>
      <c r="GC946" s="28"/>
    </row>
    <row r="947" spans="1:185" s="25" customFormat="1" x14ac:dyDescent="0.3">
      <c r="A947" s="27"/>
      <c r="B947" s="28"/>
      <c r="C947" s="27"/>
      <c r="D947" s="26"/>
      <c r="E947" s="28"/>
      <c r="H947" s="28"/>
      <c r="K947" s="28"/>
      <c r="N947" s="28"/>
      <c r="Q947" s="28"/>
      <c r="T947" s="28"/>
      <c r="W947" s="28"/>
      <c r="Z947" s="28"/>
      <c r="AC947" s="28"/>
      <c r="AF947" s="28"/>
      <c r="AI947" s="28"/>
      <c r="AL947" s="28"/>
      <c r="AO947" s="28"/>
      <c r="AR947" s="28"/>
      <c r="AU947" s="28"/>
      <c r="AX947" s="28"/>
      <c r="BA947" s="28"/>
      <c r="BD947" s="28"/>
      <c r="BG947" s="28"/>
      <c r="BJ947" s="28"/>
      <c r="BM947" s="28"/>
      <c r="BP947" s="28"/>
      <c r="BS947" s="28"/>
      <c r="BV947" s="28"/>
      <c r="BY947" s="28"/>
      <c r="CB947" s="28"/>
      <c r="CE947" s="28"/>
      <c r="CH947" s="28"/>
      <c r="CK947" s="28"/>
      <c r="CN947" s="28"/>
      <c r="CQ947" s="28"/>
      <c r="CT947" s="28"/>
      <c r="CW947" s="28"/>
      <c r="CZ947" s="28"/>
      <c r="DC947" s="28"/>
      <c r="DF947" s="28"/>
      <c r="DI947" s="28"/>
      <c r="DL947" s="28"/>
      <c r="DO947" s="28"/>
      <c r="DR947" s="28"/>
      <c r="DU947" s="28"/>
      <c r="DX947" s="28"/>
      <c r="EA947" s="28"/>
      <c r="ED947" s="28"/>
      <c r="EG947" s="28"/>
      <c r="EJ947" s="28"/>
      <c r="EM947" s="28"/>
      <c r="EP947" s="28"/>
      <c r="ES947" s="28"/>
      <c r="EV947" s="28"/>
      <c r="EY947" s="28"/>
      <c r="FB947" s="28"/>
      <c r="FE947" s="28"/>
      <c r="FH947" s="28"/>
      <c r="FK947" s="28"/>
      <c r="FN947" s="28"/>
      <c r="FQ947" s="28"/>
      <c r="FT947" s="28"/>
      <c r="FW947" s="28"/>
      <c r="FZ947" s="28"/>
      <c r="GC947" s="28"/>
    </row>
    <row r="948" spans="1:185" s="25" customFormat="1" x14ac:dyDescent="0.3">
      <c r="A948" s="27"/>
      <c r="B948" s="28"/>
      <c r="C948" s="27"/>
      <c r="D948" s="26"/>
      <c r="E948" s="28"/>
      <c r="H948" s="28"/>
      <c r="K948" s="28"/>
      <c r="N948" s="28"/>
      <c r="Q948" s="28"/>
      <c r="T948" s="28"/>
      <c r="W948" s="28"/>
      <c r="Z948" s="28"/>
      <c r="AC948" s="28"/>
      <c r="AF948" s="28"/>
      <c r="AI948" s="28"/>
      <c r="AL948" s="28"/>
      <c r="AO948" s="28"/>
      <c r="AR948" s="28"/>
      <c r="AU948" s="28"/>
      <c r="AX948" s="28"/>
      <c r="BA948" s="28"/>
      <c r="BD948" s="28"/>
      <c r="BG948" s="28"/>
      <c r="BJ948" s="28"/>
      <c r="BM948" s="28"/>
      <c r="BP948" s="28"/>
      <c r="BS948" s="28"/>
      <c r="BV948" s="28"/>
      <c r="BY948" s="28"/>
      <c r="CB948" s="28"/>
      <c r="CE948" s="28"/>
      <c r="CH948" s="28"/>
      <c r="CK948" s="28"/>
      <c r="CN948" s="28"/>
      <c r="CQ948" s="28"/>
      <c r="CT948" s="28"/>
      <c r="CW948" s="28"/>
      <c r="CZ948" s="28"/>
      <c r="DC948" s="28"/>
      <c r="DF948" s="28"/>
      <c r="DI948" s="28"/>
      <c r="DL948" s="28"/>
      <c r="DO948" s="28"/>
      <c r="DR948" s="28"/>
      <c r="DU948" s="28"/>
      <c r="DX948" s="28"/>
      <c r="EA948" s="28"/>
      <c r="ED948" s="28"/>
      <c r="EG948" s="28"/>
      <c r="EJ948" s="28"/>
      <c r="EM948" s="28"/>
      <c r="EP948" s="28"/>
      <c r="ES948" s="28"/>
      <c r="EV948" s="28"/>
      <c r="EY948" s="28"/>
      <c r="FB948" s="28"/>
      <c r="FE948" s="28"/>
      <c r="FH948" s="28"/>
      <c r="FK948" s="28"/>
      <c r="FN948" s="28"/>
      <c r="FQ948" s="28"/>
      <c r="FT948" s="28"/>
      <c r="FW948" s="28"/>
      <c r="FZ948" s="28"/>
      <c r="GC948" s="28"/>
    </row>
    <row r="949" spans="1:185" s="25" customFormat="1" x14ac:dyDescent="0.3">
      <c r="A949" s="27"/>
      <c r="B949" s="28"/>
      <c r="C949" s="27"/>
      <c r="D949" s="26"/>
      <c r="E949" s="28"/>
      <c r="H949" s="28"/>
      <c r="K949" s="28"/>
      <c r="N949" s="28"/>
      <c r="Q949" s="28"/>
      <c r="T949" s="28"/>
      <c r="W949" s="28"/>
      <c r="Z949" s="28"/>
      <c r="AC949" s="28"/>
      <c r="AF949" s="28"/>
      <c r="AI949" s="28"/>
      <c r="AL949" s="28"/>
      <c r="AO949" s="28"/>
      <c r="AR949" s="28"/>
      <c r="AU949" s="28"/>
      <c r="AX949" s="28"/>
      <c r="BA949" s="28"/>
      <c r="BD949" s="28"/>
      <c r="BG949" s="28"/>
      <c r="BJ949" s="28"/>
      <c r="BM949" s="28"/>
      <c r="BP949" s="28"/>
      <c r="BS949" s="28"/>
      <c r="BV949" s="28"/>
      <c r="BY949" s="28"/>
      <c r="CB949" s="28"/>
      <c r="CE949" s="28"/>
      <c r="CH949" s="28"/>
      <c r="CK949" s="28"/>
      <c r="CN949" s="28"/>
      <c r="CQ949" s="28"/>
      <c r="CT949" s="28"/>
      <c r="CW949" s="28"/>
      <c r="CZ949" s="28"/>
      <c r="DC949" s="28"/>
      <c r="DF949" s="28"/>
      <c r="DI949" s="28"/>
      <c r="DL949" s="28"/>
      <c r="DO949" s="28"/>
      <c r="DR949" s="28"/>
      <c r="DU949" s="28"/>
      <c r="DX949" s="28"/>
      <c r="EA949" s="28"/>
      <c r="ED949" s="28"/>
      <c r="EG949" s="28"/>
      <c r="EJ949" s="28"/>
      <c r="EM949" s="28"/>
      <c r="EP949" s="28"/>
      <c r="ES949" s="28"/>
      <c r="EV949" s="28"/>
      <c r="EY949" s="28"/>
      <c r="FB949" s="28"/>
      <c r="FE949" s="28"/>
      <c r="FH949" s="28"/>
      <c r="FK949" s="28"/>
      <c r="FN949" s="28"/>
      <c r="FQ949" s="28"/>
      <c r="FT949" s="28"/>
      <c r="FW949" s="28"/>
      <c r="FZ949" s="28"/>
      <c r="GC949" s="28"/>
    </row>
    <row r="950" spans="1:185" s="25" customFormat="1" x14ac:dyDescent="0.3">
      <c r="A950" s="27"/>
      <c r="B950" s="28"/>
      <c r="C950" s="27"/>
      <c r="D950" s="26"/>
      <c r="E950" s="28"/>
      <c r="H950" s="28"/>
      <c r="K950" s="28"/>
      <c r="N950" s="28"/>
      <c r="Q950" s="28"/>
      <c r="T950" s="28"/>
      <c r="W950" s="28"/>
      <c r="Z950" s="28"/>
      <c r="AC950" s="28"/>
      <c r="AF950" s="28"/>
      <c r="AI950" s="28"/>
      <c r="AL950" s="28"/>
      <c r="AO950" s="28"/>
      <c r="AR950" s="28"/>
      <c r="AU950" s="28"/>
      <c r="AX950" s="28"/>
      <c r="BA950" s="28"/>
      <c r="BD950" s="28"/>
      <c r="BG950" s="28"/>
      <c r="BJ950" s="28"/>
      <c r="BM950" s="28"/>
      <c r="BP950" s="28"/>
      <c r="BS950" s="28"/>
      <c r="BV950" s="28"/>
      <c r="BY950" s="28"/>
      <c r="CB950" s="28"/>
      <c r="CE950" s="28"/>
      <c r="CH950" s="28"/>
      <c r="CK950" s="28"/>
      <c r="CN950" s="28"/>
      <c r="CQ950" s="28"/>
      <c r="CT950" s="28"/>
      <c r="CW950" s="28"/>
      <c r="CZ950" s="28"/>
      <c r="DC950" s="28"/>
      <c r="DF950" s="28"/>
      <c r="DI950" s="28"/>
      <c r="DL950" s="28"/>
      <c r="DO950" s="28"/>
      <c r="DR950" s="28"/>
      <c r="DU950" s="28"/>
      <c r="DX950" s="28"/>
      <c r="EA950" s="28"/>
      <c r="ED950" s="28"/>
      <c r="EG950" s="28"/>
      <c r="EJ950" s="28"/>
      <c r="EM950" s="28"/>
      <c r="EP950" s="28"/>
      <c r="ES950" s="28"/>
      <c r="EV950" s="28"/>
      <c r="EY950" s="28"/>
      <c r="FB950" s="28"/>
      <c r="FE950" s="28"/>
      <c r="FH950" s="28"/>
      <c r="FK950" s="28"/>
      <c r="FN950" s="28"/>
      <c r="FQ950" s="28"/>
      <c r="FT950" s="28"/>
      <c r="FW950" s="28"/>
      <c r="FZ950" s="28"/>
      <c r="GC950" s="28"/>
    </row>
    <row r="951" spans="1:185" s="25" customFormat="1" x14ac:dyDescent="0.3">
      <c r="A951" s="27"/>
      <c r="B951" s="28"/>
      <c r="C951" s="27"/>
      <c r="D951" s="26"/>
      <c r="E951" s="28"/>
      <c r="H951" s="28"/>
      <c r="K951" s="28"/>
      <c r="N951" s="28"/>
      <c r="Q951" s="28"/>
      <c r="T951" s="28"/>
      <c r="W951" s="28"/>
      <c r="Z951" s="28"/>
      <c r="AC951" s="28"/>
      <c r="AF951" s="28"/>
      <c r="AI951" s="28"/>
      <c r="AL951" s="28"/>
      <c r="AO951" s="28"/>
      <c r="AR951" s="28"/>
      <c r="AU951" s="28"/>
      <c r="AX951" s="28"/>
      <c r="BA951" s="28"/>
      <c r="BD951" s="28"/>
      <c r="BG951" s="28"/>
      <c r="BJ951" s="28"/>
      <c r="BM951" s="28"/>
      <c r="BP951" s="28"/>
      <c r="BS951" s="28"/>
      <c r="BV951" s="28"/>
      <c r="BY951" s="28"/>
      <c r="CB951" s="28"/>
      <c r="CE951" s="28"/>
      <c r="CH951" s="28"/>
      <c r="CK951" s="28"/>
      <c r="CN951" s="28"/>
      <c r="CQ951" s="28"/>
      <c r="CT951" s="28"/>
      <c r="CW951" s="28"/>
      <c r="CZ951" s="28"/>
      <c r="DC951" s="28"/>
      <c r="DF951" s="28"/>
      <c r="DI951" s="28"/>
      <c r="DL951" s="28"/>
      <c r="DO951" s="28"/>
      <c r="DR951" s="28"/>
      <c r="DU951" s="28"/>
      <c r="DX951" s="28"/>
      <c r="EA951" s="28"/>
      <c r="ED951" s="28"/>
      <c r="EG951" s="28"/>
      <c r="EJ951" s="28"/>
      <c r="EM951" s="28"/>
      <c r="EP951" s="28"/>
      <c r="ES951" s="28"/>
      <c r="EV951" s="28"/>
      <c r="EY951" s="28"/>
      <c r="FB951" s="28"/>
      <c r="FE951" s="28"/>
      <c r="FH951" s="28"/>
      <c r="FK951" s="28"/>
      <c r="FN951" s="28"/>
      <c r="FQ951" s="28"/>
      <c r="FT951" s="28"/>
      <c r="FW951" s="28"/>
      <c r="FZ951" s="28"/>
      <c r="GC951" s="28"/>
    </row>
    <row r="952" spans="1:185" s="25" customFormat="1" x14ac:dyDescent="0.3">
      <c r="A952" s="27"/>
      <c r="B952" s="28"/>
      <c r="C952" s="27"/>
      <c r="D952" s="26"/>
      <c r="E952" s="28"/>
      <c r="H952" s="28"/>
      <c r="K952" s="28"/>
      <c r="N952" s="28"/>
      <c r="Q952" s="28"/>
      <c r="T952" s="28"/>
      <c r="W952" s="28"/>
      <c r="Z952" s="28"/>
      <c r="AC952" s="28"/>
      <c r="AF952" s="28"/>
      <c r="AI952" s="28"/>
      <c r="AL952" s="28"/>
      <c r="AO952" s="28"/>
      <c r="AR952" s="28"/>
      <c r="AU952" s="28"/>
      <c r="AX952" s="28"/>
      <c r="BA952" s="28"/>
      <c r="BD952" s="28"/>
      <c r="BG952" s="28"/>
      <c r="BJ952" s="28"/>
      <c r="BM952" s="28"/>
      <c r="BP952" s="28"/>
      <c r="BS952" s="28"/>
      <c r="BV952" s="28"/>
      <c r="BY952" s="28"/>
      <c r="CB952" s="28"/>
      <c r="CE952" s="28"/>
      <c r="CH952" s="28"/>
      <c r="CK952" s="28"/>
      <c r="CN952" s="28"/>
      <c r="CQ952" s="28"/>
      <c r="CT952" s="28"/>
      <c r="CW952" s="28"/>
      <c r="CZ952" s="28"/>
      <c r="DC952" s="28"/>
      <c r="DF952" s="28"/>
      <c r="DI952" s="28"/>
      <c r="DL952" s="28"/>
      <c r="DO952" s="28"/>
      <c r="DR952" s="28"/>
      <c r="DU952" s="28"/>
      <c r="DX952" s="28"/>
      <c r="EA952" s="28"/>
      <c r="ED952" s="28"/>
      <c r="EG952" s="28"/>
      <c r="EJ952" s="28"/>
      <c r="EM952" s="28"/>
      <c r="EP952" s="28"/>
      <c r="ES952" s="28"/>
      <c r="EV952" s="28"/>
      <c r="EY952" s="28"/>
      <c r="FB952" s="28"/>
      <c r="FE952" s="28"/>
      <c r="FH952" s="28"/>
      <c r="FK952" s="28"/>
      <c r="FN952" s="28"/>
      <c r="FQ952" s="28"/>
      <c r="FT952" s="28"/>
      <c r="FW952" s="28"/>
      <c r="FZ952" s="28"/>
      <c r="GC952" s="28"/>
    </row>
    <row r="953" spans="1:185" s="25" customFormat="1" x14ac:dyDescent="0.3">
      <c r="A953" s="27"/>
      <c r="B953" s="28"/>
      <c r="C953" s="27"/>
      <c r="D953" s="26"/>
      <c r="E953" s="28"/>
      <c r="H953" s="28"/>
      <c r="K953" s="28"/>
      <c r="N953" s="28"/>
      <c r="Q953" s="28"/>
      <c r="T953" s="28"/>
      <c r="W953" s="28"/>
      <c r="Z953" s="28"/>
      <c r="AC953" s="28"/>
      <c r="AF953" s="28"/>
      <c r="AI953" s="28"/>
      <c r="AL953" s="28"/>
      <c r="AO953" s="28"/>
      <c r="AR953" s="28"/>
      <c r="AU953" s="28"/>
      <c r="AX953" s="28"/>
      <c r="BA953" s="28"/>
      <c r="BD953" s="28"/>
      <c r="BG953" s="28"/>
      <c r="BJ953" s="28"/>
      <c r="BM953" s="28"/>
      <c r="BP953" s="28"/>
      <c r="BS953" s="28"/>
      <c r="BV953" s="28"/>
      <c r="BY953" s="28"/>
      <c r="CB953" s="28"/>
      <c r="CE953" s="28"/>
      <c r="CH953" s="28"/>
      <c r="CK953" s="28"/>
      <c r="CN953" s="28"/>
      <c r="CQ953" s="28"/>
      <c r="CT953" s="28"/>
      <c r="CW953" s="28"/>
      <c r="CZ953" s="28"/>
      <c r="DC953" s="28"/>
      <c r="DF953" s="28"/>
      <c r="DI953" s="28"/>
      <c r="DL953" s="28"/>
      <c r="DO953" s="28"/>
      <c r="DR953" s="28"/>
      <c r="DU953" s="28"/>
      <c r="DX953" s="28"/>
      <c r="EA953" s="28"/>
      <c r="ED953" s="28"/>
      <c r="EG953" s="28"/>
      <c r="EJ953" s="28"/>
      <c r="EM953" s="28"/>
      <c r="EP953" s="28"/>
      <c r="ES953" s="28"/>
      <c r="EV953" s="28"/>
      <c r="EY953" s="28"/>
      <c r="FB953" s="28"/>
      <c r="FE953" s="28"/>
      <c r="FH953" s="28"/>
      <c r="FK953" s="28"/>
      <c r="FN953" s="28"/>
      <c r="FQ953" s="28"/>
      <c r="FT953" s="28"/>
      <c r="FW953" s="28"/>
      <c r="FZ953" s="28"/>
      <c r="GC953" s="28"/>
    </row>
    <row r="954" spans="1:185" s="25" customFormat="1" x14ac:dyDescent="0.3">
      <c r="A954" s="27"/>
      <c r="B954" s="28"/>
      <c r="C954" s="27"/>
      <c r="D954" s="26"/>
      <c r="E954" s="28"/>
      <c r="H954" s="28"/>
      <c r="K954" s="28"/>
      <c r="N954" s="28"/>
      <c r="Q954" s="28"/>
      <c r="T954" s="28"/>
      <c r="W954" s="28"/>
      <c r="Z954" s="28"/>
      <c r="AC954" s="28"/>
      <c r="AF954" s="28"/>
      <c r="AI954" s="28"/>
      <c r="AL954" s="28"/>
      <c r="AO954" s="28"/>
      <c r="AR954" s="28"/>
      <c r="AU954" s="28"/>
      <c r="AX954" s="28"/>
      <c r="BA954" s="28"/>
      <c r="BD954" s="28"/>
      <c r="BG954" s="28"/>
      <c r="BJ954" s="28"/>
      <c r="BM954" s="28"/>
      <c r="BP954" s="28"/>
      <c r="BS954" s="28"/>
      <c r="BV954" s="28"/>
      <c r="BY954" s="28"/>
      <c r="CB954" s="28"/>
      <c r="CE954" s="28"/>
      <c r="CH954" s="28"/>
      <c r="CK954" s="28"/>
      <c r="CN954" s="28"/>
      <c r="CQ954" s="28"/>
      <c r="CT954" s="28"/>
      <c r="CW954" s="28"/>
      <c r="CZ954" s="28"/>
      <c r="DC954" s="28"/>
      <c r="DF954" s="28"/>
      <c r="DI954" s="28"/>
      <c r="DL954" s="28"/>
      <c r="DO954" s="28"/>
      <c r="DR954" s="28"/>
      <c r="DU954" s="28"/>
      <c r="DX954" s="28"/>
      <c r="EA954" s="28"/>
      <c r="ED954" s="28"/>
      <c r="EG954" s="28"/>
      <c r="EJ954" s="28"/>
      <c r="EM954" s="28"/>
      <c r="EP954" s="28"/>
      <c r="ES954" s="28"/>
      <c r="EV954" s="28"/>
      <c r="EY954" s="28"/>
      <c r="FB954" s="28"/>
      <c r="FE954" s="28"/>
      <c r="FH954" s="28"/>
      <c r="FK954" s="28"/>
      <c r="FN954" s="28"/>
      <c r="FQ954" s="28"/>
      <c r="FT954" s="28"/>
      <c r="FW954" s="28"/>
      <c r="FZ954" s="28"/>
      <c r="GC954" s="28"/>
    </row>
    <row r="955" spans="1:185" s="25" customFormat="1" x14ac:dyDescent="0.3">
      <c r="A955" s="27"/>
      <c r="B955" s="28"/>
      <c r="C955" s="27"/>
      <c r="D955" s="26"/>
      <c r="E955" s="28"/>
      <c r="H955" s="28"/>
      <c r="K955" s="28"/>
      <c r="N955" s="28"/>
      <c r="Q955" s="28"/>
      <c r="T955" s="28"/>
      <c r="W955" s="28"/>
      <c r="Z955" s="28"/>
      <c r="AC955" s="28"/>
      <c r="AF955" s="28"/>
      <c r="AI955" s="28"/>
      <c r="AL955" s="28"/>
      <c r="AO955" s="28"/>
      <c r="AR955" s="28"/>
      <c r="AU955" s="28"/>
      <c r="AX955" s="28"/>
      <c r="BA955" s="28"/>
      <c r="BD955" s="28"/>
      <c r="BG955" s="28"/>
      <c r="BJ955" s="28"/>
      <c r="BM955" s="28"/>
      <c r="BP955" s="28"/>
      <c r="BS955" s="28"/>
      <c r="BV955" s="28"/>
      <c r="BY955" s="28"/>
      <c r="CB955" s="28"/>
      <c r="CE955" s="28"/>
      <c r="CH955" s="28"/>
      <c r="CK955" s="28"/>
      <c r="CN955" s="28"/>
      <c r="CQ955" s="28"/>
      <c r="CT955" s="28"/>
      <c r="CW955" s="28"/>
      <c r="CZ955" s="28"/>
      <c r="DC955" s="28"/>
      <c r="DF955" s="28"/>
      <c r="DI955" s="28"/>
      <c r="DL955" s="28"/>
      <c r="DO955" s="28"/>
      <c r="DR955" s="28"/>
      <c r="DU955" s="28"/>
      <c r="DX955" s="28"/>
      <c r="EA955" s="28"/>
      <c r="ED955" s="28"/>
      <c r="EG955" s="28"/>
      <c r="EJ955" s="28"/>
      <c r="EM955" s="28"/>
      <c r="EP955" s="28"/>
      <c r="ES955" s="28"/>
      <c r="EV955" s="28"/>
      <c r="EY955" s="28"/>
      <c r="FB955" s="28"/>
      <c r="FE955" s="28"/>
      <c r="FH955" s="28"/>
      <c r="FK955" s="28"/>
      <c r="FN955" s="28"/>
      <c r="FQ955" s="28"/>
      <c r="FT955" s="28"/>
      <c r="FW955" s="28"/>
      <c r="FZ955" s="28"/>
      <c r="GC955" s="28"/>
    </row>
    <row r="956" spans="1:185" s="25" customFormat="1" x14ac:dyDescent="0.3">
      <c r="A956" s="27"/>
      <c r="B956" s="28"/>
      <c r="C956" s="27"/>
      <c r="D956" s="26"/>
      <c r="E956" s="28"/>
      <c r="H956" s="28"/>
      <c r="K956" s="28"/>
      <c r="N956" s="28"/>
      <c r="Q956" s="28"/>
      <c r="T956" s="28"/>
      <c r="W956" s="28"/>
      <c r="Z956" s="28"/>
      <c r="AC956" s="28"/>
      <c r="AF956" s="28"/>
      <c r="AI956" s="28"/>
      <c r="AL956" s="28"/>
      <c r="AO956" s="28"/>
      <c r="AR956" s="28"/>
      <c r="AU956" s="28"/>
      <c r="AX956" s="28"/>
      <c r="BA956" s="28"/>
      <c r="BD956" s="28"/>
      <c r="BG956" s="28"/>
      <c r="BJ956" s="28"/>
      <c r="BM956" s="28"/>
      <c r="BP956" s="28"/>
      <c r="BS956" s="28"/>
      <c r="BV956" s="28"/>
      <c r="BY956" s="28"/>
      <c r="CB956" s="28"/>
      <c r="CE956" s="28"/>
      <c r="CH956" s="28"/>
      <c r="CK956" s="28"/>
      <c r="CN956" s="28"/>
      <c r="CQ956" s="28"/>
      <c r="CT956" s="28"/>
      <c r="CW956" s="28"/>
      <c r="CZ956" s="28"/>
      <c r="DC956" s="28"/>
      <c r="DF956" s="28"/>
      <c r="DI956" s="28"/>
      <c r="DL956" s="28"/>
      <c r="DO956" s="28"/>
      <c r="DR956" s="28"/>
      <c r="DU956" s="28"/>
      <c r="DX956" s="28"/>
      <c r="EA956" s="28"/>
      <c r="ED956" s="28"/>
      <c r="EG956" s="28"/>
      <c r="EJ956" s="28"/>
      <c r="EM956" s="28"/>
      <c r="EP956" s="28"/>
      <c r="ES956" s="28"/>
      <c r="EV956" s="28"/>
      <c r="EY956" s="28"/>
      <c r="FB956" s="28"/>
      <c r="FE956" s="28"/>
      <c r="FH956" s="28"/>
      <c r="FK956" s="28"/>
      <c r="FN956" s="28"/>
      <c r="FQ956" s="28"/>
      <c r="FT956" s="28"/>
      <c r="FW956" s="28"/>
      <c r="FZ956" s="28"/>
      <c r="GC956" s="28"/>
    </row>
    <row r="957" spans="1:185" s="25" customFormat="1" x14ac:dyDescent="0.3">
      <c r="A957" s="27"/>
      <c r="B957" s="28"/>
      <c r="C957" s="27"/>
      <c r="D957" s="26"/>
      <c r="E957" s="28"/>
      <c r="H957" s="28"/>
      <c r="K957" s="28"/>
      <c r="N957" s="28"/>
      <c r="Q957" s="28"/>
      <c r="T957" s="28"/>
      <c r="W957" s="28"/>
      <c r="Z957" s="28"/>
      <c r="AC957" s="28"/>
      <c r="AF957" s="28"/>
      <c r="AI957" s="28"/>
      <c r="AL957" s="28"/>
      <c r="AO957" s="28"/>
      <c r="AR957" s="28"/>
      <c r="AU957" s="28"/>
      <c r="AX957" s="28"/>
      <c r="BA957" s="28"/>
      <c r="BD957" s="28"/>
      <c r="BG957" s="28"/>
      <c r="BJ957" s="28"/>
      <c r="BM957" s="28"/>
      <c r="BP957" s="28"/>
      <c r="BS957" s="28"/>
      <c r="BV957" s="28"/>
      <c r="BY957" s="28"/>
      <c r="CB957" s="28"/>
      <c r="CE957" s="28"/>
      <c r="CH957" s="28"/>
      <c r="CK957" s="28"/>
      <c r="CN957" s="28"/>
      <c r="CQ957" s="28"/>
      <c r="CT957" s="28"/>
      <c r="CW957" s="28"/>
      <c r="CZ957" s="28"/>
      <c r="DC957" s="28"/>
      <c r="DF957" s="28"/>
      <c r="DI957" s="28"/>
      <c r="DL957" s="28"/>
      <c r="DO957" s="28"/>
      <c r="DR957" s="28"/>
      <c r="DU957" s="28"/>
      <c r="DX957" s="28"/>
      <c r="EA957" s="28"/>
      <c r="ED957" s="28"/>
      <c r="EG957" s="28"/>
      <c r="EJ957" s="28"/>
      <c r="EM957" s="28"/>
      <c r="EP957" s="28"/>
      <c r="ES957" s="28"/>
      <c r="EV957" s="28"/>
      <c r="EY957" s="28"/>
      <c r="FB957" s="28"/>
      <c r="FE957" s="28"/>
      <c r="FH957" s="28"/>
      <c r="FK957" s="28"/>
      <c r="FN957" s="28"/>
      <c r="FQ957" s="28"/>
      <c r="FT957" s="28"/>
      <c r="FW957" s="28"/>
      <c r="FZ957" s="28"/>
      <c r="GC957" s="28"/>
    </row>
    <row r="958" spans="1:185" s="25" customFormat="1" x14ac:dyDescent="0.3">
      <c r="A958" s="27"/>
      <c r="B958" s="28"/>
      <c r="C958" s="27"/>
      <c r="D958" s="26"/>
      <c r="E958" s="28"/>
      <c r="H958" s="28"/>
      <c r="K958" s="28"/>
      <c r="N958" s="28"/>
      <c r="Q958" s="28"/>
      <c r="T958" s="28"/>
      <c r="W958" s="28"/>
      <c r="Z958" s="28"/>
      <c r="AC958" s="28"/>
      <c r="AF958" s="28"/>
      <c r="AI958" s="28"/>
      <c r="AL958" s="28"/>
      <c r="AO958" s="28"/>
      <c r="AR958" s="28"/>
      <c r="AU958" s="28"/>
      <c r="AX958" s="28"/>
      <c r="BA958" s="28"/>
      <c r="BD958" s="28"/>
      <c r="BG958" s="28"/>
      <c r="BJ958" s="28"/>
      <c r="BM958" s="28"/>
      <c r="BP958" s="28"/>
      <c r="BS958" s="28"/>
      <c r="BV958" s="28"/>
      <c r="BY958" s="28"/>
      <c r="CB958" s="28"/>
      <c r="CE958" s="28"/>
      <c r="CH958" s="28"/>
      <c r="CK958" s="28"/>
      <c r="CN958" s="28"/>
      <c r="CQ958" s="28"/>
      <c r="CT958" s="28"/>
      <c r="CW958" s="28"/>
      <c r="CZ958" s="28"/>
      <c r="DC958" s="28"/>
      <c r="DF958" s="28"/>
      <c r="DI958" s="28"/>
      <c r="DL958" s="28"/>
      <c r="DO958" s="28"/>
      <c r="DR958" s="28"/>
      <c r="DU958" s="28"/>
      <c r="DX958" s="28"/>
      <c r="EA958" s="28"/>
      <c r="ED958" s="28"/>
      <c r="EG958" s="28"/>
      <c r="EJ958" s="28"/>
      <c r="EM958" s="28"/>
      <c r="EP958" s="28"/>
      <c r="ES958" s="28"/>
      <c r="EV958" s="28"/>
      <c r="EY958" s="28"/>
      <c r="FB958" s="28"/>
      <c r="FE958" s="28"/>
      <c r="FH958" s="28"/>
      <c r="FK958" s="28"/>
      <c r="FN958" s="28"/>
      <c r="FQ958" s="28"/>
      <c r="FT958" s="28"/>
      <c r="FW958" s="28"/>
      <c r="FZ958" s="28"/>
      <c r="GC958" s="28"/>
    </row>
    <row r="959" spans="1:185" s="25" customFormat="1" x14ac:dyDescent="0.3">
      <c r="A959" s="27"/>
      <c r="B959" s="28"/>
      <c r="C959" s="27"/>
      <c r="D959" s="26"/>
      <c r="E959" s="28"/>
      <c r="H959" s="28"/>
      <c r="K959" s="28"/>
      <c r="N959" s="28"/>
      <c r="Q959" s="28"/>
      <c r="T959" s="28"/>
      <c r="W959" s="28"/>
      <c r="Z959" s="28"/>
      <c r="AC959" s="28"/>
      <c r="AF959" s="28"/>
      <c r="AI959" s="28"/>
      <c r="AL959" s="28"/>
      <c r="AO959" s="28"/>
      <c r="AR959" s="28"/>
      <c r="AU959" s="28"/>
      <c r="AX959" s="28"/>
      <c r="BA959" s="28"/>
      <c r="BD959" s="28"/>
      <c r="BG959" s="28"/>
      <c r="BJ959" s="28"/>
      <c r="BM959" s="28"/>
      <c r="BP959" s="28"/>
      <c r="BS959" s="28"/>
      <c r="BV959" s="28"/>
      <c r="BY959" s="28"/>
      <c r="CB959" s="28"/>
      <c r="CE959" s="28"/>
      <c r="CH959" s="28"/>
      <c r="CK959" s="28"/>
      <c r="CN959" s="28"/>
      <c r="CQ959" s="28"/>
      <c r="CT959" s="28"/>
      <c r="CW959" s="28"/>
      <c r="CZ959" s="28"/>
      <c r="DC959" s="28"/>
      <c r="DF959" s="28"/>
      <c r="DI959" s="28"/>
      <c r="DL959" s="28"/>
      <c r="DO959" s="28"/>
      <c r="DR959" s="28"/>
      <c r="DU959" s="28"/>
      <c r="DX959" s="28"/>
      <c r="EA959" s="28"/>
      <c r="ED959" s="28"/>
      <c r="EG959" s="28"/>
      <c r="EJ959" s="28"/>
      <c r="EM959" s="28"/>
      <c r="EP959" s="28"/>
      <c r="ES959" s="28"/>
      <c r="EV959" s="28"/>
      <c r="EY959" s="28"/>
      <c r="FB959" s="28"/>
      <c r="FE959" s="28"/>
      <c r="FH959" s="28"/>
      <c r="FK959" s="28"/>
      <c r="FN959" s="28"/>
      <c r="FQ959" s="28"/>
      <c r="FT959" s="28"/>
      <c r="FW959" s="28"/>
      <c r="FZ959" s="28"/>
      <c r="GC959" s="28"/>
    </row>
    <row r="960" spans="1:185" s="25" customFormat="1" x14ac:dyDescent="0.3">
      <c r="A960" s="27"/>
      <c r="B960" s="28"/>
      <c r="C960" s="27"/>
      <c r="D960" s="26"/>
      <c r="E960" s="28"/>
      <c r="H960" s="28"/>
      <c r="K960" s="28"/>
      <c r="N960" s="28"/>
      <c r="Q960" s="28"/>
      <c r="T960" s="28"/>
      <c r="W960" s="28"/>
      <c r="Z960" s="28"/>
      <c r="AC960" s="28"/>
      <c r="AF960" s="28"/>
      <c r="AI960" s="28"/>
      <c r="AL960" s="28"/>
      <c r="AO960" s="28"/>
      <c r="AR960" s="28"/>
      <c r="AU960" s="28"/>
      <c r="AX960" s="28"/>
      <c r="BA960" s="28"/>
      <c r="BD960" s="28"/>
      <c r="BG960" s="28"/>
      <c r="BJ960" s="28"/>
      <c r="BM960" s="28"/>
      <c r="BP960" s="28"/>
      <c r="BS960" s="28"/>
      <c r="BV960" s="28"/>
      <c r="BY960" s="28"/>
      <c r="CB960" s="28"/>
      <c r="CE960" s="28"/>
      <c r="CH960" s="28"/>
      <c r="CK960" s="28"/>
      <c r="CN960" s="28"/>
      <c r="CQ960" s="28"/>
      <c r="CT960" s="28"/>
      <c r="CW960" s="28"/>
      <c r="CZ960" s="28"/>
      <c r="DC960" s="28"/>
      <c r="DF960" s="28"/>
      <c r="DI960" s="28"/>
      <c r="DL960" s="28"/>
      <c r="DO960" s="28"/>
      <c r="DR960" s="28"/>
      <c r="DU960" s="28"/>
      <c r="DX960" s="28"/>
      <c r="EA960" s="28"/>
      <c r="ED960" s="28"/>
      <c r="EG960" s="28"/>
      <c r="EJ960" s="28"/>
      <c r="EM960" s="28"/>
      <c r="EP960" s="28"/>
      <c r="ES960" s="28"/>
      <c r="EV960" s="28"/>
      <c r="EY960" s="28"/>
      <c r="FB960" s="28"/>
      <c r="FE960" s="28"/>
      <c r="FH960" s="28"/>
      <c r="FK960" s="28"/>
      <c r="FN960" s="28"/>
      <c r="FQ960" s="28"/>
      <c r="FT960" s="28"/>
      <c r="FW960" s="28"/>
      <c r="FZ960" s="28"/>
      <c r="GC960" s="28"/>
    </row>
    <row r="961" spans="1:185" s="25" customFormat="1" x14ac:dyDescent="0.3">
      <c r="A961" s="27"/>
      <c r="B961" s="28"/>
      <c r="C961" s="27"/>
      <c r="D961" s="26"/>
      <c r="E961" s="28"/>
      <c r="H961" s="28"/>
      <c r="K961" s="28"/>
      <c r="N961" s="28"/>
      <c r="Q961" s="28"/>
      <c r="T961" s="28"/>
      <c r="W961" s="28"/>
      <c r="Z961" s="28"/>
      <c r="AC961" s="28"/>
      <c r="AF961" s="28"/>
      <c r="AI961" s="28"/>
      <c r="AL961" s="28"/>
      <c r="AO961" s="28"/>
      <c r="AR961" s="28"/>
      <c r="AU961" s="28"/>
      <c r="AX961" s="28"/>
      <c r="BA961" s="28"/>
      <c r="BD961" s="28"/>
      <c r="BG961" s="28"/>
      <c r="BJ961" s="28"/>
      <c r="BM961" s="28"/>
      <c r="BP961" s="28"/>
      <c r="BS961" s="28"/>
      <c r="BV961" s="28"/>
      <c r="BY961" s="28"/>
      <c r="CB961" s="28"/>
      <c r="CE961" s="28"/>
      <c r="CH961" s="28"/>
      <c r="CK961" s="28"/>
      <c r="CN961" s="28"/>
      <c r="CQ961" s="28"/>
      <c r="CT961" s="28"/>
      <c r="CW961" s="28"/>
      <c r="CZ961" s="28"/>
      <c r="DC961" s="28"/>
      <c r="DF961" s="28"/>
      <c r="DI961" s="28"/>
      <c r="DL961" s="28"/>
      <c r="DO961" s="28"/>
      <c r="DR961" s="28"/>
      <c r="DU961" s="28"/>
      <c r="DX961" s="28"/>
      <c r="EA961" s="28"/>
      <c r="ED961" s="28"/>
      <c r="EG961" s="28"/>
      <c r="EJ961" s="28"/>
      <c r="EM961" s="28"/>
      <c r="EP961" s="28"/>
      <c r="ES961" s="28"/>
      <c r="EV961" s="28"/>
      <c r="EY961" s="28"/>
      <c r="FB961" s="28"/>
      <c r="FE961" s="28"/>
      <c r="FH961" s="28"/>
      <c r="FK961" s="28"/>
      <c r="FN961" s="28"/>
      <c r="FQ961" s="28"/>
      <c r="FT961" s="28"/>
      <c r="FW961" s="28"/>
      <c r="FZ961" s="28"/>
      <c r="GC961" s="28"/>
    </row>
    <row r="962" spans="1:185" s="25" customFormat="1" x14ac:dyDescent="0.3">
      <c r="A962" s="27"/>
      <c r="B962" s="28"/>
      <c r="C962" s="27"/>
      <c r="D962" s="26"/>
      <c r="E962" s="28"/>
      <c r="H962" s="28"/>
      <c r="K962" s="28"/>
      <c r="N962" s="28"/>
      <c r="Q962" s="28"/>
      <c r="T962" s="28"/>
      <c r="W962" s="28"/>
      <c r="Z962" s="28"/>
      <c r="AC962" s="28"/>
      <c r="AF962" s="28"/>
      <c r="AI962" s="28"/>
      <c r="AL962" s="28"/>
      <c r="AO962" s="28"/>
      <c r="AR962" s="28"/>
      <c r="AU962" s="28"/>
      <c r="AX962" s="28"/>
      <c r="BA962" s="28"/>
      <c r="BD962" s="28"/>
      <c r="BG962" s="28"/>
      <c r="BJ962" s="28"/>
      <c r="BM962" s="28"/>
      <c r="BP962" s="28"/>
      <c r="BS962" s="28"/>
      <c r="BV962" s="28"/>
      <c r="BY962" s="28"/>
      <c r="CB962" s="28"/>
      <c r="CE962" s="28"/>
      <c r="CH962" s="28"/>
      <c r="CK962" s="28"/>
      <c r="CN962" s="28"/>
      <c r="CQ962" s="28"/>
      <c r="CT962" s="28"/>
      <c r="CW962" s="28"/>
      <c r="CZ962" s="28"/>
      <c r="DC962" s="28"/>
      <c r="DF962" s="28"/>
      <c r="DI962" s="28"/>
      <c r="DL962" s="28"/>
      <c r="DO962" s="28"/>
      <c r="DR962" s="28"/>
      <c r="DU962" s="28"/>
      <c r="DX962" s="28"/>
      <c r="EA962" s="28"/>
      <c r="ED962" s="28"/>
      <c r="EG962" s="28"/>
      <c r="EJ962" s="28"/>
      <c r="EM962" s="28"/>
      <c r="EP962" s="28"/>
      <c r="ES962" s="28"/>
      <c r="EV962" s="28"/>
      <c r="EY962" s="28"/>
      <c r="FB962" s="28"/>
      <c r="FE962" s="28"/>
      <c r="FH962" s="28"/>
      <c r="FK962" s="28"/>
      <c r="FN962" s="28"/>
      <c r="FQ962" s="28"/>
      <c r="FT962" s="28"/>
      <c r="FW962" s="28"/>
      <c r="FZ962" s="28"/>
      <c r="GC962" s="28"/>
    </row>
    <row r="963" spans="1:185" s="25" customFormat="1" x14ac:dyDescent="0.3">
      <c r="A963" s="27"/>
      <c r="B963" s="28"/>
      <c r="C963" s="27"/>
      <c r="D963" s="26"/>
      <c r="E963" s="28"/>
      <c r="H963" s="28"/>
      <c r="K963" s="28"/>
      <c r="N963" s="28"/>
      <c r="Q963" s="28"/>
      <c r="T963" s="28"/>
      <c r="W963" s="28"/>
      <c r="Z963" s="28"/>
      <c r="AC963" s="28"/>
      <c r="AF963" s="28"/>
      <c r="AI963" s="28"/>
      <c r="AL963" s="28"/>
      <c r="AO963" s="28"/>
      <c r="AR963" s="28"/>
      <c r="AU963" s="28"/>
      <c r="AX963" s="28"/>
      <c r="BA963" s="28"/>
      <c r="BD963" s="28"/>
      <c r="BG963" s="28"/>
      <c r="BJ963" s="28"/>
      <c r="BM963" s="28"/>
      <c r="BP963" s="28"/>
      <c r="BS963" s="28"/>
      <c r="BV963" s="28"/>
      <c r="BY963" s="28"/>
      <c r="CB963" s="28"/>
      <c r="CE963" s="28"/>
      <c r="CH963" s="28"/>
      <c r="CK963" s="28"/>
      <c r="CN963" s="28"/>
      <c r="CQ963" s="28"/>
      <c r="CT963" s="28"/>
      <c r="CW963" s="28"/>
      <c r="CZ963" s="28"/>
      <c r="DC963" s="28"/>
      <c r="DF963" s="28"/>
      <c r="DI963" s="28"/>
      <c r="DL963" s="28"/>
      <c r="DO963" s="28"/>
      <c r="DR963" s="28"/>
      <c r="DU963" s="28"/>
      <c r="DX963" s="28"/>
      <c r="EA963" s="28"/>
      <c r="ED963" s="28"/>
      <c r="EG963" s="28"/>
      <c r="EJ963" s="28"/>
      <c r="EM963" s="28"/>
      <c r="EP963" s="28"/>
      <c r="ES963" s="28"/>
      <c r="EV963" s="28"/>
      <c r="EY963" s="28"/>
      <c r="FB963" s="28"/>
      <c r="FE963" s="28"/>
      <c r="FH963" s="28"/>
      <c r="FK963" s="28"/>
      <c r="FN963" s="28"/>
      <c r="FQ963" s="28"/>
      <c r="FT963" s="28"/>
      <c r="FW963" s="28"/>
      <c r="FZ963" s="28"/>
      <c r="GC963" s="28"/>
    </row>
    <row r="964" spans="1:185" s="25" customFormat="1" x14ac:dyDescent="0.3">
      <c r="A964" s="27"/>
      <c r="B964" s="28"/>
      <c r="C964" s="27"/>
      <c r="D964" s="26"/>
      <c r="E964" s="28"/>
      <c r="H964" s="28"/>
      <c r="K964" s="28"/>
      <c r="N964" s="28"/>
      <c r="Q964" s="28"/>
      <c r="T964" s="28"/>
      <c r="W964" s="28"/>
      <c r="Z964" s="28"/>
      <c r="AC964" s="28"/>
      <c r="AF964" s="28"/>
      <c r="AI964" s="28"/>
      <c r="AL964" s="28"/>
      <c r="AO964" s="28"/>
      <c r="AR964" s="28"/>
      <c r="AU964" s="28"/>
      <c r="AX964" s="28"/>
      <c r="BA964" s="28"/>
      <c r="BD964" s="28"/>
      <c r="BG964" s="28"/>
      <c r="BJ964" s="28"/>
      <c r="BM964" s="28"/>
      <c r="BP964" s="28"/>
      <c r="BS964" s="28"/>
      <c r="BV964" s="28"/>
      <c r="BY964" s="28"/>
      <c r="CB964" s="28"/>
      <c r="CE964" s="28"/>
      <c r="CH964" s="28"/>
      <c r="CK964" s="28"/>
      <c r="CN964" s="28"/>
      <c r="CQ964" s="28"/>
      <c r="CT964" s="28"/>
      <c r="CW964" s="28"/>
      <c r="CZ964" s="28"/>
      <c r="DC964" s="28"/>
      <c r="DF964" s="28"/>
      <c r="DI964" s="28"/>
      <c r="DL964" s="28"/>
      <c r="DO964" s="28"/>
      <c r="DR964" s="28"/>
      <c r="DU964" s="28"/>
      <c r="DX964" s="28"/>
      <c r="EA964" s="28"/>
      <c r="ED964" s="28"/>
      <c r="EG964" s="28"/>
      <c r="EJ964" s="28"/>
      <c r="EM964" s="28"/>
      <c r="EP964" s="28"/>
      <c r="ES964" s="28"/>
      <c r="EV964" s="28"/>
      <c r="EY964" s="28"/>
      <c r="FB964" s="28"/>
      <c r="FE964" s="28"/>
      <c r="FH964" s="28"/>
      <c r="FK964" s="28"/>
      <c r="FN964" s="28"/>
      <c r="FQ964" s="28"/>
      <c r="FT964" s="28"/>
      <c r="FW964" s="28"/>
      <c r="FZ964" s="28"/>
      <c r="GC964" s="28"/>
    </row>
    <row r="965" spans="1:185" s="25" customFormat="1" x14ac:dyDescent="0.3">
      <c r="A965" s="27"/>
      <c r="B965" s="28"/>
      <c r="C965" s="27"/>
      <c r="D965" s="26"/>
      <c r="E965" s="28"/>
      <c r="H965" s="28"/>
      <c r="K965" s="28"/>
      <c r="N965" s="28"/>
      <c r="Q965" s="28"/>
      <c r="T965" s="28"/>
      <c r="W965" s="28"/>
      <c r="Z965" s="28"/>
      <c r="AC965" s="28"/>
      <c r="AF965" s="28"/>
      <c r="AI965" s="28"/>
      <c r="AL965" s="28"/>
      <c r="AO965" s="28"/>
      <c r="AR965" s="28"/>
      <c r="AU965" s="28"/>
      <c r="AX965" s="28"/>
      <c r="BA965" s="28"/>
      <c r="BD965" s="28"/>
      <c r="BG965" s="28"/>
      <c r="BJ965" s="28"/>
      <c r="BM965" s="28"/>
      <c r="BP965" s="28"/>
      <c r="BS965" s="28"/>
      <c r="BV965" s="28"/>
      <c r="BY965" s="28"/>
      <c r="CB965" s="28"/>
      <c r="CE965" s="28"/>
      <c r="CH965" s="28"/>
      <c r="CK965" s="28"/>
      <c r="CN965" s="28"/>
      <c r="CQ965" s="28"/>
      <c r="CT965" s="28"/>
      <c r="CW965" s="28"/>
      <c r="CZ965" s="28"/>
      <c r="DC965" s="28"/>
      <c r="DF965" s="28"/>
      <c r="DI965" s="28"/>
      <c r="DL965" s="28"/>
      <c r="DO965" s="28"/>
      <c r="DR965" s="28"/>
      <c r="DU965" s="28"/>
      <c r="DX965" s="28"/>
      <c r="EA965" s="28"/>
      <c r="ED965" s="28"/>
      <c r="EG965" s="28"/>
      <c r="EJ965" s="28"/>
      <c r="EM965" s="28"/>
      <c r="EP965" s="28"/>
      <c r="ES965" s="28"/>
      <c r="EV965" s="28"/>
      <c r="EY965" s="28"/>
      <c r="FB965" s="28"/>
      <c r="FE965" s="28"/>
      <c r="FH965" s="28"/>
      <c r="FK965" s="28"/>
      <c r="FN965" s="28"/>
      <c r="FQ965" s="28"/>
      <c r="FT965" s="28"/>
      <c r="FW965" s="28"/>
      <c r="FZ965" s="28"/>
      <c r="GC965" s="28"/>
    </row>
    <row r="966" spans="1:185" s="25" customFormat="1" x14ac:dyDescent="0.3">
      <c r="A966" s="27"/>
      <c r="B966" s="28"/>
      <c r="C966" s="27"/>
      <c r="D966" s="26"/>
      <c r="E966" s="28"/>
      <c r="H966" s="28"/>
      <c r="K966" s="28"/>
      <c r="N966" s="28"/>
      <c r="Q966" s="28"/>
      <c r="T966" s="28"/>
      <c r="W966" s="28"/>
      <c r="Z966" s="28"/>
      <c r="AC966" s="28"/>
      <c r="AF966" s="28"/>
      <c r="AI966" s="28"/>
      <c r="AL966" s="28"/>
      <c r="AO966" s="28"/>
      <c r="AR966" s="28"/>
      <c r="AU966" s="28"/>
      <c r="AX966" s="28"/>
      <c r="BA966" s="28"/>
      <c r="BD966" s="28"/>
      <c r="BG966" s="28"/>
      <c r="BJ966" s="28"/>
      <c r="BM966" s="28"/>
      <c r="BP966" s="28"/>
      <c r="BS966" s="28"/>
      <c r="BV966" s="28"/>
      <c r="BY966" s="28"/>
      <c r="CB966" s="28"/>
      <c r="CE966" s="28"/>
      <c r="CH966" s="28"/>
      <c r="CK966" s="28"/>
      <c r="CN966" s="28"/>
      <c r="CQ966" s="28"/>
      <c r="CT966" s="28"/>
      <c r="CW966" s="28"/>
      <c r="CZ966" s="28"/>
      <c r="DC966" s="28"/>
      <c r="DF966" s="28"/>
      <c r="DI966" s="28"/>
      <c r="DL966" s="28"/>
      <c r="DO966" s="28"/>
      <c r="DR966" s="28"/>
      <c r="DU966" s="28"/>
      <c r="DX966" s="28"/>
      <c r="EA966" s="28"/>
      <c r="ED966" s="28"/>
      <c r="EG966" s="28"/>
      <c r="EJ966" s="28"/>
      <c r="EM966" s="28"/>
      <c r="EP966" s="28"/>
      <c r="ES966" s="28"/>
      <c r="EV966" s="28"/>
      <c r="EY966" s="28"/>
      <c r="FB966" s="28"/>
      <c r="FE966" s="28"/>
      <c r="FH966" s="28"/>
      <c r="FK966" s="28"/>
      <c r="FN966" s="28"/>
      <c r="FQ966" s="28"/>
      <c r="FT966" s="28"/>
      <c r="FW966" s="28"/>
      <c r="FZ966" s="28"/>
      <c r="GC966" s="28"/>
    </row>
    <row r="967" spans="1:185" s="25" customFormat="1" x14ac:dyDescent="0.3">
      <c r="A967" s="27"/>
      <c r="B967" s="28"/>
      <c r="C967" s="27"/>
      <c r="D967" s="26"/>
      <c r="E967" s="28"/>
      <c r="H967" s="28"/>
      <c r="K967" s="28"/>
      <c r="N967" s="28"/>
      <c r="Q967" s="28"/>
      <c r="T967" s="28"/>
      <c r="W967" s="28"/>
      <c r="Z967" s="28"/>
      <c r="AC967" s="28"/>
      <c r="AF967" s="28"/>
      <c r="AI967" s="28"/>
      <c r="AL967" s="28"/>
      <c r="AO967" s="28"/>
      <c r="AR967" s="28"/>
      <c r="AU967" s="28"/>
      <c r="AX967" s="28"/>
      <c r="BA967" s="28"/>
      <c r="BD967" s="28"/>
      <c r="BG967" s="28"/>
      <c r="BJ967" s="28"/>
      <c r="BM967" s="28"/>
      <c r="BP967" s="28"/>
      <c r="BS967" s="28"/>
      <c r="BV967" s="28"/>
      <c r="BY967" s="28"/>
      <c r="CB967" s="28"/>
      <c r="CE967" s="28"/>
      <c r="CH967" s="28"/>
      <c r="CK967" s="28"/>
      <c r="CN967" s="28"/>
      <c r="CQ967" s="28"/>
      <c r="CT967" s="28"/>
      <c r="CW967" s="28"/>
      <c r="CZ967" s="28"/>
      <c r="DC967" s="28"/>
      <c r="DF967" s="28"/>
      <c r="DI967" s="28"/>
      <c r="DL967" s="28"/>
      <c r="DO967" s="28"/>
      <c r="DR967" s="28"/>
      <c r="DU967" s="28"/>
      <c r="DX967" s="28"/>
      <c r="EA967" s="28"/>
      <c r="ED967" s="28"/>
      <c r="EG967" s="28"/>
      <c r="EJ967" s="28"/>
      <c r="EM967" s="28"/>
      <c r="EP967" s="28"/>
      <c r="ES967" s="28"/>
      <c r="EV967" s="28"/>
      <c r="EY967" s="28"/>
      <c r="FB967" s="28"/>
      <c r="FE967" s="28"/>
      <c r="FH967" s="28"/>
      <c r="FK967" s="28"/>
      <c r="FN967" s="28"/>
      <c r="FQ967" s="28"/>
      <c r="FT967" s="28"/>
      <c r="FW967" s="28"/>
      <c r="FZ967" s="28"/>
      <c r="GC967" s="28"/>
    </row>
    <row r="968" spans="1:185" s="25" customFormat="1" x14ac:dyDescent="0.3">
      <c r="A968" s="27"/>
      <c r="B968" s="28"/>
      <c r="C968" s="27"/>
      <c r="D968" s="26"/>
      <c r="E968" s="28"/>
      <c r="H968" s="28"/>
      <c r="K968" s="28"/>
      <c r="N968" s="28"/>
      <c r="Q968" s="28"/>
      <c r="T968" s="28"/>
      <c r="W968" s="28"/>
      <c r="Z968" s="28"/>
      <c r="AC968" s="28"/>
      <c r="AF968" s="28"/>
      <c r="AI968" s="28"/>
      <c r="AL968" s="28"/>
      <c r="AO968" s="28"/>
      <c r="AR968" s="28"/>
      <c r="AU968" s="28"/>
      <c r="AX968" s="28"/>
      <c r="BA968" s="28"/>
      <c r="BD968" s="28"/>
      <c r="BG968" s="28"/>
      <c r="BJ968" s="28"/>
      <c r="BM968" s="28"/>
      <c r="BP968" s="28"/>
      <c r="BS968" s="28"/>
      <c r="BV968" s="28"/>
      <c r="BY968" s="28"/>
      <c r="CB968" s="28"/>
      <c r="CE968" s="28"/>
      <c r="CH968" s="28"/>
      <c r="CK968" s="28"/>
      <c r="CN968" s="28"/>
      <c r="CQ968" s="28"/>
      <c r="CT968" s="28"/>
      <c r="CW968" s="28"/>
      <c r="CZ968" s="28"/>
      <c r="DC968" s="28"/>
      <c r="DF968" s="28"/>
      <c r="DI968" s="28"/>
      <c r="DL968" s="28"/>
      <c r="DO968" s="28"/>
      <c r="DR968" s="28"/>
      <c r="DU968" s="28"/>
      <c r="DX968" s="28"/>
      <c r="EA968" s="28"/>
      <c r="ED968" s="28"/>
      <c r="EG968" s="28"/>
      <c r="EJ968" s="28"/>
      <c r="EM968" s="28"/>
      <c r="EP968" s="28"/>
      <c r="ES968" s="28"/>
      <c r="EV968" s="28"/>
      <c r="EY968" s="28"/>
      <c r="FB968" s="28"/>
      <c r="FE968" s="28"/>
      <c r="FH968" s="28"/>
      <c r="FK968" s="28"/>
      <c r="FN968" s="28"/>
      <c r="FQ968" s="28"/>
      <c r="FT968" s="28"/>
      <c r="FW968" s="28"/>
      <c r="FZ968" s="28"/>
      <c r="GC968" s="28"/>
    </row>
    <row r="969" spans="1:185" s="25" customFormat="1" x14ac:dyDescent="0.3">
      <c r="A969" s="27"/>
      <c r="B969" s="28"/>
      <c r="C969" s="27"/>
      <c r="D969" s="26"/>
      <c r="E969" s="28"/>
      <c r="H969" s="28"/>
      <c r="K969" s="28"/>
      <c r="N969" s="28"/>
      <c r="Q969" s="28"/>
      <c r="T969" s="28"/>
      <c r="W969" s="28"/>
      <c r="Z969" s="28"/>
      <c r="AC969" s="28"/>
      <c r="AF969" s="28"/>
      <c r="AI969" s="28"/>
      <c r="AL969" s="28"/>
      <c r="AO969" s="28"/>
      <c r="AR969" s="28"/>
      <c r="AU969" s="28"/>
      <c r="AX969" s="28"/>
      <c r="BA969" s="28"/>
      <c r="BD969" s="28"/>
      <c r="BG969" s="28"/>
      <c r="BJ969" s="28"/>
      <c r="BM969" s="28"/>
      <c r="BP969" s="28"/>
      <c r="BS969" s="28"/>
      <c r="BV969" s="28"/>
      <c r="BY969" s="28"/>
      <c r="CB969" s="28"/>
      <c r="CE969" s="28"/>
      <c r="CH969" s="28"/>
      <c r="CK969" s="28"/>
      <c r="CN969" s="28"/>
      <c r="CQ969" s="28"/>
      <c r="CT969" s="28"/>
      <c r="CW969" s="28"/>
      <c r="CZ969" s="28"/>
      <c r="DC969" s="28"/>
      <c r="DF969" s="28"/>
      <c r="DI969" s="28"/>
      <c r="DL969" s="28"/>
      <c r="DO969" s="28"/>
      <c r="DR969" s="28"/>
      <c r="DU969" s="28"/>
      <c r="DX969" s="28"/>
      <c r="EA969" s="28"/>
      <c r="ED969" s="28"/>
      <c r="EG969" s="28"/>
      <c r="EJ969" s="28"/>
      <c r="EM969" s="28"/>
      <c r="EP969" s="28"/>
      <c r="ES969" s="28"/>
      <c r="EV969" s="28"/>
      <c r="EY969" s="28"/>
      <c r="FB969" s="28"/>
      <c r="FE969" s="28"/>
      <c r="FH969" s="28"/>
      <c r="FK969" s="28"/>
      <c r="FN969" s="28"/>
      <c r="FQ969" s="28"/>
      <c r="FT969" s="28"/>
      <c r="FW969" s="28"/>
      <c r="FZ969" s="28"/>
      <c r="GC969" s="28"/>
    </row>
    <row r="970" spans="1:185" s="25" customFormat="1" x14ac:dyDescent="0.3">
      <c r="A970" s="27"/>
      <c r="B970" s="28"/>
      <c r="C970" s="27"/>
      <c r="D970" s="26"/>
      <c r="E970" s="28"/>
      <c r="H970" s="28"/>
      <c r="K970" s="28"/>
      <c r="N970" s="28"/>
      <c r="Q970" s="28"/>
      <c r="T970" s="28"/>
      <c r="W970" s="28"/>
      <c r="Z970" s="28"/>
      <c r="AC970" s="28"/>
      <c r="AF970" s="28"/>
      <c r="AI970" s="28"/>
      <c r="AL970" s="28"/>
      <c r="AO970" s="28"/>
      <c r="AR970" s="28"/>
      <c r="AU970" s="28"/>
      <c r="AX970" s="28"/>
      <c r="BA970" s="28"/>
      <c r="BD970" s="28"/>
      <c r="BG970" s="28"/>
      <c r="BJ970" s="28"/>
      <c r="BM970" s="28"/>
      <c r="BP970" s="28"/>
      <c r="BS970" s="28"/>
      <c r="BV970" s="28"/>
      <c r="BY970" s="28"/>
      <c r="CB970" s="28"/>
      <c r="CE970" s="28"/>
      <c r="CH970" s="28"/>
      <c r="CK970" s="28"/>
      <c r="CN970" s="28"/>
      <c r="CQ970" s="28"/>
      <c r="CT970" s="28"/>
      <c r="CW970" s="28"/>
      <c r="CZ970" s="28"/>
      <c r="DC970" s="28"/>
      <c r="DF970" s="28"/>
      <c r="DI970" s="28"/>
      <c r="DL970" s="28"/>
      <c r="DO970" s="28"/>
      <c r="DR970" s="28"/>
      <c r="DU970" s="28"/>
      <c r="DX970" s="28"/>
      <c r="EA970" s="28"/>
      <c r="ED970" s="28"/>
      <c r="EG970" s="28"/>
      <c r="EJ970" s="28"/>
      <c r="EM970" s="28"/>
      <c r="EP970" s="28"/>
      <c r="ES970" s="28"/>
      <c r="EV970" s="28"/>
      <c r="EY970" s="28"/>
      <c r="FB970" s="28"/>
      <c r="FE970" s="28"/>
      <c r="FH970" s="28"/>
      <c r="FK970" s="28"/>
      <c r="FN970" s="28"/>
      <c r="FQ970" s="28"/>
      <c r="FT970" s="28"/>
      <c r="FW970" s="28"/>
      <c r="FZ970" s="28"/>
      <c r="GC970" s="28"/>
    </row>
    <row r="971" spans="1:185" s="25" customFormat="1" x14ac:dyDescent="0.3">
      <c r="A971" s="27"/>
      <c r="B971" s="28"/>
      <c r="C971" s="27"/>
      <c r="D971" s="26"/>
      <c r="E971" s="28"/>
      <c r="H971" s="28"/>
      <c r="K971" s="28"/>
      <c r="N971" s="28"/>
      <c r="Q971" s="28"/>
      <c r="T971" s="28"/>
      <c r="W971" s="28"/>
      <c r="Z971" s="28"/>
      <c r="AC971" s="28"/>
      <c r="AF971" s="28"/>
      <c r="AI971" s="28"/>
      <c r="AL971" s="28"/>
      <c r="AO971" s="28"/>
      <c r="AR971" s="28"/>
      <c r="AU971" s="28"/>
      <c r="AX971" s="28"/>
      <c r="BA971" s="28"/>
      <c r="BD971" s="28"/>
      <c r="BG971" s="28"/>
      <c r="BJ971" s="28"/>
      <c r="BM971" s="28"/>
      <c r="BP971" s="28"/>
      <c r="BS971" s="28"/>
      <c r="BV971" s="28"/>
      <c r="BY971" s="28"/>
      <c r="CB971" s="28"/>
      <c r="CE971" s="28"/>
      <c r="CH971" s="28"/>
      <c r="CK971" s="28"/>
      <c r="CN971" s="28"/>
      <c r="CQ971" s="28"/>
      <c r="CT971" s="28"/>
      <c r="CW971" s="28"/>
      <c r="CZ971" s="28"/>
      <c r="DC971" s="28"/>
      <c r="DF971" s="28"/>
      <c r="DI971" s="28"/>
      <c r="DL971" s="28"/>
      <c r="DO971" s="28"/>
      <c r="DR971" s="28"/>
      <c r="DU971" s="28"/>
      <c r="DX971" s="28"/>
      <c r="EA971" s="28"/>
      <c r="ED971" s="28"/>
      <c r="EG971" s="28"/>
      <c r="EJ971" s="28"/>
      <c r="EM971" s="28"/>
      <c r="EP971" s="28"/>
      <c r="ES971" s="28"/>
      <c r="EV971" s="28"/>
      <c r="EY971" s="28"/>
      <c r="FB971" s="28"/>
      <c r="FE971" s="28"/>
      <c r="FH971" s="28"/>
      <c r="FK971" s="28"/>
      <c r="FN971" s="28"/>
      <c r="FQ971" s="28"/>
      <c r="FT971" s="28"/>
      <c r="FW971" s="28"/>
      <c r="FZ971" s="28"/>
      <c r="GC971" s="28"/>
    </row>
    <row r="972" spans="1:185" s="25" customFormat="1" x14ac:dyDescent="0.3">
      <c r="A972" s="27"/>
      <c r="B972" s="28"/>
      <c r="C972" s="27"/>
      <c r="D972" s="26"/>
      <c r="E972" s="28"/>
      <c r="H972" s="28"/>
      <c r="K972" s="28"/>
      <c r="N972" s="28"/>
      <c r="Q972" s="28"/>
      <c r="T972" s="28"/>
      <c r="W972" s="28"/>
      <c r="Z972" s="28"/>
      <c r="AC972" s="28"/>
      <c r="AF972" s="28"/>
      <c r="AI972" s="28"/>
      <c r="AL972" s="28"/>
      <c r="AO972" s="28"/>
      <c r="AR972" s="28"/>
      <c r="AU972" s="28"/>
      <c r="AX972" s="28"/>
      <c r="BA972" s="28"/>
      <c r="BD972" s="28"/>
      <c r="BG972" s="28"/>
      <c r="BJ972" s="28"/>
      <c r="BM972" s="28"/>
      <c r="BP972" s="28"/>
      <c r="BS972" s="28"/>
      <c r="BV972" s="28"/>
      <c r="BY972" s="28"/>
      <c r="CB972" s="28"/>
      <c r="CE972" s="28"/>
      <c r="CH972" s="28"/>
      <c r="CK972" s="28"/>
      <c r="CN972" s="28"/>
      <c r="CQ972" s="28"/>
      <c r="CT972" s="28"/>
      <c r="CW972" s="28"/>
      <c r="CZ972" s="28"/>
      <c r="DC972" s="28"/>
      <c r="DF972" s="28"/>
      <c r="DI972" s="28"/>
      <c r="DL972" s="28"/>
      <c r="DO972" s="28"/>
      <c r="DR972" s="28"/>
      <c r="DU972" s="28"/>
      <c r="DX972" s="28"/>
      <c r="EA972" s="28"/>
      <c r="ED972" s="28"/>
      <c r="EG972" s="28"/>
      <c r="EJ972" s="28"/>
      <c r="EM972" s="28"/>
      <c r="EP972" s="28"/>
      <c r="ES972" s="28"/>
      <c r="EV972" s="28"/>
      <c r="EY972" s="28"/>
      <c r="FB972" s="28"/>
      <c r="FE972" s="28"/>
      <c r="FH972" s="28"/>
      <c r="FK972" s="28"/>
      <c r="FN972" s="28"/>
      <c r="FQ972" s="28"/>
      <c r="FT972" s="28"/>
      <c r="FW972" s="28"/>
      <c r="FZ972" s="28"/>
      <c r="GC972" s="28"/>
    </row>
    <row r="973" spans="1:185" s="25" customFormat="1" x14ac:dyDescent="0.3">
      <c r="A973" s="27"/>
      <c r="B973" s="28"/>
      <c r="C973" s="27"/>
      <c r="D973" s="26"/>
      <c r="E973" s="28"/>
      <c r="H973" s="28"/>
      <c r="K973" s="28"/>
      <c r="N973" s="28"/>
      <c r="Q973" s="28"/>
      <c r="T973" s="28"/>
      <c r="W973" s="28"/>
      <c r="Z973" s="28"/>
      <c r="AC973" s="28"/>
      <c r="AF973" s="28"/>
      <c r="AI973" s="28"/>
      <c r="AL973" s="28"/>
      <c r="AO973" s="28"/>
      <c r="AR973" s="28"/>
      <c r="AU973" s="28"/>
      <c r="AX973" s="28"/>
      <c r="BA973" s="28"/>
      <c r="BD973" s="28"/>
      <c r="BG973" s="28"/>
      <c r="BJ973" s="28"/>
      <c r="BM973" s="28"/>
      <c r="BP973" s="28"/>
      <c r="BS973" s="28"/>
      <c r="BV973" s="28"/>
      <c r="BY973" s="28"/>
      <c r="CB973" s="28"/>
      <c r="CE973" s="28"/>
      <c r="CH973" s="28"/>
      <c r="CK973" s="28"/>
      <c r="CN973" s="28"/>
      <c r="CQ973" s="28"/>
      <c r="CT973" s="28"/>
      <c r="CW973" s="28"/>
      <c r="CZ973" s="28"/>
      <c r="DC973" s="28"/>
      <c r="DF973" s="28"/>
      <c r="DI973" s="28"/>
      <c r="DL973" s="28"/>
      <c r="DO973" s="28"/>
      <c r="DR973" s="28"/>
      <c r="DU973" s="28"/>
      <c r="DX973" s="28"/>
      <c r="EA973" s="28"/>
      <c r="ED973" s="28"/>
      <c r="EG973" s="28"/>
      <c r="EJ973" s="28"/>
      <c r="EM973" s="28"/>
      <c r="EP973" s="28"/>
      <c r="ES973" s="28"/>
      <c r="EV973" s="28"/>
      <c r="EY973" s="28"/>
      <c r="FB973" s="28"/>
      <c r="FE973" s="28"/>
      <c r="FH973" s="28"/>
      <c r="FK973" s="28"/>
      <c r="FN973" s="28"/>
      <c r="FQ973" s="28"/>
      <c r="FT973" s="28"/>
      <c r="FW973" s="28"/>
      <c r="FZ973" s="28"/>
      <c r="GC973" s="28"/>
    </row>
    <row r="974" spans="1:185" s="25" customFormat="1" x14ac:dyDescent="0.3">
      <c r="A974" s="27"/>
      <c r="B974" s="28"/>
      <c r="C974" s="27"/>
      <c r="D974" s="26"/>
      <c r="E974" s="28"/>
      <c r="H974" s="28"/>
      <c r="K974" s="28"/>
      <c r="N974" s="28"/>
      <c r="Q974" s="28"/>
      <c r="T974" s="28"/>
      <c r="W974" s="28"/>
      <c r="Z974" s="28"/>
      <c r="AC974" s="28"/>
      <c r="AF974" s="28"/>
      <c r="AI974" s="28"/>
      <c r="AL974" s="28"/>
      <c r="AO974" s="28"/>
      <c r="AR974" s="28"/>
      <c r="AU974" s="28"/>
      <c r="AX974" s="28"/>
      <c r="BA974" s="28"/>
      <c r="BD974" s="28"/>
      <c r="BG974" s="28"/>
      <c r="BJ974" s="28"/>
      <c r="BM974" s="28"/>
      <c r="BP974" s="28"/>
      <c r="BS974" s="28"/>
      <c r="BV974" s="28"/>
      <c r="BY974" s="28"/>
      <c r="CB974" s="28"/>
      <c r="CE974" s="28"/>
      <c r="CH974" s="28"/>
      <c r="CK974" s="28"/>
      <c r="CN974" s="28"/>
      <c r="CQ974" s="28"/>
      <c r="CT974" s="28"/>
      <c r="CW974" s="28"/>
      <c r="CZ974" s="28"/>
      <c r="DC974" s="28"/>
      <c r="DF974" s="28"/>
      <c r="DI974" s="28"/>
      <c r="DL974" s="28"/>
      <c r="DO974" s="28"/>
      <c r="DR974" s="28"/>
      <c r="DU974" s="28"/>
      <c r="DX974" s="28"/>
      <c r="EA974" s="28"/>
      <c r="ED974" s="28"/>
      <c r="EG974" s="28"/>
      <c r="EJ974" s="28"/>
      <c r="EM974" s="28"/>
      <c r="EP974" s="28"/>
      <c r="ES974" s="28"/>
      <c r="EV974" s="28"/>
      <c r="EY974" s="28"/>
      <c r="FB974" s="28"/>
      <c r="FE974" s="28"/>
      <c r="FH974" s="28"/>
      <c r="FK974" s="28"/>
      <c r="FN974" s="28"/>
      <c r="FQ974" s="28"/>
      <c r="FT974" s="28"/>
      <c r="FW974" s="28"/>
      <c r="FZ974" s="28"/>
      <c r="GC974" s="28"/>
    </row>
    <row r="975" spans="1:185" s="25" customFormat="1" x14ac:dyDescent="0.3">
      <c r="A975" s="27"/>
      <c r="B975" s="28"/>
      <c r="C975" s="27"/>
      <c r="D975" s="26"/>
      <c r="E975" s="28"/>
      <c r="H975" s="28"/>
      <c r="K975" s="28"/>
      <c r="N975" s="28"/>
      <c r="Q975" s="28"/>
      <c r="T975" s="28"/>
      <c r="W975" s="28"/>
      <c r="Z975" s="28"/>
      <c r="AC975" s="28"/>
      <c r="AF975" s="28"/>
      <c r="AI975" s="28"/>
      <c r="AL975" s="28"/>
      <c r="AO975" s="28"/>
      <c r="AR975" s="28"/>
      <c r="AU975" s="28"/>
      <c r="AX975" s="28"/>
      <c r="BA975" s="28"/>
      <c r="BD975" s="28"/>
      <c r="BG975" s="28"/>
      <c r="BJ975" s="28"/>
      <c r="BM975" s="28"/>
      <c r="BP975" s="28"/>
      <c r="BS975" s="28"/>
      <c r="BV975" s="28"/>
      <c r="BY975" s="28"/>
      <c r="CB975" s="28"/>
      <c r="CE975" s="28"/>
      <c r="CH975" s="28"/>
      <c r="CK975" s="28"/>
      <c r="CN975" s="28"/>
      <c r="CQ975" s="28"/>
      <c r="CT975" s="28"/>
      <c r="CW975" s="28"/>
      <c r="CZ975" s="28"/>
      <c r="DC975" s="28"/>
      <c r="DF975" s="28"/>
      <c r="DI975" s="28"/>
      <c r="DL975" s="28"/>
      <c r="DO975" s="28"/>
      <c r="DR975" s="28"/>
      <c r="DU975" s="28"/>
      <c r="DX975" s="28"/>
      <c r="EA975" s="28"/>
      <c r="ED975" s="28"/>
      <c r="EG975" s="28"/>
      <c r="EJ975" s="28"/>
      <c r="EM975" s="28"/>
      <c r="EP975" s="28"/>
      <c r="ES975" s="28"/>
      <c r="EV975" s="28"/>
      <c r="EY975" s="28"/>
      <c r="FB975" s="28"/>
      <c r="FE975" s="28"/>
      <c r="FH975" s="28"/>
      <c r="FK975" s="28"/>
      <c r="FN975" s="28"/>
      <c r="FQ975" s="28"/>
      <c r="FT975" s="28"/>
      <c r="FW975" s="28"/>
      <c r="FZ975" s="28"/>
      <c r="GC975" s="28"/>
    </row>
    <row r="976" spans="1:185" s="25" customFormat="1" x14ac:dyDescent="0.3">
      <c r="A976" s="27"/>
      <c r="B976" s="28"/>
      <c r="C976" s="27"/>
      <c r="D976" s="26"/>
      <c r="E976" s="28"/>
      <c r="H976" s="28"/>
      <c r="K976" s="28"/>
      <c r="N976" s="28"/>
      <c r="Q976" s="28"/>
      <c r="T976" s="28"/>
      <c r="W976" s="28"/>
      <c r="Z976" s="28"/>
      <c r="AC976" s="28"/>
      <c r="AF976" s="28"/>
      <c r="AI976" s="28"/>
      <c r="AL976" s="28"/>
      <c r="AO976" s="28"/>
      <c r="AR976" s="28"/>
      <c r="AU976" s="28"/>
      <c r="AX976" s="28"/>
      <c r="BA976" s="28"/>
      <c r="BD976" s="28"/>
      <c r="BG976" s="28"/>
      <c r="BJ976" s="28"/>
      <c r="BM976" s="28"/>
      <c r="BP976" s="28"/>
      <c r="BS976" s="28"/>
      <c r="BV976" s="28"/>
      <c r="BY976" s="28"/>
      <c r="CB976" s="28"/>
      <c r="CE976" s="28"/>
      <c r="CH976" s="28"/>
      <c r="CK976" s="28"/>
      <c r="CN976" s="28"/>
      <c r="CQ976" s="28"/>
      <c r="CT976" s="28"/>
      <c r="CW976" s="28"/>
      <c r="CZ976" s="28"/>
      <c r="DC976" s="28"/>
      <c r="DF976" s="28"/>
      <c r="DI976" s="28"/>
      <c r="DL976" s="28"/>
      <c r="DO976" s="28"/>
      <c r="DR976" s="28"/>
      <c r="DU976" s="28"/>
      <c r="DX976" s="28"/>
      <c r="EA976" s="28"/>
      <c r="ED976" s="28"/>
      <c r="EG976" s="28"/>
      <c r="EJ976" s="28"/>
      <c r="EM976" s="28"/>
      <c r="EP976" s="28"/>
      <c r="ES976" s="28"/>
      <c r="EV976" s="28"/>
      <c r="EY976" s="28"/>
      <c r="FB976" s="28"/>
      <c r="FE976" s="28"/>
      <c r="FH976" s="28"/>
      <c r="FK976" s="28"/>
      <c r="FN976" s="28"/>
      <c r="FQ976" s="28"/>
      <c r="FT976" s="28"/>
      <c r="FW976" s="28"/>
      <c r="FZ976" s="28"/>
      <c r="GC976" s="28"/>
    </row>
    <row r="977" spans="1:185" s="25" customFormat="1" x14ac:dyDescent="0.3">
      <c r="A977" s="27"/>
      <c r="B977" s="28"/>
      <c r="C977" s="27"/>
      <c r="D977" s="26"/>
      <c r="E977" s="28"/>
      <c r="H977" s="28"/>
      <c r="K977" s="28"/>
      <c r="N977" s="28"/>
      <c r="Q977" s="28"/>
      <c r="T977" s="28"/>
      <c r="W977" s="28"/>
      <c r="Z977" s="28"/>
      <c r="AC977" s="28"/>
      <c r="AF977" s="28"/>
      <c r="AI977" s="28"/>
      <c r="AL977" s="28"/>
      <c r="AO977" s="28"/>
      <c r="AR977" s="28"/>
      <c r="AU977" s="28"/>
      <c r="AX977" s="28"/>
      <c r="BA977" s="28"/>
      <c r="BD977" s="28"/>
      <c r="BG977" s="28"/>
      <c r="BJ977" s="28"/>
      <c r="BM977" s="28"/>
      <c r="BP977" s="28"/>
      <c r="BS977" s="28"/>
      <c r="BV977" s="28"/>
      <c r="BY977" s="28"/>
      <c r="CB977" s="28"/>
      <c r="CE977" s="28"/>
      <c r="CH977" s="28"/>
      <c r="CK977" s="28"/>
      <c r="CN977" s="28"/>
      <c r="CQ977" s="28"/>
      <c r="CT977" s="28"/>
      <c r="CW977" s="28"/>
      <c r="CZ977" s="28"/>
      <c r="DC977" s="28"/>
      <c r="DF977" s="28"/>
      <c r="DI977" s="28"/>
      <c r="DL977" s="28"/>
      <c r="DO977" s="28"/>
      <c r="DR977" s="28"/>
      <c r="DU977" s="28"/>
      <c r="DX977" s="28"/>
      <c r="EA977" s="28"/>
      <c r="ED977" s="28"/>
      <c r="EG977" s="28"/>
      <c r="EJ977" s="28"/>
      <c r="EM977" s="28"/>
      <c r="EP977" s="28"/>
      <c r="ES977" s="28"/>
      <c r="EV977" s="28"/>
      <c r="EY977" s="28"/>
      <c r="FB977" s="28"/>
      <c r="FE977" s="28"/>
      <c r="FH977" s="28"/>
      <c r="FK977" s="28"/>
      <c r="FN977" s="28"/>
      <c r="FQ977" s="28"/>
      <c r="FT977" s="28"/>
      <c r="FW977" s="28"/>
      <c r="FZ977" s="28"/>
      <c r="GC977" s="28"/>
    </row>
    <row r="978" spans="1:185" s="25" customFormat="1" x14ac:dyDescent="0.3">
      <c r="A978" s="27"/>
      <c r="B978" s="28"/>
      <c r="C978" s="27"/>
      <c r="D978" s="26"/>
      <c r="E978" s="28"/>
      <c r="H978" s="28"/>
      <c r="K978" s="28"/>
      <c r="N978" s="28"/>
      <c r="Q978" s="28"/>
      <c r="T978" s="28"/>
      <c r="W978" s="28"/>
      <c r="Z978" s="28"/>
      <c r="AC978" s="28"/>
      <c r="AF978" s="28"/>
      <c r="AI978" s="28"/>
      <c r="AL978" s="28"/>
      <c r="AO978" s="28"/>
      <c r="AR978" s="28"/>
      <c r="AU978" s="28"/>
      <c r="AX978" s="28"/>
      <c r="BA978" s="28"/>
      <c r="BD978" s="28"/>
      <c r="BG978" s="28"/>
      <c r="BJ978" s="28"/>
      <c r="BM978" s="28"/>
      <c r="BP978" s="28"/>
      <c r="BS978" s="28"/>
      <c r="BV978" s="28"/>
      <c r="BY978" s="28"/>
      <c r="CB978" s="28"/>
      <c r="CE978" s="28"/>
      <c r="CH978" s="28"/>
      <c r="CK978" s="28"/>
      <c r="CN978" s="28"/>
      <c r="CQ978" s="28"/>
      <c r="CT978" s="28"/>
      <c r="CW978" s="28"/>
      <c r="CZ978" s="28"/>
      <c r="DC978" s="28"/>
      <c r="DF978" s="28"/>
      <c r="DI978" s="28"/>
      <c r="DL978" s="28"/>
      <c r="DO978" s="28"/>
      <c r="DR978" s="28"/>
      <c r="DU978" s="28"/>
      <c r="DX978" s="28"/>
      <c r="EA978" s="28"/>
      <c r="ED978" s="28"/>
      <c r="EG978" s="28"/>
      <c r="EJ978" s="28"/>
      <c r="EM978" s="28"/>
      <c r="EP978" s="28"/>
      <c r="ES978" s="28"/>
      <c r="EV978" s="28"/>
      <c r="EY978" s="28"/>
      <c r="FB978" s="28"/>
      <c r="FE978" s="28"/>
      <c r="FH978" s="28"/>
      <c r="FK978" s="28"/>
      <c r="FN978" s="28"/>
      <c r="FQ978" s="28"/>
      <c r="FT978" s="28"/>
      <c r="FW978" s="28"/>
      <c r="FZ978" s="28"/>
      <c r="GC978" s="28"/>
    </row>
    <row r="979" spans="1:185" s="25" customFormat="1" x14ac:dyDescent="0.3">
      <c r="A979" s="27"/>
      <c r="B979" s="28"/>
      <c r="C979" s="27"/>
      <c r="D979" s="26"/>
      <c r="E979" s="28"/>
      <c r="H979" s="28"/>
      <c r="K979" s="28"/>
      <c r="N979" s="28"/>
      <c r="Q979" s="28"/>
      <c r="T979" s="28"/>
      <c r="W979" s="28"/>
      <c r="Z979" s="28"/>
      <c r="AC979" s="28"/>
      <c r="AF979" s="28"/>
      <c r="AI979" s="28"/>
      <c r="AL979" s="28"/>
      <c r="AO979" s="28"/>
      <c r="AR979" s="28"/>
      <c r="AU979" s="28"/>
      <c r="AX979" s="28"/>
      <c r="BA979" s="28"/>
      <c r="BD979" s="28"/>
      <c r="BG979" s="28"/>
      <c r="BJ979" s="28"/>
      <c r="BM979" s="28"/>
      <c r="BP979" s="28"/>
      <c r="BS979" s="28"/>
      <c r="BV979" s="28"/>
      <c r="BY979" s="28"/>
      <c r="CB979" s="28"/>
      <c r="CE979" s="28"/>
      <c r="CH979" s="28"/>
      <c r="CK979" s="28"/>
      <c r="CN979" s="28"/>
      <c r="CQ979" s="28"/>
      <c r="CT979" s="28"/>
      <c r="CW979" s="28"/>
      <c r="CZ979" s="28"/>
      <c r="DC979" s="28"/>
      <c r="DF979" s="28"/>
      <c r="DI979" s="28"/>
      <c r="DL979" s="28"/>
      <c r="DO979" s="28"/>
      <c r="DR979" s="28"/>
      <c r="DU979" s="28"/>
      <c r="DX979" s="28"/>
      <c r="EA979" s="28"/>
      <c r="ED979" s="28"/>
      <c r="EG979" s="28"/>
      <c r="EJ979" s="28"/>
      <c r="EM979" s="28"/>
      <c r="EP979" s="28"/>
      <c r="ES979" s="28"/>
      <c r="EV979" s="28"/>
      <c r="EY979" s="28"/>
      <c r="FB979" s="28"/>
      <c r="FE979" s="28"/>
      <c r="FH979" s="28"/>
      <c r="FK979" s="28"/>
      <c r="FN979" s="28"/>
      <c r="FQ979" s="28"/>
      <c r="FT979" s="28"/>
      <c r="FW979" s="28"/>
      <c r="FZ979" s="28"/>
      <c r="GC979" s="28"/>
    </row>
    <row r="980" spans="1:185" s="25" customFormat="1" x14ac:dyDescent="0.3">
      <c r="A980" s="27"/>
      <c r="B980" s="28"/>
      <c r="C980" s="27"/>
      <c r="D980" s="26"/>
      <c r="E980" s="28"/>
      <c r="H980" s="28"/>
      <c r="K980" s="28"/>
      <c r="N980" s="28"/>
      <c r="Q980" s="28"/>
      <c r="T980" s="28"/>
      <c r="W980" s="28"/>
      <c r="Z980" s="28"/>
      <c r="AC980" s="28"/>
      <c r="AF980" s="28"/>
      <c r="AI980" s="28"/>
      <c r="AL980" s="28"/>
      <c r="AO980" s="28"/>
      <c r="AR980" s="28"/>
      <c r="AU980" s="28"/>
      <c r="AX980" s="28"/>
      <c r="BA980" s="28"/>
      <c r="BD980" s="28"/>
      <c r="BG980" s="28"/>
      <c r="BJ980" s="28"/>
      <c r="BM980" s="28"/>
      <c r="BP980" s="28"/>
      <c r="BS980" s="28"/>
      <c r="BV980" s="28"/>
      <c r="BY980" s="28"/>
      <c r="CB980" s="28"/>
      <c r="CE980" s="28"/>
      <c r="CH980" s="28"/>
      <c r="CK980" s="28"/>
      <c r="CN980" s="28"/>
      <c r="CQ980" s="28"/>
      <c r="CT980" s="28"/>
      <c r="CW980" s="28"/>
      <c r="CZ980" s="28"/>
      <c r="DC980" s="28"/>
      <c r="DF980" s="28"/>
      <c r="DI980" s="28"/>
      <c r="DL980" s="28"/>
      <c r="DO980" s="28"/>
      <c r="DR980" s="28"/>
      <c r="DU980" s="28"/>
      <c r="DX980" s="28"/>
      <c r="EA980" s="28"/>
      <c r="ED980" s="28"/>
      <c r="EG980" s="28"/>
      <c r="EJ980" s="28"/>
      <c r="EM980" s="28"/>
      <c r="EP980" s="28"/>
      <c r="ES980" s="28"/>
      <c r="EV980" s="28"/>
      <c r="EY980" s="28"/>
      <c r="FB980" s="28"/>
      <c r="FE980" s="28"/>
      <c r="FH980" s="28"/>
      <c r="FK980" s="28"/>
      <c r="FN980" s="28"/>
      <c r="FQ980" s="28"/>
      <c r="FT980" s="28"/>
      <c r="FW980" s="28"/>
      <c r="FZ980" s="28"/>
      <c r="GC980" s="28"/>
    </row>
    <row r="981" spans="1:185" s="25" customFormat="1" x14ac:dyDescent="0.3">
      <c r="A981" s="27"/>
      <c r="B981" s="28"/>
      <c r="C981" s="27"/>
      <c r="D981" s="26"/>
      <c r="E981" s="28"/>
      <c r="H981" s="28"/>
      <c r="K981" s="28"/>
      <c r="N981" s="28"/>
      <c r="Q981" s="28"/>
      <c r="T981" s="28"/>
      <c r="W981" s="28"/>
      <c r="Z981" s="28"/>
      <c r="AC981" s="28"/>
      <c r="AF981" s="28"/>
      <c r="AI981" s="28"/>
      <c r="AL981" s="28"/>
      <c r="AO981" s="28"/>
      <c r="AR981" s="28"/>
      <c r="AU981" s="28"/>
      <c r="AX981" s="28"/>
      <c r="BA981" s="28"/>
      <c r="BD981" s="28"/>
      <c r="BG981" s="28"/>
      <c r="BJ981" s="28"/>
      <c r="BM981" s="28"/>
      <c r="BP981" s="28"/>
      <c r="BS981" s="28"/>
      <c r="BV981" s="28"/>
      <c r="BY981" s="28"/>
      <c r="CB981" s="28"/>
      <c r="CE981" s="28"/>
      <c r="CH981" s="28"/>
      <c r="CK981" s="28"/>
      <c r="CN981" s="28"/>
      <c r="CQ981" s="28"/>
      <c r="CT981" s="28"/>
      <c r="CW981" s="28"/>
      <c r="CZ981" s="28"/>
      <c r="DC981" s="28"/>
      <c r="DF981" s="28"/>
      <c r="DI981" s="28"/>
      <c r="DL981" s="28"/>
      <c r="DO981" s="28"/>
      <c r="DR981" s="28"/>
      <c r="DU981" s="28"/>
      <c r="DX981" s="28"/>
      <c r="EA981" s="28"/>
      <c r="ED981" s="28"/>
      <c r="EG981" s="28"/>
      <c r="EJ981" s="28"/>
      <c r="EM981" s="28"/>
      <c r="EP981" s="28"/>
      <c r="ES981" s="28"/>
      <c r="EV981" s="28"/>
      <c r="EY981" s="28"/>
      <c r="FB981" s="28"/>
      <c r="FE981" s="28"/>
      <c r="FH981" s="28"/>
      <c r="FK981" s="28"/>
      <c r="FN981" s="28"/>
      <c r="FQ981" s="28"/>
      <c r="FT981" s="28"/>
      <c r="FW981" s="28"/>
      <c r="FZ981" s="28"/>
      <c r="GC981" s="28"/>
    </row>
    <row r="982" spans="1:185" s="25" customFormat="1" x14ac:dyDescent="0.3">
      <c r="A982" s="27"/>
      <c r="B982" s="28"/>
      <c r="C982" s="27"/>
      <c r="D982" s="26"/>
      <c r="E982" s="28"/>
      <c r="H982" s="28"/>
      <c r="K982" s="28"/>
      <c r="N982" s="28"/>
      <c r="Q982" s="28"/>
      <c r="T982" s="28"/>
      <c r="W982" s="28"/>
      <c r="Z982" s="28"/>
      <c r="AC982" s="28"/>
      <c r="AF982" s="28"/>
      <c r="AI982" s="28"/>
      <c r="AL982" s="28"/>
      <c r="AO982" s="28"/>
      <c r="AR982" s="28"/>
      <c r="AU982" s="28"/>
      <c r="AX982" s="28"/>
      <c r="BA982" s="28"/>
      <c r="BD982" s="28"/>
      <c r="BG982" s="28"/>
      <c r="BJ982" s="28"/>
      <c r="BM982" s="28"/>
      <c r="BP982" s="28"/>
      <c r="BS982" s="28"/>
      <c r="BV982" s="28"/>
      <c r="BY982" s="28"/>
      <c r="CB982" s="28"/>
      <c r="CE982" s="28"/>
      <c r="CH982" s="28"/>
      <c r="CK982" s="28"/>
      <c r="CN982" s="28"/>
      <c r="CQ982" s="28"/>
      <c r="CT982" s="28"/>
      <c r="CW982" s="28"/>
      <c r="CZ982" s="28"/>
      <c r="DC982" s="28"/>
      <c r="DF982" s="28"/>
      <c r="DI982" s="28"/>
      <c r="DL982" s="28"/>
      <c r="DO982" s="28"/>
      <c r="DR982" s="28"/>
      <c r="DU982" s="28"/>
      <c r="DX982" s="28"/>
      <c r="EA982" s="28"/>
      <c r="ED982" s="28"/>
      <c r="EG982" s="28"/>
      <c r="EJ982" s="28"/>
      <c r="EM982" s="28"/>
      <c r="EP982" s="28"/>
      <c r="ES982" s="28"/>
      <c r="EV982" s="28"/>
      <c r="EY982" s="28"/>
      <c r="FB982" s="28"/>
      <c r="FE982" s="28"/>
      <c r="FH982" s="28"/>
      <c r="FK982" s="28"/>
      <c r="FN982" s="28"/>
      <c r="FQ982" s="28"/>
      <c r="FT982" s="28"/>
      <c r="FW982" s="28"/>
      <c r="FZ982" s="28"/>
      <c r="GC982" s="28"/>
    </row>
    <row r="983" spans="1:185" s="25" customFormat="1" x14ac:dyDescent="0.3">
      <c r="A983" s="27"/>
      <c r="B983" s="28"/>
      <c r="C983" s="27"/>
      <c r="D983" s="26"/>
      <c r="E983" s="28"/>
      <c r="H983" s="28"/>
      <c r="K983" s="28"/>
      <c r="N983" s="28"/>
      <c r="Q983" s="28"/>
      <c r="T983" s="28"/>
      <c r="W983" s="28"/>
      <c r="Z983" s="28"/>
      <c r="AC983" s="28"/>
      <c r="AF983" s="28"/>
      <c r="AI983" s="28"/>
      <c r="AL983" s="28"/>
      <c r="AO983" s="28"/>
      <c r="AR983" s="28"/>
      <c r="AU983" s="28"/>
      <c r="AX983" s="28"/>
      <c r="BA983" s="28"/>
      <c r="BD983" s="28"/>
      <c r="BG983" s="28"/>
      <c r="BJ983" s="28"/>
      <c r="BM983" s="28"/>
      <c r="BP983" s="28"/>
      <c r="BS983" s="28"/>
      <c r="BV983" s="28"/>
      <c r="BY983" s="28"/>
      <c r="CB983" s="28"/>
      <c r="CE983" s="28"/>
      <c r="CH983" s="28"/>
      <c r="CK983" s="28"/>
      <c r="CN983" s="28"/>
      <c r="CQ983" s="28"/>
      <c r="CT983" s="28"/>
      <c r="CW983" s="28"/>
      <c r="CZ983" s="28"/>
      <c r="DC983" s="28"/>
      <c r="DF983" s="28"/>
      <c r="DI983" s="28"/>
      <c r="DL983" s="28"/>
      <c r="DO983" s="28"/>
      <c r="DR983" s="28"/>
      <c r="DU983" s="28"/>
      <c r="DX983" s="28"/>
      <c r="EA983" s="28"/>
      <c r="ED983" s="28"/>
      <c r="EG983" s="28"/>
      <c r="EJ983" s="28"/>
      <c r="EM983" s="28"/>
      <c r="EP983" s="28"/>
      <c r="ES983" s="28"/>
      <c r="EV983" s="28"/>
      <c r="EY983" s="28"/>
      <c r="FB983" s="28"/>
      <c r="FE983" s="28"/>
      <c r="FH983" s="28"/>
      <c r="FK983" s="28"/>
      <c r="FN983" s="28"/>
      <c r="FQ983" s="28"/>
      <c r="FT983" s="28"/>
      <c r="FW983" s="28"/>
      <c r="FZ983" s="28"/>
      <c r="GC983" s="28"/>
    </row>
    <row r="984" spans="1:185" s="25" customFormat="1" x14ac:dyDescent="0.3">
      <c r="A984" s="27"/>
      <c r="B984" s="28"/>
      <c r="C984" s="27"/>
      <c r="D984" s="26"/>
      <c r="E984" s="28"/>
      <c r="H984" s="28"/>
      <c r="K984" s="28"/>
      <c r="N984" s="28"/>
      <c r="Q984" s="28"/>
      <c r="T984" s="28"/>
      <c r="W984" s="28"/>
      <c r="Z984" s="28"/>
      <c r="AC984" s="28"/>
      <c r="AF984" s="28"/>
      <c r="AI984" s="28"/>
      <c r="AL984" s="28"/>
      <c r="AO984" s="28"/>
      <c r="AR984" s="28"/>
      <c r="AU984" s="28"/>
      <c r="AX984" s="28"/>
      <c r="BA984" s="28"/>
      <c r="BD984" s="28"/>
      <c r="BG984" s="28"/>
      <c r="BJ984" s="28"/>
      <c r="BM984" s="28"/>
      <c r="BP984" s="28"/>
      <c r="BS984" s="28"/>
      <c r="BV984" s="28"/>
      <c r="BY984" s="28"/>
      <c r="CB984" s="28"/>
      <c r="CE984" s="28"/>
      <c r="CH984" s="28"/>
      <c r="CK984" s="28"/>
      <c r="CN984" s="28"/>
      <c r="CQ984" s="28"/>
      <c r="CT984" s="28"/>
      <c r="CW984" s="28"/>
      <c r="CZ984" s="28"/>
      <c r="DC984" s="28"/>
      <c r="DF984" s="28"/>
      <c r="DI984" s="28"/>
      <c r="DL984" s="28"/>
      <c r="DO984" s="28"/>
      <c r="DR984" s="28"/>
      <c r="DU984" s="28"/>
      <c r="DX984" s="28"/>
      <c r="EA984" s="28"/>
      <c r="ED984" s="28"/>
      <c r="EG984" s="28"/>
      <c r="EJ984" s="28"/>
      <c r="EM984" s="28"/>
      <c r="EP984" s="28"/>
      <c r="ES984" s="28"/>
      <c r="EV984" s="28"/>
      <c r="EY984" s="28"/>
      <c r="FB984" s="28"/>
      <c r="FE984" s="28"/>
      <c r="FH984" s="28"/>
      <c r="FK984" s="28"/>
      <c r="FN984" s="28"/>
      <c r="FQ984" s="28"/>
      <c r="FT984" s="28"/>
      <c r="FW984" s="28"/>
      <c r="FZ984" s="28"/>
      <c r="GC984" s="28"/>
    </row>
    <row r="985" spans="1:185" s="25" customFormat="1" x14ac:dyDescent="0.3">
      <c r="A985" s="27"/>
      <c r="B985" s="28"/>
      <c r="C985" s="27"/>
      <c r="D985" s="26"/>
      <c r="E985" s="28"/>
      <c r="H985" s="28"/>
      <c r="K985" s="28"/>
      <c r="N985" s="28"/>
      <c r="Q985" s="28"/>
      <c r="T985" s="28"/>
      <c r="W985" s="28"/>
      <c r="Z985" s="28"/>
      <c r="AC985" s="28"/>
      <c r="AF985" s="28"/>
      <c r="AI985" s="28"/>
      <c r="AL985" s="28"/>
      <c r="AO985" s="28"/>
      <c r="AR985" s="28"/>
      <c r="AU985" s="28"/>
      <c r="AX985" s="28"/>
      <c r="BA985" s="28"/>
      <c r="BD985" s="28"/>
      <c r="BG985" s="28"/>
      <c r="BJ985" s="28"/>
      <c r="BM985" s="28"/>
      <c r="BP985" s="28"/>
      <c r="BS985" s="28"/>
      <c r="BV985" s="28"/>
      <c r="BY985" s="28"/>
      <c r="CB985" s="28"/>
      <c r="CE985" s="28"/>
      <c r="CH985" s="28"/>
      <c r="CK985" s="28"/>
      <c r="CN985" s="28"/>
      <c r="CQ985" s="28"/>
      <c r="CT985" s="28"/>
      <c r="CW985" s="28"/>
      <c r="CZ985" s="28"/>
      <c r="DC985" s="28"/>
      <c r="DF985" s="28"/>
      <c r="DI985" s="28"/>
      <c r="DL985" s="28"/>
      <c r="DO985" s="28"/>
      <c r="DR985" s="28"/>
      <c r="DU985" s="28"/>
      <c r="DX985" s="28"/>
      <c r="EA985" s="28"/>
      <c r="ED985" s="28"/>
      <c r="EG985" s="28"/>
      <c r="EJ985" s="28"/>
      <c r="EM985" s="28"/>
      <c r="EP985" s="28"/>
      <c r="ES985" s="28"/>
      <c r="EV985" s="28"/>
      <c r="EY985" s="28"/>
      <c r="FB985" s="28"/>
      <c r="FE985" s="28"/>
      <c r="FH985" s="28"/>
      <c r="FK985" s="28"/>
      <c r="FN985" s="28"/>
      <c r="FQ985" s="28"/>
      <c r="FT985" s="28"/>
      <c r="FW985" s="28"/>
      <c r="FZ985" s="28"/>
      <c r="GC985" s="28"/>
    </row>
    <row r="986" spans="1:185" s="25" customFormat="1" x14ac:dyDescent="0.3">
      <c r="A986" s="27"/>
      <c r="B986" s="28"/>
      <c r="C986" s="27"/>
      <c r="D986" s="26"/>
      <c r="E986" s="28"/>
      <c r="H986" s="28"/>
      <c r="K986" s="28"/>
      <c r="N986" s="28"/>
      <c r="Q986" s="28"/>
      <c r="T986" s="28"/>
      <c r="W986" s="28"/>
      <c r="Z986" s="28"/>
      <c r="AC986" s="28"/>
      <c r="AF986" s="28"/>
      <c r="AI986" s="28"/>
      <c r="AL986" s="28"/>
      <c r="AO986" s="28"/>
      <c r="AR986" s="28"/>
      <c r="AU986" s="28"/>
      <c r="AX986" s="28"/>
      <c r="BA986" s="28"/>
      <c r="BD986" s="28"/>
      <c r="BG986" s="28"/>
      <c r="BJ986" s="28"/>
      <c r="BM986" s="28"/>
      <c r="BP986" s="28"/>
      <c r="BS986" s="28"/>
      <c r="BV986" s="28"/>
      <c r="BY986" s="28"/>
      <c r="CB986" s="28"/>
      <c r="CE986" s="28"/>
      <c r="CH986" s="28"/>
      <c r="CK986" s="28"/>
      <c r="CN986" s="28"/>
      <c r="CQ986" s="28"/>
      <c r="CT986" s="28"/>
      <c r="CW986" s="28"/>
      <c r="CZ986" s="28"/>
      <c r="DC986" s="28"/>
      <c r="DF986" s="28"/>
      <c r="DI986" s="28"/>
      <c r="DL986" s="28"/>
      <c r="DO986" s="28"/>
      <c r="DR986" s="28"/>
      <c r="DU986" s="28"/>
      <c r="DX986" s="28"/>
      <c r="EA986" s="28"/>
      <c r="ED986" s="28"/>
      <c r="EG986" s="28"/>
      <c r="EJ986" s="28"/>
      <c r="EM986" s="28"/>
      <c r="EP986" s="28"/>
      <c r="ES986" s="28"/>
      <c r="EV986" s="28"/>
      <c r="EY986" s="28"/>
      <c r="FB986" s="28"/>
      <c r="FE986" s="28"/>
      <c r="FH986" s="28"/>
      <c r="FK986" s="28"/>
      <c r="FN986" s="28"/>
      <c r="FQ986" s="28"/>
      <c r="FT986" s="28"/>
      <c r="FW986" s="28"/>
      <c r="FZ986" s="28"/>
      <c r="GC986" s="28"/>
    </row>
    <row r="987" spans="1:185" s="25" customFormat="1" x14ac:dyDescent="0.3">
      <c r="A987" s="27"/>
      <c r="B987" s="28"/>
      <c r="C987" s="27"/>
      <c r="D987" s="26"/>
      <c r="E987" s="28"/>
      <c r="H987" s="28"/>
      <c r="K987" s="28"/>
      <c r="N987" s="28"/>
      <c r="Q987" s="28"/>
      <c r="T987" s="28"/>
      <c r="W987" s="28"/>
      <c r="Z987" s="28"/>
      <c r="AC987" s="28"/>
      <c r="AF987" s="28"/>
      <c r="AI987" s="28"/>
      <c r="AL987" s="28"/>
      <c r="AO987" s="28"/>
      <c r="AR987" s="28"/>
      <c r="AU987" s="28"/>
      <c r="AX987" s="28"/>
      <c r="BA987" s="28"/>
      <c r="BD987" s="28"/>
      <c r="BG987" s="28"/>
      <c r="BJ987" s="28"/>
      <c r="BM987" s="28"/>
      <c r="BP987" s="28"/>
      <c r="BS987" s="28"/>
      <c r="BV987" s="28"/>
      <c r="BY987" s="28"/>
      <c r="CB987" s="28"/>
      <c r="CE987" s="28"/>
      <c r="CH987" s="28"/>
      <c r="CK987" s="28"/>
      <c r="CN987" s="28"/>
      <c r="CQ987" s="28"/>
      <c r="CT987" s="28"/>
      <c r="CW987" s="28"/>
      <c r="CZ987" s="28"/>
      <c r="DC987" s="28"/>
      <c r="DF987" s="28"/>
      <c r="DI987" s="28"/>
      <c r="DL987" s="28"/>
      <c r="DO987" s="28"/>
      <c r="DR987" s="28"/>
      <c r="DU987" s="28"/>
      <c r="DX987" s="28"/>
      <c r="EA987" s="28"/>
      <c r="ED987" s="28"/>
      <c r="EG987" s="28"/>
      <c r="EJ987" s="28"/>
      <c r="EM987" s="28"/>
      <c r="EP987" s="28"/>
      <c r="ES987" s="28"/>
      <c r="EV987" s="28"/>
      <c r="EY987" s="28"/>
      <c r="FB987" s="28"/>
      <c r="FE987" s="28"/>
      <c r="FH987" s="28"/>
      <c r="FK987" s="28"/>
      <c r="FN987" s="28"/>
      <c r="FQ987" s="28"/>
      <c r="FT987" s="28"/>
      <c r="FW987" s="28"/>
      <c r="FZ987" s="28"/>
      <c r="GC987" s="28"/>
    </row>
    <row r="988" spans="1:185" s="25" customFormat="1" x14ac:dyDescent="0.3">
      <c r="A988" s="27"/>
      <c r="B988" s="28"/>
      <c r="C988" s="27"/>
      <c r="D988" s="26"/>
      <c r="E988" s="28"/>
      <c r="H988" s="28"/>
      <c r="K988" s="28"/>
      <c r="N988" s="28"/>
      <c r="Q988" s="28"/>
      <c r="T988" s="28"/>
      <c r="W988" s="28"/>
      <c r="Z988" s="28"/>
      <c r="AC988" s="28"/>
      <c r="AF988" s="28"/>
      <c r="AI988" s="28"/>
      <c r="AL988" s="28"/>
      <c r="AO988" s="28"/>
      <c r="AR988" s="28"/>
      <c r="AU988" s="28"/>
      <c r="AX988" s="28"/>
      <c r="BA988" s="28"/>
      <c r="BD988" s="28"/>
      <c r="BG988" s="28"/>
      <c r="BJ988" s="28"/>
      <c r="BM988" s="28"/>
      <c r="BP988" s="28"/>
      <c r="BS988" s="28"/>
      <c r="BV988" s="28"/>
      <c r="BY988" s="28"/>
      <c r="CB988" s="28"/>
      <c r="CE988" s="28"/>
      <c r="CH988" s="28"/>
      <c r="CK988" s="28"/>
      <c r="CN988" s="28"/>
      <c r="CQ988" s="28"/>
      <c r="CT988" s="28"/>
      <c r="CW988" s="28"/>
      <c r="CZ988" s="28"/>
      <c r="DC988" s="28"/>
      <c r="DF988" s="28"/>
      <c r="DI988" s="28"/>
      <c r="DL988" s="28"/>
      <c r="DO988" s="28"/>
      <c r="DR988" s="28"/>
      <c r="DU988" s="28"/>
      <c r="DX988" s="28"/>
      <c r="EA988" s="28"/>
      <c r="ED988" s="28"/>
      <c r="EG988" s="28"/>
      <c r="EJ988" s="28"/>
      <c r="EM988" s="28"/>
      <c r="EP988" s="28"/>
      <c r="ES988" s="28"/>
      <c r="EV988" s="28"/>
      <c r="EY988" s="28"/>
      <c r="FB988" s="28"/>
      <c r="FE988" s="28"/>
      <c r="FH988" s="28"/>
      <c r="FK988" s="28"/>
      <c r="FN988" s="28"/>
      <c r="FQ988" s="28"/>
      <c r="FT988" s="28"/>
      <c r="FW988" s="28"/>
      <c r="FZ988" s="28"/>
      <c r="GC988" s="28"/>
    </row>
    <row r="989" spans="1:185" s="25" customFormat="1" x14ac:dyDescent="0.3">
      <c r="A989" s="27"/>
      <c r="B989" s="28"/>
      <c r="C989" s="27"/>
      <c r="D989" s="26"/>
      <c r="E989" s="28"/>
      <c r="H989" s="28"/>
      <c r="K989" s="28"/>
      <c r="N989" s="28"/>
      <c r="Q989" s="28"/>
      <c r="T989" s="28"/>
      <c r="W989" s="28"/>
      <c r="Z989" s="28"/>
      <c r="AC989" s="28"/>
      <c r="AF989" s="28"/>
      <c r="AI989" s="28"/>
      <c r="AL989" s="28"/>
      <c r="AO989" s="28"/>
      <c r="AR989" s="28"/>
      <c r="AU989" s="28"/>
      <c r="AX989" s="28"/>
      <c r="BA989" s="28"/>
      <c r="BD989" s="28"/>
      <c r="BG989" s="28"/>
      <c r="BJ989" s="28"/>
      <c r="BM989" s="28"/>
      <c r="BP989" s="28"/>
      <c r="BS989" s="28"/>
      <c r="BV989" s="28"/>
      <c r="BY989" s="28"/>
      <c r="CB989" s="28"/>
      <c r="CE989" s="28"/>
      <c r="CH989" s="28"/>
      <c r="CK989" s="28"/>
      <c r="CN989" s="28"/>
      <c r="CQ989" s="28"/>
      <c r="CT989" s="28"/>
      <c r="CW989" s="28"/>
      <c r="CZ989" s="28"/>
      <c r="DC989" s="28"/>
      <c r="DF989" s="28"/>
      <c r="DI989" s="28"/>
      <c r="DL989" s="28"/>
      <c r="DO989" s="28"/>
      <c r="DR989" s="28"/>
      <c r="DU989" s="28"/>
      <c r="DX989" s="28"/>
      <c r="EA989" s="28"/>
      <c r="ED989" s="28"/>
      <c r="EG989" s="28"/>
      <c r="EJ989" s="28"/>
      <c r="EM989" s="28"/>
      <c r="EP989" s="28"/>
      <c r="ES989" s="28"/>
      <c r="EV989" s="28"/>
      <c r="EY989" s="28"/>
      <c r="FB989" s="28"/>
      <c r="FE989" s="28"/>
      <c r="FH989" s="28"/>
      <c r="FK989" s="28"/>
      <c r="FN989" s="28"/>
      <c r="FQ989" s="28"/>
      <c r="FT989" s="28"/>
      <c r="FW989" s="28"/>
      <c r="FZ989" s="28"/>
      <c r="GC989" s="28"/>
    </row>
    <row r="990" spans="1:185" s="25" customFormat="1" x14ac:dyDescent="0.3">
      <c r="A990" s="27"/>
      <c r="B990" s="28"/>
      <c r="C990" s="27"/>
      <c r="D990" s="26"/>
      <c r="E990" s="28"/>
      <c r="H990" s="28"/>
      <c r="K990" s="28"/>
      <c r="N990" s="28"/>
      <c r="Q990" s="28"/>
      <c r="T990" s="28"/>
      <c r="W990" s="28"/>
      <c r="Z990" s="28"/>
      <c r="AC990" s="28"/>
      <c r="AF990" s="28"/>
      <c r="AI990" s="28"/>
      <c r="AL990" s="28"/>
      <c r="AO990" s="28"/>
      <c r="AR990" s="28"/>
      <c r="AU990" s="28"/>
      <c r="AX990" s="28"/>
      <c r="BA990" s="28"/>
      <c r="BD990" s="28"/>
      <c r="BG990" s="28"/>
      <c r="BJ990" s="28"/>
      <c r="BM990" s="28"/>
      <c r="BP990" s="28"/>
      <c r="BS990" s="28"/>
      <c r="BV990" s="28"/>
      <c r="BY990" s="28"/>
      <c r="CB990" s="28"/>
      <c r="CE990" s="28"/>
      <c r="CH990" s="28"/>
      <c r="CK990" s="28"/>
      <c r="CN990" s="28"/>
      <c r="CQ990" s="28"/>
      <c r="CT990" s="28"/>
      <c r="CW990" s="28"/>
      <c r="CZ990" s="28"/>
      <c r="DC990" s="28"/>
      <c r="DF990" s="28"/>
      <c r="DI990" s="28"/>
      <c r="DL990" s="28"/>
      <c r="DO990" s="28"/>
      <c r="DR990" s="28"/>
      <c r="DU990" s="28"/>
      <c r="DX990" s="28"/>
      <c r="EA990" s="28"/>
      <c r="ED990" s="28"/>
      <c r="EG990" s="28"/>
      <c r="EJ990" s="28"/>
      <c r="EM990" s="28"/>
      <c r="EP990" s="28"/>
      <c r="ES990" s="28"/>
      <c r="EV990" s="28"/>
      <c r="EY990" s="28"/>
      <c r="FB990" s="28"/>
      <c r="FE990" s="28"/>
      <c r="FH990" s="28"/>
      <c r="FK990" s="28"/>
      <c r="FN990" s="28"/>
      <c r="FQ990" s="28"/>
      <c r="FT990" s="28"/>
      <c r="FW990" s="28"/>
      <c r="FZ990" s="28"/>
      <c r="GC990" s="28"/>
    </row>
    <row r="991" spans="1:185" s="25" customFormat="1" x14ac:dyDescent="0.3">
      <c r="A991" s="27"/>
      <c r="B991" s="28"/>
      <c r="C991" s="27"/>
      <c r="D991" s="26"/>
      <c r="E991" s="28"/>
      <c r="H991" s="28"/>
      <c r="K991" s="28"/>
      <c r="N991" s="28"/>
      <c r="Q991" s="28"/>
      <c r="T991" s="28"/>
      <c r="W991" s="28"/>
      <c r="Z991" s="28"/>
      <c r="AC991" s="28"/>
      <c r="AF991" s="28"/>
      <c r="AI991" s="28"/>
      <c r="AL991" s="28"/>
      <c r="AO991" s="28"/>
      <c r="AR991" s="28"/>
      <c r="AU991" s="28"/>
      <c r="AX991" s="28"/>
      <c r="BA991" s="28"/>
      <c r="BD991" s="28"/>
      <c r="BG991" s="28"/>
      <c r="BJ991" s="28"/>
      <c r="BM991" s="28"/>
      <c r="BP991" s="28"/>
      <c r="BS991" s="28"/>
      <c r="BV991" s="28"/>
      <c r="BY991" s="28"/>
      <c r="CB991" s="28"/>
      <c r="CE991" s="28"/>
      <c r="CH991" s="28"/>
      <c r="CK991" s="28"/>
      <c r="CN991" s="28"/>
      <c r="CQ991" s="28"/>
      <c r="CT991" s="28"/>
      <c r="CW991" s="28"/>
      <c r="CZ991" s="28"/>
      <c r="DC991" s="28"/>
      <c r="DF991" s="28"/>
      <c r="DI991" s="28"/>
      <c r="DL991" s="28"/>
      <c r="DO991" s="28"/>
      <c r="DR991" s="28"/>
      <c r="DU991" s="28"/>
      <c r="DX991" s="28"/>
      <c r="EA991" s="28"/>
      <c r="ED991" s="28"/>
      <c r="EG991" s="28"/>
      <c r="EJ991" s="28"/>
      <c r="EM991" s="28"/>
      <c r="EP991" s="28"/>
      <c r="ES991" s="28"/>
      <c r="EV991" s="28"/>
      <c r="EY991" s="28"/>
      <c r="FB991" s="28"/>
      <c r="FE991" s="28"/>
      <c r="FH991" s="28"/>
      <c r="FK991" s="28"/>
      <c r="FN991" s="28"/>
      <c r="FQ991" s="28"/>
      <c r="FT991" s="28"/>
      <c r="FW991" s="28"/>
      <c r="FZ991" s="28"/>
      <c r="GC991" s="28"/>
    </row>
    <row r="992" spans="1:185" s="25" customFormat="1" x14ac:dyDescent="0.3">
      <c r="A992" s="27"/>
      <c r="B992" s="28"/>
      <c r="C992" s="27"/>
      <c r="D992" s="26"/>
      <c r="E992" s="28"/>
      <c r="H992" s="28"/>
      <c r="K992" s="28"/>
      <c r="N992" s="28"/>
      <c r="Q992" s="28"/>
      <c r="T992" s="28"/>
      <c r="W992" s="28"/>
      <c r="Z992" s="28"/>
      <c r="AC992" s="28"/>
      <c r="AF992" s="28"/>
      <c r="AI992" s="28"/>
      <c r="AL992" s="28"/>
      <c r="AO992" s="28"/>
      <c r="AR992" s="28"/>
      <c r="AU992" s="28"/>
      <c r="AX992" s="28"/>
      <c r="BA992" s="28"/>
      <c r="BD992" s="28"/>
      <c r="BG992" s="28"/>
      <c r="BJ992" s="28"/>
      <c r="BM992" s="28"/>
      <c r="BP992" s="28"/>
      <c r="BS992" s="28"/>
      <c r="BV992" s="28"/>
      <c r="BY992" s="28"/>
      <c r="CB992" s="28"/>
      <c r="CE992" s="28"/>
      <c r="CH992" s="28"/>
      <c r="CK992" s="28"/>
      <c r="CN992" s="28"/>
      <c r="CQ992" s="28"/>
      <c r="CT992" s="28"/>
      <c r="CW992" s="28"/>
      <c r="CZ992" s="28"/>
      <c r="DC992" s="28"/>
      <c r="DF992" s="28"/>
      <c r="DI992" s="28"/>
      <c r="DL992" s="28"/>
      <c r="DO992" s="28"/>
      <c r="DR992" s="28"/>
      <c r="DU992" s="28"/>
      <c r="DX992" s="28"/>
      <c r="EA992" s="28"/>
      <c r="ED992" s="28"/>
      <c r="EG992" s="28"/>
      <c r="EJ992" s="28"/>
      <c r="EM992" s="28"/>
      <c r="EP992" s="28"/>
      <c r="ES992" s="28"/>
      <c r="EV992" s="28"/>
      <c r="EY992" s="28"/>
      <c r="FB992" s="28"/>
      <c r="FE992" s="28"/>
      <c r="FH992" s="28"/>
      <c r="FK992" s="28"/>
      <c r="FN992" s="28"/>
      <c r="FQ992" s="28"/>
      <c r="FT992" s="28"/>
      <c r="FW992" s="28"/>
      <c r="FZ992" s="28"/>
      <c r="GC992" s="28"/>
    </row>
    <row r="993" spans="1:185" s="25" customFormat="1" x14ac:dyDescent="0.3">
      <c r="A993" s="27"/>
      <c r="B993" s="28"/>
      <c r="C993" s="27"/>
      <c r="D993" s="26"/>
      <c r="E993" s="28"/>
      <c r="H993" s="28"/>
      <c r="K993" s="28"/>
      <c r="N993" s="28"/>
      <c r="Q993" s="28"/>
      <c r="T993" s="28"/>
      <c r="W993" s="28"/>
      <c r="Z993" s="28"/>
      <c r="AC993" s="28"/>
      <c r="AF993" s="28"/>
      <c r="AI993" s="28"/>
      <c r="AL993" s="28"/>
      <c r="AO993" s="28"/>
      <c r="AR993" s="28"/>
      <c r="AU993" s="28"/>
      <c r="AX993" s="28"/>
      <c r="BA993" s="28"/>
      <c r="BD993" s="28"/>
      <c r="BG993" s="28"/>
      <c r="BJ993" s="28"/>
      <c r="BM993" s="28"/>
      <c r="BP993" s="28"/>
      <c r="BS993" s="28"/>
      <c r="BV993" s="28"/>
      <c r="BY993" s="28"/>
      <c r="CB993" s="28"/>
      <c r="CE993" s="28"/>
      <c r="CH993" s="28"/>
      <c r="CK993" s="28"/>
      <c r="CN993" s="28"/>
      <c r="CQ993" s="28"/>
      <c r="CT993" s="28"/>
      <c r="CW993" s="28"/>
      <c r="CZ993" s="28"/>
      <c r="DC993" s="28"/>
      <c r="DF993" s="28"/>
      <c r="DI993" s="28"/>
      <c r="DL993" s="28"/>
      <c r="DO993" s="28"/>
      <c r="DR993" s="28"/>
      <c r="DU993" s="28"/>
      <c r="DX993" s="28"/>
      <c r="EA993" s="28"/>
      <c r="ED993" s="28"/>
      <c r="EG993" s="28"/>
      <c r="EJ993" s="28"/>
      <c r="EM993" s="28"/>
      <c r="EP993" s="28"/>
      <c r="ES993" s="28"/>
      <c r="EV993" s="28"/>
      <c r="EY993" s="28"/>
      <c r="FB993" s="28"/>
      <c r="FE993" s="28"/>
      <c r="FH993" s="28"/>
      <c r="FK993" s="28"/>
      <c r="FN993" s="28"/>
      <c r="FQ993" s="28"/>
      <c r="FT993" s="28"/>
      <c r="FW993" s="28"/>
      <c r="FZ993" s="28"/>
      <c r="GC993" s="28"/>
    </row>
    <row r="994" spans="1:185" s="25" customFormat="1" x14ac:dyDescent="0.3">
      <c r="A994" s="27"/>
      <c r="B994" s="28"/>
      <c r="C994" s="27"/>
      <c r="D994" s="26"/>
      <c r="E994" s="28"/>
      <c r="H994" s="28"/>
      <c r="K994" s="28"/>
      <c r="N994" s="28"/>
      <c r="Q994" s="28"/>
      <c r="T994" s="28"/>
      <c r="W994" s="28"/>
      <c r="Z994" s="28"/>
      <c r="AC994" s="28"/>
      <c r="AF994" s="28"/>
      <c r="AI994" s="28"/>
      <c r="AL994" s="28"/>
      <c r="AO994" s="28"/>
      <c r="AR994" s="28"/>
      <c r="AU994" s="28"/>
      <c r="AX994" s="28"/>
      <c r="BA994" s="28"/>
      <c r="BD994" s="28"/>
      <c r="BG994" s="28"/>
      <c r="BJ994" s="28"/>
      <c r="BM994" s="28"/>
      <c r="BP994" s="28"/>
      <c r="BS994" s="28"/>
      <c r="BV994" s="28"/>
      <c r="BY994" s="28"/>
      <c r="CB994" s="28"/>
      <c r="CE994" s="28"/>
      <c r="CH994" s="28"/>
      <c r="CK994" s="28"/>
      <c r="CN994" s="28"/>
      <c r="CQ994" s="28"/>
      <c r="CT994" s="28"/>
      <c r="CW994" s="28"/>
      <c r="CZ994" s="28"/>
      <c r="DC994" s="28"/>
      <c r="DF994" s="28"/>
      <c r="DI994" s="28"/>
      <c r="DL994" s="28"/>
      <c r="DO994" s="28"/>
      <c r="DR994" s="28"/>
      <c r="DU994" s="28"/>
      <c r="DX994" s="28"/>
      <c r="EA994" s="28"/>
      <c r="ED994" s="28"/>
      <c r="EG994" s="28"/>
      <c r="EJ994" s="28"/>
      <c r="EM994" s="28"/>
      <c r="EP994" s="28"/>
      <c r="ES994" s="28"/>
      <c r="EV994" s="28"/>
      <c r="EY994" s="28"/>
      <c r="FB994" s="28"/>
      <c r="FE994" s="28"/>
      <c r="FH994" s="28"/>
      <c r="FK994" s="28"/>
      <c r="FN994" s="28"/>
      <c r="FQ994" s="28"/>
      <c r="FT994" s="28"/>
      <c r="FW994" s="28"/>
      <c r="FZ994" s="28"/>
      <c r="GC994" s="28"/>
    </row>
    <row r="995" spans="1:185" s="25" customFormat="1" x14ac:dyDescent="0.3">
      <c r="A995" s="27"/>
      <c r="B995" s="28"/>
      <c r="C995" s="27"/>
      <c r="D995" s="26"/>
      <c r="E995" s="28"/>
      <c r="H995" s="28"/>
      <c r="K995" s="28"/>
      <c r="N995" s="28"/>
      <c r="Q995" s="28"/>
      <c r="T995" s="28"/>
      <c r="W995" s="28"/>
      <c r="Z995" s="28"/>
      <c r="AC995" s="28"/>
      <c r="AF995" s="28"/>
      <c r="AI995" s="28"/>
      <c r="AL995" s="28"/>
      <c r="AO995" s="28"/>
      <c r="AR995" s="28"/>
      <c r="AU995" s="28"/>
      <c r="AX995" s="28"/>
      <c r="BA995" s="28"/>
      <c r="BD995" s="28"/>
      <c r="BG995" s="28"/>
      <c r="BJ995" s="28"/>
      <c r="BM995" s="28"/>
      <c r="BP995" s="28"/>
      <c r="BS995" s="28"/>
      <c r="BV995" s="28"/>
      <c r="BY995" s="28"/>
      <c r="CB995" s="28"/>
      <c r="CE995" s="28"/>
      <c r="CH995" s="28"/>
      <c r="CK995" s="28"/>
      <c r="CN995" s="28"/>
      <c r="CQ995" s="28"/>
      <c r="CT995" s="28"/>
      <c r="CW995" s="28"/>
      <c r="CZ995" s="28"/>
      <c r="DC995" s="28"/>
      <c r="DF995" s="28"/>
      <c r="DI995" s="28"/>
      <c r="DL995" s="28"/>
      <c r="DO995" s="28"/>
      <c r="DR995" s="28"/>
      <c r="DU995" s="28"/>
      <c r="DX995" s="28"/>
      <c r="EA995" s="28"/>
      <c r="ED995" s="28"/>
      <c r="EG995" s="28"/>
      <c r="EJ995" s="28"/>
      <c r="EM995" s="28"/>
      <c r="EP995" s="28"/>
      <c r="ES995" s="28"/>
      <c r="EV995" s="28"/>
      <c r="EY995" s="28"/>
      <c r="FB995" s="28"/>
      <c r="FE995" s="28"/>
      <c r="FH995" s="28"/>
      <c r="FK995" s="28"/>
      <c r="FN995" s="28"/>
      <c r="FQ995" s="28"/>
      <c r="FT995" s="28"/>
      <c r="FW995" s="28"/>
      <c r="FZ995" s="28"/>
      <c r="GC995" s="28"/>
    </row>
    <row r="996" spans="1:185" s="25" customFormat="1" x14ac:dyDescent="0.3">
      <c r="A996" s="27"/>
      <c r="B996" s="28"/>
      <c r="C996" s="27"/>
      <c r="D996" s="26"/>
      <c r="E996" s="28"/>
      <c r="H996" s="28"/>
      <c r="K996" s="28"/>
      <c r="N996" s="28"/>
      <c r="Q996" s="28"/>
      <c r="T996" s="28"/>
      <c r="W996" s="28"/>
      <c r="Z996" s="28"/>
      <c r="AC996" s="28"/>
      <c r="AF996" s="28"/>
      <c r="AI996" s="28"/>
      <c r="AL996" s="28"/>
      <c r="AO996" s="28"/>
      <c r="AR996" s="28"/>
      <c r="AU996" s="28"/>
      <c r="AX996" s="28"/>
      <c r="BA996" s="28"/>
      <c r="BD996" s="28"/>
      <c r="BG996" s="28"/>
      <c r="BJ996" s="28"/>
      <c r="BM996" s="28"/>
      <c r="BP996" s="28"/>
      <c r="BS996" s="28"/>
      <c r="BV996" s="28"/>
      <c r="BY996" s="28"/>
      <c r="CB996" s="28"/>
      <c r="CE996" s="28"/>
      <c r="CH996" s="28"/>
      <c r="CK996" s="28"/>
      <c r="CN996" s="28"/>
      <c r="CQ996" s="28"/>
      <c r="CT996" s="28"/>
      <c r="CW996" s="28"/>
      <c r="CZ996" s="28"/>
      <c r="DC996" s="28"/>
      <c r="DF996" s="28"/>
      <c r="DI996" s="28"/>
      <c r="DL996" s="28"/>
      <c r="DO996" s="28"/>
      <c r="DR996" s="28"/>
      <c r="DU996" s="28"/>
      <c r="DX996" s="28"/>
      <c r="EA996" s="28"/>
      <c r="ED996" s="28"/>
      <c r="EG996" s="28"/>
      <c r="EJ996" s="28"/>
      <c r="EM996" s="28"/>
      <c r="EP996" s="28"/>
      <c r="ES996" s="28"/>
      <c r="EV996" s="28"/>
      <c r="EY996" s="28"/>
      <c r="FB996" s="28"/>
      <c r="FE996" s="28"/>
      <c r="FH996" s="28"/>
      <c r="FK996" s="28"/>
      <c r="FN996" s="28"/>
      <c r="FQ996" s="28"/>
      <c r="FT996" s="28"/>
      <c r="FW996" s="28"/>
      <c r="FZ996" s="28"/>
      <c r="GC996" s="28"/>
    </row>
    <row r="997" spans="1:185" s="25" customFormat="1" x14ac:dyDescent="0.3">
      <c r="A997" s="27"/>
      <c r="B997" s="28"/>
      <c r="C997" s="27"/>
      <c r="D997" s="26"/>
      <c r="E997" s="28"/>
      <c r="H997" s="28"/>
      <c r="K997" s="28"/>
      <c r="N997" s="28"/>
      <c r="Q997" s="28"/>
      <c r="T997" s="28"/>
      <c r="W997" s="28"/>
      <c r="Z997" s="28"/>
      <c r="AC997" s="28"/>
      <c r="AF997" s="28"/>
      <c r="AI997" s="28"/>
      <c r="AL997" s="28"/>
      <c r="AO997" s="28"/>
      <c r="AR997" s="28"/>
      <c r="AU997" s="28"/>
      <c r="AX997" s="28"/>
      <c r="BA997" s="28"/>
      <c r="BD997" s="28"/>
      <c r="BG997" s="28"/>
      <c r="BJ997" s="28"/>
      <c r="BM997" s="28"/>
      <c r="BP997" s="28"/>
      <c r="BS997" s="28"/>
      <c r="BV997" s="28"/>
      <c r="BY997" s="28"/>
      <c r="CB997" s="28"/>
      <c r="CE997" s="28"/>
      <c r="CH997" s="28"/>
      <c r="CK997" s="28"/>
      <c r="CN997" s="28"/>
      <c r="CQ997" s="28"/>
      <c r="CT997" s="28"/>
      <c r="CW997" s="28"/>
      <c r="CZ997" s="28"/>
      <c r="DC997" s="28"/>
      <c r="DF997" s="28"/>
      <c r="DI997" s="28"/>
      <c r="DL997" s="28"/>
      <c r="DO997" s="28"/>
      <c r="DR997" s="28"/>
      <c r="DU997" s="28"/>
      <c r="DX997" s="28"/>
      <c r="EA997" s="28"/>
      <c r="ED997" s="28"/>
      <c r="EG997" s="28"/>
      <c r="EJ997" s="28"/>
      <c r="EM997" s="28"/>
      <c r="EP997" s="28"/>
      <c r="ES997" s="28"/>
      <c r="EV997" s="28"/>
      <c r="EY997" s="28"/>
      <c r="FB997" s="28"/>
      <c r="FE997" s="28"/>
      <c r="FH997" s="28"/>
      <c r="FK997" s="28"/>
      <c r="FN997" s="28"/>
      <c r="FQ997" s="28"/>
      <c r="FT997" s="28"/>
      <c r="FW997" s="28"/>
      <c r="FZ997" s="28"/>
      <c r="GC997" s="28"/>
    </row>
    <row r="998" spans="1:185" s="25" customFormat="1" x14ac:dyDescent="0.3">
      <c r="A998" s="27"/>
      <c r="B998" s="28"/>
      <c r="C998" s="27"/>
      <c r="D998" s="26"/>
      <c r="E998" s="28"/>
      <c r="H998" s="28"/>
      <c r="K998" s="28"/>
      <c r="N998" s="28"/>
      <c r="Q998" s="28"/>
      <c r="T998" s="28"/>
      <c r="W998" s="28"/>
      <c r="Z998" s="28"/>
      <c r="AC998" s="28"/>
      <c r="AF998" s="28"/>
      <c r="AI998" s="28"/>
      <c r="AL998" s="28"/>
      <c r="AO998" s="28"/>
      <c r="AR998" s="28"/>
      <c r="AU998" s="28"/>
      <c r="AX998" s="28"/>
      <c r="BA998" s="28"/>
      <c r="BD998" s="28"/>
      <c r="BG998" s="28"/>
      <c r="BJ998" s="28"/>
      <c r="BM998" s="28"/>
      <c r="BP998" s="28"/>
      <c r="BS998" s="28"/>
      <c r="BV998" s="28"/>
      <c r="BY998" s="28"/>
      <c r="CB998" s="28"/>
      <c r="CE998" s="28"/>
      <c r="CH998" s="28"/>
      <c r="CK998" s="28"/>
      <c r="CN998" s="28"/>
      <c r="CQ998" s="28"/>
      <c r="CT998" s="28"/>
      <c r="CW998" s="28"/>
      <c r="CZ998" s="28"/>
      <c r="DC998" s="28"/>
      <c r="DF998" s="28"/>
      <c r="DI998" s="28"/>
      <c r="DL998" s="28"/>
      <c r="DO998" s="28"/>
      <c r="DR998" s="28"/>
      <c r="DU998" s="28"/>
      <c r="DX998" s="28"/>
      <c r="EA998" s="28"/>
      <c r="ED998" s="28"/>
      <c r="EG998" s="28"/>
      <c r="EJ998" s="28"/>
      <c r="EM998" s="28"/>
      <c r="EP998" s="28"/>
      <c r="ES998" s="28"/>
      <c r="EV998" s="28"/>
      <c r="EY998" s="28"/>
      <c r="FB998" s="28"/>
      <c r="FE998" s="28"/>
      <c r="FH998" s="28"/>
      <c r="FK998" s="28"/>
      <c r="FN998" s="28"/>
      <c r="FQ998" s="28"/>
      <c r="FT998" s="28"/>
      <c r="FW998" s="28"/>
      <c r="FZ998" s="28"/>
      <c r="GC998" s="28"/>
    </row>
    <row r="999" spans="1:185" s="25" customFormat="1" x14ac:dyDescent="0.3">
      <c r="A999" s="27"/>
      <c r="B999" s="28"/>
      <c r="C999" s="27"/>
      <c r="D999" s="26"/>
      <c r="E999" s="28"/>
      <c r="H999" s="28"/>
      <c r="K999" s="28"/>
      <c r="N999" s="28"/>
      <c r="Q999" s="28"/>
      <c r="T999" s="28"/>
      <c r="W999" s="28"/>
      <c r="Z999" s="28"/>
      <c r="AC999" s="28"/>
      <c r="AF999" s="28"/>
      <c r="AI999" s="28"/>
      <c r="AL999" s="28"/>
      <c r="AO999" s="28"/>
      <c r="AR999" s="28"/>
      <c r="AU999" s="28"/>
      <c r="AX999" s="28"/>
      <c r="BA999" s="28"/>
      <c r="BD999" s="28"/>
      <c r="BG999" s="28"/>
      <c r="BJ999" s="28"/>
      <c r="BM999" s="28"/>
      <c r="BP999" s="28"/>
      <c r="BS999" s="28"/>
      <c r="BV999" s="28"/>
      <c r="BY999" s="28"/>
      <c r="CB999" s="28"/>
      <c r="CE999" s="28"/>
      <c r="CH999" s="28"/>
      <c r="CK999" s="28"/>
      <c r="CN999" s="28"/>
      <c r="CQ999" s="28"/>
      <c r="CT999" s="28"/>
      <c r="CW999" s="28"/>
      <c r="CZ999" s="28"/>
      <c r="DC999" s="28"/>
      <c r="DF999" s="28"/>
      <c r="DI999" s="28"/>
      <c r="DL999" s="28"/>
      <c r="DO999" s="28"/>
      <c r="DR999" s="28"/>
      <c r="DU999" s="28"/>
      <c r="DX999" s="28"/>
      <c r="EA999" s="28"/>
      <c r="ED999" s="28"/>
      <c r="EG999" s="28"/>
      <c r="EJ999" s="28"/>
      <c r="EM999" s="28"/>
      <c r="EP999" s="28"/>
      <c r="ES999" s="28"/>
      <c r="EV999" s="28"/>
      <c r="EY999" s="28"/>
      <c r="FB999" s="28"/>
      <c r="FE999" s="28"/>
      <c r="FH999" s="28"/>
      <c r="FK999" s="28"/>
      <c r="FN999" s="28"/>
      <c r="FQ999" s="28"/>
      <c r="FT999" s="28"/>
      <c r="FW999" s="28"/>
      <c r="FZ999" s="28"/>
      <c r="GC999" s="28"/>
    </row>
    <row r="1000" spans="1:185" s="25" customFormat="1" x14ac:dyDescent="0.3">
      <c r="A1000" s="27"/>
      <c r="B1000" s="28"/>
      <c r="C1000" s="27"/>
      <c r="D1000" s="26"/>
      <c r="E1000" s="28"/>
      <c r="H1000" s="28"/>
      <c r="K1000" s="28"/>
      <c r="N1000" s="28"/>
      <c r="Q1000" s="28"/>
      <c r="T1000" s="28"/>
      <c r="W1000" s="28"/>
      <c r="Z1000" s="28"/>
      <c r="AC1000" s="28"/>
      <c r="AF1000" s="28"/>
      <c r="AI1000" s="28"/>
      <c r="AL1000" s="28"/>
      <c r="AO1000" s="28"/>
      <c r="AR1000" s="28"/>
      <c r="AU1000" s="28"/>
      <c r="AX1000" s="28"/>
      <c r="BA1000" s="28"/>
      <c r="BD1000" s="28"/>
      <c r="BG1000" s="28"/>
      <c r="BJ1000" s="28"/>
      <c r="BM1000" s="28"/>
      <c r="BP1000" s="28"/>
      <c r="BS1000" s="28"/>
      <c r="BV1000" s="28"/>
      <c r="BY1000" s="28"/>
      <c r="CB1000" s="28"/>
      <c r="CE1000" s="28"/>
      <c r="CH1000" s="28"/>
      <c r="CK1000" s="28"/>
      <c r="CN1000" s="28"/>
      <c r="CQ1000" s="28"/>
      <c r="CT1000" s="28"/>
      <c r="CW1000" s="28"/>
      <c r="CZ1000" s="28"/>
      <c r="DC1000" s="28"/>
      <c r="DF1000" s="28"/>
      <c r="DI1000" s="28"/>
      <c r="DL1000" s="28"/>
      <c r="DO1000" s="28"/>
      <c r="DR1000" s="28"/>
      <c r="DU1000" s="28"/>
      <c r="DX1000" s="28"/>
      <c r="EA1000" s="28"/>
      <c r="ED1000" s="28"/>
      <c r="EG1000" s="28"/>
      <c r="EJ1000" s="28"/>
      <c r="EM1000" s="28"/>
      <c r="EP1000" s="28"/>
      <c r="ES1000" s="28"/>
      <c r="EV1000" s="28"/>
      <c r="EY1000" s="28"/>
      <c r="FB1000" s="28"/>
      <c r="FE1000" s="28"/>
      <c r="FH1000" s="28"/>
      <c r="FK1000" s="28"/>
      <c r="FN1000" s="28"/>
      <c r="FQ1000" s="28"/>
      <c r="FT1000" s="28"/>
      <c r="FW1000" s="28"/>
      <c r="FZ1000" s="28"/>
      <c r="GC1000" s="28"/>
    </row>
    <row r="1001" spans="1:185" s="25" customFormat="1" x14ac:dyDescent="0.3">
      <c r="A1001" s="27"/>
      <c r="B1001" s="28"/>
      <c r="C1001" s="27"/>
      <c r="D1001" s="26"/>
      <c r="E1001" s="28"/>
      <c r="H1001" s="28"/>
      <c r="K1001" s="28"/>
      <c r="N1001" s="28"/>
      <c r="Q1001" s="28"/>
      <c r="T1001" s="28"/>
      <c r="W1001" s="28"/>
      <c r="Z1001" s="28"/>
      <c r="AC1001" s="28"/>
      <c r="AF1001" s="28"/>
      <c r="AI1001" s="28"/>
      <c r="AL1001" s="28"/>
      <c r="AO1001" s="28"/>
      <c r="AR1001" s="28"/>
      <c r="AU1001" s="28"/>
      <c r="AX1001" s="28"/>
      <c r="BA1001" s="28"/>
      <c r="BD1001" s="28"/>
      <c r="BG1001" s="28"/>
      <c r="BJ1001" s="28"/>
      <c r="BM1001" s="28"/>
      <c r="BP1001" s="28"/>
      <c r="BS1001" s="28"/>
      <c r="BV1001" s="28"/>
      <c r="BY1001" s="28"/>
      <c r="CB1001" s="28"/>
      <c r="CE1001" s="28"/>
      <c r="CH1001" s="28"/>
      <c r="CK1001" s="28"/>
      <c r="CN1001" s="28"/>
      <c r="CQ1001" s="28"/>
      <c r="CT1001" s="28"/>
      <c r="CW1001" s="28"/>
      <c r="CZ1001" s="28"/>
      <c r="DC1001" s="28"/>
      <c r="DF1001" s="28"/>
      <c r="DI1001" s="28"/>
      <c r="DL1001" s="28"/>
      <c r="DO1001" s="28"/>
      <c r="DR1001" s="28"/>
      <c r="DU1001" s="28"/>
      <c r="DX1001" s="28"/>
      <c r="EA1001" s="28"/>
      <c r="ED1001" s="28"/>
      <c r="EG1001" s="28"/>
      <c r="EJ1001" s="28"/>
      <c r="EM1001" s="28"/>
      <c r="EP1001" s="28"/>
      <c r="ES1001" s="28"/>
      <c r="EV1001" s="28"/>
      <c r="EY1001" s="28"/>
      <c r="FB1001" s="28"/>
      <c r="FE1001" s="28"/>
      <c r="FH1001" s="28"/>
      <c r="FK1001" s="28"/>
      <c r="FN1001" s="28"/>
      <c r="FQ1001" s="28"/>
      <c r="FT1001" s="28"/>
      <c r="FW1001" s="28"/>
      <c r="FZ1001" s="28"/>
      <c r="GC1001" s="28"/>
    </row>
    <row r="1002" spans="1:185" s="25" customFormat="1" x14ac:dyDescent="0.3">
      <c r="A1002" s="27"/>
      <c r="B1002" s="28"/>
      <c r="C1002" s="27"/>
      <c r="D1002" s="26"/>
      <c r="E1002" s="28"/>
      <c r="H1002" s="28"/>
      <c r="K1002" s="28"/>
      <c r="N1002" s="28"/>
      <c r="Q1002" s="28"/>
      <c r="T1002" s="28"/>
      <c r="W1002" s="28"/>
      <c r="Z1002" s="28"/>
      <c r="AC1002" s="28"/>
      <c r="AF1002" s="28"/>
      <c r="AI1002" s="28"/>
      <c r="AL1002" s="28"/>
      <c r="AO1002" s="28"/>
      <c r="AR1002" s="28"/>
      <c r="AU1002" s="28"/>
      <c r="AX1002" s="28"/>
      <c r="BA1002" s="28"/>
      <c r="BD1002" s="28"/>
      <c r="BG1002" s="28"/>
      <c r="BJ1002" s="28"/>
      <c r="BM1002" s="28"/>
      <c r="BP1002" s="28"/>
      <c r="BS1002" s="28"/>
      <c r="BV1002" s="28"/>
      <c r="BY1002" s="28"/>
      <c r="CB1002" s="28"/>
      <c r="CE1002" s="28"/>
      <c r="CH1002" s="28"/>
      <c r="CK1002" s="28"/>
      <c r="CN1002" s="28"/>
      <c r="CQ1002" s="28"/>
      <c r="CT1002" s="28"/>
      <c r="CW1002" s="28"/>
      <c r="CZ1002" s="28"/>
      <c r="DC1002" s="28"/>
      <c r="DF1002" s="28"/>
      <c r="DI1002" s="28"/>
      <c r="DL1002" s="28"/>
      <c r="DO1002" s="28"/>
      <c r="DR1002" s="28"/>
      <c r="DU1002" s="28"/>
      <c r="DX1002" s="28"/>
      <c r="EA1002" s="28"/>
      <c r="ED1002" s="28"/>
      <c r="EG1002" s="28"/>
      <c r="EJ1002" s="28"/>
      <c r="EM1002" s="28"/>
      <c r="EP1002" s="28"/>
      <c r="ES1002" s="28"/>
      <c r="EV1002" s="28"/>
      <c r="EY1002" s="28"/>
      <c r="FB1002" s="28"/>
      <c r="FE1002" s="28"/>
      <c r="FH1002" s="28"/>
      <c r="FK1002" s="28"/>
      <c r="FN1002" s="28"/>
      <c r="FQ1002" s="28"/>
      <c r="FT1002" s="28"/>
      <c r="FW1002" s="28"/>
      <c r="FZ1002" s="28"/>
      <c r="GC1002" s="28"/>
    </row>
    <row r="1003" spans="1:185" s="25" customFormat="1" x14ac:dyDescent="0.3">
      <c r="A1003" s="27"/>
      <c r="B1003" s="28"/>
      <c r="C1003" s="27"/>
      <c r="D1003" s="26"/>
      <c r="E1003" s="28"/>
      <c r="H1003" s="28"/>
      <c r="K1003" s="28"/>
      <c r="N1003" s="28"/>
      <c r="Q1003" s="28"/>
      <c r="T1003" s="28"/>
      <c r="W1003" s="28"/>
      <c r="Z1003" s="28"/>
      <c r="AC1003" s="28"/>
      <c r="AF1003" s="28"/>
      <c r="AI1003" s="28"/>
      <c r="AL1003" s="28"/>
      <c r="AO1003" s="28"/>
      <c r="AR1003" s="28"/>
      <c r="AU1003" s="28"/>
      <c r="AX1003" s="28"/>
      <c r="BA1003" s="28"/>
      <c r="BD1003" s="28"/>
      <c r="BG1003" s="28"/>
      <c r="BJ1003" s="28"/>
      <c r="BM1003" s="28"/>
      <c r="BP1003" s="28"/>
      <c r="BS1003" s="28"/>
      <c r="BV1003" s="28"/>
      <c r="BY1003" s="28"/>
      <c r="CB1003" s="28"/>
      <c r="CE1003" s="28"/>
      <c r="CH1003" s="28"/>
      <c r="CK1003" s="28"/>
      <c r="CN1003" s="28"/>
      <c r="CQ1003" s="28"/>
      <c r="CT1003" s="28"/>
      <c r="CW1003" s="28"/>
      <c r="CZ1003" s="28"/>
      <c r="DC1003" s="28"/>
      <c r="DF1003" s="28"/>
      <c r="DI1003" s="28"/>
      <c r="DL1003" s="28"/>
      <c r="DO1003" s="28"/>
      <c r="DR1003" s="28"/>
      <c r="DU1003" s="28"/>
      <c r="DX1003" s="28"/>
      <c r="EA1003" s="28"/>
      <c r="ED1003" s="28"/>
      <c r="EG1003" s="28"/>
      <c r="EJ1003" s="28"/>
      <c r="EM1003" s="28"/>
      <c r="EP1003" s="28"/>
      <c r="ES1003" s="28"/>
      <c r="EV1003" s="28"/>
      <c r="EY1003" s="28"/>
      <c r="FB1003" s="28"/>
      <c r="FE1003" s="28"/>
      <c r="FH1003" s="28"/>
      <c r="FK1003" s="28"/>
      <c r="FN1003" s="28"/>
      <c r="FQ1003" s="28"/>
      <c r="FT1003" s="28"/>
      <c r="FW1003" s="28"/>
      <c r="FZ1003" s="28"/>
      <c r="GC1003" s="28"/>
    </row>
    <row r="1004" spans="1:185" s="25" customFormat="1" x14ac:dyDescent="0.3">
      <c r="A1004" s="27"/>
      <c r="B1004" s="28"/>
      <c r="C1004" s="27"/>
      <c r="D1004" s="26"/>
      <c r="E1004" s="28"/>
      <c r="H1004" s="28"/>
      <c r="K1004" s="28"/>
      <c r="N1004" s="28"/>
      <c r="Q1004" s="28"/>
      <c r="T1004" s="28"/>
      <c r="W1004" s="28"/>
      <c r="Z1004" s="28"/>
      <c r="AC1004" s="28"/>
      <c r="AF1004" s="28"/>
      <c r="AI1004" s="28"/>
      <c r="AL1004" s="28"/>
      <c r="AO1004" s="28"/>
      <c r="AR1004" s="28"/>
      <c r="AU1004" s="28"/>
      <c r="AX1004" s="28"/>
      <c r="BA1004" s="28"/>
      <c r="BD1004" s="28"/>
      <c r="BG1004" s="28"/>
      <c r="BJ1004" s="28"/>
      <c r="BM1004" s="28"/>
      <c r="BP1004" s="28"/>
      <c r="BS1004" s="28"/>
      <c r="BV1004" s="28"/>
      <c r="BY1004" s="28"/>
      <c r="CB1004" s="28"/>
      <c r="CE1004" s="28"/>
      <c r="CH1004" s="28"/>
      <c r="CK1004" s="28"/>
      <c r="CN1004" s="28"/>
      <c r="CQ1004" s="28"/>
      <c r="CT1004" s="28"/>
      <c r="CW1004" s="28"/>
      <c r="CZ1004" s="28"/>
      <c r="DC1004" s="28"/>
      <c r="DF1004" s="28"/>
      <c r="DI1004" s="28"/>
      <c r="DL1004" s="28"/>
      <c r="DO1004" s="28"/>
      <c r="DR1004" s="28"/>
      <c r="DU1004" s="28"/>
      <c r="DX1004" s="28"/>
      <c r="EA1004" s="28"/>
      <c r="ED1004" s="28"/>
      <c r="EG1004" s="28"/>
      <c r="EJ1004" s="28"/>
      <c r="EM1004" s="28"/>
      <c r="EP1004" s="28"/>
      <c r="ES1004" s="28"/>
      <c r="EV1004" s="28"/>
      <c r="EY1004" s="28"/>
      <c r="FB1004" s="28"/>
      <c r="FE1004" s="28"/>
      <c r="FH1004" s="28"/>
      <c r="FK1004" s="28"/>
      <c r="FN1004" s="28"/>
      <c r="FQ1004" s="28"/>
      <c r="FT1004" s="28"/>
      <c r="FW1004" s="28"/>
      <c r="FZ1004" s="28"/>
      <c r="GC1004" s="28"/>
    </row>
    <row r="1005" spans="1:185" s="25" customFormat="1" x14ac:dyDescent="0.3">
      <c r="A1005" s="27"/>
      <c r="B1005" s="28"/>
      <c r="C1005" s="27"/>
      <c r="D1005" s="26"/>
      <c r="E1005" s="28"/>
      <c r="H1005" s="28"/>
      <c r="K1005" s="28"/>
      <c r="N1005" s="28"/>
      <c r="Q1005" s="28"/>
      <c r="T1005" s="28"/>
      <c r="W1005" s="28"/>
      <c r="Z1005" s="28"/>
      <c r="AC1005" s="28"/>
      <c r="AF1005" s="28"/>
      <c r="AI1005" s="28"/>
      <c r="AL1005" s="28"/>
      <c r="AO1005" s="28"/>
      <c r="AR1005" s="28"/>
      <c r="AU1005" s="28"/>
      <c r="AX1005" s="28"/>
      <c r="BA1005" s="28"/>
      <c r="BD1005" s="28"/>
      <c r="BG1005" s="28"/>
      <c r="BJ1005" s="28"/>
      <c r="BM1005" s="28"/>
      <c r="BP1005" s="28"/>
      <c r="BS1005" s="28"/>
      <c r="BV1005" s="28"/>
      <c r="BY1005" s="28"/>
      <c r="CB1005" s="28"/>
      <c r="CE1005" s="28"/>
      <c r="CH1005" s="28"/>
      <c r="CK1005" s="28"/>
      <c r="CN1005" s="28"/>
      <c r="CQ1005" s="28"/>
      <c r="CT1005" s="28"/>
      <c r="CW1005" s="28"/>
      <c r="CZ1005" s="28"/>
      <c r="DC1005" s="28"/>
      <c r="DF1005" s="28"/>
      <c r="DI1005" s="28"/>
      <c r="DL1005" s="28"/>
      <c r="DO1005" s="28"/>
      <c r="DR1005" s="28"/>
      <c r="DU1005" s="28"/>
      <c r="DX1005" s="28"/>
      <c r="EA1005" s="28"/>
      <c r="ED1005" s="28"/>
      <c r="EG1005" s="28"/>
      <c r="EJ1005" s="28"/>
      <c r="EM1005" s="28"/>
      <c r="EP1005" s="28"/>
      <c r="ES1005" s="28"/>
      <c r="EV1005" s="28"/>
      <c r="EY1005" s="28"/>
      <c r="FB1005" s="28"/>
      <c r="FE1005" s="28"/>
      <c r="FH1005" s="28"/>
      <c r="FK1005" s="28"/>
      <c r="FN1005" s="28"/>
      <c r="FQ1005" s="28"/>
      <c r="FT1005" s="28"/>
      <c r="FW1005" s="28"/>
      <c r="FZ1005" s="28"/>
      <c r="GC1005" s="28"/>
    </row>
    <row r="1006" spans="1:185" s="25" customFormat="1" x14ac:dyDescent="0.3">
      <c r="A1006" s="27"/>
      <c r="B1006" s="28"/>
      <c r="C1006" s="27"/>
      <c r="D1006" s="26"/>
      <c r="E1006" s="28"/>
      <c r="H1006" s="28"/>
      <c r="K1006" s="28"/>
      <c r="N1006" s="28"/>
      <c r="Q1006" s="28"/>
      <c r="T1006" s="28"/>
      <c r="W1006" s="28"/>
      <c r="Z1006" s="28"/>
      <c r="AC1006" s="28"/>
      <c r="AF1006" s="28"/>
      <c r="AI1006" s="28"/>
      <c r="AL1006" s="28"/>
      <c r="AO1006" s="28"/>
      <c r="AR1006" s="28"/>
      <c r="AU1006" s="28"/>
      <c r="AX1006" s="28"/>
      <c r="BA1006" s="28"/>
      <c r="BD1006" s="28"/>
      <c r="BG1006" s="28"/>
      <c r="BJ1006" s="28"/>
      <c r="BM1006" s="28"/>
      <c r="BP1006" s="28"/>
      <c r="BS1006" s="28"/>
      <c r="BV1006" s="28"/>
      <c r="BY1006" s="28"/>
      <c r="CB1006" s="28"/>
      <c r="CE1006" s="28"/>
      <c r="CH1006" s="28"/>
      <c r="CK1006" s="28"/>
      <c r="CN1006" s="28"/>
      <c r="CQ1006" s="28"/>
      <c r="CT1006" s="28"/>
      <c r="CW1006" s="28"/>
      <c r="CZ1006" s="28"/>
      <c r="DC1006" s="28"/>
      <c r="DF1006" s="28"/>
      <c r="DI1006" s="28"/>
      <c r="DL1006" s="28"/>
      <c r="DO1006" s="28"/>
      <c r="DR1006" s="28"/>
      <c r="DU1006" s="28"/>
      <c r="DX1006" s="28"/>
      <c r="EA1006" s="28"/>
      <c r="ED1006" s="28"/>
      <c r="EG1006" s="28"/>
      <c r="EJ1006" s="28"/>
      <c r="EM1006" s="28"/>
      <c r="EP1006" s="28"/>
      <c r="ES1006" s="28"/>
      <c r="EV1006" s="28"/>
      <c r="EY1006" s="28"/>
      <c r="FB1006" s="28"/>
      <c r="FE1006" s="28"/>
      <c r="FH1006" s="28"/>
      <c r="FK1006" s="28"/>
      <c r="FN1006" s="28"/>
      <c r="FQ1006" s="28"/>
      <c r="FT1006" s="28"/>
      <c r="FW1006" s="28"/>
      <c r="FZ1006" s="28"/>
      <c r="GC1006" s="28"/>
    </row>
    <row r="1007" spans="1:185" s="25" customFormat="1" x14ac:dyDescent="0.3">
      <c r="A1007" s="27"/>
      <c r="B1007" s="28"/>
      <c r="C1007" s="27"/>
      <c r="D1007" s="26"/>
      <c r="E1007" s="28"/>
      <c r="H1007" s="28"/>
      <c r="K1007" s="28"/>
      <c r="N1007" s="28"/>
      <c r="Q1007" s="28"/>
      <c r="T1007" s="28"/>
      <c r="W1007" s="28"/>
      <c r="Z1007" s="28"/>
      <c r="AC1007" s="28"/>
      <c r="AF1007" s="28"/>
      <c r="AI1007" s="28"/>
      <c r="AL1007" s="28"/>
      <c r="AO1007" s="28"/>
      <c r="AR1007" s="28"/>
      <c r="AU1007" s="28"/>
      <c r="AX1007" s="28"/>
      <c r="BA1007" s="28"/>
      <c r="BD1007" s="28"/>
      <c r="BG1007" s="28"/>
      <c r="BJ1007" s="28"/>
      <c r="BM1007" s="28"/>
      <c r="BP1007" s="28"/>
      <c r="BS1007" s="28"/>
      <c r="BV1007" s="28"/>
      <c r="BY1007" s="28"/>
      <c r="CB1007" s="28"/>
      <c r="CE1007" s="28"/>
      <c r="CH1007" s="28"/>
      <c r="CK1007" s="28"/>
      <c r="CN1007" s="28"/>
      <c r="CQ1007" s="28"/>
      <c r="CT1007" s="28"/>
      <c r="CW1007" s="28"/>
      <c r="CZ1007" s="28"/>
      <c r="DC1007" s="28"/>
      <c r="DF1007" s="28"/>
      <c r="DI1007" s="28"/>
      <c r="DL1007" s="28"/>
      <c r="DO1007" s="28"/>
      <c r="DR1007" s="28"/>
      <c r="DU1007" s="28"/>
      <c r="DX1007" s="28"/>
      <c r="EA1007" s="28"/>
      <c r="ED1007" s="28"/>
      <c r="EG1007" s="28"/>
      <c r="EJ1007" s="28"/>
      <c r="EM1007" s="28"/>
      <c r="EP1007" s="28"/>
      <c r="ES1007" s="28"/>
      <c r="EV1007" s="28"/>
      <c r="EY1007" s="28"/>
      <c r="FB1007" s="28"/>
      <c r="FE1007" s="28"/>
      <c r="FH1007" s="28"/>
      <c r="FK1007" s="28"/>
      <c r="FN1007" s="28"/>
      <c r="FQ1007" s="28"/>
      <c r="FT1007" s="28"/>
      <c r="FW1007" s="28"/>
      <c r="FZ1007" s="28"/>
      <c r="GC1007" s="28"/>
    </row>
    <row r="1008" spans="1:185" s="25" customFormat="1" x14ac:dyDescent="0.3">
      <c r="A1008" s="27"/>
      <c r="B1008" s="28"/>
      <c r="C1008" s="27"/>
      <c r="D1008" s="26"/>
      <c r="E1008" s="28"/>
      <c r="H1008" s="28"/>
      <c r="K1008" s="28"/>
      <c r="N1008" s="28"/>
      <c r="Q1008" s="28"/>
      <c r="T1008" s="28"/>
      <c r="W1008" s="28"/>
      <c r="Z1008" s="28"/>
      <c r="AC1008" s="28"/>
      <c r="AF1008" s="28"/>
      <c r="AI1008" s="28"/>
      <c r="AL1008" s="28"/>
      <c r="AO1008" s="28"/>
      <c r="AR1008" s="28"/>
      <c r="AU1008" s="28"/>
      <c r="AX1008" s="28"/>
      <c r="BA1008" s="28"/>
      <c r="BD1008" s="28"/>
      <c r="BG1008" s="28"/>
      <c r="BJ1008" s="28"/>
      <c r="BM1008" s="28"/>
      <c r="BP1008" s="28"/>
      <c r="BS1008" s="28"/>
      <c r="BV1008" s="28"/>
      <c r="BY1008" s="28"/>
      <c r="CB1008" s="28"/>
      <c r="CE1008" s="28"/>
      <c r="CH1008" s="28"/>
      <c r="CK1008" s="28"/>
      <c r="CN1008" s="28"/>
      <c r="CQ1008" s="28"/>
      <c r="CT1008" s="28"/>
      <c r="CW1008" s="28"/>
      <c r="CZ1008" s="28"/>
      <c r="DC1008" s="28"/>
      <c r="DF1008" s="28"/>
      <c r="DI1008" s="28"/>
      <c r="DL1008" s="28"/>
      <c r="DO1008" s="28"/>
      <c r="DR1008" s="28"/>
      <c r="DU1008" s="28"/>
      <c r="DX1008" s="28"/>
      <c r="EA1008" s="28"/>
      <c r="ED1008" s="28"/>
      <c r="EG1008" s="28"/>
      <c r="EJ1008" s="28"/>
      <c r="EM1008" s="28"/>
      <c r="EP1008" s="28"/>
      <c r="ES1008" s="28"/>
      <c r="EV1008" s="28"/>
      <c r="EY1008" s="28"/>
      <c r="FB1008" s="28"/>
      <c r="FE1008" s="28"/>
      <c r="FH1008" s="28"/>
      <c r="FK1008" s="28"/>
      <c r="FN1008" s="28"/>
      <c r="FQ1008" s="28"/>
      <c r="FT1008" s="28"/>
      <c r="FW1008" s="28"/>
      <c r="FZ1008" s="28"/>
      <c r="GC1008" s="28"/>
    </row>
    <row r="1009" spans="1:185" s="25" customFormat="1" x14ac:dyDescent="0.3">
      <c r="A1009" s="27"/>
      <c r="B1009" s="28"/>
      <c r="C1009" s="27"/>
      <c r="D1009" s="26"/>
      <c r="E1009" s="28"/>
      <c r="H1009" s="28"/>
      <c r="K1009" s="28"/>
      <c r="N1009" s="28"/>
      <c r="Q1009" s="28"/>
      <c r="T1009" s="28"/>
      <c r="W1009" s="28"/>
      <c r="Z1009" s="28"/>
      <c r="AC1009" s="28"/>
      <c r="AF1009" s="28"/>
      <c r="AI1009" s="28"/>
      <c r="AL1009" s="28"/>
      <c r="AO1009" s="28"/>
      <c r="AR1009" s="28"/>
      <c r="AU1009" s="28"/>
      <c r="AX1009" s="28"/>
      <c r="BA1009" s="28"/>
      <c r="BD1009" s="28"/>
      <c r="BG1009" s="28"/>
      <c r="BJ1009" s="28"/>
      <c r="BM1009" s="28"/>
      <c r="BP1009" s="28"/>
      <c r="BS1009" s="28"/>
      <c r="BV1009" s="28"/>
      <c r="BY1009" s="28"/>
      <c r="CB1009" s="28"/>
      <c r="CE1009" s="28"/>
      <c r="CH1009" s="28"/>
      <c r="CK1009" s="28"/>
      <c r="CN1009" s="28"/>
      <c r="CQ1009" s="28"/>
      <c r="CT1009" s="28"/>
      <c r="CW1009" s="28"/>
      <c r="CZ1009" s="28"/>
      <c r="DC1009" s="28"/>
      <c r="DF1009" s="28"/>
      <c r="DI1009" s="28"/>
      <c r="DL1009" s="28"/>
      <c r="DO1009" s="28"/>
      <c r="DR1009" s="28"/>
      <c r="DU1009" s="28"/>
      <c r="DX1009" s="28"/>
      <c r="EA1009" s="28"/>
      <c r="ED1009" s="28"/>
      <c r="EG1009" s="28"/>
      <c r="EJ1009" s="28"/>
      <c r="EM1009" s="28"/>
      <c r="EP1009" s="28"/>
      <c r="ES1009" s="28"/>
      <c r="EV1009" s="28"/>
      <c r="EY1009" s="28"/>
      <c r="FB1009" s="28"/>
      <c r="FE1009" s="28"/>
      <c r="FH1009" s="28"/>
      <c r="FK1009" s="28"/>
      <c r="FN1009" s="28"/>
      <c r="FQ1009" s="28"/>
      <c r="FT1009" s="28"/>
      <c r="FW1009" s="28"/>
      <c r="FZ1009" s="28"/>
      <c r="GC1009" s="28"/>
    </row>
    <row r="1010" spans="1:185" s="25" customFormat="1" x14ac:dyDescent="0.3">
      <c r="A1010" s="27"/>
      <c r="B1010" s="28"/>
      <c r="C1010" s="27"/>
      <c r="D1010" s="26"/>
      <c r="E1010" s="28"/>
      <c r="H1010" s="28"/>
      <c r="K1010" s="28"/>
      <c r="N1010" s="28"/>
      <c r="Q1010" s="28"/>
      <c r="T1010" s="28"/>
      <c r="W1010" s="28"/>
      <c r="Z1010" s="28"/>
      <c r="AC1010" s="28"/>
      <c r="AF1010" s="28"/>
      <c r="AI1010" s="28"/>
      <c r="AL1010" s="28"/>
      <c r="AO1010" s="28"/>
      <c r="AR1010" s="28"/>
      <c r="AU1010" s="28"/>
      <c r="AX1010" s="28"/>
      <c r="BA1010" s="28"/>
      <c r="BD1010" s="28"/>
      <c r="BG1010" s="28"/>
      <c r="BJ1010" s="28"/>
      <c r="BM1010" s="28"/>
      <c r="BP1010" s="28"/>
      <c r="BS1010" s="28"/>
      <c r="BV1010" s="28"/>
      <c r="BY1010" s="28"/>
      <c r="CB1010" s="28"/>
      <c r="CE1010" s="28"/>
      <c r="CH1010" s="28"/>
      <c r="CK1010" s="28"/>
      <c r="CN1010" s="28"/>
      <c r="CQ1010" s="28"/>
      <c r="CT1010" s="28"/>
      <c r="CW1010" s="28"/>
      <c r="CZ1010" s="28"/>
      <c r="DC1010" s="28"/>
      <c r="DF1010" s="28"/>
      <c r="DI1010" s="28"/>
      <c r="DL1010" s="28"/>
      <c r="DO1010" s="28"/>
      <c r="DR1010" s="28"/>
      <c r="DU1010" s="28"/>
      <c r="DX1010" s="28"/>
      <c r="EA1010" s="28"/>
      <c r="ED1010" s="28"/>
      <c r="EG1010" s="28"/>
      <c r="EJ1010" s="28"/>
      <c r="EM1010" s="28"/>
      <c r="EP1010" s="28"/>
      <c r="ES1010" s="28"/>
      <c r="EV1010" s="28"/>
      <c r="EY1010" s="28"/>
      <c r="FB1010" s="28"/>
      <c r="FE1010" s="28"/>
      <c r="FH1010" s="28"/>
      <c r="FK1010" s="28"/>
      <c r="FN1010" s="28"/>
      <c r="FQ1010" s="28"/>
      <c r="FT1010" s="28"/>
      <c r="FW1010" s="28"/>
      <c r="FZ1010" s="28"/>
      <c r="GC1010" s="28"/>
    </row>
    <row r="1011" spans="1:185" s="25" customFormat="1" x14ac:dyDescent="0.3">
      <c r="A1011" s="27"/>
      <c r="B1011" s="28"/>
      <c r="C1011" s="27"/>
      <c r="D1011" s="26"/>
      <c r="E1011" s="28"/>
      <c r="H1011" s="28"/>
      <c r="K1011" s="28"/>
      <c r="N1011" s="28"/>
      <c r="Q1011" s="28"/>
      <c r="T1011" s="28"/>
      <c r="W1011" s="28"/>
      <c r="Z1011" s="28"/>
      <c r="AC1011" s="28"/>
      <c r="AF1011" s="28"/>
      <c r="AI1011" s="28"/>
      <c r="AL1011" s="28"/>
      <c r="AO1011" s="28"/>
      <c r="AR1011" s="28"/>
      <c r="AU1011" s="28"/>
      <c r="AX1011" s="28"/>
      <c r="BA1011" s="28"/>
      <c r="BD1011" s="28"/>
      <c r="BG1011" s="28"/>
      <c r="BJ1011" s="28"/>
      <c r="BM1011" s="28"/>
      <c r="BP1011" s="28"/>
      <c r="BS1011" s="28"/>
      <c r="BV1011" s="28"/>
      <c r="BY1011" s="28"/>
      <c r="CB1011" s="28"/>
      <c r="CE1011" s="28"/>
      <c r="CH1011" s="28"/>
      <c r="CK1011" s="28"/>
      <c r="CN1011" s="28"/>
      <c r="CQ1011" s="28"/>
      <c r="CT1011" s="28"/>
      <c r="CW1011" s="28"/>
      <c r="CZ1011" s="28"/>
      <c r="DC1011" s="28"/>
      <c r="DF1011" s="28"/>
      <c r="DI1011" s="28"/>
      <c r="DL1011" s="28"/>
      <c r="DO1011" s="28"/>
      <c r="DR1011" s="28"/>
      <c r="DU1011" s="28"/>
      <c r="DX1011" s="28"/>
      <c r="EA1011" s="28"/>
      <c r="ED1011" s="28"/>
      <c r="EG1011" s="28"/>
      <c r="EJ1011" s="28"/>
      <c r="EM1011" s="28"/>
      <c r="EP1011" s="28"/>
      <c r="ES1011" s="28"/>
      <c r="EV1011" s="28"/>
      <c r="EY1011" s="28"/>
      <c r="FB1011" s="28"/>
      <c r="FE1011" s="28"/>
      <c r="FH1011" s="28"/>
      <c r="FK1011" s="28"/>
      <c r="FN1011" s="28"/>
      <c r="FQ1011" s="28"/>
      <c r="FT1011" s="28"/>
      <c r="FW1011" s="28"/>
      <c r="FZ1011" s="28"/>
      <c r="GC1011" s="28"/>
    </row>
    <row r="1012" spans="1:185" s="25" customFormat="1" x14ac:dyDescent="0.3">
      <c r="A1012" s="27"/>
      <c r="B1012" s="28"/>
      <c r="C1012" s="27"/>
      <c r="D1012" s="26"/>
      <c r="E1012" s="28"/>
      <c r="H1012" s="28"/>
      <c r="K1012" s="28"/>
      <c r="N1012" s="28"/>
      <c r="Q1012" s="28"/>
      <c r="T1012" s="28"/>
      <c r="W1012" s="28"/>
      <c r="Z1012" s="28"/>
      <c r="AC1012" s="28"/>
      <c r="AF1012" s="28"/>
      <c r="AI1012" s="28"/>
      <c r="AL1012" s="28"/>
      <c r="AO1012" s="28"/>
      <c r="AR1012" s="28"/>
      <c r="AU1012" s="28"/>
      <c r="AX1012" s="28"/>
      <c r="BA1012" s="28"/>
      <c r="BD1012" s="28"/>
      <c r="BG1012" s="28"/>
      <c r="BJ1012" s="28"/>
      <c r="BM1012" s="28"/>
      <c r="BP1012" s="28"/>
      <c r="BS1012" s="28"/>
      <c r="BV1012" s="28"/>
      <c r="BY1012" s="28"/>
      <c r="CB1012" s="28"/>
      <c r="CE1012" s="28"/>
      <c r="CH1012" s="28"/>
      <c r="CK1012" s="28"/>
      <c r="CN1012" s="28"/>
      <c r="CQ1012" s="28"/>
      <c r="CT1012" s="28"/>
      <c r="CW1012" s="28"/>
      <c r="CZ1012" s="28"/>
      <c r="DC1012" s="28"/>
      <c r="DF1012" s="28"/>
      <c r="DI1012" s="28"/>
      <c r="DL1012" s="28"/>
      <c r="DO1012" s="28"/>
      <c r="DR1012" s="28"/>
      <c r="DU1012" s="28"/>
      <c r="DX1012" s="28"/>
      <c r="EA1012" s="28"/>
      <c r="ED1012" s="28"/>
      <c r="EG1012" s="28"/>
      <c r="EJ1012" s="28"/>
      <c r="EM1012" s="28"/>
      <c r="EP1012" s="28"/>
      <c r="ES1012" s="28"/>
      <c r="EV1012" s="28"/>
      <c r="EY1012" s="28"/>
      <c r="FB1012" s="28"/>
      <c r="FE1012" s="28"/>
      <c r="FH1012" s="28"/>
      <c r="FK1012" s="28"/>
      <c r="FN1012" s="28"/>
      <c r="FQ1012" s="28"/>
      <c r="FT1012" s="28"/>
      <c r="FW1012" s="28"/>
      <c r="FZ1012" s="28"/>
      <c r="GC1012" s="28"/>
    </row>
    <row r="1013" spans="1:185" s="25" customFormat="1" x14ac:dyDescent="0.3">
      <c r="A1013" s="27"/>
      <c r="B1013" s="28"/>
      <c r="C1013" s="27"/>
      <c r="D1013" s="26"/>
      <c r="E1013" s="28"/>
      <c r="H1013" s="28"/>
      <c r="K1013" s="28"/>
      <c r="N1013" s="28"/>
      <c r="Q1013" s="28"/>
      <c r="T1013" s="28"/>
      <c r="W1013" s="28"/>
      <c r="Z1013" s="28"/>
      <c r="AC1013" s="28"/>
      <c r="AF1013" s="28"/>
      <c r="AI1013" s="28"/>
      <c r="AL1013" s="28"/>
      <c r="AO1013" s="28"/>
      <c r="AR1013" s="28"/>
      <c r="AU1013" s="28"/>
      <c r="AX1013" s="28"/>
      <c r="BA1013" s="28"/>
      <c r="BD1013" s="28"/>
      <c r="BG1013" s="28"/>
      <c r="BJ1013" s="28"/>
      <c r="BM1013" s="28"/>
      <c r="BP1013" s="28"/>
      <c r="BS1013" s="28"/>
      <c r="BV1013" s="28"/>
      <c r="BY1013" s="28"/>
      <c r="CB1013" s="28"/>
      <c r="CE1013" s="28"/>
      <c r="CH1013" s="28"/>
      <c r="CK1013" s="28"/>
      <c r="CN1013" s="28"/>
      <c r="CQ1013" s="28"/>
      <c r="CT1013" s="28"/>
      <c r="CW1013" s="28"/>
      <c r="CZ1013" s="28"/>
      <c r="DC1013" s="28"/>
      <c r="DF1013" s="28"/>
      <c r="DI1013" s="28"/>
      <c r="DL1013" s="28"/>
      <c r="DO1013" s="28"/>
      <c r="DR1013" s="28"/>
      <c r="DU1013" s="28"/>
      <c r="DX1013" s="28"/>
      <c r="EA1013" s="28"/>
      <c r="ED1013" s="28"/>
      <c r="EG1013" s="28"/>
      <c r="EJ1013" s="28"/>
      <c r="EM1013" s="28"/>
      <c r="EP1013" s="28"/>
      <c r="ES1013" s="28"/>
      <c r="EV1013" s="28"/>
      <c r="EY1013" s="28"/>
      <c r="FB1013" s="28"/>
      <c r="FE1013" s="28"/>
      <c r="FH1013" s="28"/>
      <c r="FK1013" s="28"/>
      <c r="FN1013" s="28"/>
      <c r="FQ1013" s="28"/>
      <c r="FT1013" s="28"/>
      <c r="FW1013" s="28"/>
      <c r="FZ1013" s="28"/>
      <c r="GC1013" s="28"/>
    </row>
    <row r="1014" spans="1:185" s="25" customFormat="1" x14ac:dyDescent="0.3">
      <c r="A1014" s="27"/>
      <c r="B1014" s="28"/>
      <c r="C1014" s="27"/>
      <c r="D1014" s="26"/>
      <c r="E1014" s="28"/>
      <c r="H1014" s="28"/>
      <c r="K1014" s="28"/>
      <c r="N1014" s="28"/>
      <c r="Q1014" s="28"/>
      <c r="T1014" s="28"/>
      <c r="W1014" s="28"/>
      <c r="Z1014" s="28"/>
      <c r="AC1014" s="28"/>
      <c r="AF1014" s="28"/>
      <c r="AI1014" s="28"/>
      <c r="AL1014" s="28"/>
      <c r="AO1014" s="28"/>
      <c r="AR1014" s="28"/>
      <c r="AU1014" s="28"/>
      <c r="AX1014" s="28"/>
      <c r="BA1014" s="28"/>
      <c r="BD1014" s="28"/>
      <c r="BG1014" s="28"/>
      <c r="BJ1014" s="28"/>
      <c r="BM1014" s="28"/>
      <c r="BP1014" s="28"/>
      <c r="BS1014" s="28"/>
      <c r="BV1014" s="28"/>
      <c r="BY1014" s="28"/>
      <c r="CB1014" s="28"/>
      <c r="CE1014" s="28"/>
      <c r="CH1014" s="28"/>
      <c r="CK1014" s="28"/>
      <c r="CN1014" s="28"/>
      <c r="CQ1014" s="28"/>
      <c r="CT1014" s="28"/>
      <c r="CW1014" s="28"/>
      <c r="CZ1014" s="28"/>
      <c r="DC1014" s="28"/>
      <c r="DF1014" s="28"/>
      <c r="DI1014" s="28"/>
      <c r="DL1014" s="28"/>
      <c r="DO1014" s="28"/>
      <c r="DR1014" s="28"/>
      <c r="DU1014" s="28"/>
      <c r="DX1014" s="28"/>
      <c r="EA1014" s="28"/>
      <c r="ED1014" s="28"/>
      <c r="EG1014" s="28"/>
      <c r="EJ1014" s="28"/>
      <c r="EM1014" s="28"/>
      <c r="EP1014" s="28"/>
      <c r="ES1014" s="28"/>
      <c r="EV1014" s="28"/>
      <c r="EY1014" s="28"/>
      <c r="FB1014" s="28"/>
      <c r="FE1014" s="28"/>
      <c r="FH1014" s="28"/>
      <c r="FK1014" s="28"/>
      <c r="FN1014" s="28"/>
      <c r="FQ1014" s="28"/>
      <c r="FT1014" s="28"/>
      <c r="FW1014" s="28"/>
      <c r="FZ1014" s="28"/>
      <c r="GC1014" s="28"/>
    </row>
    <row r="1015" spans="1:185" s="25" customFormat="1" x14ac:dyDescent="0.3">
      <c r="A1015" s="27"/>
      <c r="B1015" s="28"/>
      <c r="C1015" s="27"/>
      <c r="D1015" s="26"/>
      <c r="E1015" s="28"/>
      <c r="H1015" s="28"/>
      <c r="K1015" s="28"/>
      <c r="N1015" s="28"/>
      <c r="Q1015" s="28"/>
      <c r="T1015" s="28"/>
      <c r="W1015" s="28"/>
      <c r="Z1015" s="28"/>
      <c r="AC1015" s="28"/>
      <c r="AF1015" s="28"/>
      <c r="AI1015" s="28"/>
      <c r="AL1015" s="28"/>
      <c r="AO1015" s="28"/>
      <c r="AR1015" s="28"/>
      <c r="AU1015" s="28"/>
      <c r="AX1015" s="28"/>
      <c r="BA1015" s="28"/>
      <c r="BD1015" s="28"/>
      <c r="BG1015" s="28"/>
      <c r="BJ1015" s="28"/>
      <c r="BM1015" s="28"/>
      <c r="BP1015" s="28"/>
      <c r="BS1015" s="28"/>
      <c r="BV1015" s="28"/>
      <c r="BY1015" s="28"/>
      <c r="CB1015" s="28"/>
      <c r="CE1015" s="28"/>
      <c r="CH1015" s="28"/>
      <c r="CK1015" s="28"/>
      <c r="CN1015" s="28"/>
      <c r="CQ1015" s="28"/>
      <c r="CT1015" s="28"/>
      <c r="CW1015" s="28"/>
      <c r="CZ1015" s="28"/>
      <c r="DC1015" s="28"/>
      <c r="DF1015" s="28"/>
      <c r="DI1015" s="28"/>
      <c r="DL1015" s="28"/>
      <c r="DO1015" s="28"/>
      <c r="DR1015" s="28"/>
      <c r="DU1015" s="28"/>
      <c r="DX1015" s="28"/>
      <c r="EA1015" s="28"/>
      <c r="ED1015" s="28"/>
      <c r="EG1015" s="28"/>
      <c r="EJ1015" s="28"/>
      <c r="EM1015" s="28"/>
      <c r="EP1015" s="28"/>
      <c r="ES1015" s="28"/>
      <c r="EV1015" s="28"/>
      <c r="EY1015" s="28"/>
      <c r="FB1015" s="28"/>
      <c r="FE1015" s="28"/>
      <c r="FH1015" s="28"/>
      <c r="FK1015" s="28"/>
      <c r="FN1015" s="28"/>
      <c r="FQ1015" s="28"/>
      <c r="FT1015" s="28"/>
      <c r="FW1015" s="28"/>
      <c r="FZ1015" s="28"/>
      <c r="GC1015" s="28"/>
    </row>
    <row r="1016" spans="1:185" s="25" customFormat="1" x14ac:dyDescent="0.3">
      <c r="A1016" s="27"/>
      <c r="B1016" s="28"/>
      <c r="C1016" s="27"/>
      <c r="D1016" s="26"/>
      <c r="E1016" s="28"/>
      <c r="H1016" s="28"/>
      <c r="K1016" s="28"/>
      <c r="N1016" s="28"/>
      <c r="Q1016" s="28"/>
      <c r="T1016" s="28"/>
      <c r="W1016" s="28"/>
      <c r="Z1016" s="28"/>
      <c r="AC1016" s="28"/>
      <c r="AF1016" s="28"/>
      <c r="AI1016" s="28"/>
      <c r="AL1016" s="28"/>
      <c r="AO1016" s="28"/>
      <c r="AR1016" s="28"/>
      <c r="AU1016" s="28"/>
      <c r="AX1016" s="28"/>
      <c r="BA1016" s="28"/>
      <c r="BD1016" s="28"/>
      <c r="BG1016" s="28"/>
      <c r="BJ1016" s="28"/>
      <c r="BM1016" s="28"/>
      <c r="BP1016" s="28"/>
      <c r="BS1016" s="28"/>
      <c r="BV1016" s="28"/>
      <c r="BY1016" s="28"/>
      <c r="CB1016" s="28"/>
      <c r="CE1016" s="28"/>
      <c r="CH1016" s="28"/>
      <c r="CK1016" s="28"/>
      <c r="CN1016" s="28"/>
      <c r="CQ1016" s="28"/>
      <c r="CT1016" s="28"/>
      <c r="CW1016" s="28"/>
      <c r="CZ1016" s="28"/>
      <c r="DC1016" s="28"/>
      <c r="DF1016" s="28"/>
      <c r="DI1016" s="28"/>
      <c r="DL1016" s="28"/>
      <c r="DO1016" s="28"/>
      <c r="DR1016" s="28"/>
      <c r="DU1016" s="28"/>
      <c r="DX1016" s="28"/>
      <c r="EA1016" s="28"/>
      <c r="ED1016" s="28"/>
      <c r="EG1016" s="28"/>
      <c r="EJ1016" s="28"/>
      <c r="EM1016" s="28"/>
      <c r="EP1016" s="28"/>
      <c r="ES1016" s="28"/>
      <c r="EV1016" s="28"/>
      <c r="EY1016" s="28"/>
      <c r="FB1016" s="28"/>
      <c r="FE1016" s="28"/>
      <c r="FH1016" s="28"/>
      <c r="FK1016" s="28"/>
      <c r="FN1016" s="28"/>
      <c r="FQ1016" s="28"/>
      <c r="FT1016" s="28"/>
      <c r="FW1016" s="28"/>
      <c r="FZ1016" s="28"/>
      <c r="GC1016" s="28"/>
    </row>
    <row r="1017" spans="1:185" s="25" customFormat="1" x14ac:dyDescent="0.3">
      <c r="A1017" s="27"/>
      <c r="B1017" s="28"/>
      <c r="C1017" s="27"/>
      <c r="D1017" s="26"/>
      <c r="E1017" s="28"/>
      <c r="H1017" s="28"/>
      <c r="K1017" s="28"/>
      <c r="N1017" s="28"/>
      <c r="Q1017" s="28"/>
      <c r="T1017" s="28"/>
      <c r="W1017" s="28"/>
      <c r="Z1017" s="28"/>
      <c r="AC1017" s="28"/>
      <c r="AF1017" s="28"/>
      <c r="AI1017" s="28"/>
      <c r="AL1017" s="28"/>
      <c r="AO1017" s="28"/>
      <c r="AR1017" s="28"/>
      <c r="AU1017" s="28"/>
      <c r="AX1017" s="28"/>
      <c r="BA1017" s="28"/>
      <c r="BD1017" s="28"/>
      <c r="BG1017" s="28"/>
      <c r="BJ1017" s="28"/>
      <c r="BM1017" s="28"/>
      <c r="BP1017" s="28"/>
      <c r="BS1017" s="28"/>
      <c r="BV1017" s="28"/>
      <c r="BY1017" s="28"/>
      <c r="CB1017" s="28"/>
      <c r="CE1017" s="28"/>
      <c r="CH1017" s="28"/>
      <c r="CK1017" s="28"/>
      <c r="CN1017" s="28"/>
      <c r="CQ1017" s="28"/>
      <c r="CT1017" s="28"/>
      <c r="CW1017" s="28"/>
      <c r="CZ1017" s="28"/>
      <c r="DC1017" s="28"/>
      <c r="DF1017" s="28"/>
      <c r="DI1017" s="28"/>
      <c r="DL1017" s="28"/>
      <c r="DO1017" s="28"/>
      <c r="DR1017" s="28"/>
      <c r="DU1017" s="28"/>
      <c r="DX1017" s="28"/>
      <c r="EA1017" s="28"/>
      <c r="ED1017" s="28"/>
      <c r="EG1017" s="28"/>
      <c r="EJ1017" s="28"/>
      <c r="EM1017" s="28"/>
      <c r="EP1017" s="28"/>
      <c r="ES1017" s="28"/>
      <c r="EV1017" s="28"/>
      <c r="EY1017" s="28"/>
      <c r="FB1017" s="28"/>
      <c r="FE1017" s="28"/>
      <c r="FH1017" s="28"/>
      <c r="FK1017" s="28"/>
      <c r="FN1017" s="28"/>
      <c r="FQ1017" s="28"/>
      <c r="FT1017" s="28"/>
      <c r="FW1017" s="28"/>
      <c r="FZ1017" s="28"/>
      <c r="GC1017" s="28"/>
    </row>
    <row r="1018" spans="1:185" s="25" customFormat="1" x14ac:dyDescent="0.3">
      <c r="A1018" s="27"/>
      <c r="B1018" s="28"/>
      <c r="C1018" s="27"/>
      <c r="D1018" s="26"/>
      <c r="E1018" s="28"/>
      <c r="H1018" s="28"/>
      <c r="K1018" s="28"/>
      <c r="N1018" s="28"/>
      <c r="Q1018" s="28"/>
      <c r="T1018" s="28"/>
      <c r="W1018" s="28"/>
      <c r="Z1018" s="28"/>
      <c r="AC1018" s="28"/>
      <c r="AF1018" s="28"/>
      <c r="AI1018" s="28"/>
      <c r="AL1018" s="28"/>
      <c r="AO1018" s="28"/>
      <c r="AR1018" s="28"/>
      <c r="AU1018" s="28"/>
      <c r="AX1018" s="28"/>
      <c r="BA1018" s="28"/>
      <c r="BD1018" s="28"/>
      <c r="BG1018" s="28"/>
      <c r="BJ1018" s="28"/>
      <c r="BM1018" s="28"/>
      <c r="BP1018" s="28"/>
      <c r="BS1018" s="28"/>
      <c r="BV1018" s="28"/>
      <c r="BY1018" s="28"/>
      <c r="CB1018" s="28"/>
      <c r="CE1018" s="28"/>
      <c r="CH1018" s="28"/>
      <c r="CK1018" s="28"/>
      <c r="CN1018" s="28"/>
      <c r="CQ1018" s="28"/>
      <c r="CT1018" s="28"/>
      <c r="CW1018" s="28"/>
      <c r="CZ1018" s="28"/>
      <c r="DC1018" s="28"/>
      <c r="DF1018" s="28"/>
      <c r="DI1018" s="28"/>
      <c r="DL1018" s="28"/>
      <c r="DO1018" s="28"/>
      <c r="DR1018" s="28"/>
      <c r="DU1018" s="28"/>
      <c r="DX1018" s="28"/>
      <c r="EA1018" s="28"/>
      <c r="ED1018" s="28"/>
      <c r="EG1018" s="28"/>
      <c r="EJ1018" s="28"/>
      <c r="EM1018" s="28"/>
      <c r="EP1018" s="28"/>
      <c r="ES1018" s="28"/>
      <c r="EV1018" s="28"/>
      <c r="EY1018" s="28"/>
      <c r="FB1018" s="28"/>
      <c r="FE1018" s="28"/>
      <c r="FH1018" s="28"/>
      <c r="FK1018" s="28"/>
      <c r="FN1018" s="28"/>
      <c r="FQ1018" s="28"/>
      <c r="FT1018" s="28"/>
      <c r="FW1018" s="28"/>
      <c r="FZ1018" s="28"/>
      <c r="GC1018" s="28"/>
    </row>
    <row r="1019" spans="1:185" s="25" customFormat="1" x14ac:dyDescent="0.3">
      <c r="A1019" s="27"/>
      <c r="B1019" s="28"/>
      <c r="C1019" s="27"/>
      <c r="D1019" s="26"/>
      <c r="E1019" s="28"/>
      <c r="H1019" s="28"/>
      <c r="K1019" s="28"/>
      <c r="N1019" s="28"/>
      <c r="Q1019" s="28"/>
      <c r="T1019" s="28"/>
      <c r="W1019" s="28"/>
      <c r="Z1019" s="28"/>
      <c r="AC1019" s="28"/>
      <c r="AF1019" s="28"/>
      <c r="AI1019" s="28"/>
      <c r="AL1019" s="28"/>
      <c r="AO1019" s="28"/>
      <c r="AR1019" s="28"/>
      <c r="AU1019" s="28"/>
      <c r="AX1019" s="28"/>
      <c r="BA1019" s="28"/>
      <c r="BD1019" s="28"/>
      <c r="BG1019" s="28"/>
      <c r="BJ1019" s="28"/>
      <c r="BM1019" s="28"/>
      <c r="BP1019" s="28"/>
      <c r="BS1019" s="28"/>
      <c r="BV1019" s="28"/>
      <c r="BY1019" s="28"/>
      <c r="CB1019" s="28"/>
      <c r="CE1019" s="28"/>
      <c r="CH1019" s="28"/>
      <c r="CK1019" s="28"/>
      <c r="CN1019" s="28"/>
      <c r="CQ1019" s="28"/>
      <c r="CT1019" s="28"/>
      <c r="CW1019" s="28"/>
      <c r="CZ1019" s="28"/>
      <c r="DC1019" s="28"/>
      <c r="DF1019" s="28"/>
      <c r="DI1019" s="28"/>
      <c r="DL1019" s="28"/>
      <c r="DO1019" s="28"/>
      <c r="DR1019" s="28"/>
      <c r="DU1019" s="28"/>
      <c r="DX1019" s="28"/>
      <c r="EA1019" s="28"/>
      <c r="ED1019" s="28"/>
      <c r="EG1019" s="28"/>
      <c r="EJ1019" s="28"/>
      <c r="EM1019" s="28"/>
      <c r="EP1019" s="28"/>
      <c r="ES1019" s="28"/>
      <c r="EV1019" s="28"/>
      <c r="EY1019" s="28"/>
      <c r="FB1019" s="28"/>
      <c r="FE1019" s="28"/>
      <c r="FH1019" s="28"/>
      <c r="FK1019" s="28"/>
      <c r="FN1019" s="28"/>
      <c r="FQ1019" s="28"/>
      <c r="FT1019" s="28"/>
      <c r="FW1019" s="28"/>
      <c r="FZ1019" s="28"/>
      <c r="GC1019" s="28"/>
    </row>
    <row r="1020" spans="1:185" s="25" customFormat="1" x14ac:dyDescent="0.3">
      <c r="A1020" s="27"/>
      <c r="B1020" s="28"/>
      <c r="C1020" s="27"/>
      <c r="D1020" s="26"/>
      <c r="E1020" s="28"/>
      <c r="H1020" s="28"/>
      <c r="K1020" s="28"/>
      <c r="N1020" s="28"/>
      <c r="Q1020" s="28"/>
      <c r="T1020" s="28"/>
      <c r="W1020" s="28"/>
      <c r="Z1020" s="28"/>
      <c r="AC1020" s="28"/>
      <c r="AF1020" s="28"/>
      <c r="AI1020" s="28"/>
      <c r="AL1020" s="28"/>
      <c r="AO1020" s="28"/>
      <c r="AR1020" s="28"/>
      <c r="AU1020" s="28"/>
      <c r="AX1020" s="28"/>
      <c r="BA1020" s="28"/>
      <c r="BD1020" s="28"/>
      <c r="BG1020" s="28"/>
      <c r="BJ1020" s="28"/>
      <c r="BM1020" s="28"/>
      <c r="BP1020" s="28"/>
      <c r="BS1020" s="28"/>
      <c r="BV1020" s="28"/>
      <c r="BY1020" s="28"/>
      <c r="CB1020" s="28"/>
      <c r="CE1020" s="28"/>
      <c r="CH1020" s="28"/>
      <c r="CK1020" s="28"/>
      <c r="CN1020" s="28"/>
      <c r="CQ1020" s="28"/>
      <c r="CT1020" s="28"/>
      <c r="CW1020" s="28"/>
      <c r="CZ1020" s="28"/>
      <c r="DC1020" s="28"/>
      <c r="DF1020" s="28"/>
      <c r="DI1020" s="28"/>
      <c r="DL1020" s="28"/>
      <c r="DO1020" s="28"/>
      <c r="DR1020" s="28"/>
      <c r="DU1020" s="28"/>
      <c r="DX1020" s="28"/>
      <c r="EA1020" s="28"/>
      <c r="ED1020" s="28"/>
      <c r="EG1020" s="28"/>
      <c r="EJ1020" s="28"/>
      <c r="EM1020" s="28"/>
      <c r="EP1020" s="28"/>
      <c r="ES1020" s="28"/>
      <c r="EV1020" s="28"/>
      <c r="EY1020" s="28"/>
      <c r="FB1020" s="28"/>
      <c r="FE1020" s="28"/>
      <c r="FH1020" s="28"/>
      <c r="FK1020" s="28"/>
      <c r="FN1020" s="28"/>
      <c r="FQ1020" s="28"/>
      <c r="FT1020" s="28"/>
      <c r="FW1020" s="28"/>
      <c r="FZ1020" s="28"/>
      <c r="GC1020" s="28"/>
    </row>
    <row r="1021" spans="1:185" s="25" customFormat="1" x14ac:dyDescent="0.3">
      <c r="A1021" s="27"/>
      <c r="B1021" s="28"/>
      <c r="C1021" s="27"/>
      <c r="D1021" s="26"/>
      <c r="E1021" s="28"/>
      <c r="H1021" s="28"/>
      <c r="K1021" s="28"/>
      <c r="N1021" s="28"/>
      <c r="Q1021" s="28"/>
      <c r="T1021" s="28"/>
      <c r="W1021" s="28"/>
      <c r="Z1021" s="28"/>
      <c r="AC1021" s="28"/>
      <c r="AF1021" s="28"/>
      <c r="AI1021" s="28"/>
      <c r="AL1021" s="28"/>
      <c r="AO1021" s="28"/>
      <c r="AR1021" s="28"/>
      <c r="AU1021" s="28"/>
      <c r="AX1021" s="28"/>
      <c r="BA1021" s="28"/>
      <c r="BD1021" s="28"/>
      <c r="BG1021" s="28"/>
      <c r="BJ1021" s="28"/>
      <c r="BM1021" s="28"/>
      <c r="BP1021" s="28"/>
      <c r="BS1021" s="28"/>
      <c r="BV1021" s="28"/>
      <c r="BY1021" s="28"/>
      <c r="CB1021" s="28"/>
      <c r="CE1021" s="28"/>
      <c r="CH1021" s="28"/>
      <c r="CK1021" s="28"/>
      <c r="CN1021" s="28"/>
      <c r="CQ1021" s="28"/>
      <c r="CT1021" s="28"/>
      <c r="CW1021" s="28"/>
      <c r="CZ1021" s="28"/>
      <c r="DC1021" s="28"/>
      <c r="DF1021" s="28"/>
      <c r="DI1021" s="28"/>
      <c r="DL1021" s="28"/>
      <c r="DO1021" s="28"/>
      <c r="DR1021" s="28"/>
      <c r="DU1021" s="28"/>
      <c r="DX1021" s="28"/>
      <c r="EA1021" s="28"/>
      <c r="ED1021" s="28"/>
      <c r="EG1021" s="28"/>
      <c r="EJ1021" s="28"/>
      <c r="EM1021" s="28"/>
      <c r="EP1021" s="28"/>
      <c r="ES1021" s="28"/>
      <c r="EV1021" s="28"/>
      <c r="EY1021" s="28"/>
      <c r="FB1021" s="28"/>
      <c r="FE1021" s="28"/>
      <c r="FH1021" s="28"/>
      <c r="FK1021" s="28"/>
      <c r="FN1021" s="28"/>
      <c r="FQ1021" s="28"/>
      <c r="FT1021" s="28"/>
      <c r="FW1021" s="28"/>
      <c r="FZ1021" s="28"/>
      <c r="GC1021" s="28"/>
    </row>
    <row r="1022" spans="1:185" s="25" customFormat="1" x14ac:dyDescent="0.3">
      <c r="A1022" s="27"/>
      <c r="B1022" s="28"/>
      <c r="C1022" s="27"/>
      <c r="D1022" s="26"/>
      <c r="E1022" s="28"/>
      <c r="H1022" s="28"/>
      <c r="K1022" s="28"/>
      <c r="N1022" s="28"/>
      <c r="Q1022" s="28"/>
      <c r="T1022" s="28"/>
      <c r="W1022" s="28"/>
      <c r="Z1022" s="28"/>
      <c r="AC1022" s="28"/>
      <c r="AF1022" s="28"/>
      <c r="AI1022" s="28"/>
      <c r="AL1022" s="28"/>
      <c r="AO1022" s="28"/>
      <c r="AR1022" s="28"/>
      <c r="AU1022" s="28"/>
      <c r="AX1022" s="28"/>
      <c r="BA1022" s="28"/>
      <c r="BD1022" s="28"/>
      <c r="BG1022" s="28"/>
      <c r="BJ1022" s="28"/>
      <c r="BM1022" s="28"/>
      <c r="BP1022" s="28"/>
      <c r="BS1022" s="28"/>
      <c r="BV1022" s="28"/>
      <c r="BY1022" s="28"/>
      <c r="CB1022" s="28"/>
      <c r="CE1022" s="28"/>
      <c r="CH1022" s="28"/>
      <c r="CK1022" s="28"/>
      <c r="CN1022" s="28"/>
      <c r="CQ1022" s="28"/>
      <c r="CT1022" s="28"/>
      <c r="CW1022" s="28"/>
      <c r="CZ1022" s="28"/>
      <c r="DC1022" s="28"/>
      <c r="DF1022" s="28"/>
      <c r="DI1022" s="28"/>
      <c r="DL1022" s="28"/>
      <c r="DO1022" s="28"/>
      <c r="DR1022" s="28"/>
      <c r="DU1022" s="28"/>
      <c r="DX1022" s="28"/>
      <c r="EA1022" s="28"/>
      <c r="ED1022" s="28"/>
      <c r="EG1022" s="28"/>
      <c r="EJ1022" s="28"/>
      <c r="EM1022" s="28"/>
      <c r="EP1022" s="28"/>
      <c r="ES1022" s="28"/>
      <c r="EV1022" s="28"/>
      <c r="EY1022" s="28"/>
      <c r="FB1022" s="28"/>
      <c r="FE1022" s="28"/>
      <c r="FH1022" s="28"/>
      <c r="FK1022" s="28"/>
      <c r="FN1022" s="28"/>
      <c r="FQ1022" s="28"/>
      <c r="FT1022" s="28"/>
      <c r="FW1022" s="28"/>
      <c r="FZ1022" s="28"/>
      <c r="GC1022" s="28"/>
    </row>
    <row r="1023" spans="1:185" s="25" customFormat="1" x14ac:dyDescent="0.3">
      <c r="A1023" s="27"/>
      <c r="B1023" s="28"/>
      <c r="C1023" s="27"/>
      <c r="D1023" s="26"/>
      <c r="E1023" s="28"/>
      <c r="H1023" s="28"/>
      <c r="K1023" s="28"/>
      <c r="N1023" s="28"/>
      <c r="Q1023" s="28"/>
      <c r="T1023" s="28"/>
      <c r="W1023" s="28"/>
      <c r="Z1023" s="28"/>
      <c r="AC1023" s="28"/>
      <c r="AF1023" s="28"/>
      <c r="AI1023" s="28"/>
      <c r="AL1023" s="28"/>
      <c r="AO1023" s="28"/>
      <c r="AR1023" s="28"/>
      <c r="AU1023" s="28"/>
      <c r="AX1023" s="28"/>
      <c r="BA1023" s="28"/>
      <c r="BD1023" s="28"/>
      <c r="BG1023" s="28"/>
      <c r="BJ1023" s="28"/>
      <c r="BM1023" s="28"/>
      <c r="BP1023" s="28"/>
      <c r="BS1023" s="28"/>
      <c r="BV1023" s="28"/>
      <c r="BY1023" s="28"/>
      <c r="CB1023" s="28"/>
      <c r="CE1023" s="28"/>
      <c r="CH1023" s="28"/>
      <c r="CK1023" s="28"/>
      <c r="CN1023" s="28"/>
      <c r="CQ1023" s="28"/>
      <c r="CT1023" s="28"/>
      <c r="CW1023" s="28"/>
      <c r="CZ1023" s="28"/>
      <c r="DC1023" s="28"/>
      <c r="DF1023" s="28"/>
      <c r="DI1023" s="28"/>
      <c r="DL1023" s="28"/>
      <c r="DO1023" s="28"/>
      <c r="DR1023" s="28"/>
      <c r="DU1023" s="28"/>
      <c r="DX1023" s="28"/>
      <c r="EA1023" s="28"/>
      <c r="ED1023" s="28"/>
      <c r="EG1023" s="28"/>
      <c r="EJ1023" s="28"/>
      <c r="EM1023" s="28"/>
      <c r="EP1023" s="28"/>
      <c r="ES1023" s="28"/>
      <c r="EV1023" s="28"/>
      <c r="EY1023" s="28"/>
      <c r="FB1023" s="28"/>
      <c r="FE1023" s="28"/>
      <c r="FH1023" s="28"/>
      <c r="FK1023" s="28"/>
      <c r="FN1023" s="28"/>
      <c r="FQ1023" s="28"/>
      <c r="FT1023" s="28"/>
      <c r="FW1023" s="28"/>
      <c r="FZ1023" s="28"/>
      <c r="GC1023" s="28"/>
    </row>
    <row r="1024" spans="1:185" s="25" customFormat="1" x14ac:dyDescent="0.3">
      <c r="A1024" s="27"/>
      <c r="B1024" s="28"/>
      <c r="C1024" s="27"/>
      <c r="D1024" s="26"/>
      <c r="E1024" s="28"/>
      <c r="H1024" s="28"/>
      <c r="K1024" s="28"/>
      <c r="N1024" s="28"/>
      <c r="Q1024" s="28"/>
      <c r="T1024" s="28"/>
      <c r="W1024" s="28"/>
      <c r="Z1024" s="28"/>
      <c r="AC1024" s="28"/>
      <c r="AF1024" s="28"/>
      <c r="AI1024" s="28"/>
      <c r="AL1024" s="28"/>
      <c r="AO1024" s="28"/>
      <c r="AR1024" s="28"/>
      <c r="AU1024" s="28"/>
      <c r="AX1024" s="28"/>
      <c r="BA1024" s="28"/>
      <c r="BD1024" s="28"/>
      <c r="BG1024" s="28"/>
      <c r="BJ1024" s="28"/>
      <c r="BM1024" s="28"/>
      <c r="BP1024" s="28"/>
      <c r="BS1024" s="28"/>
      <c r="BV1024" s="28"/>
      <c r="BY1024" s="28"/>
      <c r="CB1024" s="28"/>
      <c r="CE1024" s="28"/>
      <c r="CH1024" s="28"/>
      <c r="CK1024" s="28"/>
      <c r="CN1024" s="28"/>
      <c r="CQ1024" s="28"/>
      <c r="CT1024" s="28"/>
      <c r="CW1024" s="28"/>
      <c r="CZ1024" s="28"/>
      <c r="DC1024" s="28"/>
      <c r="DF1024" s="28"/>
      <c r="DI1024" s="28"/>
      <c r="DL1024" s="28"/>
      <c r="DO1024" s="28"/>
      <c r="DR1024" s="28"/>
      <c r="DU1024" s="28"/>
      <c r="DX1024" s="28"/>
      <c r="EA1024" s="28"/>
      <c r="ED1024" s="28"/>
      <c r="EG1024" s="28"/>
      <c r="EJ1024" s="28"/>
      <c r="EM1024" s="28"/>
      <c r="EP1024" s="28"/>
      <c r="ES1024" s="28"/>
      <c r="EV1024" s="28"/>
      <c r="EY1024" s="28"/>
      <c r="FB1024" s="28"/>
      <c r="FE1024" s="28"/>
      <c r="FH1024" s="28"/>
      <c r="FK1024" s="28"/>
      <c r="FN1024" s="28"/>
      <c r="FQ1024" s="28"/>
      <c r="FT1024" s="28"/>
      <c r="FW1024" s="28"/>
      <c r="FZ1024" s="28"/>
      <c r="GC1024" s="28"/>
    </row>
    <row r="1025" spans="1:185" s="25" customFormat="1" x14ac:dyDescent="0.3">
      <c r="A1025" s="27"/>
      <c r="B1025" s="28"/>
      <c r="C1025" s="27"/>
      <c r="D1025" s="26"/>
      <c r="E1025" s="28"/>
      <c r="H1025" s="28"/>
      <c r="K1025" s="28"/>
      <c r="N1025" s="28"/>
      <c r="Q1025" s="28"/>
      <c r="T1025" s="28"/>
      <c r="W1025" s="28"/>
      <c r="Z1025" s="28"/>
      <c r="AC1025" s="28"/>
      <c r="AF1025" s="28"/>
      <c r="AI1025" s="28"/>
      <c r="AL1025" s="28"/>
      <c r="AO1025" s="28"/>
      <c r="AR1025" s="28"/>
      <c r="AU1025" s="28"/>
      <c r="AX1025" s="28"/>
      <c r="BA1025" s="28"/>
      <c r="BD1025" s="28"/>
      <c r="BG1025" s="28"/>
      <c r="BJ1025" s="28"/>
      <c r="BM1025" s="28"/>
      <c r="BP1025" s="28"/>
      <c r="BS1025" s="28"/>
      <c r="BV1025" s="28"/>
      <c r="BY1025" s="28"/>
      <c r="CB1025" s="28"/>
      <c r="CE1025" s="28"/>
      <c r="CH1025" s="28"/>
      <c r="CK1025" s="28"/>
      <c r="CN1025" s="28"/>
      <c r="CQ1025" s="28"/>
      <c r="CT1025" s="28"/>
      <c r="CW1025" s="28"/>
      <c r="CZ1025" s="28"/>
      <c r="DC1025" s="28"/>
      <c r="DF1025" s="28"/>
      <c r="DI1025" s="28"/>
      <c r="DL1025" s="28"/>
      <c r="DO1025" s="28"/>
      <c r="DR1025" s="28"/>
      <c r="DU1025" s="28"/>
      <c r="DX1025" s="28"/>
      <c r="EA1025" s="28"/>
      <c r="ED1025" s="28"/>
      <c r="EG1025" s="28"/>
      <c r="EJ1025" s="28"/>
      <c r="EM1025" s="28"/>
      <c r="EP1025" s="28"/>
      <c r="ES1025" s="28"/>
      <c r="EV1025" s="28"/>
      <c r="EY1025" s="28"/>
      <c r="FB1025" s="28"/>
      <c r="FE1025" s="28"/>
      <c r="FH1025" s="28"/>
      <c r="FK1025" s="28"/>
      <c r="FN1025" s="28"/>
      <c r="FQ1025" s="28"/>
      <c r="FT1025" s="28"/>
      <c r="FW1025" s="28"/>
      <c r="FZ1025" s="28"/>
      <c r="GC1025" s="28"/>
    </row>
    <row r="1026" spans="1:185" s="25" customFormat="1" x14ac:dyDescent="0.3">
      <c r="A1026" s="27"/>
      <c r="B1026" s="28"/>
      <c r="C1026" s="27"/>
      <c r="D1026" s="26"/>
      <c r="E1026" s="28"/>
      <c r="H1026" s="28"/>
      <c r="K1026" s="28"/>
      <c r="N1026" s="28"/>
      <c r="Q1026" s="28"/>
      <c r="T1026" s="28"/>
      <c r="W1026" s="28"/>
      <c r="Z1026" s="28"/>
      <c r="AC1026" s="28"/>
      <c r="AF1026" s="28"/>
      <c r="AI1026" s="28"/>
      <c r="AL1026" s="28"/>
      <c r="AO1026" s="28"/>
      <c r="AR1026" s="28"/>
      <c r="AU1026" s="28"/>
      <c r="AX1026" s="28"/>
      <c r="BA1026" s="28"/>
      <c r="BD1026" s="28"/>
      <c r="BG1026" s="28"/>
      <c r="BJ1026" s="28"/>
      <c r="BM1026" s="28"/>
      <c r="BP1026" s="28"/>
      <c r="BS1026" s="28"/>
      <c r="BV1026" s="28"/>
      <c r="BY1026" s="28"/>
      <c r="CB1026" s="28"/>
      <c r="CE1026" s="28"/>
      <c r="CH1026" s="28"/>
      <c r="CK1026" s="28"/>
      <c r="CN1026" s="28"/>
      <c r="CQ1026" s="28"/>
      <c r="CT1026" s="28"/>
      <c r="CW1026" s="28"/>
      <c r="CZ1026" s="28"/>
      <c r="DC1026" s="28"/>
      <c r="DF1026" s="28"/>
      <c r="DI1026" s="28"/>
      <c r="DL1026" s="28"/>
      <c r="DO1026" s="28"/>
      <c r="DR1026" s="28"/>
      <c r="DU1026" s="28"/>
      <c r="DX1026" s="28"/>
      <c r="EA1026" s="28"/>
      <c r="ED1026" s="28"/>
      <c r="EG1026" s="28"/>
      <c r="EJ1026" s="28"/>
      <c r="EM1026" s="28"/>
      <c r="EP1026" s="28"/>
      <c r="ES1026" s="28"/>
      <c r="EV1026" s="28"/>
      <c r="EY1026" s="28"/>
      <c r="FB1026" s="28"/>
      <c r="FE1026" s="28"/>
      <c r="FH1026" s="28"/>
      <c r="FK1026" s="28"/>
      <c r="FN1026" s="28"/>
      <c r="FQ1026" s="28"/>
      <c r="FT1026" s="28"/>
      <c r="FW1026" s="28"/>
      <c r="FZ1026" s="28"/>
      <c r="GC1026" s="28"/>
    </row>
    <row r="1027" spans="1:185" s="25" customFormat="1" x14ac:dyDescent="0.3">
      <c r="A1027" s="27"/>
      <c r="B1027" s="28"/>
      <c r="C1027" s="27"/>
      <c r="D1027" s="26"/>
      <c r="E1027" s="28"/>
      <c r="H1027" s="28"/>
      <c r="K1027" s="28"/>
      <c r="N1027" s="28"/>
      <c r="Q1027" s="28"/>
      <c r="T1027" s="28"/>
      <c r="W1027" s="28"/>
      <c r="Z1027" s="28"/>
      <c r="AC1027" s="28"/>
      <c r="AF1027" s="28"/>
      <c r="AI1027" s="28"/>
      <c r="AL1027" s="28"/>
      <c r="AO1027" s="28"/>
      <c r="AR1027" s="28"/>
      <c r="AU1027" s="28"/>
      <c r="AX1027" s="28"/>
      <c r="BA1027" s="28"/>
      <c r="BD1027" s="28"/>
      <c r="BG1027" s="28"/>
      <c r="BJ1027" s="28"/>
      <c r="BM1027" s="28"/>
      <c r="BP1027" s="28"/>
      <c r="BS1027" s="28"/>
      <c r="BV1027" s="28"/>
      <c r="BY1027" s="28"/>
      <c r="CB1027" s="28"/>
      <c r="CE1027" s="28"/>
      <c r="CH1027" s="28"/>
      <c r="CK1027" s="28"/>
      <c r="CN1027" s="28"/>
      <c r="CQ1027" s="28"/>
      <c r="CT1027" s="28"/>
      <c r="CW1027" s="28"/>
      <c r="CZ1027" s="28"/>
      <c r="DC1027" s="28"/>
      <c r="DF1027" s="28"/>
      <c r="DI1027" s="28"/>
      <c r="DL1027" s="28"/>
      <c r="DO1027" s="28"/>
      <c r="DR1027" s="28"/>
      <c r="DU1027" s="28"/>
      <c r="DX1027" s="28"/>
      <c r="EA1027" s="28"/>
      <c r="ED1027" s="28"/>
      <c r="EG1027" s="28"/>
      <c r="EJ1027" s="28"/>
      <c r="EM1027" s="28"/>
      <c r="EP1027" s="28"/>
      <c r="ES1027" s="28"/>
      <c r="EV1027" s="28"/>
      <c r="EY1027" s="28"/>
      <c r="FB1027" s="28"/>
      <c r="FE1027" s="28"/>
      <c r="FH1027" s="28"/>
      <c r="FK1027" s="28"/>
      <c r="FN1027" s="28"/>
      <c r="FQ1027" s="28"/>
      <c r="FT1027" s="28"/>
      <c r="FW1027" s="28"/>
      <c r="FZ1027" s="28"/>
      <c r="GC1027" s="28"/>
    </row>
    <row r="1028" spans="1:185" s="25" customFormat="1" x14ac:dyDescent="0.3">
      <c r="A1028" s="27"/>
      <c r="B1028" s="28"/>
      <c r="C1028" s="27"/>
      <c r="D1028" s="26"/>
      <c r="E1028" s="28"/>
      <c r="H1028" s="28"/>
      <c r="K1028" s="28"/>
      <c r="N1028" s="28"/>
      <c r="Q1028" s="28"/>
      <c r="T1028" s="28"/>
      <c r="W1028" s="28"/>
      <c r="Z1028" s="28"/>
      <c r="AC1028" s="28"/>
      <c r="AF1028" s="28"/>
      <c r="AI1028" s="28"/>
      <c r="AL1028" s="28"/>
      <c r="AO1028" s="28"/>
      <c r="AR1028" s="28"/>
      <c r="AU1028" s="28"/>
      <c r="AX1028" s="28"/>
      <c r="BA1028" s="28"/>
      <c r="BD1028" s="28"/>
      <c r="BG1028" s="28"/>
      <c r="BJ1028" s="28"/>
      <c r="BM1028" s="28"/>
      <c r="BP1028" s="28"/>
      <c r="BS1028" s="28"/>
      <c r="BV1028" s="28"/>
      <c r="BY1028" s="28"/>
      <c r="CB1028" s="28"/>
      <c r="CE1028" s="28"/>
      <c r="CH1028" s="28"/>
      <c r="CK1028" s="28"/>
      <c r="CN1028" s="28"/>
      <c r="CQ1028" s="28"/>
      <c r="CT1028" s="28"/>
      <c r="CW1028" s="28"/>
      <c r="CZ1028" s="28"/>
      <c r="DC1028" s="28"/>
      <c r="DF1028" s="28"/>
      <c r="DI1028" s="28"/>
      <c r="DL1028" s="28"/>
      <c r="DO1028" s="28"/>
      <c r="DR1028" s="28"/>
      <c r="DU1028" s="28"/>
      <c r="DX1028" s="28"/>
      <c r="EA1028" s="28"/>
      <c r="ED1028" s="28"/>
      <c r="EG1028" s="28"/>
      <c r="EJ1028" s="28"/>
      <c r="EM1028" s="28"/>
      <c r="EP1028" s="28"/>
      <c r="ES1028" s="28"/>
      <c r="EV1028" s="28"/>
      <c r="EY1028" s="28"/>
      <c r="FB1028" s="28"/>
      <c r="FE1028" s="28"/>
      <c r="FH1028" s="28"/>
      <c r="FK1028" s="28"/>
      <c r="FN1028" s="28"/>
      <c r="FQ1028" s="28"/>
      <c r="FT1028" s="28"/>
      <c r="FW1028" s="28"/>
      <c r="FZ1028" s="28"/>
      <c r="GC1028" s="28"/>
    </row>
    <row r="1029" spans="1:185" s="25" customFormat="1" x14ac:dyDescent="0.3">
      <c r="A1029" s="27"/>
      <c r="B1029" s="28"/>
      <c r="C1029" s="27"/>
      <c r="D1029" s="26"/>
      <c r="E1029" s="28"/>
      <c r="H1029" s="28"/>
      <c r="K1029" s="28"/>
      <c r="N1029" s="28"/>
      <c r="Q1029" s="28"/>
      <c r="T1029" s="28"/>
      <c r="W1029" s="28"/>
      <c r="Z1029" s="28"/>
      <c r="AC1029" s="28"/>
      <c r="AF1029" s="28"/>
      <c r="AI1029" s="28"/>
      <c r="AL1029" s="28"/>
      <c r="AO1029" s="28"/>
      <c r="AR1029" s="28"/>
      <c r="AU1029" s="28"/>
      <c r="AX1029" s="28"/>
      <c r="BA1029" s="28"/>
      <c r="BD1029" s="28"/>
      <c r="BG1029" s="28"/>
      <c r="BJ1029" s="28"/>
      <c r="BM1029" s="28"/>
      <c r="BP1029" s="28"/>
      <c r="BS1029" s="28"/>
      <c r="BV1029" s="28"/>
      <c r="BY1029" s="28"/>
      <c r="CB1029" s="28"/>
      <c r="CE1029" s="28"/>
      <c r="CH1029" s="28"/>
      <c r="CK1029" s="28"/>
      <c r="CN1029" s="28"/>
      <c r="CQ1029" s="28"/>
      <c r="CT1029" s="28"/>
      <c r="CW1029" s="28"/>
      <c r="CZ1029" s="28"/>
      <c r="DC1029" s="28"/>
      <c r="DF1029" s="28"/>
      <c r="DI1029" s="28"/>
      <c r="DL1029" s="28"/>
      <c r="DO1029" s="28"/>
      <c r="DR1029" s="28"/>
      <c r="DU1029" s="28"/>
      <c r="DX1029" s="28"/>
      <c r="EA1029" s="28"/>
      <c r="ED1029" s="28"/>
      <c r="EG1029" s="28"/>
      <c r="EJ1029" s="28"/>
      <c r="EM1029" s="28"/>
      <c r="EP1029" s="28"/>
      <c r="ES1029" s="28"/>
      <c r="EV1029" s="28"/>
      <c r="EY1029" s="28"/>
      <c r="FB1029" s="28"/>
      <c r="FE1029" s="28"/>
      <c r="FH1029" s="28"/>
      <c r="FK1029" s="28"/>
      <c r="FN1029" s="28"/>
      <c r="FQ1029" s="28"/>
      <c r="FT1029" s="28"/>
      <c r="FW1029" s="28"/>
      <c r="FZ1029" s="28"/>
      <c r="GC1029" s="28"/>
    </row>
    <row r="1030" spans="1:185" s="25" customFormat="1" x14ac:dyDescent="0.3">
      <c r="A1030" s="27"/>
      <c r="B1030" s="28"/>
      <c r="C1030" s="27"/>
      <c r="D1030" s="26"/>
      <c r="E1030" s="28"/>
      <c r="H1030" s="28"/>
      <c r="K1030" s="28"/>
      <c r="N1030" s="28"/>
      <c r="Q1030" s="28"/>
      <c r="T1030" s="28"/>
      <c r="W1030" s="28"/>
      <c r="Z1030" s="28"/>
      <c r="AC1030" s="28"/>
      <c r="AF1030" s="28"/>
      <c r="AI1030" s="28"/>
      <c r="AL1030" s="28"/>
      <c r="AO1030" s="28"/>
      <c r="AR1030" s="28"/>
      <c r="AU1030" s="28"/>
      <c r="AX1030" s="28"/>
      <c r="BA1030" s="28"/>
      <c r="BD1030" s="28"/>
      <c r="BG1030" s="28"/>
      <c r="BJ1030" s="28"/>
      <c r="BM1030" s="28"/>
      <c r="BP1030" s="28"/>
      <c r="BS1030" s="28"/>
      <c r="BV1030" s="28"/>
      <c r="BY1030" s="28"/>
      <c r="CB1030" s="28"/>
      <c r="CE1030" s="28"/>
      <c r="CH1030" s="28"/>
      <c r="CK1030" s="28"/>
      <c r="CN1030" s="28"/>
      <c r="CQ1030" s="28"/>
      <c r="CT1030" s="28"/>
      <c r="CW1030" s="28"/>
      <c r="CZ1030" s="28"/>
      <c r="DC1030" s="28"/>
      <c r="DF1030" s="28"/>
      <c r="DI1030" s="28"/>
      <c r="DL1030" s="28"/>
      <c r="DO1030" s="28"/>
      <c r="DR1030" s="28"/>
      <c r="DU1030" s="28"/>
      <c r="DX1030" s="28"/>
      <c r="EA1030" s="28"/>
      <c r="ED1030" s="28"/>
      <c r="EG1030" s="28"/>
      <c r="EJ1030" s="28"/>
      <c r="EM1030" s="28"/>
      <c r="EP1030" s="28"/>
      <c r="ES1030" s="28"/>
      <c r="EV1030" s="28"/>
      <c r="EY1030" s="28"/>
      <c r="FB1030" s="28"/>
      <c r="FE1030" s="28"/>
      <c r="FH1030" s="28"/>
      <c r="FK1030" s="28"/>
      <c r="FN1030" s="28"/>
      <c r="FQ1030" s="28"/>
      <c r="FT1030" s="28"/>
      <c r="FW1030" s="28"/>
      <c r="FZ1030" s="28"/>
      <c r="GC1030" s="28"/>
    </row>
    <row r="1031" spans="1:185" s="25" customFormat="1" x14ac:dyDescent="0.3">
      <c r="A1031" s="27"/>
      <c r="B1031" s="28"/>
      <c r="C1031" s="27"/>
      <c r="D1031" s="26"/>
      <c r="E1031" s="28"/>
      <c r="H1031" s="28"/>
      <c r="K1031" s="28"/>
      <c r="N1031" s="28"/>
      <c r="Q1031" s="28"/>
      <c r="T1031" s="28"/>
      <c r="W1031" s="28"/>
      <c r="Z1031" s="28"/>
      <c r="AC1031" s="28"/>
      <c r="AF1031" s="28"/>
      <c r="AI1031" s="28"/>
      <c r="AL1031" s="28"/>
      <c r="AO1031" s="28"/>
      <c r="AR1031" s="28"/>
      <c r="AU1031" s="28"/>
      <c r="AX1031" s="28"/>
      <c r="BA1031" s="28"/>
      <c r="BD1031" s="28"/>
      <c r="BG1031" s="28"/>
      <c r="BJ1031" s="28"/>
      <c r="BM1031" s="28"/>
      <c r="BP1031" s="28"/>
      <c r="BS1031" s="28"/>
      <c r="BV1031" s="28"/>
      <c r="BY1031" s="28"/>
      <c r="CB1031" s="28"/>
      <c r="CE1031" s="28"/>
      <c r="CH1031" s="28"/>
      <c r="CK1031" s="28"/>
      <c r="CN1031" s="28"/>
      <c r="CQ1031" s="28"/>
      <c r="CT1031" s="28"/>
      <c r="CW1031" s="28"/>
      <c r="CZ1031" s="28"/>
      <c r="DC1031" s="28"/>
      <c r="DF1031" s="28"/>
      <c r="DI1031" s="28"/>
      <c r="DL1031" s="28"/>
      <c r="DO1031" s="28"/>
      <c r="DR1031" s="28"/>
      <c r="DU1031" s="28"/>
      <c r="DX1031" s="28"/>
      <c r="EA1031" s="28"/>
      <c r="ED1031" s="28"/>
      <c r="EG1031" s="28"/>
      <c r="EJ1031" s="28"/>
      <c r="EM1031" s="28"/>
      <c r="EP1031" s="28"/>
      <c r="ES1031" s="28"/>
      <c r="EV1031" s="28"/>
      <c r="EY1031" s="28"/>
      <c r="FB1031" s="28"/>
      <c r="FE1031" s="28"/>
      <c r="FH1031" s="28"/>
      <c r="FK1031" s="28"/>
      <c r="FN1031" s="28"/>
      <c r="FQ1031" s="28"/>
      <c r="FT1031" s="28"/>
      <c r="FW1031" s="28"/>
      <c r="FZ1031" s="28"/>
      <c r="GC1031" s="28"/>
    </row>
    <row r="1032" spans="1:185" s="25" customFormat="1" x14ac:dyDescent="0.3">
      <c r="A1032" s="27"/>
      <c r="B1032" s="28"/>
      <c r="C1032" s="27"/>
      <c r="D1032" s="26"/>
      <c r="E1032" s="28"/>
      <c r="H1032" s="28"/>
      <c r="K1032" s="28"/>
      <c r="N1032" s="28"/>
      <c r="Q1032" s="28"/>
      <c r="T1032" s="28"/>
      <c r="W1032" s="28"/>
      <c r="Z1032" s="28"/>
      <c r="AC1032" s="28"/>
      <c r="AF1032" s="28"/>
      <c r="AI1032" s="28"/>
      <c r="AL1032" s="28"/>
      <c r="AO1032" s="28"/>
      <c r="AR1032" s="28"/>
      <c r="AU1032" s="28"/>
      <c r="AX1032" s="28"/>
      <c r="BA1032" s="28"/>
      <c r="BD1032" s="28"/>
      <c r="BG1032" s="28"/>
      <c r="BJ1032" s="28"/>
      <c r="BM1032" s="28"/>
      <c r="BP1032" s="28"/>
      <c r="BS1032" s="28"/>
      <c r="BV1032" s="28"/>
      <c r="BY1032" s="28"/>
      <c r="CB1032" s="28"/>
      <c r="CE1032" s="28"/>
      <c r="CH1032" s="28"/>
      <c r="CK1032" s="28"/>
      <c r="CN1032" s="28"/>
      <c r="CQ1032" s="28"/>
      <c r="CT1032" s="28"/>
      <c r="CW1032" s="28"/>
      <c r="CZ1032" s="28"/>
      <c r="DC1032" s="28"/>
      <c r="DF1032" s="28"/>
      <c r="DI1032" s="28"/>
      <c r="DL1032" s="28"/>
      <c r="DO1032" s="28"/>
      <c r="DR1032" s="28"/>
      <c r="DU1032" s="28"/>
      <c r="DX1032" s="28"/>
      <c r="EA1032" s="28"/>
      <c r="ED1032" s="28"/>
      <c r="EG1032" s="28"/>
      <c r="EJ1032" s="28"/>
      <c r="EM1032" s="28"/>
      <c r="EP1032" s="28"/>
      <c r="ES1032" s="28"/>
      <c r="EV1032" s="28"/>
      <c r="EY1032" s="28"/>
      <c r="FB1032" s="28"/>
      <c r="FE1032" s="28"/>
      <c r="FH1032" s="28"/>
      <c r="FK1032" s="28"/>
      <c r="FN1032" s="28"/>
      <c r="FQ1032" s="28"/>
      <c r="FT1032" s="28"/>
      <c r="FW1032" s="28"/>
      <c r="FZ1032" s="28"/>
      <c r="GC1032" s="28"/>
    </row>
    <row r="1033" spans="1:185" s="25" customFormat="1" x14ac:dyDescent="0.3">
      <c r="A1033" s="27"/>
      <c r="B1033" s="28"/>
      <c r="C1033" s="27"/>
      <c r="D1033" s="26"/>
      <c r="E1033" s="28"/>
      <c r="H1033" s="28"/>
      <c r="K1033" s="28"/>
      <c r="N1033" s="28"/>
      <c r="Q1033" s="28"/>
      <c r="T1033" s="28"/>
      <c r="W1033" s="28"/>
      <c r="Z1033" s="28"/>
      <c r="AC1033" s="28"/>
      <c r="AF1033" s="28"/>
      <c r="AI1033" s="28"/>
      <c r="AL1033" s="28"/>
      <c r="AO1033" s="28"/>
      <c r="AR1033" s="28"/>
      <c r="AU1033" s="28"/>
      <c r="AX1033" s="28"/>
      <c r="BA1033" s="28"/>
      <c r="BD1033" s="28"/>
      <c r="BG1033" s="28"/>
      <c r="BJ1033" s="28"/>
      <c r="BM1033" s="28"/>
      <c r="BP1033" s="28"/>
      <c r="BS1033" s="28"/>
      <c r="BV1033" s="28"/>
      <c r="BY1033" s="28"/>
      <c r="CB1033" s="28"/>
      <c r="CE1033" s="28"/>
      <c r="CH1033" s="28"/>
      <c r="CK1033" s="28"/>
      <c r="CN1033" s="28"/>
      <c r="CQ1033" s="28"/>
      <c r="CT1033" s="28"/>
      <c r="CW1033" s="28"/>
      <c r="CZ1033" s="28"/>
      <c r="DC1033" s="28"/>
      <c r="DF1033" s="28"/>
      <c r="DI1033" s="28"/>
      <c r="DL1033" s="28"/>
      <c r="DO1033" s="28"/>
      <c r="DR1033" s="28"/>
      <c r="DU1033" s="28"/>
      <c r="DX1033" s="28"/>
      <c r="EA1033" s="28"/>
      <c r="ED1033" s="28"/>
      <c r="EG1033" s="28"/>
      <c r="EJ1033" s="28"/>
      <c r="EM1033" s="28"/>
      <c r="EP1033" s="28"/>
      <c r="ES1033" s="28"/>
      <c r="EV1033" s="28"/>
      <c r="EY1033" s="28"/>
      <c r="FB1033" s="28"/>
      <c r="FE1033" s="28"/>
      <c r="FH1033" s="28"/>
      <c r="FK1033" s="28"/>
      <c r="FN1033" s="28"/>
      <c r="FQ1033" s="28"/>
      <c r="FT1033" s="28"/>
      <c r="FW1033" s="28"/>
      <c r="FZ1033" s="28"/>
      <c r="GC1033" s="28"/>
    </row>
    <row r="1034" spans="1:185" s="25" customFormat="1" x14ac:dyDescent="0.3">
      <c r="A1034" s="27"/>
      <c r="B1034" s="28"/>
      <c r="C1034" s="27"/>
      <c r="D1034" s="26"/>
      <c r="E1034" s="28"/>
      <c r="H1034" s="28"/>
      <c r="K1034" s="28"/>
      <c r="N1034" s="28"/>
      <c r="Q1034" s="28"/>
      <c r="T1034" s="28"/>
      <c r="W1034" s="28"/>
      <c r="Z1034" s="28"/>
      <c r="AC1034" s="28"/>
      <c r="AF1034" s="28"/>
      <c r="AI1034" s="28"/>
      <c r="AL1034" s="28"/>
      <c r="AO1034" s="28"/>
      <c r="AR1034" s="28"/>
      <c r="AU1034" s="28"/>
      <c r="AX1034" s="28"/>
      <c r="BA1034" s="28"/>
      <c r="BD1034" s="28"/>
      <c r="BG1034" s="28"/>
      <c r="BJ1034" s="28"/>
      <c r="BM1034" s="28"/>
      <c r="BP1034" s="28"/>
      <c r="BS1034" s="28"/>
      <c r="BV1034" s="28"/>
      <c r="BY1034" s="28"/>
      <c r="CB1034" s="28"/>
      <c r="CE1034" s="28"/>
      <c r="CH1034" s="28"/>
      <c r="CK1034" s="28"/>
      <c r="CN1034" s="28"/>
      <c r="CQ1034" s="28"/>
      <c r="CT1034" s="28"/>
      <c r="CW1034" s="28"/>
      <c r="CZ1034" s="28"/>
      <c r="DC1034" s="28"/>
      <c r="DF1034" s="28"/>
      <c r="DI1034" s="28"/>
      <c r="DL1034" s="28"/>
      <c r="DO1034" s="28"/>
      <c r="DR1034" s="28"/>
      <c r="DU1034" s="28"/>
      <c r="DX1034" s="28"/>
      <c r="EA1034" s="28"/>
      <c r="ED1034" s="28"/>
      <c r="EG1034" s="28"/>
      <c r="EJ1034" s="28"/>
      <c r="EM1034" s="28"/>
      <c r="EP1034" s="28"/>
      <c r="ES1034" s="28"/>
      <c r="EV1034" s="28"/>
      <c r="EY1034" s="28"/>
      <c r="FB1034" s="28"/>
      <c r="FE1034" s="28"/>
      <c r="FH1034" s="28"/>
      <c r="FK1034" s="28"/>
      <c r="FN1034" s="28"/>
      <c r="FQ1034" s="28"/>
      <c r="FT1034" s="28"/>
      <c r="FW1034" s="28"/>
      <c r="FZ1034" s="28"/>
      <c r="GC1034" s="28"/>
    </row>
    <row r="1035" spans="1:185" s="25" customFormat="1" x14ac:dyDescent="0.3">
      <c r="A1035" s="27"/>
      <c r="B1035" s="28"/>
      <c r="C1035" s="27"/>
      <c r="D1035" s="26"/>
      <c r="E1035" s="28"/>
      <c r="H1035" s="28"/>
      <c r="K1035" s="28"/>
      <c r="N1035" s="28"/>
      <c r="Q1035" s="28"/>
      <c r="T1035" s="28"/>
      <c r="W1035" s="28"/>
      <c r="Z1035" s="28"/>
      <c r="AC1035" s="28"/>
      <c r="AF1035" s="28"/>
      <c r="AI1035" s="28"/>
      <c r="AL1035" s="28"/>
      <c r="AO1035" s="28"/>
      <c r="AR1035" s="28"/>
      <c r="AU1035" s="28"/>
      <c r="AX1035" s="28"/>
      <c r="BA1035" s="28"/>
      <c r="BD1035" s="28"/>
      <c r="BG1035" s="28"/>
      <c r="BJ1035" s="28"/>
      <c r="BM1035" s="28"/>
      <c r="BP1035" s="28"/>
      <c r="BS1035" s="28"/>
      <c r="BV1035" s="28"/>
      <c r="BY1035" s="28"/>
      <c r="CB1035" s="28"/>
      <c r="CE1035" s="28"/>
      <c r="CH1035" s="28"/>
      <c r="CK1035" s="28"/>
      <c r="CN1035" s="28"/>
      <c r="CQ1035" s="28"/>
      <c r="CT1035" s="28"/>
      <c r="CW1035" s="28"/>
      <c r="CZ1035" s="28"/>
      <c r="DC1035" s="28"/>
      <c r="DF1035" s="28"/>
      <c r="DI1035" s="28"/>
      <c r="DL1035" s="28"/>
      <c r="DO1035" s="28"/>
      <c r="DR1035" s="28"/>
      <c r="DU1035" s="28"/>
      <c r="DX1035" s="28"/>
      <c r="EA1035" s="28"/>
      <c r="ED1035" s="28"/>
      <c r="EG1035" s="28"/>
      <c r="EJ1035" s="28"/>
      <c r="EM1035" s="28"/>
      <c r="EP1035" s="28"/>
      <c r="ES1035" s="28"/>
      <c r="EV1035" s="28"/>
      <c r="EY1035" s="28"/>
      <c r="FB1035" s="28"/>
      <c r="FE1035" s="28"/>
      <c r="FH1035" s="28"/>
      <c r="FK1035" s="28"/>
      <c r="FN1035" s="28"/>
      <c r="FQ1035" s="28"/>
      <c r="FT1035" s="28"/>
      <c r="FW1035" s="28"/>
      <c r="FZ1035" s="28"/>
      <c r="GC1035" s="28"/>
    </row>
    <row r="1036" spans="1:185" s="25" customFormat="1" x14ac:dyDescent="0.3">
      <c r="A1036" s="27"/>
      <c r="B1036" s="28"/>
      <c r="C1036" s="27"/>
      <c r="D1036" s="26"/>
      <c r="E1036" s="28"/>
      <c r="H1036" s="28"/>
      <c r="K1036" s="28"/>
      <c r="N1036" s="28"/>
      <c r="Q1036" s="28"/>
      <c r="T1036" s="28"/>
      <c r="W1036" s="28"/>
      <c r="Z1036" s="28"/>
      <c r="AC1036" s="28"/>
      <c r="AF1036" s="28"/>
      <c r="AI1036" s="28"/>
      <c r="AL1036" s="28"/>
      <c r="AO1036" s="28"/>
      <c r="AR1036" s="28"/>
      <c r="AU1036" s="28"/>
      <c r="AX1036" s="28"/>
      <c r="BA1036" s="28"/>
      <c r="BD1036" s="28"/>
      <c r="BG1036" s="28"/>
      <c r="BJ1036" s="28"/>
      <c r="BM1036" s="28"/>
      <c r="BP1036" s="28"/>
      <c r="BS1036" s="28"/>
      <c r="BV1036" s="28"/>
      <c r="BY1036" s="28"/>
      <c r="CB1036" s="28"/>
      <c r="CE1036" s="28"/>
      <c r="CH1036" s="28"/>
      <c r="CK1036" s="28"/>
      <c r="CN1036" s="28"/>
      <c r="CQ1036" s="28"/>
      <c r="CT1036" s="28"/>
      <c r="CW1036" s="28"/>
      <c r="CZ1036" s="28"/>
      <c r="DC1036" s="28"/>
      <c r="DF1036" s="28"/>
      <c r="DI1036" s="28"/>
      <c r="DL1036" s="28"/>
      <c r="DO1036" s="28"/>
      <c r="DR1036" s="28"/>
      <c r="DU1036" s="28"/>
      <c r="DX1036" s="28"/>
      <c r="EA1036" s="28"/>
      <c r="ED1036" s="28"/>
      <c r="EG1036" s="28"/>
      <c r="EJ1036" s="28"/>
      <c r="EM1036" s="28"/>
      <c r="EP1036" s="28"/>
      <c r="ES1036" s="28"/>
      <c r="EV1036" s="28"/>
      <c r="EY1036" s="28"/>
      <c r="FB1036" s="28"/>
      <c r="FE1036" s="28"/>
      <c r="FH1036" s="28"/>
      <c r="FK1036" s="28"/>
      <c r="FN1036" s="28"/>
      <c r="FQ1036" s="28"/>
      <c r="FT1036" s="28"/>
      <c r="FW1036" s="28"/>
      <c r="FZ1036" s="28"/>
      <c r="GC1036" s="28"/>
    </row>
    <row r="1037" spans="1:185" s="25" customFormat="1" x14ac:dyDescent="0.3">
      <c r="A1037" s="27"/>
      <c r="B1037" s="28"/>
      <c r="C1037" s="27"/>
      <c r="D1037" s="26"/>
      <c r="E1037" s="28"/>
      <c r="H1037" s="28"/>
      <c r="K1037" s="28"/>
      <c r="N1037" s="28"/>
      <c r="Q1037" s="28"/>
      <c r="T1037" s="28"/>
      <c r="W1037" s="28"/>
      <c r="Z1037" s="28"/>
      <c r="AC1037" s="28"/>
      <c r="AF1037" s="28"/>
      <c r="AI1037" s="28"/>
      <c r="AL1037" s="28"/>
      <c r="AO1037" s="28"/>
      <c r="AR1037" s="28"/>
      <c r="AU1037" s="28"/>
      <c r="AX1037" s="28"/>
      <c r="BA1037" s="28"/>
      <c r="BD1037" s="28"/>
      <c r="BG1037" s="28"/>
      <c r="BJ1037" s="28"/>
      <c r="BM1037" s="28"/>
      <c r="BP1037" s="28"/>
      <c r="BS1037" s="28"/>
      <c r="BV1037" s="28"/>
      <c r="BY1037" s="28"/>
      <c r="CB1037" s="28"/>
      <c r="CE1037" s="28"/>
      <c r="CH1037" s="28"/>
      <c r="CK1037" s="28"/>
      <c r="CN1037" s="28"/>
      <c r="CQ1037" s="28"/>
      <c r="CT1037" s="28"/>
      <c r="CW1037" s="28"/>
      <c r="CZ1037" s="28"/>
      <c r="DC1037" s="28"/>
      <c r="DF1037" s="28"/>
      <c r="DI1037" s="28"/>
      <c r="DL1037" s="28"/>
      <c r="DO1037" s="28"/>
      <c r="DR1037" s="28"/>
      <c r="DU1037" s="28"/>
      <c r="DX1037" s="28"/>
      <c r="EA1037" s="28"/>
      <c r="ED1037" s="28"/>
      <c r="EG1037" s="28"/>
      <c r="EJ1037" s="28"/>
      <c r="EM1037" s="28"/>
      <c r="EP1037" s="28"/>
      <c r="ES1037" s="28"/>
      <c r="EV1037" s="28"/>
      <c r="EY1037" s="28"/>
      <c r="FB1037" s="28"/>
      <c r="FE1037" s="28"/>
      <c r="FH1037" s="28"/>
      <c r="FK1037" s="28"/>
      <c r="FN1037" s="28"/>
      <c r="FQ1037" s="28"/>
      <c r="FT1037" s="28"/>
      <c r="FW1037" s="28"/>
      <c r="FZ1037" s="28"/>
      <c r="GC1037" s="28"/>
    </row>
    <row r="1038" spans="1:185" s="25" customFormat="1" x14ac:dyDescent="0.3">
      <c r="A1038" s="27"/>
      <c r="B1038" s="28"/>
      <c r="C1038" s="27"/>
      <c r="D1038" s="26"/>
      <c r="E1038" s="28"/>
      <c r="H1038" s="28"/>
      <c r="K1038" s="28"/>
      <c r="N1038" s="28"/>
      <c r="Q1038" s="28"/>
      <c r="T1038" s="28"/>
      <c r="W1038" s="28"/>
      <c r="Z1038" s="28"/>
      <c r="AC1038" s="28"/>
      <c r="AF1038" s="28"/>
      <c r="AI1038" s="28"/>
      <c r="AL1038" s="28"/>
      <c r="AO1038" s="28"/>
      <c r="AR1038" s="28"/>
      <c r="AU1038" s="28"/>
      <c r="AX1038" s="28"/>
      <c r="BA1038" s="28"/>
      <c r="BD1038" s="28"/>
      <c r="BG1038" s="28"/>
      <c r="BJ1038" s="28"/>
      <c r="BM1038" s="28"/>
      <c r="BP1038" s="28"/>
      <c r="BS1038" s="28"/>
      <c r="BV1038" s="28"/>
      <c r="BY1038" s="28"/>
      <c r="CB1038" s="28"/>
      <c r="CE1038" s="28"/>
      <c r="CH1038" s="28"/>
      <c r="CK1038" s="28"/>
      <c r="CN1038" s="28"/>
      <c r="CQ1038" s="28"/>
      <c r="CT1038" s="28"/>
      <c r="CW1038" s="28"/>
      <c r="CZ1038" s="28"/>
      <c r="DC1038" s="28"/>
      <c r="DF1038" s="28"/>
      <c r="DI1038" s="28"/>
      <c r="DL1038" s="28"/>
      <c r="DO1038" s="28"/>
      <c r="DR1038" s="28"/>
      <c r="DU1038" s="28"/>
      <c r="DX1038" s="28"/>
      <c r="EA1038" s="28"/>
      <c r="ED1038" s="28"/>
      <c r="EG1038" s="28"/>
      <c r="EJ1038" s="28"/>
      <c r="EM1038" s="28"/>
      <c r="EP1038" s="28"/>
      <c r="ES1038" s="28"/>
      <c r="EV1038" s="28"/>
      <c r="EY1038" s="28"/>
      <c r="FB1038" s="28"/>
      <c r="FE1038" s="28"/>
      <c r="FH1038" s="28"/>
      <c r="FK1038" s="28"/>
      <c r="FN1038" s="28"/>
      <c r="FQ1038" s="28"/>
      <c r="FT1038" s="28"/>
      <c r="FW1038" s="28"/>
      <c r="FZ1038" s="28"/>
      <c r="GC1038" s="28"/>
    </row>
    <row r="1039" spans="1:185" s="25" customFormat="1" x14ac:dyDescent="0.3">
      <c r="A1039" s="27"/>
      <c r="B1039" s="28"/>
      <c r="C1039" s="27"/>
      <c r="D1039" s="26"/>
      <c r="E1039" s="28"/>
      <c r="H1039" s="28"/>
      <c r="K1039" s="28"/>
      <c r="N1039" s="28"/>
      <c r="Q1039" s="28"/>
      <c r="T1039" s="28"/>
      <c r="W1039" s="28"/>
      <c r="Z1039" s="28"/>
      <c r="AC1039" s="28"/>
      <c r="AF1039" s="28"/>
      <c r="AI1039" s="28"/>
      <c r="AL1039" s="28"/>
      <c r="AO1039" s="28"/>
      <c r="AR1039" s="28"/>
      <c r="AU1039" s="28"/>
      <c r="AX1039" s="28"/>
      <c r="BA1039" s="28"/>
      <c r="BD1039" s="28"/>
      <c r="BG1039" s="28"/>
      <c r="BJ1039" s="28"/>
      <c r="BM1039" s="28"/>
      <c r="BP1039" s="28"/>
      <c r="BS1039" s="28"/>
      <c r="BV1039" s="28"/>
      <c r="BY1039" s="28"/>
      <c r="CB1039" s="28"/>
      <c r="CE1039" s="28"/>
      <c r="CH1039" s="28"/>
      <c r="CK1039" s="28"/>
      <c r="CN1039" s="28"/>
      <c r="CQ1039" s="28"/>
      <c r="CT1039" s="28"/>
      <c r="CW1039" s="28"/>
      <c r="CZ1039" s="28"/>
      <c r="DC1039" s="28"/>
      <c r="DF1039" s="28"/>
      <c r="DI1039" s="28"/>
      <c r="DL1039" s="28"/>
      <c r="DO1039" s="28"/>
      <c r="DR1039" s="28"/>
      <c r="DU1039" s="28"/>
      <c r="DX1039" s="28"/>
      <c r="EA1039" s="28"/>
      <c r="ED1039" s="28"/>
      <c r="EG1039" s="28"/>
      <c r="EJ1039" s="28"/>
      <c r="EM1039" s="28"/>
      <c r="EP1039" s="28"/>
      <c r="ES1039" s="28"/>
      <c r="EV1039" s="28"/>
      <c r="EY1039" s="28"/>
      <c r="FB1039" s="28"/>
      <c r="FE1039" s="28"/>
      <c r="FH1039" s="28"/>
      <c r="FK1039" s="28"/>
      <c r="FN1039" s="28"/>
      <c r="FQ1039" s="28"/>
      <c r="FT1039" s="28"/>
      <c r="FW1039" s="28"/>
      <c r="FZ1039" s="28"/>
      <c r="GC1039" s="28"/>
    </row>
    <row r="1040" spans="1:185" s="25" customFormat="1" x14ac:dyDescent="0.3">
      <c r="A1040" s="27"/>
      <c r="B1040" s="28"/>
      <c r="C1040" s="27"/>
      <c r="D1040" s="26"/>
      <c r="E1040" s="28"/>
      <c r="H1040" s="28"/>
      <c r="K1040" s="28"/>
      <c r="N1040" s="28"/>
      <c r="Q1040" s="28"/>
      <c r="T1040" s="28"/>
      <c r="W1040" s="28"/>
      <c r="Z1040" s="28"/>
      <c r="AC1040" s="28"/>
      <c r="AF1040" s="28"/>
      <c r="AI1040" s="28"/>
      <c r="AL1040" s="28"/>
      <c r="AO1040" s="28"/>
      <c r="AR1040" s="28"/>
      <c r="AU1040" s="28"/>
      <c r="AX1040" s="28"/>
      <c r="BA1040" s="28"/>
      <c r="BD1040" s="28"/>
      <c r="BG1040" s="28"/>
      <c r="BJ1040" s="28"/>
      <c r="BM1040" s="28"/>
      <c r="BP1040" s="28"/>
      <c r="BS1040" s="28"/>
      <c r="BV1040" s="28"/>
      <c r="BY1040" s="28"/>
      <c r="CB1040" s="28"/>
      <c r="CE1040" s="28"/>
      <c r="CH1040" s="28"/>
      <c r="CK1040" s="28"/>
      <c r="CN1040" s="28"/>
      <c r="CQ1040" s="28"/>
      <c r="CT1040" s="28"/>
      <c r="CW1040" s="28"/>
      <c r="CZ1040" s="28"/>
      <c r="DC1040" s="28"/>
      <c r="DF1040" s="28"/>
      <c r="DI1040" s="28"/>
      <c r="DL1040" s="28"/>
      <c r="DO1040" s="28"/>
      <c r="DR1040" s="28"/>
      <c r="DU1040" s="28"/>
      <c r="DX1040" s="28"/>
      <c r="EA1040" s="28"/>
      <c r="ED1040" s="28"/>
      <c r="EG1040" s="28"/>
      <c r="EJ1040" s="28"/>
      <c r="EM1040" s="28"/>
      <c r="EP1040" s="28"/>
      <c r="ES1040" s="28"/>
      <c r="EV1040" s="28"/>
      <c r="EY1040" s="28"/>
      <c r="FB1040" s="28"/>
      <c r="FE1040" s="28"/>
      <c r="FH1040" s="28"/>
      <c r="FK1040" s="28"/>
      <c r="FN1040" s="28"/>
      <c r="FQ1040" s="28"/>
      <c r="FT1040" s="28"/>
      <c r="FW1040" s="28"/>
      <c r="FZ1040" s="28"/>
      <c r="GC1040" s="28"/>
    </row>
    <row r="1041" spans="1:185" s="25" customFormat="1" x14ac:dyDescent="0.3">
      <c r="A1041" s="27"/>
      <c r="B1041" s="28"/>
      <c r="C1041" s="27"/>
      <c r="D1041" s="26"/>
      <c r="E1041" s="28"/>
      <c r="H1041" s="28"/>
      <c r="K1041" s="28"/>
      <c r="N1041" s="28"/>
      <c r="Q1041" s="28"/>
      <c r="T1041" s="28"/>
      <c r="W1041" s="28"/>
      <c r="Z1041" s="28"/>
      <c r="AC1041" s="28"/>
      <c r="AF1041" s="28"/>
      <c r="AI1041" s="28"/>
      <c r="AL1041" s="28"/>
      <c r="AO1041" s="28"/>
      <c r="AR1041" s="28"/>
      <c r="AU1041" s="28"/>
      <c r="AX1041" s="28"/>
      <c r="BA1041" s="28"/>
      <c r="BD1041" s="28"/>
      <c r="BG1041" s="28"/>
      <c r="BJ1041" s="28"/>
      <c r="BM1041" s="28"/>
      <c r="BP1041" s="28"/>
      <c r="BS1041" s="28"/>
      <c r="BV1041" s="28"/>
      <c r="BY1041" s="28"/>
      <c r="CB1041" s="28"/>
      <c r="CE1041" s="28"/>
      <c r="CH1041" s="28"/>
      <c r="CK1041" s="28"/>
      <c r="CN1041" s="28"/>
      <c r="CQ1041" s="28"/>
      <c r="CT1041" s="28"/>
      <c r="CW1041" s="28"/>
      <c r="CZ1041" s="28"/>
      <c r="DC1041" s="28"/>
      <c r="DF1041" s="28"/>
      <c r="DI1041" s="28"/>
      <c r="DL1041" s="28"/>
      <c r="DO1041" s="28"/>
      <c r="DR1041" s="28"/>
      <c r="DU1041" s="28"/>
      <c r="DX1041" s="28"/>
      <c r="EA1041" s="28"/>
      <c r="ED1041" s="28"/>
      <c r="EG1041" s="28"/>
      <c r="EJ1041" s="28"/>
      <c r="EM1041" s="28"/>
      <c r="EP1041" s="28"/>
      <c r="ES1041" s="28"/>
      <c r="EV1041" s="28"/>
      <c r="EY1041" s="28"/>
      <c r="FB1041" s="28"/>
      <c r="FE1041" s="28"/>
      <c r="FH1041" s="28"/>
      <c r="FK1041" s="28"/>
      <c r="FN1041" s="28"/>
      <c r="FQ1041" s="28"/>
      <c r="FT1041" s="28"/>
      <c r="FW1041" s="28"/>
      <c r="FZ1041" s="28"/>
      <c r="GC1041" s="28"/>
    </row>
    <row r="1042" spans="1:185" s="25" customFormat="1" x14ac:dyDescent="0.3">
      <c r="A1042" s="27"/>
      <c r="B1042" s="28"/>
      <c r="C1042" s="27"/>
      <c r="D1042" s="26"/>
      <c r="E1042" s="28"/>
      <c r="H1042" s="28"/>
      <c r="K1042" s="28"/>
      <c r="N1042" s="28"/>
      <c r="Q1042" s="28"/>
      <c r="T1042" s="28"/>
      <c r="W1042" s="28"/>
      <c r="Z1042" s="28"/>
      <c r="AC1042" s="28"/>
      <c r="AF1042" s="28"/>
      <c r="AI1042" s="28"/>
      <c r="AL1042" s="28"/>
      <c r="AO1042" s="28"/>
      <c r="AR1042" s="28"/>
      <c r="AU1042" s="28"/>
      <c r="AX1042" s="28"/>
      <c r="BA1042" s="28"/>
      <c r="BD1042" s="28"/>
      <c r="BG1042" s="28"/>
      <c r="BJ1042" s="28"/>
      <c r="BM1042" s="28"/>
      <c r="BP1042" s="28"/>
      <c r="BS1042" s="28"/>
      <c r="BV1042" s="28"/>
      <c r="BY1042" s="28"/>
      <c r="CB1042" s="28"/>
      <c r="CE1042" s="28"/>
      <c r="CH1042" s="28"/>
      <c r="CK1042" s="28"/>
      <c r="CN1042" s="28"/>
      <c r="CQ1042" s="28"/>
      <c r="CT1042" s="28"/>
      <c r="CW1042" s="28"/>
      <c r="CZ1042" s="28"/>
      <c r="DC1042" s="28"/>
      <c r="DF1042" s="28"/>
      <c r="DI1042" s="28"/>
      <c r="DL1042" s="28"/>
      <c r="DO1042" s="28"/>
      <c r="DR1042" s="28"/>
      <c r="DU1042" s="28"/>
      <c r="DX1042" s="28"/>
      <c r="EA1042" s="28"/>
      <c r="ED1042" s="28"/>
      <c r="EG1042" s="28"/>
      <c r="EJ1042" s="28"/>
      <c r="EM1042" s="28"/>
      <c r="EP1042" s="28"/>
      <c r="ES1042" s="28"/>
      <c r="EV1042" s="28"/>
      <c r="EY1042" s="28"/>
      <c r="FB1042" s="28"/>
      <c r="FE1042" s="28"/>
      <c r="FH1042" s="28"/>
      <c r="FK1042" s="28"/>
      <c r="FN1042" s="28"/>
      <c r="FQ1042" s="28"/>
      <c r="FT1042" s="28"/>
      <c r="FW1042" s="28"/>
      <c r="FZ1042" s="28"/>
      <c r="GC1042" s="28"/>
    </row>
    <row r="1043" spans="1:185" s="25" customFormat="1" x14ac:dyDescent="0.3">
      <c r="A1043" s="27"/>
      <c r="B1043" s="28"/>
      <c r="C1043" s="27"/>
      <c r="D1043" s="26"/>
      <c r="E1043" s="28"/>
      <c r="H1043" s="28"/>
      <c r="K1043" s="28"/>
      <c r="N1043" s="28"/>
      <c r="Q1043" s="28"/>
      <c r="T1043" s="28"/>
      <c r="W1043" s="28"/>
      <c r="Z1043" s="28"/>
      <c r="AC1043" s="28"/>
      <c r="AF1043" s="28"/>
      <c r="AI1043" s="28"/>
      <c r="AL1043" s="28"/>
      <c r="AO1043" s="28"/>
      <c r="AR1043" s="28"/>
      <c r="AU1043" s="28"/>
      <c r="AX1043" s="28"/>
      <c r="BA1043" s="28"/>
      <c r="BD1043" s="28"/>
      <c r="BG1043" s="28"/>
      <c r="BJ1043" s="28"/>
      <c r="BM1043" s="28"/>
      <c r="BP1043" s="28"/>
      <c r="BS1043" s="28"/>
      <c r="BV1043" s="28"/>
      <c r="BY1043" s="28"/>
      <c r="CB1043" s="28"/>
      <c r="CE1043" s="28"/>
      <c r="CH1043" s="28"/>
      <c r="CK1043" s="28"/>
      <c r="CN1043" s="28"/>
      <c r="CQ1043" s="28"/>
      <c r="CT1043" s="28"/>
      <c r="CW1043" s="28"/>
      <c r="CZ1043" s="28"/>
      <c r="DC1043" s="28"/>
      <c r="DF1043" s="28"/>
      <c r="DI1043" s="28"/>
      <c r="DL1043" s="28"/>
      <c r="DO1043" s="28"/>
      <c r="DR1043" s="28"/>
      <c r="DU1043" s="28"/>
      <c r="DX1043" s="28"/>
      <c r="EA1043" s="28"/>
      <c r="ED1043" s="28"/>
      <c r="EG1043" s="28"/>
      <c r="EJ1043" s="28"/>
      <c r="EM1043" s="28"/>
      <c r="EP1043" s="28"/>
      <c r="ES1043" s="28"/>
      <c r="EV1043" s="28"/>
      <c r="EY1043" s="28"/>
      <c r="FB1043" s="28"/>
      <c r="FE1043" s="28"/>
      <c r="FH1043" s="28"/>
      <c r="FK1043" s="28"/>
      <c r="FN1043" s="28"/>
      <c r="FQ1043" s="28"/>
      <c r="FT1043" s="28"/>
      <c r="FW1043" s="28"/>
      <c r="FZ1043" s="28"/>
      <c r="GC1043" s="28"/>
    </row>
    <row r="1044" spans="1:185" s="25" customFormat="1" x14ac:dyDescent="0.3">
      <c r="A1044" s="27"/>
      <c r="B1044" s="28"/>
      <c r="C1044" s="27"/>
      <c r="D1044" s="26"/>
      <c r="E1044" s="28"/>
      <c r="H1044" s="28"/>
      <c r="K1044" s="28"/>
      <c r="N1044" s="28"/>
      <c r="Q1044" s="28"/>
      <c r="T1044" s="28"/>
      <c r="W1044" s="28"/>
      <c r="Z1044" s="28"/>
      <c r="AC1044" s="28"/>
      <c r="AF1044" s="28"/>
      <c r="AI1044" s="28"/>
      <c r="AL1044" s="28"/>
      <c r="AO1044" s="28"/>
      <c r="AR1044" s="28"/>
      <c r="AU1044" s="28"/>
      <c r="AX1044" s="28"/>
      <c r="BA1044" s="28"/>
      <c r="BD1044" s="28"/>
      <c r="BG1044" s="28"/>
      <c r="BJ1044" s="28"/>
      <c r="BM1044" s="28"/>
      <c r="BP1044" s="28"/>
      <c r="BS1044" s="28"/>
      <c r="BV1044" s="28"/>
      <c r="BY1044" s="28"/>
      <c r="CB1044" s="28"/>
      <c r="CE1044" s="28"/>
      <c r="CH1044" s="28"/>
      <c r="CK1044" s="28"/>
      <c r="CN1044" s="28"/>
      <c r="CQ1044" s="28"/>
      <c r="CT1044" s="28"/>
      <c r="CW1044" s="28"/>
      <c r="CZ1044" s="28"/>
      <c r="DC1044" s="28"/>
      <c r="DF1044" s="28"/>
      <c r="DI1044" s="28"/>
      <c r="DL1044" s="28"/>
      <c r="DO1044" s="28"/>
      <c r="DR1044" s="28"/>
      <c r="DU1044" s="28"/>
      <c r="DX1044" s="28"/>
      <c r="EA1044" s="28"/>
      <c r="ED1044" s="28"/>
      <c r="EG1044" s="28"/>
      <c r="EJ1044" s="28"/>
      <c r="EM1044" s="28"/>
      <c r="EP1044" s="28"/>
      <c r="ES1044" s="28"/>
      <c r="EV1044" s="28"/>
      <c r="EY1044" s="28"/>
      <c r="FB1044" s="28"/>
      <c r="FE1044" s="28"/>
      <c r="FH1044" s="28"/>
      <c r="FK1044" s="28"/>
      <c r="FN1044" s="28"/>
      <c r="FQ1044" s="28"/>
      <c r="FT1044" s="28"/>
      <c r="FW1044" s="28"/>
      <c r="FZ1044" s="28"/>
      <c r="GC1044" s="28"/>
    </row>
    <row r="1045" spans="1:185" s="25" customFormat="1" x14ac:dyDescent="0.3">
      <c r="A1045" s="27"/>
      <c r="B1045" s="28"/>
      <c r="C1045" s="27"/>
      <c r="D1045" s="26"/>
      <c r="E1045" s="28"/>
      <c r="H1045" s="28"/>
      <c r="K1045" s="28"/>
      <c r="N1045" s="28"/>
      <c r="Q1045" s="28"/>
      <c r="T1045" s="28"/>
      <c r="W1045" s="28"/>
      <c r="Z1045" s="28"/>
      <c r="AC1045" s="28"/>
      <c r="AF1045" s="28"/>
      <c r="AI1045" s="28"/>
      <c r="AL1045" s="28"/>
      <c r="AO1045" s="28"/>
      <c r="AR1045" s="28"/>
      <c r="AU1045" s="28"/>
      <c r="AX1045" s="28"/>
      <c r="BA1045" s="28"/>
      <c r="BD1045" s="28"/>
      <c r="BG1045" s="28"/>
      <c r="BJ1045" s="28"/>
      <c r="BM1045" s="28"/>
      <c r="BP1045" s="28"/>
      <c r="BS1045" s="28"/>
      <c r="BV1045" s="28"/>
      <c r="BY1045" s="28"/>
      <c r="CB1045" s="28"/>
      <c r="CE1045" s="28"/>
      <c r="CH1045" s="28"/>
      <c r="CK1045" s="28"/>
      <c r="CN1045" s="28"/>
      <c r="CQ1045" s="28"/>
      <c r="CT1045" s="28"/>
      <c r="CW1045" s="28"/>
      <c r="CZ1045" s="28"/>
      <c r="DC1045" s="28"/>
      <c r="DF1045" s="28"/>
      <c r="DI1045" s="28"/>
      <c r="DL1045" s="28"/>
      <c r="DO1045" s="28"/>
      <c r="DR1045" s="28"/>
      <c r="DU1045" s="28"/>
      <c r="DX1045" s="28"/>
      <c r="EA1045" s="28"/>
      <c r="ED1045" s="28"/>
      <c r="EG1045" s="28"/>
      <c r="EJ1045" s="28"/>
      <c r="EM1045" s="28"/>
      <c r="EP1045" s="28"/>
      <c r="ES1045" s="28"/>
      <c r="EV1045" s="28"/>
      <c r="EY1045" s="28"/>
      <c r="FB1045" s="28"/>
      <c r="FE1045" s="28"/>
      <c r="FH1045" s="28"/>
      <c r="FK1045" s="28"/>
      <c r="FN1045" s="28"/>
      <c r="FQ1045" s="28"/>
      <c r="FT1045" s="28"/>
      <c r="FW1045" s="28"/>
      <c r="FZ1045" s="28"/>
      <c r="GC1045" s="28"/>
    </row>
    <row r="1046" spans="1:185" s="25" customFormat="1" x14ac:dyDescent="0.3">
      <c r="A1046" s="27"/>
      <c r="B1046" s="28"/>
      <c r="C1046" s="27"/>
      <c r="D1046" s="26"/>
      <c r="E1046" s="28"/>
      <c r="H1046" s="28"/>
      <c r="K1046" s="28"/>
      <c r="N1046" s="28"/>
      <c r="Q1046" s="28"/>
      <c r="T1046" s="28"/>
      <c r="W1046" s="28"/>
      <c r="Z1046" s="28"/>
      <c r="AC1046" s="28"/>
      <c r="AF1046" s="28"/>
      <c r="AI1046" s="28"/>
      <c r="AL1046" s="28"/>
      <c r="AO1046" s="28"/>
      <c r="AR1046" s="28"/>
      <c r="AU1046" s="28"/>
      <c r="AX1046" s="28"/>
      <c r="BA1046" s="28"/>
      <c r="BD1046" s="28"/>
      <c r="BG1046" s="28"/>
      <c r="BJ1046" s="28"/>
      <c r="BM1046" s="28"/>
      <c r="BP1046" s="28"/>
      <c r="BS1046" s="28"/>
      <c r="BV1046" s="28"/>
      <c r="BY1046" s="28"/>
      <c r="CB1046" s="28"/>
      <c r="CE1046" s="28"/>
      <c r="CH1046" s="28"/>
      <c r="CK1046" s="28"/>
      <c r="CN1046" s="28"/>
      <c r="CQ1046" s="28"/>
      <c r="CT1046" s="28"/>
      <c r="CW1046" s="28"/>
      <c r="CZ1046" s="28"/>
      <c r="DC1046" s="28"/>
      <c r="DF1046" s="28"/>
      <c r="DI1046" s="28"/>
      <c r="DL1046" s="28"/>
      <c r="DO1046" s="28"/>
      <c r="DR1046" s="28"/>
      <c r="DU1046" s="28"/>
      <c r="DX1046" s="28"/>
      <c r="EA1046" s="28"/>
      <c r="ED1046" s="28"/>
      <c r="EG1046" s="28"/>
      <c r="EJ1046" s="28"/>
      <c r="EM1046" s="28"/>
      <c r="EP1046" s="28"/>
      <c r="ES1046" s="28"/>
      <c r="EV1046" s="28"/>
      <c r="EY1046" s="28"/>
      <c r="FB1046" s="28"/>
      <c r="FE1046" s="28"/>
      <c r="FH1046" s="28"/>
      <c r="FK1046" s="28"/>
      <c r="FN1046" s="28"/>
      <c r="FQ1046" s="28"/>
      <c r="FT1046" s="28"/>
      <c r="FW1046" s="28"/>
      <c r="FZ1046" s="28"/>
      <c r="GC1046" s="28"/>
    </row>
    <row r="1047" spans="1:185" s="25" customFormat="1" x14ac:dyDescent="0.3">
      <c r="A1047" s="27"/>
      <c r="B1047" s="28"/>
      <c r="C1047" s="27"/>
      <c r="D1047" s="26"/>
      <c r="E1047" s="28"/>
      <c r="H1047" s="28"/>
      <c r="K1047" s="28"/>
      <c r="N1047" s="28"/>
      <c r="Q1047" s="28"/>
      <c r="T1047" s="28"/>
      <c r="W1047" s="28"/>
      <c r="Z1047" s="28"/>
      <c r="AC1047" s="28"/>
      <c r="AF1047" s="28"/>
      <c r="AI1047" s="28"/>
      <c r="AL1047" s="28"/>
      <c r="AO1047" s="28"/>
      <c r="AR1047" s="28"/>
      <c r="AU1047" s="28"/>
      <c r="AX1047" s="28"/>
      <c r="BA1047" s="28"/>
      <c r="BD1047" s="28"/>
      <c r="BG1047" s="28"/>
      <c r="BJ1047" s="28"/>
      <c r="BM1047" s="28"/>
      <c r="BP1047" s="28"/>
      <c r="BS1047" s="28"/>
      <c r="BV1047" s="28"/>
      <c r="BY1047" s="28"/>
      <c r="CB1047" s="28"/>
      <c r="CE1047" s="28"/>
      <c r="CH1047" s="28"/>
      <c r="CK1047" s="28"/>
      <c r="CN1047" s="28"/>
      <c r="CQ1047" s="28"/>
      <c r="CT1047" s="28"/>
      <c r="CW1047" s="28"/>
      <c r="CZ1047" s="28"/>
      <c r="DC1047" s="28"/>
      <c r="DF1047" s="28"/>
      <c r="DI1047" s="28"/>
      <c r="DL1047" s="28"/>
      <c r="DO1047" s="28"/>
      <c r="DR1047" s="28"/>
      <c r="DU1047" s="28"/>
      <c r="DX1047" s="28"/>
      <c r="EA1047" s="28"/>
      <c r="ED1047" s="28"/>
      <c r="EG1047" s="28"/>
      <c r="EJ1047" s="28"/>
      <c r="EM1047" s="28"/>
      <c r="EP1047" s="28"/>
      <c r="ES1047" s="28"/>
      <c r="EV1047" s="28"/>
      <c r="EY1047" s="28"/>
      <c r="FB1047" s="28"/>
      <c r="FE1047" s="28"/>
      <c r="FH1047" s="28"/>
      <c r="FK1047" s="28"/>
      <c r="FN1047" s="28"/>
      <c r="FQ1047" s="28"/>
      <c r="FT1047" s="28"/>
      <c r="FW1047" s="28"/>
      <c r="FZ1047" s="28"/>
      <c r="GC1047" s="28"/>
    </row>
    <row r="1048" spans="1:185" s="25" customFormat="1" x14ac:dyDescent="0.3">
      <c r="A1048" s="27"/>
      <c r="B1048" s="28"/>
      <c r="C1048" s="27"/>
      <c r="D1048" s="26"/>
      <c r="E1048" s="28"/>
      <c r="H1048" s="28"/>
      <c r="K1048" s="28"/>
      <c r="N1048" s="28"/>
      <c r="Q1048" s="28"/>
      <c r="T1048" s="28"/>
      <c r="W1048" s="28"/>
      <c r="Z1048" s="28"/>
      <c r="AC1048" s="28"/>
      <c r="AF1048" s="28"/>
      <c r="AI1048" s="28"/>
      <c r="AL1048" s="28"/>
      <c r="AO1048" s="28"/>
      <c r="AR1048" s="28"/>
      <c r="AU1048" s="28"/>
      <c r="AX1048" s="28"/>
      <c r="BA1048" s="28"/>
      <c r="BD1048" s="28"/>
      <c r="BG1048" s="28"/>
      <c r="BJ1048" s="28"/>
      <c r="BM1048" s="28"/>
      <c r="BP1048" s="28"/>
      <c r="BS1048" s="28"/>
      <c r="BV1048" s="28"/>
      <c r="BY1048" s="28"/>
      <c r="CB1048" s="28"/>
      <c r="CE1048" s="28"/>
      <c r="CH1048" s="28"/>
      <c r="CK1048" s="28"/>
      <c r="CN1048" s="28"/>
      <c r="CQ1048" s="28"/>
      <c r="CT1048" s="28"/>
      <c r="CW1048" s="28"/>
      <c r="CZ1048" s="28"/>
      <c r="DC1048" s="28"/>
      <c r="DF1048" s="28"/>
      <c r="DI1048" s="28"/>
      <c r="DL1048" s="28"/>
      <c r="DO1048" s="28"/>
      <c r="DR1048" s="28"/>
      <c r="DU1048" s="28"/>
      <c r="DX1048" s="28"/>
      <c r="EA1048" s="28"/>
      <c r="ED1048" s="28"/>
      <c r="EG1048" s="28"/>
      <c r="EJ1048" s="28"/>
      <c r="EM1048" s="28"/>
      <c r="EP1048" s="28"/>
      <c r="ES1048" s="28"/>
      <c r="EV1048" s="28"/>
      <c r="EY1048" s="28"/>
      <c r="FB1048" s="28"/>
      <c r="FE1048" s="28"/>
      <c r="FH1048" s="28"/>
      <c r="FK1048" s="28"/>
      <c r="FN1048" s="28"/>
      <c r="FQ1048" s="28"/>
      <c r="FT1048" s="28"/>
      <c r="FW1048" s="28"/>
      <c r="FZ1048" s="28"/>
      <c r="GC1048" s="28"/>
    </row>
    <row r="1049" spans="1:185" s="25" customFormat="1" x14ac:dyDescent="0.3">
      <c r="A1049" s="27"/>
      <c r="B1049" s="28"/>
      <c r="C1049" s="27"/>
      <c r="D1049" s="26"/>
      <c r="E1049" s="28"/>
      <c r="H1049" s="28"/>
      <c r="K1049" s="28"/>
      <c r="N1049" s="28"/>
      <c r="Q1049" s="28"/>
      <c r="T1049" s="28"/>
      <c r="W1049" s="28"/>
      <c r="Z1049" s="28"/>
      <c r="AC1049" s="28"/>
      <c r="AF1049" s="28"/>
      <c r="AI1049" s="28"/>
      <c r="AL1049" s="28"/>
      <c r="AO1049" s="28"/>
      <c r="AR1049" s="28"/>
      <c r="AU1049" s="28"/>
      <c r="AX1049" s="28"/>
      <c r="BA1049" s="28"/>
      <c r="BD1049" s="28"/>
      <c r="BG1049" s="28"/>
      <c r="BJ1049" s="28"/>
      <c r="BM1049" s="28"/>
      <c r="BP1049" s="28"/>
      <c r="BS1049" s="28"/>
      <c r="BV1049" s="28"/>
      <c r="BY1049" s="28"/>
      <c r="CB1049" s="28"/>
      <c r="CE1049" s="28"/>
      <c r="CH1049" s="28"/>
      <c r="CK1049" s="28"/>
      <c r="CN1049" s="28"/>
      <c r="CQ1049" s="28"/>
      <c r="CT1049" s="28"/>
      <c r="CW1049" s="28"/>
      <c r="CZ1049" s="28"/>
      <c r="DC1049" s="28"/>
      <c r="DF1049" s="28"/>
      <c r="DI1049" s="28"/>
      <c r="DL1049" s="28"/>
      <c r="DO1049" s="28"/>
      <c r="DR1049" s="28"/>
      <c r="DU1049" s="28"/>
      <c r="DX1049" s="28"/>
      <c r="EA1049" s="28"/>
      <c r="ED1049" s="28"/>
      <c r="EG1049" s="28"/>
      <c r="EJ1049" s="28"/>
      <c r="EM1049" s="28"/>
      <c r="EP1049" s="28"/>
      <c r="ES1049" s="28"/>
      <c r="EV1049" s="28"/>
      <c r="EY1049" s="28"/>
      <c r="FB1049" s="28"/>
      <c r="FE1049" s="28"/>
      <c r="FH1049" s="28"/>
      <c r="FK1049" s="28"/>
      <c r="FN1049" s="28"/>
      <c r="FQ1049" s="28"/>
      <c r="FT1049" s="28"/>
      <c r="FW1049" s="28"/>
      <c r="FZ1049" s="28"/>
      <c r="GC1049" s="28"/>
    </row>
    <row r="1050" spans="1:185" s="25" customFormat="1" x14ac:dyDescent="0.3">
      <c r="A1050" s="27"/>
      <c r="B1050" s="28"/>
      <c r="C1050" s="27"/>
      <c r="D1050" s="26"/>
      <c r="E1050" s="28"/>
      <c r="H1050" s="28"/>
      <c r="K1050" s="28"/>
      <c r="N1050" s="28"/>
      <c r="Q1050" s="28"/>
      <c r="T1050" s="28"/>
      <c r="W1050" s="28"/>
      <c r="Z1050" s="28"/>
      <c r="AC1050" s="28"/>
      <c r="AF1050" s="28"/>
      <c r="AI1050" s="28"/>
      <c r="AL1050" s="28"/>
      <c r="AO1050" s="28"/>
      <c r="AR1050" s="28"/>
      <c r="AU1050" s="28"/>
      <c r="AX1050" s="28"/>
      <c r="BA1050" s="28"/>
      <c r="BD1050" s="28"/>
      <c r="BG1050" s="28"/>
      <c r="BJ1050" s="28"/>
      <c r="BM1050" s="28"/>
      <c r="BP1050" s="28"/>
      <c r="BS1050" s="28"/>
      <c r="BV1050" s="28"/>
      <c r="BY1050" s="28"/>
      <c r="CB1050" s="28"/>
      <c r="CE1050" s="28"/>
      <c r="CH1050" s="28"/>
      <c r="CK1050" s="28"/>
      <c r="CN1050" s="28"/>
      <c r="CQ1050" s="28"/>
      <c r="CT1050" s="28"/>
      <c r="CW1050" s="28"/>
      <c r="CZ1050" s="28"/>
      <c r="DC1050" s="28"/>
      <c r="DF1050" s="28"/>
      <c r="DI1050" s="28"/>
      <c r="DL1050" s="28"/>
      <c r="DO1050" s="28"/>
      <c r="DR1050" s="28"/>
      <c r="DU1050" s="28"/>
      <c r="DX1050" s="28"/>
      <c r="EA1050" s="28"/>
      <c r="ED1050" s="28"/>
      <c r="EG1050" s="28"/>
      <c r="EJ1050" s="28"/>
      <c r="EM1050" s="28"/>
      <c r="EP1050" s="28"/>
      <c r="ES1050" s="28"/>
      <c r="EV1050" s="28"/>
      <c r="EY1050" s="28"/>
      <c r="FB1050" s="28"/>
      <c r="FE1050" s="28"/>
      <c r="FH1050" s="28"/>
      <c r="FK1050" s="28"/>
      <c r="FN1050" s="28"/>
      <c r="FQ1050" s="28"/>
      <c r="FT1050" s="28"/>
      <c r="FW1050" s="28"/>
      <c r="FZ1050" s="28"/>
      <c r="GC1050" s="28"/>
    </row>
    <row r="1051" spans="1:185" s="25" customFormat="1" x14ac:dyDescent="0.3">
      <c r="A1051" s="27"/>
      <c r="B1051" s="28"/>
      <c r="C1051" s="27"/>
      <c r="D1051" s="26"/>
      <c r="E1051" s="28"/>
      <c r="H1051" s="28"/>
      <c r="K1051" s="28"/>
      <c r="N1051" s="28"/>
      <c r="Q1051" s="28"/>
      <c r="T1051" s="28"/>
      <c r="W1051" s="28"/>
      <c r="Z1051" s="28"/>
      <c r="AC1051" s="28"/>
      <c r="AF1051" s="28"/>
      <c r="AI1051" s="28"/>
      <c r="AL1051" s="28"/>
      <c r="AO1051" s="28"/>
      <c r="AR1051" s="28"/>
      <c r="AU1051" s="28"/>
      <c r="AX1051" s="28"/>
      <c r="BA1051" s="28"/>
      <c r="BD1051" s="28"/>
      <c r="BG1051" s="28"/>
      <c r="BJ1051" s="28"/>
      <c r="BM1051" s="28"/>
      <c r="BP1051" s="28"/>
      <c r="BS1051" s="28"/>
      <c r="BV1051" s="28"/>
      <c r="BY1051" s="28"/>
      <c r="CB1051" s="28"/>
      <c r="CE1051" s="28"/>
      <c r="CH1051" s="28"/>
      <c r="CK1051" s="28"/>
      <c r="CN1051" s="28"/>
      <c r="CQ1051" s="28"/>
      <c r="CT1051" s="28"/>
      <c r="CW1051" s="28"/>
      <c r="CZ1051" s="28"/>
      <c r="DC1051" s="28"/>
      <c r="DF1051" s="28"/>
      <c r="DI1051" s="28"/>
      <c r="DL1051" s="28"/>
      <c r="DO1051" s="28"/>
      <c r="DR1051" s="28"/>
      <c r="DU1051" s="28"/>
      <c r="DX1051" s="28"/>
      <c r="EA1051" s="28"/>
      <c r="ED1051" s="28"/>
      <c r="EG1051" s="28"/>
      <c r="EJ1051" s="28"/>
      <c r="EM1051" s="28"/>
      <c r="EP1051" s="28"/>
      <c r="ES1051" s="28"/>
      <c r="EV1051" s="28"/>
      <c r="EY1051" s="28"/>
      <c r="FB1051" s="28"/>
      <c r="FE1051" s="28"/>
      <c r="FH1051" s="28"/>
      <c r="FK1051" s="28"/>
      <c r="FN1051" s="28"/>
      <c r="FQ1051" s="28"/>
      <c r="FT1051" s="28"/>
      <c r="FW1051" s="28"/>
      <c r="FZ1051" s="28"/>
      <c r="GC1051" s="28"/>
    </row>
    <row r="1052" spans="1:185" s="25" customFormat="1" x14ac:dyDescent="0.3">
      <c r="A1052" s="27"/>
      <c r="B1052" s="28"/>
      <c r="C1052" s="27"/>
      <c r="D1052" s="26"/>
      <c r="E1052" s="28"/>
      <c r="H1052" s="28"/>
      <c r="K1052" s="28"/>
      <c r="N1052" s="28"/>
      <c r="Q1052" s="28"/>
      <c r="T1052" s="28"/>
      <c r="W1052" s="28"/>
      <c r="Z1052" s="28"/>
      <c r="AC1052" s="28"/>
      <c r="AF1052" s="28"/>
      <c r="AI1052" s="28"/>
      <c r="AL1052" s="28"/>
      <c r="AO1052" s="28"/>
      <c r="AR1052" s="28"/>
      <c r="AU1052" s="28"/>
      <c r="AX1052" s="28"/>
      <c r="BA1052" s="28"/>
      <c r="BD1052" s="28"/>
      <c r="BG1052" s="28"/>
      <c r="BJ1052" s="28"/>
      <c r="BM1052" s="28"/>
      <c r="BP1052" s="28"/>
      <c r="BS1052" s="28"/>
      <c r="BV1052" s="28"/>
      <c r="BY1052" s="28"/>
      <c r="CB1052" s="28"/>
      <c r="CE1052" s="28"/>
      <c r="CH1052" s="28"/>
      <c r="CK1052" s="28"/>
      <c r="CN1052" s="28"/>
      <c r="CQ1052" s="28"/>
      <c r="CT1052" s="28"/>
      <c r="CW1052" s="28"/>
      <c r="CZ1052" s="28"/>
      <c r="DC1052" s="28"/>
      <c r="DF1052" s="28"/>
      <c r="DI1052" s="28"/>
      <c r="DL1052" s="28"/>
      <c r="DO1052" s="28"/>
      <c r="DR1052" s="28"/>
      <c r="DU1052" s="28"/>
      <c r="DX1052" s="28"/>
      <c r="EA1052" s="28"/>
      <c r="ED1052" s="28"/>
      <c r="EG1052" s="28"/>
      <c r="EJ1052" s="28"/>
      <c r="EM1052" s="28"/>
      <c r="EP1052" s="28"/>
      <c r="ES1052" s="28"/>
      <c r="EV1052" s="28"/>
      <c r="EY1052" s="28"/>
      <c r="FB1052" s="28"/>
      <c r="FE1052" s="28"/>
      <c r="FH1052" s="28"/>
      <c r="FK1052" s="28"/>
      <c r="FN1052" s="28"/>
      <c r="FQ1052" s="28"/>
      <c r="FT1052" s="28"/>
      <c r="FW1052" s="28"/>
      <c r="FZ1052" s="28"/>
      <c r="GC1052" s="28"/>
    </row>
    <row r="1053" spans="1:185" s="25" customFormat="1" x14ac:dyDescent="0.3">
      <c r="A1053" s="27"/>
      <c r="B1053" s="28"/>
      <c r="C1053" s="27"/>
      <c r="D1053" s="26"/>
      <c r="E1053" s="28"/>
      <c r="H1053" s="28"/>
      <c r="K1053" s="28"/>
      <c r="N1053" s="28"/>
      <c r="Q1053" s="28"/>
      <c r="T1053" s="28"/>
      <c r="W1053" s="28"/>
      <c r="Z1053" s="28"/>
      <c r="AC1053" s="28"/>
      <c r="AF1053" s="28"/>
      <c r="AI1053" s="28"/>
      <c r="AL1053" s="28"/>
      <c r="AO1053" s="28"/>
      <c r="AR1053" s="28"/>
      <c r="AU1053" s="28"/>
      <c r="AX1053" s="28"/>
      <c r="BA1053" s="28"/>
      <c r="BD1053" s="28"/>
      <c r="BG1053" s="28"/>
      <c r="BJ1053" s="28"/>
      <c r="BM1053" s="28"/>
      <c r="BP1053" s="28"/>
      <c r="BS1053" s="28"/>
      <c r="BV1053" s="28"/>
      <c r="BY1053" s="28"/>
      <c r="CB1053" s="28"/>
      <c r="CE1053" s="28"/>
      <c r="CH1053" s="28"/>
      <c r="CK1053" s="28"/>
      <c r="CN1053" s="28"/>
      <c r="CQ1053" s="28"/>
      <c r="CT1053" s="28"/>
      <c r="CW1053" s="28"/>
      <c r="CZ1053" s="28"/>
      <c r="DC1053" s="28"/>
      <c r="DF1053" s="28"/>
      <c r="DI1053" s="28"/>
      <c r="DL1053" s="28"/>
      <c r="DO1053" s="28"/>
      <c r="DR1053" s="28"/>
      <c r="DU1053" s="28"/>
      <c r="DX1053" s="28"/>
      <c r="EA1053" s="28"/>
      <c r="ED1053" s="28"/>
      <c r="EG1053" s="28"/>
      <c r="EJ1053" s="28"/>
      <c r="EM1053" s="28"/>
      <c r="EP1053" s="28"/>
      <c r="ES1053" s="28"/>
      <c r="EV1053" s="28"/>
      <c r="EY1053" s="28"/>
      <c r="FB1053" s="28"/>
      <c r="FE1053" s="28"/>
      <c r="FH1053" s="28"/>
      <c r="FK1053" s="28"/>
      <c r="FN1053" s="28"/>
      <c r="FQ1053" s="28"/>
      <c r="FT1053" s="28"/>
      <c r="FW1053" s="28"/>
      <c r="FZ1053" s="28"/>
      <c r="GC1053" s="28"/>
    </row>
    <row r="1054" spans="1:185" s="25" customFormat="1" x14ac:dyDescent="0.3">
      <c r="A1054" s="27"/>
      <c r="B1054" s="28"/>
      <c r="C1054" s="27"/>
      <c r="D1054" s="26"/>
      <c r="E1054" s="28"/>
      <c r="H1054" s="28"/>
      <c r="K1054" s="28"/>
      <c r="N1054" s="28"/>
      <c r="Q1054" s="28"/>
      <c r="T1054" s="28"/>
      <c r="W1054" s="28"/>
      <c r="Z1054" s="28"/>
      <c r="AC1054" s="28"/>
      <c r="AF1054" s="28"/>
      <c r="AI1054" s="28"/>
      <c r="AL1054" s="28"/>
      <c r="AO1054" s="28"/>
      <c r="AR1054" s="28"/>
      <c r="AU1054" s="28"/>
      <c r="AX1054" s="28"/>
      <c r="BA1054" s="28"/>
      <c r="BD1054" s="28"/>
      <c r="BG1054" s="28"/>
      <c r="BJ1054" s="28"/>
      <c r="BM1054" s="28"/>
      <c r="BP1054" s="28"/>
      <c r="BS1054" s="28"/>
      <c r="BV1054" s="28"/>
      <c r="BY1054" s="28"/>
      <c r="CB1054" s="28"/>
      <c r="CE1054" s="28"/>
      <c r="CH1054" s="28"/>
      <c r="CK1054" s="28"/>
      <c r="CN1054" s="28"/>
      <c r="CQ1054" s="28"/>
      <c r="CT1054" s="28"/>
      <c r="CW1054" s="28"/>
      <c r="CZ1054" s="28"/>
      <c r="DC1054" s="28"/>
      <c r="DF1054" s="28"/>
      <c r="DI1054" s="28"/>
      <c r="DL1054" s="28"/>
      <c r="DO1054" s="28"/>
      <c r="DR1054" s="28"/>
      <c r="DU1054" s="28"/>
      <c r="DX1054" s="28"/>
      <c r="EA1054" s="28"/>
      <c r="ED1054" s="28"/>
      <c r="EG1054" s="28"/>
      <c r="EJ1054" s="28"/>
      <c r="EM1054" s="28"/>
      <c r="EP1054" s="28"/>
      <c r="ES1054" s="28"/>
      <c r="EV1054" s="28"/>
      <c r="EY1054" s="28"/>
      <c r="FB1054" s="28"/>
      <c r="FE1054" s="28"/>
      <c r="FH1054" s="28"/>
      <c r="FK1054" s="28"/>
      <c r="FN1054" s="28"/>
      <c r="FQ1054" s="28"/>
      <c r="FT1054" s="28"/>
      <c r="FW1054" s="28"/>
      <c r="FZ1054" s="28"/>
      <c r="GC1054" s="28"/>
    </row>
    <row r="1055" spans="1:185" s="25" customFormat="1" x14ac:dyDescent="0.3">
      <c r="A1055" s="27"/>
      <c r="B1055" s="28"/>
      <c r="C1055" s="27"/>
      <c r="D1055" s="26"/>
      <c r="E1055" s="28"/>
      <c r="H1055" s="28"/>
      <c r="K1055" s="28"/>
      <c r="N1055" s="28"/>
      <c r="Q1055" s="28"/>
      <c r="T1055" s="28"/>
      <c r="W1055" s="28"/>
      <c r="Z1055" s="28"/>
      <c r="AC1055" s="28"/>
      <c r="AF1055" s="28"/>
      <c r="AI1055" s="28"/>
      <c r="AL1055" s="28"/>
      <c r="AO1055" s="28"/>
      <c r="AR1055" s="28"/>
      <c r="AU1055" s="28"/>
      <c r="AX1055" s="28"/>
      <c r="BA1055" s="28"/>
      <c r="BD1055" s="28"/>
      <c r="BG1055" s="28"/>
      <c r="BJ1055" s="28"/>
      <c r="BM1055" s="28"/>
      <c r="BP1055" s="28"/>
      <c r="BS1055" s="28"/>
      <c r="BV1055" s="28"/>
      <c r="BY1055" s="28"/>
      <c r="CB1055" s="28"/>
      <c r="CE1055" s="28"/>
      <c r="CH1055" s="28"/>
      <c r="CK1055" s="28"/>
      <c r="CN1055" s="28"/>
      <c r="CQ1055" s="28"/>
      <c r="CT1055" s="28"/>
      <c r="CW1055" s="28"/>
      <c r="CZ1055" s="28"/>
      <c r="DC1055" s="28"/>
      <c r="DF1055" s="28"/>
      <c r="DI1055" s="28"/>
      <c r="DL1055" s="28"/>
      <c r="DO1055" s="28"/>
      <c r="DR1055" s="28"/>
      <c r="DU1055" s="28"/>
      <c r="DX1055" s="28"/>
      <c r="EA1055" s="28"/>
      <c r="ED1055" s="28"/>
      <c r="EG1055" s="28"/>
      <c r="EJ1055" s="28"/>
      <c r="EM1055" s="28"/>
      <c r="EP1055" s="28"/>
      <c r="ES1055" s="28"/>
      <c r="EV1055" s="28"/>
      <c r="EY1055" s="28"/>
      <c r="FB1055" s="28"/>
      <c r="FE1055" s="28"/>
      <c r="FH1055" s="28"/>
      <c r="FK1055" s="28"/>
      <c r="FN1055" s="28"/>
      <c r="FQ1055" s="28"/>
      <c r="FT1055" s="28"/>
      <c r="FW1055" s="28"/>
      <c r="FZ1055" s="28"/>
      <c r="GC1055" s="28"/>
    </row>
    <row r="1056" spans="1:185" s="25" customFormat="1" x14ac:dyDescent="0.3">
      <c r="A1056" s="27"/>
      <c r="B1056" s="28"/>
      <c r="C1056" s="27"/>
      <c r="D1056" s="26"/>
      <c r="E1056" s="28"/>
      <c r="H1056" s="28"/>
      <c r="K1056" s="28"/>
      <c r="N1056" s="28"/>
      <c r="Q1056" s="28"/>
      <c r="T1056" s="28"/>
      <c r="W1056" s="28"/>
      <c r="Z1056" s="28"/>
      <c r="AC1056" s="28"/>
      <c r="AF1056" s="28"/>
      <c r="AI1056" s="28"/>
      <c r="AL1056" s="28"/>
      <c r="AO1056" s="28"/>
      <c r="AR1056" s="28"/>
      <c r="AU1056" s="28"/>
      <c r="AX1056" s="28"/>
      <c r="BA1056" s="28"/>
      <c r="BD1056" s="28"/>
      <c r="BG1056" s="28"/>
      <c r="BJ1056" s="28"/>
      <c r="BM1056" s="28"/>
      <c r="BP1056" s="28"/>
      <c r="BS1056" s="28"/>
      <c r="BV1056" s="28"/>
      <c r="BY1056" s="28"/>
      <c r="CB1056" s="28"/>
      <c r="CE1056" s="28"/>
      <c r="CH1056" s="28"/>
      <c r="CK1056" s="28"/>
      <c r="CN1056" s="28"/>
      <c r="CQ1056" s="28"/>
      <c r="CT1056" s="28"/>
      <c r="CW1056" s="28"/>
      <c r="CZ1056" s="28"/>
      <c r="DC1056" s="28"/>
      <c r="DF1056" s="28"/>
      <c r="DI1056" s="28"/>
      <c r="DL1056" s="28"/>
      <c r="DO1056" s="28"/>
      <c r="DR1056" s="28"/>
      <c r="DU1056" s="28"/>
      <c r="DX1056" s="28"/>
      <c r="EA1056" s="28"/>
      <c r="ED1056" s="28"/>
      <c r="EG1056" s="28"/>
      <c r="EJ1056" s="28"/>
      <c r="EM1056" s="28"/>
      <c r="EP1056" s="28"/>
      <c r="ES1056" s="28"/>
      <c r="EV1056" s="28"/>
      <c r="EY1056" s="28"/>
      <c r="FB1056" s="28"/>
      <c r="FE1056" s="28"/>
      <c r="FH1056" s="28"/>
      <c r="FK1056" s="28"/>
      <c r="FN1056" s="28"/>
      <c r="FQ1056" s="28"/>
      <c r="FT1056" s="28"/>
      <c r="FW1056" s="28"/>
      <c r="FZ1056" s="28"/>
      <c r="GC1056" s="28"/>
    </row>
    <row r="1057" spans="1:185" s="25" customFormat="1" x14ac:dyDescent="0.3">
      <c r="A1057" s="27"/>
      <c r="B1057" s="28"/>
      <c r="C1057" s="27"/>
      <c r="D1057" s="26"/>
      <c r="E1057" s="28"/>
      <c r="H1057" s="28"/>
      <c r="K1057" s="28"/>
      <c r="N1057" s="28"/>
      <c r="Q1057" s="28"/>
      <c r="T1057" s="28"/>
      <c r="W1057" s="28"/>
      <c r="Z1057" s="28"/>
      <c r="AC1057" s="28"/>
      <c r="AF1057" s="28"/>
      <c r="AI1057" s="28"/>
      <c r="AL1057" s="28"/>
      <c r="AO1057" s="28"/>
      <c r="AR1057" s="28"/>
      <c r="AU1057" s="28"/>
      <c r="AX1057" s="28"/>
      <c r="BA1057" s="28"/>
      <c r="BD1057" s="28"/>
      <c r="BG1057" s="28"/>
      <c r="BJ1057" s="28"/>
      <c r="BM1057" s="28"/>
      <c r="BP1057" s="28"/>
      <c r="BS1057" s="28"/>
      <c r="BV1057" s="28"/>
      <c r="BY1057" s="28"/>
      <c r="CB1057" s="28"/>
      <c r="CE1057" s="28"/>
      <c r="CH1057" s="28"/>
      <c r="CK1057" s="28"/>
      <c r="CN1057" s="28"/>
      <c r="CQ1057" s="28"/>
      <c r="CT1057" s="28"/>
      <c r="CW1057" s="28"/>
      <c r="CZ1057" s="28"/>
      <c r="DC1057" s="28"/>
      <c r="DF1057" s="28"/>
      <c r="DI1057" s="28"/>
      <c r="DL1057" s="28"/>
      <c r="DO1057" s="28"/>
      <c r="DR1057" s="28"/>
      <c r="DU1057" s="28"/>
      <c r="DX1057" s="28"/>
      <c r="EA1057" s="28"/>
      <c r="ED1057" s="28"/>
      <c r="EG1057" s="28"/>
      <c r="EJ1057" s="28"/>
      <c r="EM1057" s="28"/>
      <c r="EP1057" s="28"/>
      <c r="ES1057" s="28"/>
      <c r="EV1057" s="28"/>
      <c r="EY1057" s="28"/>
      <c r="FB1057" s="28"/>
      <c r="FE1057" s="28"/>
      <c r="FH1057" s="28"/>
      <c r="FK1057" s="28"/>
      <c r="FN1057" s="28"/>
      <c r="FQ1057" s="28"/>
      <c r="FT1057" s="28"/>
      <c r="FW1057" s="28"/>
      <c r="FZ1057" s="28"/>
      <c r="GC1057" s="28"/>
    </row>
    <row r="1058" spans="1:185" s="25" customFormat="1" x14ac:dyDescent="0.3">
      <c r="A1058" s="27"/>
      <c r="B1058" s="28"/>
      <c r="C1058" s="27"/>
      <c r="D1058" s="26"/>
      <c r="E1058" s="28"/>
      <c r="H1058" s="28"/>
      <c r="K1058" s="28"/>
      <c r="N1058" s="28"/>
      <c r="Q1058" s="28"/>
      <c r="T1058" s="28"/>
      <c r="W1058" s="28"/>
      <c r="Z1058" s="28"/>
      <c r="AC1058" s="28"/>
      <c r="AF1058" s="28"/>
      <c r="AI1058" s="28"/>
      <c r="AL1058" s="28"/>
      <c r="AO1058" s="28"/>
      <c r="AR1058" s="28"/>
      <c r="AU1058" s="28"/>
      <c r="AX1058" s="28"/>
      <c r="BA1058" s="28"/>
      <c r="BD1058" s="28"/>
      <c r="BG1058" s="28"/>
      <c r="BJ1058" s="28"/>
      <c r="BM1058" s="28"/>
      <c r="BP1058" s="28"/>
      <c r="BS1058" s="28"/>
      <c r="BV1058" s="28"/>
      <c r="BY1058" s="28"/>
      <c r="CB1058" s="28"/>
      <c r="CE1058" s="28"/>
      <c r="CH1058" s="28"/>
      <c r="CK1058" s="28"/>
      <c r="CN1058" s="28"/>
      <c r="CQ1058" s="28"/>
      <c r="CT1058" s="28"/>
      <c r="CW1058" s="28"/>
      <c r="CZ1058" s="28"/>
      <c r="DC1058" s="28"/>
      <c r="DF1058" s="28"/>
      <c r="DI1058" s="28"/>
      <c r="DL1058" s="28"/>
      <c r="DO1058" s="28"/>
      <c r="DR1058" s="28"/>
      <c r="DU1058" s="28"/>
      <c r="DX1058" s="28"/>
      <c r="EA1058" s="28"/>
      <c r="ED1058" s="28"/>
      <c r="EG1058" s="28"/>
      <c r="EJ1058" s="28"/>
      <c r="EM1058" s="28"/>
      <c r="EP1058" s="28"/>
      <c r="ES1058" s="28"/>
      <c r="EV1058" s="28"/>
      <c r="EY1058" s="28"/>
      <c r="FB1058" s="28"/>
      <c r="FE1058" s="28"/>
      <c r="FH1058" s="28"/>
      <c r="FK1058" s="28"/>
      <c r="FN1058" s="28"/>
      <c r="FQ1058" s="28"/>
      <c r="FT1058" s="28"/>
      <c r="FW1058" s="28"/>
      <c r="FZ1058" s="28"/>
      <c r="GC1058" s="28"/>
    </row>
    <row r="1059" spans="1:185" s="25" customFormat="1" x14ac:dyDescent="0.3">
      <c r="A1059" s="27"/>
      <c r="B1059" s="28"/>
      <c r="C1059" s="27"/>
      <c r="D1059" s="26"/>
      <c r="E1059" s="28"/>
      <c r="H1059" s="28"/>
      <c r="K1059" s="28"/>
      <c r="N1059" s="28"/>
      <c r="Q1059" s="28"/>
      <c r="T1059" s="28"/>
      <c r="W1059" s="28"/>
      <c r="Z1059" s="28"/>
      <c r="AC1059" s="28"/>
      <c r="AF1059" s="28"/>
      <c r="AI1059" s="28"/>
      <c r="AL1059" s="28"/>
      <c r="AO1059" s="28"/>
      <c r="AR1059" s="28"/>
      <c r="AU1059" s="28"/>
      <c r="AX1059" s="28"/>
      <c r="BA1059" s="28"/>
      <c r="BD1059" s="28"/>
      <c r="BG1059" s="28"/>
      <c r="BJ1059" s="28"/>
      <c r="BM1059" s="28"/>
      <c r="BP1059" s="28"/>
      <c r="BS1059" s="28"/>
      <c r="BV1059" s="28"/>
      <c r="BY1059" s="28"/>
      <c r="CB1059" s="28"/>
      <c r="CE1059" s="28"/>
      <c r="CH1059" s="28"/>
      <c r="CK1059" s="28"/>
      <c r="CN1059" s="28"/>
      <c r="CQ1059" s="28"/>
      <c r="CT1059" s="28"/>
      <c r="CW1059" s="28"/>
      <c r="CZ1059" s="28"/>
      <c r="DC1059" s="28"/>
      <c r="DF1059" s="28"/>
      <c r="DI1059" s="28"/>
      <c r="DL1059" s="28"/>
      <c r="DO1059" s="28"/>
      <c r="DR1059" s="28"/>
      <c r="DU1059" s="28"/>
      <c r="DX1059" s="28"/>
      <c r="EA1059" s="28"/>
      <c r="ED1059" s="28"/>
      <c r="EG1059" s="28"/>
      <c r="EJ1059" s="28"/>
      <c r="EM1059" s="28"/>
      <c r="EP1059" s="28"/>
      <c r="ES1059" s="28"/>
      <c r="EV1059" s="28"/>
      <c r="EY1059" s="28"/>
      <c r="FB1059" s="28"/>
      <c r="FE1059" s="28"/>
      <c r="FH1059" s="28"/>
      <c r="FK1059" s="28"/>
      <c r="FN1059" s="28"/>
      <c r="FQ1059" s="28"/>
      <c r="FT1059" s="28"/>
      <c r="FW1059" s="28"/>
      <c r="FZ1059" s="28"/>
      <c r="GC1059" s="28"/>
    </row>
    <row r="1060" spans="1:185" s="25" customFormat="1" x14ac:dyDescent="0.3">
      <c r="A1060" s="27"/>
      <c r="B1060" s="28"/>
      <c r="C1060" s="27"/>
      <c r="D1060" s="26"/>
      <c r="E1060" s="28"/>
      <c r="H1060" s="28"/>
      <c r="K1060" s="28"/>
      <c r="N1060" s="28"/>
      <c r="Q1060" s="28"/>
      <c r="T1060" s="28"/>
      <c r="W1060" s="28"/>
      <c r="Z1060" s="28"/>
      <c r="AC1060" s="28"/>
      <c r="AF1060" s="28"/>
      <c r="AI1060" s="28"/>
      <c r="AL1060" s="28"/>
      <c r="AO1060" s="28"/>
      <c r="AR1060" s="28"/>
      <c r="AU1060" s="28"/>
      <c r="AX1060" s="28"/>
      <c r="BA1060" s="28"/>
      <c r="BD1060" s="28"/>
      <c r="BG1060" s="28"/>
      <c r="BJ1060" s="28"/>
      <c r="BM1060" s="28"/>
      <c r="BP1060" s="28"/>
      <c r="BS1060" s="28"/>
      <c r="BV1060" s="28"/>
      <c r="BY1060" s="28"/>
      <c r="CB1060" s="28"/>
      <c r="CE1060" s="28"/>
      <c r="CH1060" s="28"/>
      <c r="CK1060" s="28"/>
      <c r="CN1060" s="28"/>
      <c r="CQ1060" s="28"/>
      <c r="CT1060" s="28"/>
      <c r="CW1060" s="28"/>
      <c r="CZ1060" s="28"/>
      <c r="DC1060" s="28"/>
      <c r="DF1060" s="28"/>
      <c r="DI1060" s="28"/>
      <c r="DL1060" s="28"/>
      <c r="DO1060" s="28"/>
      <c r="DR1060" s="28"/>
      <c r="DU1060" s="28"/>
      <c r="DX1060" s="28"/>
      <c r="EA1060" s="28"/>
      <c r="ED1060" s="28"/>
      <c r="EG1060" s="28"/>
      <c r="EJ1060" s="28"/>
      <c r="EM1060" s="28"/>
      <c r="EP1060" s="28"/>
      <c r="ES1060" s="28"/>
      <c r="EV1060" s="28"/>
      <c r="EY1060" s="28"/>
      <c r="FB1060" s="28"/>
      <c r="FE1060" s="28"/>
      <c r="FH1060" s="28"/>
      <c r="FK1060" s="28"/>
      <c r="FN1060" s="28"/>
      <c r="FQ1060" s="28"/>
      <c r="FT1060" s="28"/>
      <c r="FW1060" s="28"/>
      <c r="FZ1060" s="28"/>
      <c r="GC1060" s="28"/>
    </row>
    <row r="1061" spans="1:185" s="25" customFormat="1" x14ac:dyDescent="0.3">
      <c r="A1061" s="27"/>
      <c r="B1061" s="28"/>
      <c r="C1061" s="27"/>
      <c r="D1061" s="26"/>
      <c r="E1061" s="28"/>
      <c r="H1061" s="28"/>
      <c r="K1061" s="28"/>
      <c r="N1061" s="28"/>
      <c r="Q1061" s="28"/>
      <c r="T1061" s="28"/>
      <c r="W1061" s="28"/>
      <c r="Z1061" s="28"/>
      <c r="AC1061" s="28"/>
      <c r="AF1061" s="28"/>
      <c r="AI1061" s="28"/>
      <c r="AL1061" s="28"/>
      <c r="AO1061" s="28"/>
      <c r="AR1061" s="28"/>
      <c r="AU1061" s="28"/>
      <c r="AX1061" s="28"/>
      <c r="BA1061" s="28"/>
      <c r="BD1061" s="28"/>
      <c r="BG1061" s="28"/>
      <c r="BJ1061" s="28"/>
      <c r="BM1061" s="28"/>
      <c r="BP1061" s="28"/>
      <c r="BS1061" s="28"/>
      <c r="BV1061" s="28"/>
      <c r="BY1061" s="28"/>
      <c r="CB1061" s="28"/>
      <c r="CE1061" s="28"/>
      <c r="CH1061" s="28"/>
      <c r="CK1061" s="28"/>
      <c r="CN1061" s="28"/>
      <c r="CQ1061" s="28"/>
      <c r="CT1061" s="28"/>
      <c r="CW1061" s="28"/>
      <c r="CZ1061" s="28"/>
      <c r="DC1061" s="28"/>
      <c r="DF1061" s="28"/>
      <c r="DI1061" s="28"/>
      <c r="DL1061" s="28"/>
      <c r="DO1061" s="28"/>
      <c r="DR1061" s="28"/>
      <c r="DU1061" s="28"/>
      <c r="DX1061" s="28"/>
      <c r="EA1061" s="28"/>
      <c r="ED1061" s="28"/>
      <c r="EG1061" s="28"/>
      <c r="EJ1061" s="28"/>
      <c r="EM1061" s="28"/>
      <c r="EP1061" s="28"/>
      <c r="ES1061" s="28"/>
      <c r="EV1061" s="28"/>
      <c r="EY1061" s="28"/>
      <c r="FB1061" s="28"/>
      <c r="FE1061" s="28"/>
      <c r="FH1061" s="28"/>
      <c r="FK1061" s="28"/>
      <c r="FN1061" s="28"/>
      <c r="FQ1061" s="28"/>
      <c r="FT1061" s="28"/>
      <c r="FW1061" s="28"/>
      <c r="FZ1061" s="28"/>
      <c r="GC1061" s="28"/>
    </row>
    <row r="1062" spans="1:185" s="25" customFormat="1" x14ac:dyDescent="0.3">
      <c r="A1062" s="27"/>
      <c r="B1062" s="28"/>
      <c r="C1062" s="27"/>
      <c r="D1062" s="26"/>
      <c r="E1062" s="28"/>
      <c r="H1062" s="28"/>
      <c r="K1062" s="28"/>
      <c r="N1062" s="28"/>
      <c r="Q1062" s="28"/>
      <c r="T1062" s="28"/>
      <c r="W1062" s="28"/>
      <c r="Z1062" s="28"/>
      <c r="AC1062" s="28"/>
      <c r="AF1062" s="28"/>
      <c r="AI1062" s="28"/>
      <c r="AL1062" s="28"/>
      <c r="AO1062" s="28"/>
      <c r="AR1062" s="28"/>
      <c r="AU1062" s="28"/>
      <c r="AX1062" s="28"/>
      <c r="BA1062" s="28"/>
      <c r="BD1062" s="28"/>
      <c r="BG1062" s="28"/>
      <c r="BJ1062" s="28"/>
      <c r="BM1062" s="28"/>
      <c r="BP1062" s="28"/>
      <c r="BS1062" s="28"/>
      <c r="BV1062" s="28"/>
      <c r="BY1062" s="28"/>
      <c r="CB1062" s="28"/>
      <c r="CE1062" s="28"/>
      <c r="CH1062" s="28"/>
      <c r="CK1062" s="28"/>
      <c r="CN1062" s="28"/>
      <c r="CQ1062" s="28"/>
      <c r="CT1062" s="28"/>
      <c r="CW1062" s="28"/>
      <c r="CZ1062" s="28"/>
      <c r="DC1062" s="28"/>
      <c r="DF1062" s="28"/>
      <c r="DI1062" s="28"/>
      <c r="DL1062" s="28"/>
      <c r="DO1062" s="28"/>
      <c r="DR1062" s="28"/>
      <c r="DU1062" s="28"/>
      <c r="DX1062" s="28"/>
      <c r="EA1062" s="28"/>
      <c r="ED1062" s="28"/>
      <c r="EG1062" s="28"/>
      <c r="EJ1062" s="28"/>
      <c r="EM1062" s="28"/>
      <c r="EP1062" s="28"/>
      <c r="ES1062" s="28"/>
      <c r="EV1062" s="28"/>
      <c r="EY1062" s="28"/>
      <c r="FB1062" s="28"/>
      <c r="FE1062" s="28"/>
      <c r="FH1062" s="28"/>
      <c r="FK1062" s="28"/>
      <c r="FN1062" s="28"/>
      <c r="FQ1062" s="28"/>
      <c r="FT1062" s="28"/>
      <c r="FW1062" s="28"/>
      <c r="FZ1062" s="28"/>
      <c r="GC1062" s="28"/>
    </row>
    <row r="1063" spans="1:185" s="25" customFormat="1" x14ac:dyDescent="0.3">
      <c r="A1063" s="27"/>
      <c r="B1063" s="28"/>
      <c r="C1063" s="27"/>
      <c r="D1063" s="26"/>
      <c r="E1063" s="28"/>
      <c r="H1063" s="28"/>
      <c r="K1063" s="28"/>
      <c r="N1063" s="28"/>
      <c r="Q1063" s="28"/>
      <c r="T1063" s="28"/>
      <c r="W1063" s="28"/>
      <c r="Z1063" s="28"/>
      <c r="AC1063" s="28"/>
      <c r="AF1063" s="28"/>
      <c r="AI1063" s="28"/>
      <c r="AL1063" s="28"/>
      <c r="AO1063" s="28"/>
      <c r="AR1063" s="28"/>
      <c r="AU1063" s="28"/>
      <c r="AX1063" s="28"/>
      <c r="BA1063" s="28"/>
      <c r="BD1063" s="28"/>
      <c r="BG1063" s="28"/>
      <c r="BJ1063" s="28"/>
      <c r="BM1063" s="28"/>
      <c r="BP1063" s="28"/>
      <c r="BS1063" s="28"/>
      <c r="BV1063" s="28"/>
      <c r="BY1063" s="28"/>
      <c r="CB1063" s="28"/>
      <c r="CE1063" s="28"/>
      <c r="CH1063" s="28"/>
      <c r="CK1063" s="28"/>
      <c r="CN1063" s="28"/>
      <c r="CQ1063" s="28"/>
      <c r="CT1063" s="28"/>
      <c r="CW1063" s="28"/>
      <c r="CZ1063" s="28"/>
      <c r="DC1063" s="28"/>
      <c r="DF1063" s="28"/>
      <c r="DI1063" s="28"/>
      <c r="DL1063" s="28"/>
      <c r="DO1063" s="28"/>
      <c r="DR1063" s="28"/>
      <c r="DU1063" s="28"/>
      <c r="DX1063" s="28"/>
      <c r="EA1063" s="28"/>
      <c r="ED1063" s="28"/>
      <c r="EG1063" s="28"/>
      <c r="EJ1063" s="28"/>
      <c r="EM1063" s="28"/>
      <c r="EP1063" s="28"/>
      <c r="ES1063" s="28"/>
      <c r="EV1063" s="28"/>
      <c r="EY1063" s="28"/>
      <c r="FB1063" s="28"/>
      <c r="FE1063" s="28"/>
      <c r="FH1063" s="28"/>
      <c r="FK1063" s="28"/>
      <c r="FN1063" s="28"/>
      <c r="FQ1063" s="28"/>
      <c r="FT1063" s="28"/>
      <c r="FW1063" s="28"/>
      <c r="FZ1063" s="28"/>
      <c r="GC1063" s="28"/>
    </row>
    <row r="1064" spans="1:185" s="25" customFormat="1" x14ac:dyDescent="0.3">
      <c r="A1064" s="27"/>
      <c r="B1064" s="28"/>
      <c r="C1064" s="27"/>
      <c r="D1064" s="26"/>
      <c r="E1064" s="28"/>
      <c r="H1064" s="28"/>
      <c r="K1064" s="28"/>
      <c r="N1064" s="28"/>
      <c r="Q1064" s="28"/>
      <c r="T1064" s="28"/>
      <c r="W1064" s="28"/>
      <c r="Z1064" s="28"/>
      <c r="AC1064" s="28"/>
      <c r="AF1064" s="28"/>
      <c r="AI1064" s="28"/>
      <c r="AL1064" s="28"/>
      <c r="AO1064" s="28"/>
      <c r="AR1064" s="28"/>
      <c r="AU1064" s="28"/>
      <c r="AX1064" s="28"/>
      <c r="BA1064" s="28"/>
      <c r="BD1064" s="28"/>
      <c r="BG1064" s="28"/>
      <c r="BJ1064" s="28"/>
      <c r="BM1064" s="28"/>
      <c r="BP1064" s="28"/>
      <c r="BS1064" s="28"/>
      <c r="BV1064" s="28"/>
      <c r="BY1064" s="28"/>
      <c r="CB1064" s="28"/>
      <c r="CE1064" s="28"/>
      <c r="CH1064" s="28"/>
      <c r="CK1064" s="28"/>
      <c r="CN1064" s="28"/>
      <c r="CQ1064" s="28"/>
      <c r="CT1064" s="28"/>
      <c r="CW1064" s="28"/>
      <c r="CZ1064" s="28"/>
      <c r="DC1064" s="28"/>
      <c r="DF1064" s="28"/>
      <c r="DI1064" s="28"/>
      <c r="DL1064" s="28"/>
      <c r="DO1064" s="28"/>
      <c r="DR1064" s="28"/>
      <c r="DU1064" s="28"/>
      <c r="DX1064" s="28"/>
      <c r="EA1064" s="28"/>
      <c r="ED1064" s="28"/>
      <c r="EG1064" s="28"/>
      <c r="EJ1064" s="28"/>
      <c r="EM1064" s="28"/>
      <c r="EP1064" s="28"/>
      <c r="ES1064" s="28"/>
      <c r="EV1064" s="28"/>
      <c r="EY1064" s="28"/>
      <c r="FB1064" s="28"/>
      <c r="FE1064" s="28"/>
      <c r="FH1064" s="28"/>
      <c r="FK1064" s="28"/>
      <c r="FN1064" s="28"/>
      <c r="FQ1064" s="28"/>
      <c r="FT1064" s="28"/>
      <c r="FW1064" s="28"/>
      <c r="FZ1064" s="28"/>
      <c r="GC1064" s="28"/>
    </row>
    <row r="1065" spans="1:185" s="25" customFormat="1" x14ac:dyDescent="0.3">
      <c r="A1065" s="27"/>
      <c r="B1065" s="28"/>
      <c r="C1065" s="27"/>
      <c r="D1065" s="26"/>
      <c r="E1065" s="28"/>
      <c r="H1065" s="28"/>
      <c r="K1065" s="28"/>
      <c r="N1065" s="28"/>
      <c r="Q1065" s="28"/>
      <c r="T1065" s="28"/>
      <c r="W1065" s="28"/>
      <c r="Z1065" s="28"/>
      <c r="AC1065" s="28"/>
      <c r="AF1065" s="28"/>
      <c r="AI1065" s="28"/>
      <c r="AL1065" s="28"/>
      <c r="AO1065" s="28"/>
      <c r="AR1065" s="28"/>
      <c r="AU1065" s="28"/>
      <c r="AX1065" s="28"/>
      <c r="BA1065" s="28"/>
      <c r="BD1065" s="28"/>
      <c r="BG1065" s="28"/>
      <c r="BJ1065" s="28"/>
      <c r="BM1065" s="28"/>
      <c r="BP1065" s="28"/>
      <c r="BS1065" s="28"/>
      <c r="BV1065" s="28"/>
      <c r="BY1065" s="28"/>
      <c r="CB1065" s="28"/>
      <c r="CE1065" s="28"/>
      <c r="CH1065" s="28"/>
      <c r="CK1065" s="28"/>
      <c r="CN1065" s="28"/>
      <c r="CQ1065" s="28"/>
      <c r="CT1065" s="28"/>
      <c r="CW1065" s="28"/>
      <c r="CZ1065" s="28"/>
      <c r="DC1065" s="28"/>
      <c r="DF1065" s="28"/>
      <c r="DI1065" s="28"/>
      <c r="DL1065" s="28"/>
      <c r="DO1065" s="28"/>
      <c r="DR1065" s="28"/>
      <c r="DU1065" s="28"/>
      <c r="DX1065" s="28"/>
      <c r="EA1065" s="28"/>
      <c r="ED1065" s="28"/>
      <c r="EG1065" s="28"/>
      <c r="EJ1065" s="28"/>
      <c r="EM1065" s="28"/>
      <c r="EP1065" s="28"/>
      <c r="ES1065" s="28"/>
      <c r="EV1065" s="28"/>
      <c r="EY1065" s="28"/>
      <c r="FB1065" s="28"/>
      <c r="FE1065" s="28"/>
      <c r="FH1065" s="28"/>
      <c r="FK1065" s="28"/>
      <c r="FN1065" s="28"/>
      <c r="FQ1065" s="28"/>
      <c r="FT1065" s="28"/>
      <c r="FW1065" s="28"/>
      <c r="FZ1065" s="28"/>
      <c r="GC1065" s="28"/>
    </row>
    <row r="1066" spans="1:185" s="25" customFormat="1" x14ac:dyDescent="0.3">
      <c r="A1066" s="27"/>
      <c r="B1066" s="28"/>
      <c r="C1066" s="27"/>
      <c r="D1066" s="26"/>
      <c r="E1066" s="28"/>
      <c r="H1066" s="28"/>
      <c r="K1066" s="28"/>
      <c r="N1066" s="28"/>
      <c r="Q1066" s="28"/>
      <c r="T1066" s="28"/>
      <c r="W1066" s="28"/>
      <c r="Z1066" s="28"/>
      <c r="AC1066" s="28"/>
      <c r="AF1066" s="28"/>
      <c r="AI1066" s="28"/>
      <c r="AL1066" s="28"/>
      <c r="AO1066" s="28"/>
      <c r="AR1066" s="28"/>
      <c r="AU1066" s="28"/>
      <c r="AX1066" s="28"/>
      <c r="BA1066" s="28"/>
      <c r="BD1066" s="28"/>
      <c r="BG1066" s="28"/>
      <c r="BJ1066" s="28"/>
      <c r="BM1066" s="28"/>
      <c r="BP1066" s="28"/>
      <c r="BS1066" s="28"/>
      <c r="BV1066" s="28"/>
      <c r="BY1066" s="28"/>
      <c r="CB1066" s="28"/>
      <c r="CE1066" s="28"/>
      <c r="CH1066" s="28"/>
      <c r="CK1066" s="28"/>
      <c r="CN1066" s="28"/>
      <c r="CQ1066" s="28"/>
      <c r="CT1066" s="28"/>
      <c r="CW1066" s="28"/>
      <c r="CZ1066" s="28"/>
      <c r="DC1066" s="28"/>
      <c r="DF1066" s="28"/>
      <c r="DI1066" s="28"/>
      <c r="DL1066" s="28"/>
      <c r="DO1066" s="28"/>
      <c r="DR1066" s="28"/>
      <c r="DU1066" s="28"/>
      <c r="DX1066" s="28"/>
      <c r="EA1066" s="28"/>
      <c r="ED1066" s="28"/>
      <c r="EG1066" s="28"/>
      <c r="EJ1066" s="28"/>
      <c r="EM1066" s="28"/>
      <c r="EP1066" s="28"/>
      <c r="ES1066" s="28"/>
      <c r="EV1066" s="28"/>
      <c r="EY1066" s="28"/>
      <c r="FB1066" s="28"/>
      <c r="FE1066" s="28"/>
      <c r="FH1066" s="28"/>
      <c r="FK1066" s="28"/>
      <c r="FN1066" s="28"/>
      <c r="FQ1066" s="28"/>
      <c r="FT1066" s="28"/>
      <c r="FW1066" s="28"/>
      <c r="FZ1066" s="28"/>
      <c r="GC1066" s="28"/>
    </row>
    <row r="1067" spans="1:185" s="25" customFormat="1" x14ac:dyDescent="0.3">
      <c r="A1067" s="27"/>
      <c r="B1067" s="28"/>
      <c r="C1067" s="27"/>
      <c r="D1067" s="26"/>
      <c r="E1067" s="28"/>
      <c r="H1067" s="28"/>
      <c r="K1067" s="28"/>
      <c r="N1067" s="28"/>
      <c r="Q1067" s="28"/>
      <c r="T1067" s="28"/>
      <c r="W1067" s="28"/>
      <c r="Z1067" s="28"/>
      <c r="AC1067" s="28"/>
      <c r="AF1067" s="28"/>
      <c r="AI1067" s="28"/>
      <c r="AL1067" s="28"/>
      <c r="AO1067" s="28"/>
      <c r="AR1067" s="28"/>
      <c r="AU1067" s="28"/>
      <c r="AX1067" s="28"/>
      <c r="BA1067" s="28"/>
      <c r="BD1067" s="28"/>
      <c r="BG1067" s="28"/>
      <c r="BJ1067" s="28"/>
      <c r="BM1067" s="28"/>
      <c r="BP1067" s="28"/>
      <c r="BS1067" s="28"/>
      <c r="BV1067" s="28"/>
      <c r="BY1067" s="28"/>
      <c r="CB1067" s="28"/>
      <c r="CE1067" s="28"/>
      <c r="CH1067" s="28"/>
      <c r="CK1067" s="28"/>
      <c r="CN1067" s="28"/>
      <c r="CQ1067" s="28"/>
      <c r="CT1067" s="28"/>
      <c r="CW1067" s="28"/>
      <c r="CZ1067" s="28"/>
      <c r="DC1067" s="28"/>
      <c r="DF1067" s="28"/>
      <c r="DI1067" s="28"/>
      <c r="DL1067" s="28"/>
      <c r="DO1067" s="28"/>
      <c r="DR1067" s="28"/>
      <c r="DU1067" s="28"/>
      <c r="DX1067" s="28"/>
      <c r="EA1067" s="28"/>
      <c r="ED1067" s="28"/>
      <c r="EG1067" s="28"/>
      <c r="EJ1067" s="28"/>
      <c r="EM1067" s="28"/>
      <c r="EP1067" s="28"/>
      <c r="ES1067" s="28"/>
      <c r="EV1067" s="28"/>
      <c r="EY1067" s="28"/>
      <c r="FB1067" s="28"/>
      <c r="FE1067" s="28"/>
      <c r="FH1067" s="28"/>
      <c r="FK1067" s="28"/>
      <c r="FN1067" s="28"/>
      <c r="FQ1067" s="28"/>
      <c r="FT1067" s="28"/>
      <c r="FW1067" s="28"/>
      <c r="FZ1067" s="28"/>
      <c r="GC1067" s="28"/>
    </row>
    <row r="1068" spans="1:185" s="25" customFormat="1" x14ac:dyDescent="0.3">
      <c r="A1068" s="27"/>
      <c r="B1068" s="28"/>
      <c r="C1068" s="27"/>
      <c r="D1068" s="26"/>
      <c r="E1068" s="28"/>
      <c r="H1068" s="28"/>
      <c r="K1068" s="28"/>
      <c r="N1068" s="28"/>
      <c r="Q1068" s="28"/>
      <c r="T1068" s="28"/>
      <c r="W1068" s="28"/>
      <c r="Z1068" s="28"/>
      <c r="AC1068" s="28"/>
      <c r="AF1068" s="28"/>
      <c r="AI1068" s="28"/>
      <c r="AL1068" s="28"/>
      <c r="AO1068" s="28"/>
      <c r="AR1068" s="28"/>
      <c r="AU1068" s="28"/>
      <c r="AX1068" s="28"/>
      <c r="BA1068" s="28"/>
      <c r="BD1068" s="28"/>
      <c r="BG1068" s="28"/>
      <c r="BJ1068" s="28"/>
      <c r="BM1068" s="28"/>
      <c r="BP1068" s="28"/>
      <c r="BS1068" s="28"/>
      <c r="BV1068" s="28"/>
      <c r="BY1068" s="28"/>
      <c r="CB1068" s="28"/>
      <c r="CE1068" s="28"/>
      <c r="CH1068" s="28"/>
      <c r="CK1068" s="28"/>
      <c r="CN1068" s="28"/>
      <c r="CQ1068" s="28"/>
      <c r="CT1068" s="28"/>
      <c r="CW1068" s="28"/>
      <c r="CZ1068" s="28"/>
      <c r="DC1068" s="28"/>
      <c r="DF1068" s="28"/>
      <c r="DI1068" s="28"/>
      <c r="DL1068" s="28"/>
      <c r="DO1068" s="28"/>
      <c r="DR1068" s="28"/>
      <c r="DU1068" s="28"/>
      <c r="DX1068" s="28"/>
      <c r="EA1068" s="28"/>
      <c r="ED1068" s="28"/>
      <c r="EG1068" s="28"/>
      <c r="EJ1068" s="28"/>
      <c r="EM1068" s="28"/>
      <c r="EP1068" s="28"/>
      <c r="ES1068" s="28"/>
      <c r="EV1068" s="28"/>
      <c r="EY1068" s="28"/>
      <c r="FB1068" s="28"/>
      <c r="FE1068" s="28"/>
      <c r="FH1068" s="28"/>
      <c r="FK1068" s="28"/>
      <c r="FN1068" s="28"/>
      <c r="FQ1068" s="28"/>
      <c r="FT1068" s="28"/>
      <c r="FW1068" s="28"/>
      <c r="FZ1068" s="28"/>
      <c r="GC1068" s="28"/>
    </row>
    <row r="1069" spans="1:185" s="25" customFormat="1" x14ac:dyDescent="0.3">
      <c r="A1069" s="27"/>
      <c r="B1069" s="28"/>
      <c r="C1069" s="27"/>
      <c r="D1069" s="26"/>
      <c r="E1069" s="28"/>
      <c r="H1069" s="28"/>
      <c r="K1069" s="28"/>
      <c r="N1069" s="28"/>
      <c r="Q1069" s="28"/>
      <c r="T1069" s="28"/>
      <c r="W1069" s="28"/>
      <c r="Z1069" s="28"/>
      <c r="AC1069" s="28"/>
      <c r="AF1069" s="28"/>
      <c r="AI1069" s="28"/>
      <c r="AL1069" s="28"/>
      <c r="AO1069" s="28"/>
      <c r="AR1069" s="28"/>
      <c r="AU1069" s="28"/>
      <c r="AX1069" s="28"/>
      <c r="BA1069" s="28"/>
      <c r="BD1069" s="28"/>
      <c r="BG1069" s="28"/>
      <c r="BJ1069" s="28"/>
      <c r="BM1069" s="28"/>
      <c r="BP1069" s="28"/>
      <c r="BS1069" s="28"/>
      <c r="BV1069" s="28"/>
      <c r="BY1069" s="28"/>
      <c r="CB1069" s="28"/>
      <c r="CE1069" s="28"/>
      <c r="CH1069" s="28"/>
      <c r="CK1069" s="28"/>
      <c r="CN1069" s="28"/>
      <c r="CQ1069" s="28"/>
      <c r="CT1069" s="28"/>
      <c r="CW1069" s="28"/>
      <c r="CZ1069" s="28"/>
      <c r="DC1069" s="28"/>
      <c r="DF1069" s="28"/>
      <c r="DI1069" s="28"/>
      <c r="DL1069" s="28"/>
      <c r="DO1069" s="28"/>
      <c r="DR1069" s="28"/>
      <c r="DU1069" s="28"/>
      <c r="DX1069" s="28"/>
      <c r="EA1069" s="28"/>
      <c r="ED1069" s="28"/>
      <c r="EG1069" s="28"/>
      <c r="EJ1069" s="28"/>
      <c r="EM1069" s="28"/>
      <c r="EP1069" s="28"/>
      <c r="ES1069" s="28"/>
      <c r="EV1069" s="28"/>
      <c r="EY1069" s="28"/>
      <c r="FB1069" s="28"/>
      <c r="FE1069" s="28"/>
      <c r="FH1069" s="28"/>
      <c r="FK1069" s="28"/>
      <c r="FN1069" s="28"/>
      <c r="FQ1069" s="28"/>
      <c r="FT1069" s="28"/>
      <c r="FW1069" s="28"/>
      <c r="FZ1069" s="28"/>
      <c r="GC1069" s="28"/>
    </row>
    <row r="1070" spans="1:185" s="25" customFormat="1" x14ac:dyDescent="0.3">
      <c r="A1070" s="27"/>
      <c r="B1070" s="28"/>
      <c r="C1070" s="27"/>
      <c r="D1070" s="26"/>
      <c r="E1070" s="28"/>
      <c r="H1070" s="28"/>
      <c r="K1070" s="28"/>
      <c r="N1070" s="28"/>
      <c r="Q1070" s="28"/>
      <c r="T1070" s="28"/>
      <c r="W1070" s="28"/>
      <c r="Z1070" s="28"/>
      <c r="AC1070" s="28"/>
      <c r="AF1070" s="28"/>
      <c r="AI1070" s="28"/>
      <c r="AL1070" s="28"/>
      <c r="AO1070" s="28"/>
      <c r="AR1070" s="28"/>
      <c r="AU1070" s="28"/>
      <c r="AX1070" s="28"/>
      <c r="BA1070" s="28"/>
      <c r="BD1070" s="28"/>
      <c r="BG1070" s="28"/>
      <c r="BJ1070" s="28"/>
      <c r="BM1070" s="28"/>
      <c r="BP1070" s="28"/>
      <c r="BS1070" s="28"/>
      <c r="BV1070" s="28"/>
      <c r="BY1070" s="28"/>
      <c r="CB1070" s="28"/>
      <c r="CE1070" s="28"/>
      <c r="CH1070" s="28"/>
      <c r="CK1070" s="28"/>
      <c r="CN1070" s="28"/>
      <c r="CQ1070" s="28"/>
      <c r="CT1070" s="28"/>
      <c r="CW1070" s="28"/>
      <c r="CZ1070" s="28"/>
      <c r="DC1070" s="28"/>
      <c r="DF1070" s="28"/>
      <c r="DI1070" s="28"/>
      <c r="DL1070" s="28"/>
      <c r="DO1070" s="28"/>
      <c r="DR1070" s="28"/>
      <c r="DU1070" s="28"/>
      <c r="DX1070" s="28"/>
      <c r="EA1070" s="28"/>
      <c r="ED1070" s="28"/>
      <c r="EG1070" s="28"/>
      <c r="EJ1070" s="28"/>
      <c r="EM1070" s="28"/>
      <c r="EP1070" s="28"/>
      <c r="ES1070" s="28"/>
      <c r="EV1070" s="28"/>
      <c r="EY1070" s="28"/>
      <c r="FB1070" s="28"/>
      <c r="FE1070" s="28"/>
      <c r="FH1070" s="28"/>
      <c r="FK1070" s="28"/>
      <c r="FN1070" s="28"/>
      <c r="FQ1070" s="28"/>
      <c r="FT1070" s="28"/>
      <c r="FW1070" s="28"/>
      <c r="FZ1070" s="28"/>
      <c r="GC1070" s="28"/>
    </row>
    <row r="1071" spans="1:185" s="25" customFormat="1" x14ac:dyDescent="0.3">
      <c r="A1071" s="27"/>
      <c r="B1071" s="28"/>
      <c r="C1071" s="27"/>
      <c r="D1071" s="26"/>
      <c r="E1071" s="28"/>
      <c r="H1071" s="28"/>
      <c r="K1071" s="28"/>
      <c r="N1071" s="28"/>
      <c r="Q1071" s="28"/>
      <c r="T1071" s="28"/>
      <c r="W1071" s="28"/>
      <c r="Z1071" s="28"/>
      <c r="AC1071" s="28"/>
      <c r="AF1071" s="28"/>
      <c r="AI1071" s="28"/>
      <c r="AL1071" s="28"/>
      <c r="AO1071" s="28"/>
      <c r="AR1071" s="28"/>
      <c r="AU1071" s="28"/>
      <c r="AX1071" s="28"/>
      <c r="BA1071" s="28"/>
      <c r="BD1071" s="28"/>
      <c r="BG1071" s="28"/>
      <c r="BJ1071" s="28"/>
      <c r="BM1071" s="28"/>
      <c r="BP1071" s="28"/>
      <c r="BS1071" s="28"/>
      <c r="BV1071" s="28"/>
      <c r="BY1071" s="28"/>
      <c r="CB1071" s="28"/>
      <c r="CE1071" s="28"/>
      <c r="CH1071" s="28"/>
      <c r="CK1071" s="28"/>
      <c r="CN1071" s="28"/>
      <c r="CQ1071" s="28"/>
      <c r="CT1071" s="28"/>
      <c r="CW1071" s="28"/>
      <c r="CZ1071" s="28"/>
      <c r="DC1071" s="28"/>
      <c r="DF1071" s="28"/>
      <c r="DI1071" s="28"/>
      <c r="DL1071" s="28"/>
      <c r="DO1071" s="28"/>
      <c r="DR1071" s="28"/>
      <c r="DU1071" s="28"/>
      <c r="DX1071" s="28"/>
      <c r="EA1071" s="28"/>
      <c r="ED1071" s="28"/>
      <c r="EG1071" s="28"/>
      <c r="EJ1071" s="28"/>
      <c r="EM1071" s="28"/>
      <c r="EP1071" s="28"/>
      <c r="ES1071" s="28"/>
      <c r="EV1071" s="28"/>
      <c r="EY1071" s="28"/>
      <c r="FB1071" s="28"/>
      <c r="FE1071" s="28"/>
      <c r="FH1071" s="28"/>
      <c r="FK1071" s="28"/>
      <c r="FN1071" s="28"/>
      <c r="FQ1071" s="28"/>
      <c r="FT1071" s="28"/>
      <c r="FW1071" s="28"/>
      <c r="FZ1071" s="28"/>
      <c r="GC1071" s="28"/>
    </row>
    <row r="1072" spans="1:185" s="25" customFormat="1" x14ac:dyDescent="0.3">
      <c r="A1072" s="27"/>
      <c r="B1072" s="28"/>
      <c r="C1072" s="27"/>
      <c r="D1072" s="26"/>
      <c r="E1072" s="28"/>
      <c r="H1072" s="28"/>
      <c r="K1072" s="28"/>
      <c r="N1072" s="28"/>
      <c r="Q1072" s="28"/>
      <c r="T1072" s="28"/>
      <c r="W1072" s="28"/>
      <c r="Z1072" s="28"/>
      <c r="AC1072" s="28"/>
      <c r="AF1072" s="28"/>
      <c r="AI1072" s="28"/>
      <c r="AL1072" s="28"/>
      <c r="AO1072" s="28"/>
      <c r="AR1072" s="28"/>
      <c r="AU1072" s="28"/>
      <c r="AX1072" s="28"/>
      <c r="BA1072" s="28"/>
      <c r="BD1072" s="28"/>
      <c r="BG1072" s="28"/>
      <c r="BJ1072" s="28"/>
      <c r="BM1072" s="28"/>
      <c r="BP1072" s="28"/>
      <c r="BS1072" s="28"/>
      <c r="BV1072" s="28"/>
      <c r="BY1072" s="28"/>
      <c r="CB1072" s="28"/>
      <c r="CE1072" s="28"/>
      <c r="CH1072" s="28"/>
      <c r="CK1072" s="28"/>
      <c r="CN1072" s="28"/>
      <c r="CQ1072" s="28"/>
      <c r="CT1072" s="28"/>
      <c r="CW1072" s="28"/>
      <c r="CZ1072" s="28"/>
      <c r="DC1072" s="28"/>
      <c r="DF1072" s="28"/>
      <c r="DI1072" s="28"/>
      <c r="DL1072" s="28"/>
      <c r="DO1072" s="28"/>
      <c r="DR1072" s="28"/>
      <c r="DU1072" s="28"/>
      <c r="DX1072" s="28"/>
      <c r="EA1072" s="28"/>
      <c r="ED1072" s="28"/>
      <c r="EG1072" s="28"/>
      <c r="EJ1072" s="28"/>
      <c r="EM1072" s="28"/>
      <c r="EP1072" s="28"/>
      <c r="ES1072" s="28"/>
      <c r="EV1072" s="28"/>
      <c r="EY1072" s="28"/>
      <c r="FB1072" s="28"/>
      <c r="FE1072" s="28"/>
      <c r="FH1072" s="28"/>
      <c r="FK1072" s="28"/>
      <c r="FN1072" s="28"/>
      <c r="FQ1072" s="28"/>
      <c r="FT1072" s="28"/>
      <c r="FW1072" s="28"/>
      <c r="FZ1072" s="28"/>
      <c r="GC1072" s="28"/>
    </row>
    <row r="1073" spans="1:185" s="25" customFormat="1" x14ac:dyDescent="0.3">
      <c r="A1073" s="27"/>
      <c r="B1073" s="28"/>
      <c r="C1073" s="27"/>
      <c r="D1073" s="26"/>
      <c r="E1073" s="28"/>
      <c r="H1073" s="28"/>
      <c r="K1073" s="28"/>
      <c r="N1073" s="28"/>
      <c r="Q1073" s="28"/>
      <c r="T1073" s="28"/>
      <c r="W1073" s="28"/>
      <c r="Z1073" s="28"/>
      <c r="AC1073" s="28"/>
      <c r="AF1073" s="28"/>
      <c r="AI1073" s="28"/>
      <c r="AL1073" s="28"/>
      <c r="AO1073" s="28"/>
      <c r="AR1073" s="28"/>
      <c r="AU1073" s="28"/>
      <c r="AX1073" s="28"/>
      <c r="BA1073" s="28"/>
      <c r="BD1073" s="28"/>
      <c r="BG1073" s="28"/>
      <c r="BJ1073" s="28"/>
      <c r="BM1073" s="28"/>
      <c r="BP1073" s="28"/>
      <c r="BS1073" s="28"/>
      <c r="BV1073" s="28"/>
      <c r="BY1073" s="28"/>
      <c r="CB1073" s="28"/>
      <c r="CE1073" s="28"/>
      <c r="CH1073" s="28"/>
      <c r="CK1073" s="28"/>
      <c r="CN1073" s="28"/>
      <c r="CQ1073" s="28"/>
      <c r="CT1073" s="28"/>
      <c r="CW1073" s="28"/>
      <c r="CZ1073" s="28"/>
      <c r="DC1073" s="28"/>
      <c r="DF1073" s="28"/>
      <c r="DI1073" s="28"/>
      <c r="DL1073" s="28"/>
      <c r="DO1073" s="28"/>
      <c r="DR1073" s="28"/>
      <c r="DU1073" s="28"/>
      <c r="DX1073" s="28"/>
      <c r="EA1073" s="28"/>
      <c r="ED1073" s="28"/>
      <c r="EG1073" s="28"/>
      <c r="EJ1073" s="28"/>
      <c r="EM1073" s="28"/>
      <c r="EP1073" s="28"/>
      <c r="ES1073" s="28"/>
      <c r="EV1073" s="28"/>
      <c r="EY1073" s="28"/>
      <c r="FB1073" s="28"/>
      <c r="FE1073" s="28"/>
      <c r="FH1073" s="28"/>
      <c r="FK1073" s="28"/>
      <c r="FN1073" s="28"/>
      <c r="FQ1073" s="28"/>
      <c r="FT1073" s="28"/>
      <c r="FW1073" s="28"/>
      <c r="FZ1073" s="28"/>
      <c r="GC1073" s="28"/>
    </row>
    <row r="1074" spans="1:185" s="25" customFormat="1" x14ac:dyDescent="0.3">
      <c r="A1074" s="27"/>
      <c r="B1074" s="28"/>
      <c r="C1074" s="27"/>
      <c r="D1074" s="26"/>
      <c r="E1074" s="28"/>
      <c r="H1074" s="28"/>
      <c r="K1074" s="28"/>
      <c r="N1074" s="28"/>
      <c r="Q1074" s="28"/>
      <c r="T1074" s="28"/>
      <c r="W1074" s="28"/>
      <c r="Z1074" s="28"/>
      <c r="AC1074" s="28"/>
      <c r="AF1074" s="28"/>
      <c r="AI1074" s="28"/>
      <c r="AL1074" s="28"/>
      <c r="AO1074" s="28"/>
      <c r="AR1074" s="28"/>
      <c r="AU1074" s="28"/>
      <c r="AX1074" s="28"/>
      <c r="BA1074" s="28"/>
      <c r="BD1074" s="28"/>
      <c r="BG1074" s="28"/>
      <c r="BJ1074" s="28"/>
      <c r="BM1074" s="28"/>
      <c r="BP1074" s="28"/>
      <c r="BS1074" s="28"/>
      <c r="BV1074" s="28"/>
      <c r="BY1074" s="28"/>
      <c r="CB1074" s="28"/>
      <c r="CE1074" s="28"/>
      <c r="CH1074" s="28"/>
      <c r="CK1074" s="28"/>
      <c r="CN1074" s="28"/>
      <c r="CQ1074" s="28"/>
      <c r="CT1074" s="28"/>
      <c r="CW1074" s="28"/>
      <c r="CZ1074" s="28"/>
      <c r="DC1074" s="28"/>
      <c r="DF1074" s="28"/>
      <c r="DI1074" s="28"/>
      <c r="DL1074" s="28"/>
      <c r="DO1074" s="28"/>
      <c r="DR1074" s="28"/>
      <c r="DU1074" s="28"/>
      <c r="DX1074" s="28"/>
      <c r="EA1074" s="28"/>
      <c r="ED1074" s="28"/>
      <c r="EG1074" s="28"/>
      <c r="EJ1074" s="28"/>
      <c r="EM1074" s="28"/>
      <c r="EP1074" s="28"/>
      <c r="ES1074" s="28"/>
      <c r="EV1074" s="28"/>
      <c r="EY1074" s="28"/>
      <c r="FB1074" s="28"/>
      <c r="FE1074" s="28"/>
      <c r="FH1074" s="28"/>
      <c r="FK1074" s="28"/>
      <c r="FN1074" s="28"/>
      <c r="FQ1074" s="28"/>
      <c r="FT1074" s="28"/>
      <c r="FW1074" s="28"/>
      <c r="FZ1074" s="28"/>
      <c r="GC1074" s="28"/>
    </row>
    <row r="1075" spans="1:185" s="25" customFormat="1" x14ac:dyDescent="0.3">
      <c r="A1075" s="27"/>
      <c r="B1075" s="28"/>
      <c r="C1075" s="27"/>
      <c r="D1075" s="26"/>
      <c r="E1075" s="28"/>
      <c r="H1075" s="28"/>
      <c r="K1075" s="28"/>
      <c r="N1075" s="28"/>
      <c r="Q1075" s="28"/>
      <c r="T1075" s="28"/>
      <c r="W1075" s="28"/>
      <c r="Z1075" s="28"/>
      <c r="AC1075" s="28"/>
      <c r="AF1075" s="28"/>
      <c r="AI1075" s="28"/>
      <c r="AL1075" s="28"/>
      <c r="AO1075" s="28"/>
      <c r="AR1075" s="28"/>
      <c r="AU1075" s="28"/>
      <c r="AX1075" s="28"/>
      <c r="BA1075" s="28"/>
      <c r="BD1075" s="28"/>
      <c r="BG1075" s="28"/>
      <c r="BJ1075" s="28"/>
      <c r="BM1075" s="28"/>
      <c r="BP1075" s="28"/>
      <c r="BS1075" s="28"/>
      <c r="BV1075" s="28"/>
      <c r="BY1075" s="28"/>
      <c r="CB1075" s="28"/>
      <c r="CE1075" s="28"/>
      <c r="CH1075" s="28"/>
      <c r="CK1075" s="28"/>
      <c r="CN1075" s="28"/>
      <c r="CQ1075" s="28"/>
      <c r="CT1075" s="28"/>
      <c r="CW1075" s="28"/>
      <c r="CZ1075" s="28"/>
      <c r="DC1075" s="28"/>
      <c r="DF1075" s="28"/>
      <c r="DI1075" s="28"/>
      <c r="DL1075" s="28"/>
      <c r="DO1075" s="28"/>
      <c r="DR1075" s="28"/>
      <c r="DU1075" s="28"/>
      <c r="DX1075" s="28"/>
      <c r="EA1075" s="28"/>
      <c r="ED1075" s="28"/>
      <c r="EG1075" s="28"/>
      <c r="EJ1075" s="28"/>
      <c r="EM1075" s="28"/>
      <c r="EP1075" s="28"/>
      <c r="ES1075" s="28"/>
      <c r="EV1075" s="28"/>
      <c r="EY1075" s="28"/>
      <c r="FB1075" s="28"/>
      <c r="FE1075" s="28"/>
      <c r="FH1075" s="28"/>
      <c r="FK1075" s="28"/>
      <c r="FN1075" s="28"/>
      <c r="FQ1075" s="28"/>
      <c r="FT1075" s="28"/>
      <c r="FW1075" s="28"/>
      <c r="FZ1075" s="28"/>
      <c r="GC1075" s="28"/>
    </row>
    <row r="1076" spans="1:185" s="25" customFormat="1" x14ac:dyDescent="0.3">
      <c r="A1076" s="27"/>
      <c r="B1076" s="28"/>
      <c r="C1076" s="27"/>
      <c r="D1076" s="26"/>
      <c r="E1076" s="28"/>
      <c r="H1076" s="28"/>
      <c r="K1076" s="28"/>
      <c r="N1076" s="28"/>
      <c r="Q1076" s="28"/>
      <c r="T1076" s="28"/>
      <c r="W1076" s="28"/>
      <c r="Z1076" s="28"/>
      <c r="AC1076" s="28"/>
      <c r="AF1076" s="28"/>
      <c r="AI1076" s="28"/>
      <c r="AL1076" s="28"/>
      <c r="AO1076" s="28"/>
      <c r="AR1076" s="28"/>
      <c r="AU1076" s="28"/>
      <c r="AX1076" s="28"/>
      <c r="BA1076" s="28"/>
      <c r="BD1076" s="28"/>
      <c r="BG1076" s="28"/>
      <c r="BJ1076" s="28"/>
      <c r="BM1076" s="28"/>
      <c r="BP1076" s="28"/>
      <c r="BS1076" s="28"/>
      <c r="BV1076" s="28"/>
      <c r="BY1076" s="28"/>
      <c r="CB1076" s="28"/>
      <c r="CE1076" s="28"/>
      <c r="CH1076" s="28"/>
      <c r="CK1076" s="28"/>
      <c r="CN1076" s="28"/>
      <c r="CQ1076" s="28"/>
      <c r="CT1076" s="28"/>
      <c r="CW1076" s="28"/>
      <c r="CZ1076" s="28"/>
      <c r="DC1076" s="28"/>
      <c r="DF1076" s="28"/>
      <c r="DI1076" s="28"/>
      <c r="DL1076" s="28"/>
      <c r="DO1076" s="28"/>
      <c r="DR1076" s="28"/>
      <c r="DU1076" s="28"/>
      <c r="DX1076" s="28"/>
      <c r="EA1076" s="28"/>
      <c r="ED1076" s="28"/>
      <c r="EG1076" s="28"/>
      <c r="EJ1076" s="28"/>
      <c r="EM1076" s="28"/>
      <c r="EP1076" s="28"/>
      <c r="ES1076" s="28"/>
      <c r="EV1076" s="28"/>
      <c r="EY1076" s="28"/>
      <c r="FB1076" s="28"/>
      <c r="FE1076" s="28"/>
      <c r="FH1076" s="28"/>
      <c r="FK1076" s="28"/>
      <c r="FN1076" s="28"/>
      <c r="FQ1076" s="28"/>
      <c r="FT1076" s="28"/>
      <c r="FW1076" s="28"/>
      <c r="FZ1076" s="28"/>
      <c r="GC1076" s="28"/>
    </row>
    <row r="1077" spans="1:185" s="25" customFormat="1" x14ac:dyDescent="0.3">
      <c r="A1077" s="27"/>
      <c r="B1077" s="28"/>
      <c r="C1077" s="27"/>
      <c r="D1077" s="26"/>
      <c r="E1077" s="28"/>
      <c r="H1077" s="28"/>
      <c r="K1077" s="28"/>
      <c r="N1077" s="28"/>
      <c r="Q1077" s="28"/>
      <c r="T1077" s="28"/>
      <c r="W1077" s="28"/>
      <c r="Z1077" s="28"/>
      <c r="AC1077" s="28"/>
      <c r="AF1077" s="28"/>
      <c r="AI1077" s="28"/>
      <c r="AL1077" s="28"/>
      <c r="AO1077" s="28"/>
      <c r="AR1077" s="28"/>
      <c r="AU1077" s="28"/>
      <c r="AX1077" s="28"/>
      <c r="BA1077" s="28"/>
      <c r="BD1077" s="28"/>
      <c r="BG1077" s="28"/>
      <c r="BJ1077" s="28"/>
      <c r="BM1077" s="28"/>
      <c r="BP1077" s="28"/>
      <c r="BS1077" s="28"/>
      <c r="BV1077" s="28"/>
      <c r="BY1077" s="28"/>
      <c r="CB1077" s="28"/>
      <c r="CE1077" s="28"/>
      <c r="CH1077" s="28"/>
      <c r="CK1077" s="28"/>
      <c r="CN1077" s="28"/>
      <c r="CQ1077" s="28"/>
      <c r="CT1077" s="28"/>
      <c r="CW1077" s="28"/>
      <c r="CZ1077" s="28"/>
      <c r="DC1077" s="28"/>
      <c r="DF1077" s="28"/>
      <c r="DI1077" s="28"/>
      <c r="DL1077" s="28"/>
      <c r="DO1077" s="28"/>
      <c r="DR1077" s="28"/>
      <c r="DU1077" s="28"/>
      <c r="DX1077" s="28"/>
      <c r="EA1077" s="28"/>
      <c r="ED1077" s="28"/>
      <c r="EG1077" s="28"/>
      <c r="EJ1077" s="28"/>
      <c r="EM1077" s="28"/>
      <c r="EP1077" s="28"/>
      <c r="ES1077" s="28"/>
      <c r="EV1077" s="28"/>
      <c r="EY1077" s="28"/>
      <c r="FB1077" s="28"/>
      <c r="FE1077" s="28"/>
      <c r="FH1077" s="28"/>
      <c r="FK1077" s="28"/>
      <c r="FN1077" s="28"/>
      <c r="FQ1077" s="28"/>
      <c r="FT1077" s="28"/>
      <c r="FW1077" s="28"/>
      <c r="FZ1077" s="28"/>
      <c r="GC1077" s="28"/>
    </row>
    <row r="1078" spans="1:185" s="25" customFormat="1" x14ac:dyDescent="0.3">
      <c r="A1078" s="27"/>
      <c r="B1078" s="28"/>
      <c r="C1078" s="27"/>
      <c r="D1078" s="26"/>
      <c r="E1078" s="28"/>
      <c r="H1078" s="28"/>
      <c r="K1078" s="28"/>
      <c r="N1078" s="28"/>
      <c r="Q1078" s="28"/>
      <c r="T1078" s="28"/>
      <c r="W1078" s="28"/>
      <c r="Z1078" s="28"/>
      <c r="AC1078" s="28"/>
      <c r="AF1078" s="28"/>
      <c r="AI1078" s="28"/>
      <c r="AL1078" s="28"/>
      <c r="AO1078" s="28"/>
      <c r="AR1078" s="28"/>
      <c r="AU1078" s="28"/>
      <c r="AX1078" s="28"/>
      <c r="BA1078" s="28"/>
      <c r="BD1078" s="28"/>
      <c r="BG1078" s="28"/>
      <c r="BJ1078" s="28"/>
      <c r="BM1078" s="28"/>
      <c r="BP1078" s="28"/>
      <c r="BS1078" s="28"/>
      <c r="BV1078" s="28"/>
      <c r="BY1078" s="28"/>
      <c r="CB1078" s="28"/>
      <c r="CE1078" s="28"/>
      <c r="CH1078" s="28"/>
      <c r="CK1078" s="28"/>
      <c r="CN1078" s="28"/>
      <c r="CQ1078" s="28"/>
      <c r="CT1078" s="28"/>
      <c r="CW1078" s="28"/>
      <c r="CZ1078" s="28"/>
      <c r="DC1078" s="28"/>
      <c r="DF1078" s="28"/>
      <c r="DI1078" s="28"/>
      <c r="DL1078" s="28"/>
      <c r="DO1078" s="28"/>
      <c r="DR1078" s="28"/>
      <c r="DU1078" s="28"/>
      <c r="DX1078" s="28"/>
      <c r="EA1078" s="28"/>
      <c r="ED1078" s="28"/>
      <c r="EG1078" s="28"/>
      <c r="EJ1078" s="28"/>
      <c r="EM1078" s="28"/>
      <c r="EP1078" s="28"/>
      <c r="ES1078" s="28"/>
      <c r="EV1078" s="28"/>
      <c r="EY1078" s="28"/>
      <c r="FB1078" s="28"/>
      <c r="FE1078" s="28"/>
      <c r="FH1078" s="28"/>
      <c r="FK1078" s="28"/>
      <c r="FN1078" s="28"/>
      <c r="FQ1078" s="28"/>
      <c r="FT1078" s="28"/>
      <c r="FW1078" s="28"/>
      <c r="FZ1078" s="28"/>
      <c r="GC1078" s="28"/>
    </row>
    <row r="1079" spans="1:185" s="25" customFormat="1" x14ac:dyDescent="0.3">
      <c r="A1079" s="27"/>
      <c r="B1079" s="28"/>
      <c r="C1079" s="27"/>
      <c r="D1079" s="26"/>
      <c r="E1079" s="28"/>
      <c r="H1079" s="28"/>
      <c r="K1079" s="28"/>
      <c r="N1079" s="28"/>
      <c r="Q1079" s="28"/>
      <c r="T1079" s="28"/>
      <c r="W1079" s="28"/>
      <c r="Z1079" s="28"/>
      <c r="AC1079" s="28"/>
      <c r="AF1079" s="28"/>
      <c r="AI1079" s="28"/>
      <c r="AL1079" s="28"/>
      <c r="AO1079" s="28"/>
      <c r="AR1079" s="28"/>
      <c r="AU1079" s="28"/>
      <c r="AX1079" s="28"/>
      <c r="BA1079" s="28"/>
      <c r="BD1079" s="28"/>
      <c r="BG1079" s="28"/>
      <c r="BJ1079" s="28"/>
      <c r="BM1079" s="28"/>
      <c r="BP1079" s="28"/>
      <c r="BS1079" s="28"/>
      <c r="BV1079" s="28"/>
      <c r="BY1079" s="28"/>
      <c r="CB1079" s="28"/>
      <c r="CE1079" s="28"/>
      <c r="CH1079" s="28"/>
      <c r="CK1079" s="28"/>
      <c r="CN1079" s="28"/>
      <c r="CQ1079" s="28"/>
      <c r="CT1079" s="28"/>
      <c r="CW1079" s="28"/>
      <c r="CZ1079" s="28"/>
      <c r="DC1079" s="28"/>
      <c r="DF1079" s="28"/>
      <c r="DI1079" s="28"/>
      <c r="DL1079" s="28"/>
      <c r="DO1079" s="28"/>
      <c r="DR1079" s="28"/>
      <c r="DU1079" s="28"/>
      <c r="DX1079" s="28"/>
      <c r="EA1079" s="28"/>
      <c r="ED1079" s="28"/>
      <c r="EG1079" s="28"/>
      <c r="EJ1079" s="28"/>
      <c r="EM1079" s="28"/>
      <c r="EP1079" s="28"/>
      <c r="ES1079" s="28"/>
      <c r="EV1079" s="28"/>
      <c r="EY1079" s="28"/>
      <c r="FB1079" s="28"/>
      <c r="FE1079" s="28"/>
      <c r="FH1079" s="28"/>
      <c r="FK1079" s="28"/>
      <c r="FN1079" s="28"/>
      <c r="FQ1079" s="28"/>
      <c r="FT1079" s="28"/>
      <c r="FW1079" s="28"/>
      <c r="FZ1079" s="28"/>
      <c r="GC1079" s="28"/>
    </row>
    <row r="1080" spans="1:185" s="25" customFormat="1" x14ac:dyDescent="0.3">
      <c r="A1080" s="27"/>
      <c r="B1080" s="28"/>
      <c r="C1080" s="27"/>
      <c r="D1080" s="26"/>
      <c r="E1080" s="28"/>
      <c r="H1080" s="28"/>
      <c r="K1080" s="28"/>
      <c r="N1080" s="28"/>
      <c r="Q1080" s="28"/>
      <c r="T1080" s="28"/>
      <c r="W1080" s="28"/>
      <c r="Z1080" s="28"/>
      <c r="AC1080" s="28"/>
      <c r="AF1080" s="28"/>
      <c r="AI1080" s="28"/>
      <c r="AL1080" s="28"/>
      <c r="AO1080" s="28"/>
      <c r="AR1080" s="28"/>
      <c r="AU1080" s="28"/>
      <c r="AX1080" s="28"/>
      <c r="BA1080" s="28"/>
      <c r="BD1080" s="28"/>
      <c r="BG1080" s="28"/>
      <c r="BJ1080" s="28"/>
      <c r="BM1080" s="28"/>
      <c r="BP1080" s="28"/>
      <c r="BS1080" s="28"/>
      <c r="BV1080" s="28"/>
      <c r="BY1080" s="28"/>
      <c r="CB1080" s="28"/>
      <c r="CE1080" s="28"/>
      <c r="CH1080" s="28"/>
      <c r="CK1080" s="28"/>
      <c r="CN1080" s="28"/>
      <c r="CQ1080" s="28"/>
      <c r="CT1080" s="28"/>
      <c r="CW1080" s="28"/>
      <c r="CZ1080" s="28"/>
      <c r="DC1080" s="28"/>
      <c r="DF1080" s="28"/>
      <c r="DI1080" s="28"/>
      <c r="DL1080" s="28"/>
      <c r="DO1080" s="28"/>
      <c r="DR1080" s="28"/>
      <c r="DU1080" s="28"/>
      <c r="DX1080" s="28"/>
      <c r="EA1080" s="28"/>
      <c r="ED1080" s="28"/>
      <c r="EG1080" s="28"/>
      <c r="EJ1080" s="28"/>
      <c r="EM1080" s="28"/>
      <c r="EP1080" s="28"/>
      <c r="ES1080" s="28"/>
      <c r="EV1080" s="28"/>
      <c r="EY1080" s="28"/>
      <c r="FB1080" s="28"/>
      <c r="FE1080" s="28"/>
      <c r="FH1080" s="28"/>
      <c r="FK1080" s="28"/>
      <c r="FN1080" s="28"/>
      <c r="FQ1080" s="28"/>
      <c r="FT1080" s="28"/>
      <c r="FW1080" s="28"/>
      <c r="FZ1080" s="28"/>
      <c r="GC1080" s="28"/>
    </row>
    <row r="1081" spans="1:185" s="25" customFormat="1" x14ac:dyDescent="0.3">
      <c r="A1081" s="27"/>
      <c r="B1081" s="28"/>
      <c r="C1081" s="27"/>
      <c r="D1081" s="26"/>
      <c r="E1081" s="28"/>
      <c r="H1081" s="28"/>
      <c r="K1081" s="28"/>
      <c r="N1081" s="28"/>
      <c r="Q1081" s="28"/>
      <c r="T1081" s="28"/>
      <c r="W1081" s="28"/>
      <c r="Z1081" s="28"/>
      <c r="AC1081" s="28"/>
      <c r="AF1081" s="28"/>
      <c r="AI1081" s="28"/>
      <c r="AL1081" s="28"/>
      <c r="AO1081" s="28"/>
      <c r="AR1081" s="28"/>
      <c r="AU1081" s="28"/>
      <c r="AX1081" s="28"/>
      <c r="BA1081" s="28"/>
      <c r="BD1081" s="28"/>
      <c r="BG1081" s="28"/>
      <c r="BJ1081" s="28"/>
      <c r="BM1081" s="28"/>
      <c r="BP1081" s="28"/>
      <c r="BS1081" s="28"/>
      <c r="BV1081" s="28"/>
      <c r="BY1081" s="28"/>
      <c r="CB1081" s="28"/>
      <c r="CE1081" s="28"/>
      <c r="CH1081" s="28"/>
      <c r="CK1081" s="28"/>
      <c r="CN1081" s="28"/>
      <c r="CQ1081" s="28"/>
      <c r="CT1081" s="28"/>
      <c r="CW1081" s="28"/>
      <c r="CZ1081" s="28"/>
      <c r="DC1081" s="28"/>
      <c r="DF1081" s="28"/>
      <c r="DI1081" s="28"/>
      <c r="DL1081" s="28"/>
      <c r="DO1081" s="28"/>
      <c r="DR1081" s="28"/>
      <c r="DU1081" s="28"/>
      <c r="DX1081" s="28"/>
      <c r="EA1081" s="28"/>
      <c r="ED1081" s="28"/>
      <c r="EG1081" s="28"/>
      <c r="EJ1081" s="28"/>
      <c r="EM1081" s="28"/>
      <c r="EP1081" s="28"/>
      <c r="ES1081" s="28"/>
      <c r="EV1081" s="28"/>
      <c r="EY1081" s="28"/>
      <c r="FB1081" s="28"/>
      <c r="FE1081" s="28"/>
      <c r="FH1081" s="28"/>
      <c r="FK1081" s="28"/>
      <c r="FN1081" s="28"/>
      <c r="FQ1081" s="28"/>
      <c r="FT1081" s="28"/>
      <c r="FW1081" s="28"/>
      <c r="FZ1081" s="28"/>
      <c r="GC1081" s="28"/>
    </row>
    <row r="1082" spans="1:185" s="25" customFormat="1" x14ac:dyDescent="0.3">
      <c r="A1082" s="27"/>
      <c r="B1082" s="28"/>
      <c r="C1082" s="27"/>
      <c r="D1082" s="26"/>
      <c r="E1082" s="28"/>
      <c r="H1082" s="28"/>
      <c r="K1082" s="28"/>
      <c r="N1082" s="28"/>
      <c r="Q1082" s="28"/>
      <c r="T1082" s="28"/>
      <c r="W1082" s="28"/>
      <c r="Z1082" s="28"/>
      <c r="AC1082" s="28"/>
      <c r="AF1082" s="28"/>
      <c r="AI1082" s="28"/>
      <c r="AL1082" s="28"/>
      <c r="AO1082" s="28"/>
      <c r="AR1082" s="28"/>
      <c r="AU1082" s="28"/>
      <c r="AX1082" s="28"/>
      <c r="BA1082" s="28"/>
      <c r="BD1082" s="28"/>
      <c r="BG1082" s="28"/>
      <c r="BJ1082" s="28"/>
      <c r="BM1082" s="28"/>
      <c r="BP1082" s="28"/>
      <c r="BS1082" s="28"/>
      <c r="BV1082" s="28"/>
      <c r="BY1082" s="28"/>
      <c r="CB1082" s="28"/>
      <c r="CE1082" s="28"/>
      <c r="CH1082" s="28"/>
      <c r="CK1082" s="28"/>
      <c r="CN1082" s="28"/>
      <c r="CQ1082" s="28"/>
      <c r="CT1082" s="28"/>
      <c r="CW1082" s="28"/>
      <c r="CZ1082" s="28"/>
      <c r="DC1082" s="28"/>
      <c r="DF1082" s="28"/>
      <c r="DI1082" s="28"/>
      <c r="DL1082" s="28"/>
      <c r="DO1082" s="28"/>
      <c r="DR1082" s="28"/>
      <c r="DU1082" s="28"/>
      <c r="DX1082" s="28"/>
      <c r="EA1082" s="28"/>
      <c r="ED1082" s="28"/>
      <c r="EG1082" s="28"/>
      <c r="EJ1082" s="28"/>
      <c r="EM1082" s="28"/>
      <c r="EP1082" s="28"/>
      <c r="ES1082" s="28"/>
      <c r="EV1082" s="28"/>
      <c r="EY1082" s="28"/>
      <c r="FB1082" s="28"/>
      <c r="FE1082" s="28"/>
      <c r="FH1082" s="28"/>
      <c r="FK1082" s="28"/>
      <c r="FN1082" s="28"/>
      <c r="FQ1082" s="28"/>
      <c r="FT1082" s="28"/>
      <c r="FW1082" s="28"/>
      <c r="FZ1082" s="28"/>
      <c r="GC1082" s="28"/>
    </row>
    <row r="1083" spans="1:185" s="25" customFormat="1" x14ac:dyDescent="0.3">
      <c r="A1083" s="27"/>
      <c r="B1083" s="28"/>
      <c r="C1083" s="27"/>
      <c r="D1083" s="26"/>
      <c r="E1083" s="28"/>
      <c r="H1083" s="28"/>
      <c r="K1083" s="28"/>
      <c r="N1083" s="28"/>
      <c r="Q1083" s="28"/>
      <c r="T1083" s="28"/>
      <c r="W1083" s="28"/>
      <c r="Z1083" s="28"/>
      <c r="AC1083" s="28"/>
      <c r="AF1083" s="28"/>
      <c r="AI1083" s="28"/>
      <c r="AL1083" s="28"/>
      <c r="AO1083" s="28"/>
      <c r="AR1083" s="28"/>
      <c r="AU1083" s="28"/>
      <c r="AX1083" s="28"/>
      <c r="BA1083" s="28"/>
      <c r="BD1083" s="28"/>
      <c r="BG1083" s="28"/>
      <c r="BJ1083" s="28"/>
      <c r="BM1083" s="28"/>
      <c r="BP1083" s="28"/>
      <c r="BS1083" s="28"/>
      <c r="BV1083" s="28"/>
      <c r="BY1083" s="28"/>
      <c r="CB1083" s="28"/>
      <c r="CE1083" s="28"/>
      <c r="CH1083" s="28"/>
      <c r="CK1083" s="28"/>
      <c r="CN1083" s="28"/>
      <c r="CQ1083" s="28"/>
      <c r="CT1083" s="28"/>
      <c r="CW1083" s="28"/>
      <c r="CZ1083" s="28"/>
      <c r="DC1083" s="28"/>
      <c r="DF1083" s="28"/>
      <c r="DI1083" s="28"/>
      <c r="DL1083" s="28"/>
      <c r="DO1083" s="28"/>
      <c r="DR1083" s="28"/>
      <c r="DU1083" s="28"/>
      <c r="DX1083" s="28"/>
      <c r="EA1083" s="28"/>
      <c r="ED1083" s="28"/>
      <c r="EG1083" s="28"/>
      <c r="EJ1083" s="28"/>
      <c r="EM1083" s="28"/>
      <c r="EP1083" s="28"/>
      <c r="ES1083" s="28"/>
      <c r="EV1083" s="28"/>
      <c r="EY1083" s="28"/>
      <c r="FB1083" s="28"/>
      <c r="FE1083" s="28"/>
      <c r="FH1083" s="28"/>
      <c r="FK1083" s="28"/>
      <c r="FN1083" s="28"/>
      <c r="FQ1083" s="28"/>
      <c r="FT1083" s="28"/>
      <c r="FW1083" s="28"/>
      <c r="FZ1083" s="28"/>
      <c r="GC1083" s="28"/>
    </row>
    <row r="1084" spans="1:185" s="25" customFormat="1" x14ac:dyDescent="0.3">
      <c r="A1084" s="27"/>
      <c r="B1084" s="28"/>
      <c r="C1084" s="27"/>
      <c r="D1084" s="26"/>
      <c r="E1084" s="28"/>
      <c r="H1084" s="28"/>
      <c r="K1084" s="28"/>
      <c r="N1084" s="28"/>
      <c r="Q1084" s="28"/>
      <c r="T1084" s="28"/>
      <c r="W1084" s="28"/>
      <c r="Z1084" s="28"/>
      <c r="AC1084" s="28"/>
      <c r="AF1084" s="28"/>
      <c r="AI1084" s="28"/>
      <c r="AL1084" s="28"/>
      <c r="AO1084" s="28"/>
      <c r="AR1084" s="28"/>
      <c r="AU1084" s="28"/>
      <c r="AX1084" s="28"/>
      <c r="BA1084" s="28"/>
      <c r="BD1084" s="28"/>
      <c r="BG1084" s="28"/>
      <c r="BJ1084" s="28"/>
      <c r="BM1084" s="28"/>
      <c r="BP1084" s="28"/>
      <c r="BS1084" s="28"/>
      <c r="BV1084" s="28"/>
      <c r="BY1084" s="28"/>
      <c r="CB1084" s="28"/>
      <c r="CE1084" s="28"/>
      <c r="CH1084" s="28"/>
      <c r="CK1084" s="28"/>
      <c r="CN1084" s="28"/>
      <c r="CQ1084" s="28"/>
      <c r="CT1084" s="28"/>
      <c r="CW1084" s="28"/>
      <c r="CZ1084" s="28"/>
      <c r="DC1084" s="28"/>
      <c r="DF1084" s="28"/>
      <c r="DI1084" s="28"/>
      <c r="DL1084" s="28"/>
      <c r="DO1084" s="28"/>
      <c r="DR1084" s="28"/>
      <c r="DU1084" s="28"/>
      <c r="DX1084" s="28"/>
      <c r="EA1084" s="28"/>
      <c r="ED1084" s="28"/>
      <c r="EG1084" s="28"/>
      <c r="EJ1084" s="28"/>
      <c r="EM1084" s="28"/>
      <c r="EP1084" s="28"/>
      <c r="ES1084" s="28"/>
      <c r="EV1084" s="28"/>
      <c r="EY1084" s="28"/>
      <c r="FB1084" s="28"/>
      <c r="FE1084" s="28"/>
      <c r="FH1084" s="28"/>
      <c r="FK1084" s="28"/>
      <c r="FN1084" s="28"/>
      <c r="FQ1084" s="28"/>
      <c r="FT1084" s="28"/>
      <c r="FW1084" s="28"/>
      <c r="FZ1084" s="28"/>
      <c r="GC1084" s="28"/>
    </row>
    <row r="1085" spans="1:185" s="25" customFormat="1" x14ac:dyDescent="0.3">
      <c r="A1085" s="27"/>
      <c r="B1085" s="28"/>
      <c r="C1085" s="27"/>
      <c r="D1085" s="26"/>
      <c r="E1085" s="28"/>
      <c r="H1085" s="28"/>
      <c r="K1085" s="28"/>
      <c r="N1085" s="28"/>
      <c r="Q1085" s="28"/>
      <c r="T1085" s="28"/>
      <c r="W1085" s="28"/>
      <c r="Z1085" s="28"/>
      <c r="AC1085" s="28"/>
      <c r="AF1085" s="28"/>
      <c r="AI1085" s="28"/>
      <c r="AL1085" s="28"/>
      <c r="AO1085" s="28"/>
      <c r="AR1085" s="28"/>
      <c r="AU1085" s="28"/>
      <c r="AX1085" s="28"/>
      <c r="BA1085" s="28"/>
      <c r="BD1085" s="28"/>
      <c r="BG1085" s="28"/>
      <c r="BJ1085" s="28"/>
      <c r="BM1085" s="28"/>
      <c r="BP1085" s="28"/>
      <c r="BS1085" s="28"/>
      <c r="BV1085" s="28"/>
      <c r="BY1085" s="28"/>
      <c r="CB1085" s="28"/>
      <c r="CE1085" s="28"/>
      <c r="CH1085" s="28"/>
      <c r="CK1085" s="28"/>
      <c r="CN1085" s="28"/>
      <c r="CQ1085" s="28"/>
      <c r="CT1085" s="28"/>
      <c r="CW1085" s="28"/>
      <c r="CZ1085" s="28"/>
      <c r="DC1085" s="28"/>
      <c r="DF1085" s="28"/>
      <c r="DI1085" s="28"/>
      <c r="DL1085" s="28"/>
      <c r="DO1085" s="28"/>
      <c r="DR1085" s="28"/>
      <c r="DU1085" s="28"/>
      <c r="DX1085" s="28"/>
      <c r="EA1085" s="28"/>
      <c r="ED1085" s="28"/>
      <c r="EG1085" s="28"/>
      <c r="EJ1085" s="28"/>
      <c r="EM1085" s="28"/>
      <c r="EP1085" s="28"/>
      <c r="ES1085" s="28"/>
      <c r="EV1085" s="28"/>
      <c r="EY1085" s="28"/>
      <c r="FB1085" s="28"/>
      <c r="FE1085" s="28"/>
      <c r="FH1085" s="28"/>
      <c r="FK1085" s="28"/>
      <c r="FN1085" s="28"/>
      <c r="FQ1085" s="28"/>
      <c r="FT1085" s="28"/>
      <c r="FW1085" s="28"/>
      <c r="FZ1085" s="28"/>
      <c r="GC1085" s="28"/>
    </row>
    <row r="1086" spans="1:185" s="25" customFormat="1" x14ac:dyDescent="0.3">
      <c r="A1086" s="27"/>
      <c r="B1086" s="28"/>
      <c r="C1086" s="27"/>
      <c r="D1086" s="26"/>
      <c r="E1086" s="28"/>
      <c r="H1086" s="28"/>
      <c r="K1086" s="28"/>
      <c r="N1086" s="28"/>
      <c r="Q1086" s="28"/>
      <c r="T1086" s="28"/>
      <c r="W1086" s="28"/>
      <c r="Z1086" s="28"/>
      <c r="AC1086" s="28"/>
      <c r="AF1086" s="28"/>
      <c r="AI1086" s="28"/>
      <c r="AL1086" s="28"/>
      <c r="AO1086" s="28"/>
      <c r="AR1086" s="28"/>
      <c r="AU1086" s="28"/>
      <c r="AX1086" s="28"/>
      <c r="BA1086" s="28"/>
      <c r="BD1086" s="28"/>
      <c r="BG1086" s="28"/>
      <c r="BJ1086" s="28"/>
      <c r="BM1086" s="28"/>
      <c r="BP1086" s="28"/>
      <c r="BS1086" s="28"/>
      <c r="BV1086" s="28"/>
      <c r="BY1086" s="28"/>
      <c r="CB1086" s="28"/>
      <c r="CE1086" s="28"/>
      <c r="CH1086" s="28"/>
      <c r="CK1086" s="28"/>
      <c r="CN1086" s="28"/>
      <c r="CQ1086" s="28"/>
      <c r="CT1086" s="28"/>
      <c r="CW1086" s="28"/>
      <c r="CZ1086" s="28"/>
      <c r="DC1086" s="28"/>
      <c r="DF1086" s="28"/>
      <c r="DI1086" s="28"/>
      <c r="DL1086" s="28"/>
      <c r="DO1086" s="28"/>
      <c r="DR1086" s="28"/>
      <c r="DU1086" s="28"/>
      <c r="DX1086" s="28"/>
      <c r="EA1086" s="28"/>
      <c r="ED1086" s="28"/>
      <c r="EG1086" s="28"/>
      <c r="EJ1086" s="28"/>
      <c r="EM1086" s="28"/>
      <c r="EP1086" s="28"/>
      <c r="ES1086" s="28"/>
      <c r="EV1086" s="28"/>
      <c r="EY1086" s="28"/>
      <c r="FB1086" s="28"/>
      <c r="FE1086" s="28"/>
      <c r="FH1086" s="28"/>
      <c r="FK1086" s="28"/>
      <c r="FN1086" s="28"/>
      <c r="FQ1086" s="28"/>
      <c r="FT1086" s="28"/>
      <c r="FW1086" s="28"/>
      <c r="FZ1086" s="28"/>
      <c r="GC1086" s="28"/>
    </row>
    <row r="1087" spans="1:185" s="25" customFormat="1" x14ac:dyDescent="0.3">
      <c r="A1087" s="27"/>
      <c r="B1087" s="28"/>
      <c r="C1087" s="27"/>
      <c r="D1087" s="26"/>
      <c r="E1087" s="28"/>
      <c r="H1087" s="28"/>
      <c r="K1087" s="28"/>
      <c r="N1087" s="28"/>
      <c r="Q1087" s="28"/>
      <c r="T1087" s="28"/>
      <c r="W1087" s="28"/>
      <c r="Z1087" s="28"/>
      <c r="AC1087" s="28"/>
      <c r="AF1087" s="28"/>
      <c r="AI1087" s="28"/>
      <c r="AL1087" s="28"/>
      <c r="AO1087" s="28"/>
      <c r="AR1087" s="28"/>
      <c r="AU1087" s="28"/>
      <c r="AX1087" s="28"/>
      <c r="BA1087" s="28"/>
      <c r="BD1087" s="28"/>
      <c r="BG1087" s="28"/>
      <c r="BJ1087" s="28"/>
      <c r="BM1087" s="28"/>
      <c r="BP1087" s="28"/>
      <c r="BS1087" s="28"/>
      <c r="BV1087" s="28"/>
      <c r="BY1087" s="28"/>
      <c r="CB1087" s="28"/>
      <c r="CE1087" s="28"/>
      <c r="CH1087" s="28"/>
      <c r="CK1087" s="28"/>
      <c r="CN1087" s="28"/>
      <c r="CQ1087" s="28"/>
      <c r="CT1087" s="28"/>
      <c r="CW1087" s="28"/>
      <c r="CZ1087" s="28"/>
      <c r="DC1087" s="28"/>
      <c r="DF1087" s="28"/>
      <c r="DI1087" s="28"/>
      <c r="DL1087" s="28"/>
      <c r="DO1087" s="28"/>
      <c r="DR1087" s="28"/>
      <c r="DU1087" s="28"/>
      <c r="DX1087" s="28"/>
      <c r="EA1087" s="28"/>
      <c r="ED1087" s="28"/>
      <c r="EG1087" s="28"/>
      <c r="EJ1087" s="28"/>
      <c r="EM1087" s="28"/>
      <c r="EP1087" s="28"/>
      <c r="ES1087" s="28"/>
      <c r="EV1087" s="28"/>
      <c r="EY1087" s="28"/>
      <c r="FB1087" s="28"/>
      <c r="FE1087" s="28"/>
      <c r="FH1087" s="28"/>
      <c r="FK1087" s="28"/>
      <c r="FN1087" s="28"/>
      <c r="FQ1087" s="28"/>
      <c r="FT1087" s="28"/>
      <c r="FW1087" s="28"/>
      <c r="FZ1087" s="28"/>
      <c r="GC1087" s="28"/>
    </row>
    <row r="1088" spans="1:185" s="25" customFormat="1" x14ac:dyDescent="0.3">
      <c r="A1088" s="27"/>
      <c r="B1088" s="28"/>
      <c r="C1088" s="27"/>
      <c r="D1088" s="26"/>
      <c r="E1088" s="28"/>
      <c r="H1088" s="28"/>
      <c r="K1088" s="28"/>
      <c r="N1088" s="28"/>
      <c r="Q1088" s="28"/>
      <c r="T1088" s="28"/>
      <c r="W1088" s="28"/>
      <c r="Z1088" s="28"/>
      <c r="AC1088" s="28"/>
      <c r="AF1088" s="28"/>
      <c r="AI1088" s="28"/>
      <c r="AL1088" s="28"/>
      <c r="AO1088" s="28"/>
      <c r="AR1088" s="28"/>
      <c r="AU1088" s="28"/>
      <c r="AX1088" s="28"/>
      <c r="BA1088" s="28"/>
      <c r="BD1088" s="28"/>
      <c r="BG1088" s="28"/>
      <c r="BJ1088" s="28"/>
      <c r="BM1088" s="28"/>
      <c r="BP1088" s="28"/>
      <c r="BS1088" s="28"/>
      <c r="BV1088" s="28"/>
      <c r="BY1088" s="28"/>
      <c r="CB1088" s="28"/>
      <c r="CE1088" s="28"/>
      <c r="CH1088" s="28"/>
      <c r="CK1088" s="28"/>
      <c r="CN1088" s="28"/>
      <c r="CQ1088" s="28"/>
      <c r="CT1088" s="28"/>
      <c r="CW1088" s="28"/>
      <c r="CZ1088" s="28"/>
      <c r="DC1088" s="28"/>
      <c r="DF1088" s="28"/>
      <c r="DI1088" s="28"/>
      <c r="DL1088" s="28"/>
      <c r="DO1088" s="28"/>
      <c r="DR1088" s="28"/>
      <c r="DU1088" s="28"/>
      <c r="DX1088" s="28"/>
      <c r="EA1088" s="28"/>
      <c r="ED1088" s="28"/>
      <c r="EG1088" s="28"/>
      <c r="EJ1088" s="28"/>
      <c r="EM1088" s="28"/>
      <c r="EP1088" s="28"/>
      <c r="ES1088" s="28"/>
      <c r="EV1088" s="28"/>
      <c r="EY1088" s="28"/>
      <c r="FB1088" s="28"/>
      <c r="FE1088" s="28"/>
      <c r="FH1088" s="28"/>
      <c r="FK1088" s="28"/>
      <c r="FN1088" s="28"/>
      <c r="FQ1088" s="28"/>
      <c r="FT1088" s="28"/>
      <c r="FW1088" s="28"/>
      <c r="FZ1088" s="28"/>
      <c r="GC1088" s="28"/>
    </row>
    <row r="1089" spans="1:185" s="25" customFormat="1" x14ac:dyDescent="0.3">
      <c r="A1089" s="27"/>
      <c r="B1089" s="28"/>
      <c r="C1089" s="27"/>
      <c r="D1089" s="26"/>
      <c r="E1089" s="28"/>
      <c r="H1089" s="28"/>
      <c r="K1089" s="28"/>
      <c r="N1089" s="28"/>
      <c r="Q1089" s="28"/>
      <c r="T1089" s="28"/>
      <c r="W1089" s="28"/>
      <c r="Z1089" s="28"/>
      <c r="AC1089" s="28"/>
      <c r="AF1089" s="28"/>
      <c r="AI1089" s="28"/>
      <c r="AL1089" s="28"/>
      <c r="AO1089" s="28"/>
      <c r="AR1089" s="28"/>
      <c r="AU1089" s="28"/>
      <c r="AX1089" s="28"/>
      <c r="BA1089" s="28"/>
      <c r="BD1089" s="28"/>
      <c r="BG1089" s="28"/>
      <c r="BJ1089" s="28"/>
      <c r="BM1089" s="28"/>
      <c r="BP1089" s="28"/>
      <c r="BS1089" s="28"/>
      <c r="BV1089" s="28"/>
      <c r="BY1089" s="28"/>
      <c r="CB1089" s="28"/>
      <c r="CE1089" s="28"/>
      <c r="CH1089" s="28"/>
      <c r="CK1089" s="28"/>
      <c r="CN1089" s="28"/>
      <c r="CQ1089" s="28"/>
      <c r="CT1089" s="28"/>
      <c r="CW1089" s="28"/>
      <c r="CZ1089" s="28"/>
      <c r="DC1089" s="28"/>
      <c r="DF1089" s="28"/>
      <c r="DI1089" s="28"/>
      <c r="DL1089" s="28"/>
      <c r="DO1089" s="28"/>
      <c r="DR1089" s="28"/>
      <c r="DU1089" s="28"/>
      <c r="DX1089" s="28"/>
      <c r="EA1089" s="28"/>
      <c r="ED1089" s="28"/>
      <c r="EG1089" s="28"/>
      <c r="EJ1089" s="28"/>
      <c r="EM1089" s="28"/>
      <c r="EP1089" s="28"/>
      <c r="ES1089" s="28"/>
      <c r="EV1089" s="28"/>
      <c r="EY1089" s="28"/>
      <c r="FB1089" s="28"/>
      <c r="FE1089" s="28"/>
      <c r="FH1089" s="28"/>
      <c r="FK1089" s="28"/>
      <c r="FN1089" s="28"/>
      <c r="FQ1089" s="28"/>
      <c r="FT1089" s="28"/>
      <c r="FW1089" s="28"/>
      <c r="FZ1089" s="28"/>
      <c r="GC1089" s="28"/>
    </row>
    <row r="1090" spans="1:185" s="25" customFormat="1" x14ac:dyDescent="0.3">
      <c r="A1090" s="27"/>
      <c r="B1090" s="28"/>
      <c r="C1090" s="27"/>
      <c r="D1090" s="26"/>
      <c r="E1090" s="28"/>
      <c r="H1090" s="28"/>
      <c r="K1090" s="28"/>
      <c r="N1090" s="28"/>
      <c r="Q1090" s="28"/>
      <c r="T1090" s="28"/>
      <c r="W1090" s="28"/>
      <c r="Z1090" s="28"/>
      <c r="AC1090" s="28"/>
      <c r="AF1090" s="28"/>
      <c r="AI1090" s="28"/>
      <c r="AL1090" s="28"/>
      <c r="AO1090" s="28"/>
      <c r="AR1090" s="28"/>
      <c r="AU1090" s="28"/>
      <c r="AX1090" s="28"/>
      <c r="BA1090" s="28"/>
      <c r="BD1090" s="28"/>
      <c r="BG1090" s="28"/>
      <c r="BJ1090" s="28"/>
      <c r="BM1090" s="28"/>
      <c r="BP1090" s="28"/>
      <c r="BS1090" s="28"/>
      <c r="BV1090" s="28"/>
      <c r="BY1090" s="28"/>
      <c r="CB1090" s="28"/>
      <c r="CE1090" s="28"/>
      <c r="CH1090" s="28"/>
      <c r="CK1090" s="28"/>
      <c r="CN1090" s="28"/>
      <c r="CQ1090" s="28"/>
      <c r="CT1090" s="28"/>
      <c r="CW1090" s="28"/>
      <c r="CZ1090" s="28"/>
      <c r="DC1090" s="28"/>
      <c r="DF1090" s="28"/>
      <c r="DI1090" s="28"/>
      <c r="DL1090" s="28"/>
      <c r="DO1090" s="28"/>
      <c r="DR1090" s="28"/>
      <c r="DU1090" s="28"/>
      <c r="DX1090" s="28"/>
      <c r="EA1090" s="28"/>
      <c r="ED1090" s="28"/>
      <c r="EG1090" s="28"/>
      <c r="EJ1090" s="28"/>
      <c r="EM1090" s="28"/>
      <c r="EP1090" s="28"/>
      <c r="ES1090" s="28"/>
      <c r="EV1090" s="28"/>
      <c r="EY1090" s="28"/>
      <c r="FB1090" s="28"/>
      <c r="FE1090" s="28"/>
      <c r="FH1090" s="28"/>
      <c r="FK1090" s="28"/>
      <c r="FN1090" s="28"/>
      <c r="FQ1090" s="28"/>
      <c r="FT1090" s="28"/>
      <c r="FW1090" s="28"/>
      <c r="FZ1090" s="28"/>
      <c r="GC1090" s="28"/>
    </row>
    <row r="1091" spans="1:185" s="25" customFormat="1" x14ac:dyDescent="0.3">
      <c r="A1091" s="27"/>
      <c r="B1091" s="28"/>
      <c r="C1091" s="27"/>
      <c r="D1091" s="26"/>
      <c r="E1091" s="28"/>
      <c r="H1091" s="28"/>
      <c r="K1091" s="28"/>
      <c r="N1091" s="28"/>
      <c r="Q1091" s="28"/>
      <c r="T1091" s="28"/>
      <c r="W1091" s="28"/>
      <c r="Z1091" s="28"/>
      <c r="AC1091" s="28"/>
      <c r="AF1091" s="28"/>
      <c r="AI1091" s="28"/>
      <c r="AL1091" s="28"/>
      <c r="AO1091" s="28"/>
      <c r="AR1091" s="28"/>
      <c r="AU1091" s="28"/>
      <c r="AX1091" s="28"/>
      <c r="BA1091" s="28"/>
      <c r="BD1091" s="28"/>
      <c r="BG1091" s="28"/>
      <c r="BJ1091" s="28"/>
      <c r="BM1091" s="28"/>
      <c r="BP1091" s="28"/>
      <c r="BS1091" s="28"/>
      <c r="BV1091" s="28"/>
      <c r="BY1091" s="28"/>
      <c r="CB1091" s="28"/>
      <c r="CE1091" s="28"/>
      <c r="CH1091" s="28"/>
      <c r="CK1091" s="28"/>
      <c r="CN1091" s="28"/>
      <c r="CQ1091" s="28"/>
      <c r="CT1091" s="28"/>
      <c r="CW1091" s="28"/>
      <c r="CZ1091" s="28"/>
      <c r="DC1091" s="28"/>
      <c r="DF1091" s="28"/>
      <c r="DI1091" s="28"/>
      <c r="DL1091" s="28"/>
      <c r="DO1091" s="28"/>
      <c r="DR1091" s="28"/>
      <c r="DU1091" s="28"/>
      <c r="DX1091" s="28"/>
      <c r="EA1091" s="28"/>
      <c r="ED1091" s="28"/>
      <c r="EG1091" s="28"/>
      <c r="EJ1091" s="28"/>
      <c r="EM1091" s="28"/>
      <c r="EP1091" s="28"/>
      <c r="ES1091" s="28"/>
      <c r="EV1091" s="28"/>
      <c r="EY1091" s="28"/>
      <c r="FB1091" s="28"/>
      <c r="FE1091" s="28"/>
      <c r="FH1091" s="28"/>
      <c r="FK1091" s="28"/>
      <c r="FN1091" s="28"/>
      <c r="FQ1091" s="28"/>
      <c r="FT1091" s="28"/>
      <c r="FW1091" s="28"/>
      <c r="FZ1091" s="28"/>
      <c r="GC1091" s="28"/>
    </row>
    <row r="1092" spans="1:185" s="25" customFormat="1" x14ac:dyDescent="0.3">
      <c r="A1092" s="27"/>
      <c r="B1092" s="28"/>
      <c r="C1092" s="27"/>
      <c r="D1092" s="26"/>
      <c r="E1092" s="28"/>
      <c r="H1092" s="28"/>
      <c r="K1092" s="28"/>
      <c r="N1092" s="28"/>
      <c r="Q1092" s="28"/>
      <c r="T1092" s="28"/>
      <c r="W1092" s="28"/>
      <c r="Z1092" s="28"/>
      <c r="AC1092" s="28"/>
      <c r="AF1092" s="28"/>
      <c r="AI1092" s="28"/>
      <c r="AL1092" s="28"/>
      <c r="AO1092" s="28"/>
      <c r="AR1092" s="28"/>
      <c r="AU1092" s="28"/>
      <c r="AX1092" s="28"/>
      <c r="BA1092" s="28"/>
      <c r="BD1092" s="28"/>
      <c r="BG1092" s="28"/>
      <c r="BJ1092" s="28"/>
      <c r="BM1092" s="28"/>
      <c r="BP1092" s="28"/>
      <c r="BS1092" s="28"/>
      <c r="BV1092" s="28"/>
      <c r="BY1092" s="28"/>
      <c r="CB1092" s="28"/>
      <c r="CE1092" s="28"/>
      <c r="CH1092" s="28"/>
      <c r="CK1092" s="28"/>
      <c r="CN1092" s="28"/>
      <c r="CQ1092" s="28"/>
      <c r="CT1092" s="28"/>
      <c r="CW1092" s="28"/>
      <c r="CZ1092" s="28"/>
      <c r="DC1092" s="28"/>
      <c r="DF1092" s="28"/>
      <c r="DI1092" s="28"/>
      <c r="DL1092" s="28"/>
      <c r="DO1092" s="28"/>
      <c r="DR1092" s="28"/>
      <c r="DU1092" s="28"/>
      <c r="DX1092" s="28"/>
      <c r="EA1092" s="28"/>
      <c r="ED1092" s="28"/>
      <c r="EG1092" s="28"/>
      <c r="EJ1092" s="28"/>
      <c r="EM1092" s="28"/>
      <c r="EP1092" s="28"/>
      <c r="ES1092" s="28"/>
      <c r="EV1092" s="28"/>
      <c r="EY1092" s="28"/>
      <c r="FB1092" s="28"/>
      <c r="FE1092" s="28"/>
      <c r="FH1092" s="28"/>
      <c r="FK1092" s="28"/>
      <c r="FN1092" s="28"/>
      <c r="FQ1092" s="28"/>
      <c r="FT1092" s="28"/>
      <c r="FW1092" s="28"/>
      <c r="FZ1092" s="28"/>
      <c r="GC1092" s="28"/>
    </row>
    <row r="1093" spans="1:185" s="25" customFormat="1" x14ac:dyDescent="0.3">
      <c r="A1093" s="27"/>
      <c r="B1093" s="28"/>
      <c r="C1093" s="27"/>
      <c r="D1093" s="26"/>
      <c r="E1093" s="28"/>
      <c r="H1093" s="28"/>
      <c r="K1093" s="28"/>
      <c r="N1093" s="28"/>
      <c r="Q1093" s="28"/>
      <c r="T1093" s="28"/>
      <c r="W1093" s="28"/>
      <c r="Z1093" s="28"/>
      <c r="AC1093" s="28"/>
      <c r="AF1093" s="28"/>
      <c r="AI1093" s="28"/>
      <c r="AL1093" s="28"/>
      <c r="AO1093" s="28"/>
      <c r="AR1093" s="28"/>
      <c r="AU1093" s="28"/>
      <c r="AX1093" s="28"/>
      <c r="BA1093" s="28"/>
      <c r="BD1093" s="28"/>
      <c r="BG1093" s="28"/>
      <c r="BJ1093" s="28"/>
      <c r="BM1093" s="28"/>
      <c r="BP1093" s="28"/>
      <c r="BS1093" s="28"/>
      <c r="BV1093" s="28"/>
      <c r="BY1093" s="28"/>
      <c r="CB1093" s="28"/>
      <c r="CE1093" s="28"/>
      <c r="CH1093" s="28"/>
      <c r="CK1093" s="28"/>
      <c r="CN1093" s="28"/>
      <c r="CQ1093" s="28"/>
      <c r="CT1093" s="28"/>
      <c r="CW1093" s="28"/>
      <c r="CZ1093" s="28"/>
      <c r="DC1093" s="28"/>
      <c r="DF1093" s="28"/>
      <c r="DI1093" s="28"/>
      <c r="DL1093" s="28"/>
      <c r="DO1093" s="28"/>
      <c r="DR1093" s="28"/>
      <c r="DU1093" s="28"/>
      <c r="DX1093" s="28"/>
      <c r="EA1093" s="28"/>
      <c r="ED1093" s="28"/>
      <c r="EG1093" s="28"/>
      <c r="EJ1093" s="28"/>
      <c r="EM1093" s="28"/>
      <c r="EP1093" s="28"/>
      <c r="ES1093" s="28"/>
      <c r="EV1093" s="28"/>
      <c r="EY1093" s="28"/>
      <c r="FB1093" s="28"/>
      <c r="FE1093" s="28"/>
      <c r="FH1093" s="28"/>
      <c r="FK1093" s="28"/>
      <c r="FN1093" s="28"/>
      <c r="FQ1093" s="28"/>
      <c r="FT1093" s="28"/>
      <c r="FW1093" s="28"/>
      <c r="FZ1093" s="28"/>
      <c r="GC1093" s="28"/>
    </row>
    <row r="1094" spans="1:185" s="25" customFormat="1" x14ac:dyDescent="0.3">
      <c r="A1094" s="27"/>
      <c r="B1094" s="28"/>
      <c r="C1094" s="27"/>
      <c r="D1094" s="26"/>
      <c r="E1094" s="28"/>
      <c r="H1094" s="28"/>
      <c r="K1094" s="28"/>
      <c r="N1094" s="28"/>
      <c r="Q1094" s="28"/>
      <c r="T1094" s="28"/>
      <c r="W1094" s="28"/>
      <c r="Z1094" s="28"/>
      <c r="AC1094" s="28"/>
      <c r="AF1094" s="28"/>
      <c r="AI1094" s="28"/>
      <c r="AL1094" s="28"/>
      <c r="AO1094" s="28"/>
      <c r="AR1094" s="28"/>
      <c r="AU1094" s="28"/>
      <c r="AX1094" s="28"/>
      <c r="BA1094" s="28"/>
      <c r="BD1094" s="28"/>
      <c r="BG1094" s="28"/>
      <c r="BJ1094" s="28"/>
      <c r="BM1094" s="28"/>
      <c r="BP1094" s="28"/>
      <c r="BS1094" s="28"/>
      <c r="BV1094" s="28"/>
      <c r="BY1094" s="28"/>
      <c r="CB1094" s="28"/>
      <c r="CE1094" s="28"/>
      <c r="CH1094" s="28"/>
      <c r="CK1094" s="28"/>
      <c r="CN1094" s="28"/>
      <c r="CQ1094" s="28"/>
      <c r="CT1094" s="28"/>
      <c r="CW1094" s="28"/>
      <c r="CZ1094" s="28"/>
      <c r="DC1094" s="28"/>
      <c r="DF1094" s="28"/>
      <c r="DI1094" s="28"/>
      <c r="DL1094" s="28"/>
      <c r="DO1094" s="28"/>
      <c r="DR1094" s="28"/>
      <c r="DU1094" s="28"/>
      <c r="DX1094" s="28"/>
      <c r="EA1094" s="28"/>
      <c r="ED1094" s="28"/>
      <c r="EG1094" s="28"/>
      <c r="EJ1094" s="28"/>
      <c r="EM1094" s="28"/>
      <c r="EP1094" s="28"/>
      <c r="ES1094" s="28"/>
      <c r="EV1094" s="28"/>
      <c r="EY1094" s="28"/>
      <c r="FB1094" s="28"/>
      <c r="FE1094" s="28"/>
      <c r="FH1094" s="28"/>
      <c r="FK1094" s="28"/>
      <c r="FN1094" s="28"/>
      <c r="FQ1094" s="28"/>
      <c r="FT1094" s="28"/>
      <c r="FW1094" s="28"/>
      <c r="FZ1094" s="28"/>
      <c r="GC1094" s="28"/>
    </row>
    <row r="1095" spans="1:185" s="25" customFormat="1" x14ac:dyDescent="0.3">
      <c r="A1095" s="27"/>
      <c r="B1095" s="28"/>
      <c r="C1095" s="27"/>
      <c r="D1095" s="26"/>
      <c r="E1095" s="28"/>
      <c r="H1095" s="28"/>
      <c r="K1095" s="28"/>
      <c r="N1095" s="28"/>
      <c r="Q1095" s="28"/>
      <c r="T1095" s="28"/>
      <c r="W1095" s="28"/>
      <c r="Z1095" s="28"/>
      <c r="AC1095" s="28"/>
      <c r="AF1095" s="28"/>
      <c r="AI1095" s="28"/>
      <c r="AL1095" s="28"/>
      <c r="AO1095" s="28"/>
      <c r="AR1095" s="28"/>
      <c r="AU1095" s="28"/>
      <c r="AX1095" s="28"/>
      <c r="BA1095" s="28"/>
      <c r="BD1095" s="28"/>
      <c r="BG1095" s="28"/>
      <c r="BJ1095" s="28"/>
      <c r="BM1095" s="28"/>
      <c r="BP1095" s="28"/>
      <c r="BS1095" s="28"/>
      <c r="BV1095" s="28"/>
      <c r="BY1095" s="28"/>
      <c r="CB1095" s="28"/>
      <c r="CE1095" s="28"/>
      <c r="CH1095" s="28"/>
      <c r="CK1095" s="28"/>
      <c r="CN1095" s="28"/>
      <c r="CQ1095" s="28"/>
      <c r="CT1095" s="28"/>
      <c r="CW1095" s="28"/>
      <c r="CZ1095" s="28"/>
      <c r="DC1095" s="28"/>
      <c r="DF1095" s="28"/>
      <c r="DI1095" s="28"/>
      <c r="DL1095" s="28"/>
      <c r="DO1095" s="28"/>
      <c r="DR1095" s="28"/>
      <c r="DU1095" s="28"/>
      <c r="DX1095" s="28"/>
      <c r="EA1095" s="28"/>
      <c r="ED1095" s="28"/>
      <c r="EG1095" s="28"/>
      <c r="EJ1095" s="28"/>
      <c r="EM1095" s="28"/>
      <c r="EP1095" s="28"/>
      <c r="ES1095" s="28"/>
      <c r="EV1095" s="28"/>
      <c r="EY1095" s="28"/>
      <c r="FB1095" s="28"/>
      <c r="FE1095" s="28"/>
      <c r="FH1095" s="28"/>
      <c r="FK1095" s="28"/>
      <c r="FN1095" s="28"/>
      <c r="FQ1095" s="28"/>
      <c r="FT1095" s="28"/>
      <c r="FW1095" s="28"/>
      <c r="FZ1095" s="28"/>
      <c r="GC1095" s="28"/>
    </row>
    <row r="1096" spans="1:185" s="25" customFormat="1" x14ac:dyDescent="0.3">
      <c r="A1096" s="27"/>
      <c r="B1096" s="28"/>
      <c r="C1096" s="27"/>
      <c r="D1096" s="26"/>
      <c r="E1096" s="28"/>
      <c r="H1096" s="28"/>
      <c r="K1096" s="28"/>
      <c r="N1096" s="28"/>
      <c r="Q1096" s="28"/>
      <c r="T1096" s="28"/>
      <c r="W1096" s="28"/>
      <c r="Z1096" s="28"/>
      <c r="AC1096" s="28"/>
      <c r="AF1096" s="28"/>
      <c r="AI1096" s="28"/>
      <c r="AL1096" s="28"/>
      <c r="AO1096" s="28"/>
      <c r="AR1096" s="28"/>
      <c r="AU1096" s="28"/>
      <c r="AX1096" s="28"/>
      <c r="BA1096" s="28"/>
      <c r="BD1096" s="28"/>
      <c r="BG1096" s="28"/>
      <c r="BJ1096" s="28"/>
      <c r="BM1096" s="28"/>
      <c r="BP1096" s="28"/>
      <c r="BS1096" s="28"/>
      <c r="BV1096" s="28"/>
      <c r="BY1096" s="28"/>
      <c r="CB1096" s="28"/>
      <c r="CE1096" s="28"/>
      <c r="CH1096" s="28"/>
      <c r="CK1096" s="28"/>
      <c r="CN1096" s="28"/>
      <c r="CQ1096" s="28"/>
      <c r="CT1096" s="28"/>
      <c r="CW1096" s="28"/>
      <c r="CZ1096" s="28"/>
      <c r="DC1096" s="28"/>
      <c r="DF1096" s="28"/>
      <c r="DI1096" s="28"/>
      <c r="DL1096" s="28"/>
      <c r="DO1096" s="28"/>
      <c r="DR1096" s="28"/>
      <c r="DU1096" s="28"/>
      <c r="DX1096" s="28"/>
      <c r="EA1096" s="28"/>
      <c r="ED1096" s="28"/>
      <c r="EG1096" s="28"/>
      <c r="EJ1096" s="28"/>
      <c r="EM1096" s="28"/>
      <c r="EP1096" s="28"/>
      <c r="ES1096" s="28"/>
      <c r="EV1096" s="28"/>
      <c r="EY1096" s="28"/>
      <c r="FB1096" s="28"/>
      <c r="FE1096" s="28"/>
      <c r="FH1096" s="28"/>
      <c r="FK1096" s="28"/>
      <c r="FN1096" s="28"/>
      <c r="FQ1096" s="28"/>
      <c r="FT1096" s="28"/>
      <c r="FW1096" s="28"/>
      <c r="FZ1096" s="28"/>
      <c r="GC1096" s="28"/>
    </row>
    <row r="1097" spans="1:185" s="25" customFormat="1" x14ac:dyDescent="0.3">
      <c r="A1097" s="27"/>
      <c r="B1097" s="28"/>
      <c r="C1097" s="27"/>
      <c r="D1097" s="26"/>
      <c r="E1097" s="28"/>
      <c r="H1097" s="28"/>
      <c r="K1097" s="28"/>
      <c r="N1097" s="28"/>
      <c r="Q1097" s="28"/>
      <c r="T1097" s="28"/>
      <c r="W1097" s="28"/>
      <c r="Z1097" s="28"/>
      <c r="AC1097" s="28"/>
      <c r="AF1097" s="28"/>
      <c r="AI1097" s="28"/>
      <c r="AL1097" s="28"/>
      <c r="AO1097" s="28"/>
      <c r="AR1097" s="28"/>
      <c r="AU1097" s="28"/>
      <c r="AX1097" s="28"/>
      <c r="BA1097" s="28"/>
      <c r="BD1097" s="28"/>
      <c r="BG1097" s="28"/>
      <c r="BJ1097" s="28"/>
      <c r="BM1097" s="28"/>
      <c r="BP1097" s="28"/>
      <c r="BS1097" s="28"/>
      <c r="BV1097" s="28"/>
      <c r="BY1097" s="28"/>
      <c r="CB1097" s="28"/>
      <c r="CE1097" s="28"/>
      <c r="CH1097" s="28"/>
      <c r="CK1097" s="28"/>
      <c r="CN1097" s="28"/>
      <c r="CQ1097" s="28"/>
      <c r="CT1097" s="28"/>
      <c r="CW1097" s="28"/>
      <c r="CZ1097" s="28"/>
      <c r="DC1097" s="28"/>
      <c r="DF1097" s="28"/>
      <c r="DI1097" s="28"/>
      <c r="DL1097" s="28"/>
      <c r="DO1097" s="28"/>
      <c r="DR1097" s="28"/>
      <c r="DU1097" s="28"/>
      <c r="DX1097" s="28"/>
      <c r="EA1097" s="28"/>
      <c r="ED1097" s="28"/>
      <c r="EG1097" s="28"/>
      <c r="EJ1097" s="28"/>
      <c r="EM1097" s="28"/>
      <c r="EP1097" s="28"/>
      <c r="ES1097" s="28"/>
      <c r="EV1097" s="28"/>
      <c r="EY1097" s="28"/>
      <c r="FB1097" s="28"/>
      <c r="FE1097" s="28"/>
      <c r="FH1097" s="28"/>
      <c r="FK1097" s="28"/>
      <c r="FN1097" s="28"/>
      <c r="FQ1097" s="28"/>
      <c r="FT1097" s="28"/>
      <c r="FW1097" s="28"/>
      <c r="FZ1097" s="28"/>
      <c r="GC1097" s="28"/>
    </row>
    <row r="1098" spans="1:185" s="25" customFormat="1" x14ac:dyDescent="0.3">
      <c r="A1098" s="27"/>
      <c r="B1098" s="28"/>
      <c r="C1098" s="27"/>
      <c r="D1098" s="26"/>
      <c r="E1098" s="28"/>
      <c r="H1098" s="28"/>
      <c r="K1098" s="28"/>
      <c r="N1098" s="28"/>
      <c r="Q1098" s="28"/>
      <c r="T1098" s="28"/>
      <c r="W1098" s="28"/>
      <c r="Z1098" s="28"/>
      <c r="AC1098" s="28"/>
      <c r="AF1098" s="28"/>
      <c r="AI1098" s="28"/>
      <c r="AL1098" s="28"/>
      <c r="AO1098" s="28"/>
      <c r="AR1098" s="28"/>
      <c r="AU1098" s="28"/>
      <c r="AX1098" s="28"/>
      <c r="BA1098" s="28"/>
      <c r="BD1098" s="28"/>
      <c r="BG1098" s="28"/>
      <c r="BJ1098" s="28"/>
      <c r="BM1098" s="28"/>
      <c r="BP1098" s="28"/>
      <c r="BS1098" s="28"/>
      <c r="BV1098" s="28"/>
      <c r="BY1098" s="28"/>
      <c r="CB1098" s="28"/>
      <c r="CE1098" s="28"/>
      <c r="CH1098" s="28"/>
      <c r="CK1098" s="28"/>
      <c r="CN1098" s="28"/>
      <c r="CQ1098" s="28"/>
      <c r="CT1098" s="28"/>
      <c r="CW1098" s="28"/>
      <c r="CZ1098" s="28"/>
      <c r="DC1098" s="28"/>
      <c r="DF1098" s="28"/>
      <c r="DI1098" s="28"/>
      <c r="DL1098" s="28"/>
      <c r="DO1098" s="28"/>
      <c r="DR1098" s="28"/>
      <c r="DU1098" s="28"/>
      <c r="DX1098" s="28"/>
      <c r="EA1098" s="28"/>
      <c r="ED1098" s="28"/>
      <c r="EG1098" s="28"/>
      <c r="EJ1098" s="28"/>
      <c r="EM1098" s="28"/>
      <c r="EP1098" s="28"/>
      <c r="ES1098" s="28"/>
      <c r="EV1098" s="28"/>
      <c r="EY1098" s="28"/>
      <c r="FB1098" s="28"/>
      <c r="FE1098" s="28"/>
      <c r="FH1098" s="28"/>
      <c r="FK1098" s="28"/>
      <c r="FN1098" s="28"/>
      <c r="FQ1098" s="28"/>
      <c r="FT1098" s="28"/>
      <c r="FW1098" s="28"/>
      <c r="FZ1098" s="28"/>
      <c r="GC1098" s="28"/>
    </row>
    <row r="1099" spans="1:185" s="25" customFormat="1" x14ac:dyDescent="0.3">
      <c r="A1099" s="27"/>
      <c r="B1099" s="28"/>
      <c r="C1099" s="27"/>
      <c r="D1099" s="26"/>
      <c r="E1099" s="28"/>
      <c r="H1099" s="28"/>
      <c r="K1099" s="28"/>
      <c r="N1099" s="28"/>
      <c r="Q1099" s="28"/>
      <c r="T1099" s="28"/>
      <c r="W1099" s="28"/>
      <c r="Z1099" s="28"/>
      <c r="AC1099" s="28"/>
      <c r="AF1099" s="28"/>
      <c r="AI1099" s="28"/>
      <c r="AL1099" s="28"/>
      <c r="AO1099" s="28"/>
      <c r="AR1099" s="28"/>
      <c r="AU1099" s="28"/>
      <c r="AX1099" s="28"/>
      <c r="BA1099" s="28"/>
      <c r="BD1099" s="28"/>
      <c r="BG1099" s="28"/>
      <c r="BJ1099" s="28"/>
      <c r="BM1099" s="28"/>
      <c r="BP1099" s="28"/>
      <c r="BS1099" s="28"/>
      <c r="BV1099" s="28"/>
      <c r="BY1099" s="28"/>
      <c r="CB1099" s="28"/>
      <c r="CE1099" s="28"/>
      <c r="CH1099" s="28"/>
      <c r="CK1099" s="28"/>
      <c r="CN1099" s="28"/>
      <c r="CQ1099" s="28"/>
      <c r="CT1099" s="28"/>
      <c r="CW1099" s="28"/>
      <c r="CZ1099" s="28"/>
      <c r="DC1099" s="28"/>
      <c r="DF1099" s="28"/>
      <c r="DI1099" s="28"/>
      <c r="DL1099" s="28"/>
      <c r="DO1099" s="28"/>
      <c r="DR1099" s="28"/>
      <c r="DU1099" s="28"/>
      <c r="DX1099" s="28"/>
      <c r="EA1099" s="28"/>
      <c r="ED1099" s="28"/>
      <c r="EG1099" s="28"/>
      <c r="EJ1099" s="28"/>
      <c r="EM1099" s="28"/>
      <c r="EP1099" s="28"/>
      <c r="ES1099" s="28"/>
      <c r="EV1099" s="28"/>
      <c r="EY1099" s="28"/>
      <c r="FB1099" s="28"/>
      <c r="FE1099" s="28"/>
      <c r="FH1099" s="28"/>
      <c r="FK1099" s="28"/>
      <c r="FN1099" s="28"/>
      <c r="FQ1099" s="28"/>
      <c r="FT1099" s="28"/>
      <c r="FW1099" s="28"/>
      <c r="FZ1099" s="28"/>
      <c r="GC1099" s="28"/>
    </row>
    <row r="1100" spans="1:185" s="25" customFormat="1" x14ac:dyDescent="0.3">
      <c r="A1100" s="27"/>
      <c r="B1100" s="28"/>
      <c r="C1100" s="27"/>
      <c r="D1100" s="26"/>
      <c r="E1100" s="28"/>
      <c r="H1100" s="28"/>
      <c r="K1100" s="28"/>
      <c r="N1100" s="28"/>
      <c r="Q1100" s="28"/>
      <c r="T1100" s="28"/>
      <c r="W1100" s="28"/>
      <c r="Z1100" s="28"/>
      <c r="AC1100" s="28"/>
      <c r="AF1100" s="28"/>
      <c r="AI1100" s="28"/>
      <c r="AL1100" s="28"/>
      <c r="AO1100" s="28"/>
      <c r="AR1100" s="28"/>
      <c r="AU1100" s="28"/>
      <c r="AX1100" s="28"/>
      <c r="BA1100" s="28"/>
      <c r="BD1100" s="28"/>
      <c r="BG1100" s="28"/>
      <c r="BJ1100" s="28"/>
      <c r="BM1100" s="28"/>
      <c r="BP1100" s="28"/>
      <c r="BS1100" s="28"/>
      <c r="BV1100" s="28"/>
      <c r="BY1100" s="28"/>
      <c r="CB1100" s="28"/>
      <c r="CE1100" s="28"/>
      <c r="CH1100" s="28"/>
      <c r="CK1100" s="28"/>
      <c r="CN1100" s="28"/>
      <c r="CQ1100" s="28"/>
      <c r="CT1100" s="28"/>
      <c r="CW1100" s="28"/>
      <c r="CZ1100" s="28"/>
      <c r="DC1100" s="28"/>
      <c r="DF1100" s="28"/>
      <c r="DI1100" s="28"/>
      <c r="DL1100" s="28"/>
      <c r="DO1100" s="28"/>
      <c r="DR1100" s="28"/>
      <c r="DU1100" s="28"/>
      <c r="DX1100" s="28"/>
      <c r="EA1100" s="28"/>
      <c r="ED1100" s="28"/>
      <c r="EG1100" s="28"/>
      <c r="EJ1100" s="28"/>
      <c r="EM1100" s="28"/>
      <c r="EP1100" s="28"/>
      <c r="ES1100" s="28"/>
      <c r="EV1100" s="28"/>
      <c r="EY1100" s="28"/>
      <c r="FB1100" s="28"/>
      <c r="FE1100" s="28"/>
      <c r="FH1100" s="28"/>
      <c r="FK1100" s="28"/>
      <c r="FN1100" s="28"/>
      <c r="FQ1100" s="28"/>
      <c r="FT1100" s="28"/>
      <c r="FW1100" s="28"/>
      <c r="FZ1100" s="28"/>
      <c r="GC1100" s="28"/>
    </row>
    <row r="1101" spans="1:185" s="25" customFormat="1" x14ac:dyDescent="0.3">
      <c r="A1101" s="27"/>
      <c r="B1101" s="28"/>
      <c r="C1101" s="27"/>
      <c r="D1101" s="26"/>
      <c r="E1101" s="28"/>
      <c r="H1101" s="28"/>
      <c r="K1101" s="28"/>
      <c r="N1101" s="28"/>
      <c r="Q1101" s="28"/>
      <c r="T1101" s="28"/>
      <c r="W1101" s="28"/>
      <c r="Z1101" s="28"/>
      <c r="AC1101" s="28"/>
      <c r="AF1101" s="28"/>
      <c r="AI1101" s="28"/>
      <c r="AL1101" s="28"/>
      <c r="AO1101" s="28"/>
      <c r="AR1101" s="28"/>
      <c r="AU1101" s="28"/>
      <c r="AX1101" s="28"/>
      <c r="BA1101" s="28"/>
      <c r="BD1101" s="28"/>
      <c r="BG1101" s="28"/>
      <c r="BJ1101" s="28"/>
      <c r="BM1101" s="28"/>
      <c r="BP1101" s="28"/>
      <c r="BS1101" s="28"/>
      <c r="BV1101" s="28"/>
      <c r="BY1101" s="28"/>
      <c r="CB1101" s="28"/>
      <c r="CE1101" s="28"/>
      <c r="CH1101" s="28"/>
      <c r="CK1101" s="28"/>
      <c r="CN1101" s="28"/>
      <c r="CQ1101" s="28"/>
      <c r="CT1101" s="28"/>
      <c r="CW1101" s="28"/>
      <c r="CZ1101" s="28"/>
      <c r="DC1101" s="28"/>
      <c r="DF1101" s="28"/>
      <c r="DI1101" s="28"/>
      <c r="DL1101" s="28"/>
      <c r="DO1101" s="28"/>
      <c r="DR1101" s="28"/>
      <c r="DU1101" s="28"/>
      <c r="DX1101" s="28"/>
      <c r="EA1101" s="28"/>
      <c r="ED1101" s="28"/>
      <c r="EG1101" s="28"/>
      <c r="EJ1101" s="28"/>
      <c r="EM1101" s="28"/>
      <c r="EP1101" s="28"/>
      <c r="ES1101" s="28"/>
      <c r="EV1101" s="28"/>
      <c r="EY1101" s="28"/>
      <c r="FB1101" s="28"/>
      <c r="FE1101" s="28"/>
      <c r="FH1101" s="28"/>
      <c r="FK1101" s="28"/>
      <c r="FN1101" s="28"/>
      <c r="FQ1101" s="28"/>
      <c r="FT1101" s="28"/>
      <c r="FW1101" s="28"/>
      <c r="FZ1101" s="28"/>
      <c r="GC1101" s="28"/>
    </row>
    <row r="1102" spans="1:185" s="25" customFormat="1" x14ac:dyDescent="0.3">
      <c r="A1102" s="27"/>
      <c r="B1102" s="28"/>
      <c r="C1102" s="27"/>
      <c r="D1102" s="26"/>
      <c r="E1102" s="28"/>
      <c r="H1102" s="28"/>
      <c r="K1102" s="28"/>
      <c r="N1102" s="28"/>
      <c r="Q1102" s="28"/>
      <c r="T1102" s="28"/>
      <c r="W1102" s="28"/>
      <c r="Z1102" s="28"/>
      <c r="AC1102" s="28"/>
      <c r="AF1102" s="28"/>
      <c r="AI1102" s="28"/>
      <c r="AL1102" s="28"/>
      <c r="AO1102" s="28"/>
      <c r="AR1102" s="28"/>
      <c r="AU1102" s="28"/>
      <c r="AX1102" s="28"/>
      <c r="BA1102" s="28"/>
      <c r="BD1102" s="28"/>
      <c r="BG1102" s="28"/>
      <c r="BJ1102" s="28"/>
      <c r="BM1102" s="28"/>
      <c r="BP1102" s="28"/>
      <c r="BS1102" s="28"/>
      <c r="BV1102" s="28"/>
      <c r="BY1102" s="28"/>
      <c r="CB1102" s="28"/>
      <c r="CE1102" s="28"/>
      <c r="CH1102" s="28"/>
      <c r="CK1102" s="28"/>
      <c r="CN1102" s="28"/>
      <c r="CQ1102" s="28"/>
      <c r="CT1102" s="28"/>
      <c r="CW1102" s="28"/>
      <c r="CZ1102" s="28"/>
      <c r="DC1102" s="28"/>
      <c r="DF1102" s="28"/>
      <c r="DI1102" s="28"/>
      <c r="DL1102" s="28"/>
      <c r="DO1102" s="28"/>
      <c r="DR1102" s="28"/>
      <c r="DU1102" s="28"/>
      <c r="DX1102" s="28"/>
      <c r="EA1102" s="28"/>
      <c r="ED1102" s="28"/>
      <c r="EG1102" s="28"/>
      <c r="EJ1102" s="28"/>
      <c r="EM1102" s="28"/>
      <c r="EP1102" s="28"/>
      <c r="ES1102" s="28"/>
      <c r="EV1102" s="28"/>
      <c r="EY1102" s="28"/>
      <c r="FB1102" s="28"/>
      <c r="FE1102" s="28"/>
      <c r="FH1102" s="28"/>
      <c r="FK1102" s="28"/>
      <c r="FN1102" s="28"/>
      <c r="FQ1102" s="28"/>
      <c r="FT1102" s="28"/>
      <c r="FW1102" s="28"/>
      <c r="FZ1102" s="28"/>
      <c r="GC1102" s="28"/>
    </row>
    <row r="1103" spans="1:185" s="25" customFormat="1" x14ac:dyDescent="0.3">
      <c r="A1103" s="27"/>
      <c r="B1103" s="28"/>
      <c r="C1103" s="27"/>
      <c r="D1103" s="26"/>
      <c r="E1103" s="28"/>
      <c r="H1103" s="28"/>
      <c r="K1103" s="28"/>
      <c r="N1103" s="28"/>
      <c r="Q1103" s="28"/>
      <c r="T1103" s="28"/>
      <c r="W1103" s="28"/>
      <c r="Z1103" s="28"/>
      <c r="AC1103" s="28"/>
      <c r="AF1103" s="28"/>
      <c r="AI1103" s="28"/>
      <c r="AL1103" s="28"/>
      <c r="AO1103" s="28"/>
      <c r="AR1103" s="28"/>
      <c r="AU1103" s="28"/>
      <c r="AX1103" s="28"/>
      <c r="BA1103" s="28"/>
      <c r="BD1103" s="28"/>
      <c r="BG1103" s="28"/>
      <c r="BJ1103" s="28"/>
      <c r="BM1103" s="28"/>
      <c r="BP1103" s="28"/>
      <c r="BS1103" s="28"/>
      <c r="BV1103" s="28"/>
      <c r="BY1103" s="28"/>
      <c r="CB1103" s="28"/>
      <c r="CE1103" s="28"/>
      <c r="CH1103" s="28"/>
      <c r="CK1103" s="28"/>
      <c r="CN1103" s="28"/>
      <c r="CQ1103" s="28"/>
      <c r="CT1103" s="28"/>
      <c r="CW1103" s="28"/>
      <c r="CZ1103" s="28"/>
      <c r="DC1103" s="28"/>
      <c r="DF1103" s="28"/>
      <c r="DI1103" s="28"/>
      <c r="DL1103" s="28"/>
      <c r="DO1103" s="28"/>
      <c r="DR1103" s="28"/>
      <c r="DU1103" s="28"/>
      <c r="DX1103" s="28"/>
      <c r="EA1103" s="28"/>
      <c r="ED1103" s="28"/>
      <c r="EG1103" s="28"/>
      <c r="EJ1103" s="28"/>
      <c r="EM1103" s="28"/>
      <c r="EP1103" s="28"/>
      <c r="ES1103" s="28"/>
      <c r="EV1103" s="28"/>
      <c r="EY1103" s="28"/>
      <c r="FB1103" s="28"/>
      <c r="FE1103" s="28"/>
      <c r="FH1103" s="28"/>
      <c r="FK1103" s="28"/>
      <c r="FN1103" s="28"/>
      <c r="FQ1103" s="28"/>
      <c r="FT1103" s="28"/>
      <c r="FW1103" s="28"/>
      <c r="FZ1103" s="28"/>
      <c r="GC1103" s="28"/>
    </row>
    <row r="1104" spans="1:185" s="25" customFormat="1" x14ac:dyDescent="0.3">
      <c r="A1104" s="27"/>
      <c r="B1104" s="28"/>
      <c r="C1104" s="27"/>
      <c r="D1104" s="26"/>
      <c r="E1104" s="28"/>
      <c r="H1104" s="28"/>
      <c r="K1104" s="28"/>
      <c r="N1104" s="28"/>
      <c r="Q1104" s="28"/>
      <c r="T1104" s="28"/>
      <c r="W1104" s="28"/>
      <c r="Z1104" s="28"/>
      <c r="AC1104" s="28"/>
      <c r="AF1104" s="28"/>
      <c r="AI1104" s="28"/>
      <c r="AL1104" s="28"/>
      <c r="AO1104" s="28"/>
      <c r="AR1104" s="28"/>
      <c r="AU1104" s="28"/>
      <c r="AX1104" s="28"/>
      <c r="BA1104" s="28"/>
      <c r="BD1104" s="28"/>
      <c r="BG1104" s="28"/>
      <c r="BJ1104" s="28"/>
      <c r="BM1104" s="28"/>
      <c r="BP1104" s="28"/>
      <c r="BS1104" s="28"/>
      <c r="BV1104" s="28"/>
      <c r="BY1104" s="28"/>
      <c r="CB1104" s="28"/>
      <c r="CE1104" s="28"/>
      <c r="CH1104" s="28"/>
      <c r="CK1104" s="28"/>
      <c r="CN1104" s="28"/>
      <c r="CQ1104" s="28"/>
      <c r="CT1104" s="28"/>
      <c r="CW1104" s="28"/>
      <c r="CZ1104" s="28"/>
      <c r="DC1104" s="28"/>
      <c r="DF1104" s="28"/>
      <c r="DI1104" s="28"/>
      <c r="DL1104" s="28"/>
      <c r="DO1104" s="28"/>
      <c r="DR1104" s="28"/>
      <c r="DU1104" s="28"/>
      <c r="DX1104" s="28"/>
      <c r="EA1104" s="28"/>
      <c r="ED1104" s="28"/>
      <c r="EG1104" s="28"/>
      <c r="EJ1104" s="28"/>
      <c r="EM1104" s="28"/>
      <c r="EP1104" s="28"/>
      <c r="ES1104" s="28"/>
      <c r="EV1104" s="28"/>
      <c r="EY1104" s="28"/>
      <c r="FB1104" s="28"/>
      <c r="FE1104" s="28"/>
      <c r="FH1104" s="28"/>
      <c r="FK1104" s="28"/>
      <c r="FN1104" s="28"/>
      <c r="FQ1104" s="28"/>
      <c r="FT1104" s="28"/>
      <c r="FW1104" s="28"/>
      <c r="FZ1104" s="28"/>
      <c r="GC1104" s="28"/>
    </row>
    <row r="1105" spans="1:185" s="25" customFormat="1" x14ac:dyDescent="0.3">
      <c r="A1105" s="27"/>
      <c r="B1105" s="28"/>
      <c r="C1105" s="27"/>
      <c r="D1105" s="26"/>
      <c r="E1105" s="28"/>
      <c r="H1105" s="28"/>
      <c r="K1105" s="28"/>
      <c r="N1105" s="28"/>
      <c r="Q1105" s="28"/>
      <c r="T1105" s="28"/>
      <c r="W1105" s="28"/>
      <c r="Z1105" s="28"/>
      <c r="AC1105" s="28"/>
      <c r="AF1105" s="28"/>
      <c r="AI1105" s="28"/>
      <c r="AL1105" s="28"/>
      <c r="AO1105" s="28"/>
      <c r="AR1105" s="28"/>
      <c r="AU1105" s="28"/>
      <c r="AX1105" s="28"/>
      <c r="BA1105" s="28"/>
      <c r="BD1105" s="28"/>
      <c r="BG1105" s="28"/>
      <c r="BJ1105" s="28"/>
      <c r="BM1105" s="28"/>
      <c r="BP1105" s="28"/>
      <c r="BS1105" s="28"/>
      <c r="BV1105" s="28"/>
      <c r="BY1105" s="28"/>
      <c r="CB1105" s="28"/>
      <c r="CE1105" s="28"/>
      <c r="CH1105" s="28"/>
      <c r="CK1105" s="28"/>
      <c r="CN1105" s="28"/>
      <c r="CQ1105" s="28"/>
      <c r="CT1105" s="28"/>
      <c r="CW1105" s="28"/>
      <c r="CZ1105" s="28"/>
      <c r="DC1105" s="28"/>
      <c r="DF1105" s="28"/>
      <c r="DI1105" s="28"/>
      <c r="DL1105" s="28"/>
      <c r="DO1105" s="28"/>
      <c r="DR1105" s="28"/>
      <c r="DU1105" s="28"/>
      <c r="DX1105" s="28"/>
      <c r="EA1105" s="28"/>
      <c r="ED1105" s="28"/>
      <c r="EG1105" s="28"/>
      <c r="EJ1105" s="28"/>
      <c r="EM1105" s="28"/>
      <c r="EP1105" s="28"/>
      <c r="ES1105" s="28"/>
      <c r="EV1105" s="28"/>
      <c r="EY1105" s="28"/>
      <c r="FB1105" s="28"/>
      <c r="FE1105" s="28"/>
      <c r="FH1105" s="28"/>
      <c r="FK1105" s="28"/>
      <c r="FN1105" s="28"/>
      <c r="FQ1105" s="28"/>
      <c r="FT1105" s="28"/>
      <c r="FW1105" s="28"/>
      <c r="FZ1105" s="28"/>
      <c r="GC1105" s="28"/>
    </row>
    <row r="1106" spans="1:185" s="25" customFormat="1" x14ac:dyDescent="0.3">
      <c r="A1106" s="27"/>
      <c r="B1106" s="28"/>
      <c r="C1106" s="27"/>
      <c r="D1106" s="26"/>
      <c r="E1106" s="28"/>
      <c r="H1106" s="28"/>
      <c r="K1106" s="28"/>
      <c r="N1106" s="28"/>
      <c r="Q1106" s="28"/>
      <c r="T1106" s="28"/>
      <c r="W1106" s="28"/>
      <c r="Z1106" s="28"/>
      <c r="AC1106" s="28"/>
      <c r="AF1106" s="28"/>
      <c r="AI1106" s="28"/>
      <c r="AL1106" s="28"/>
      <c r="AO1106" s="28"/>
      <c r="AR1106" s="28"/>
      <c r="AU1106" s="28"/>
      <c r="AX1106" s="28"/>
      <c r="BA1106" s="28"/>
      <c r="BD1106" s="28"/>
      <c r="BG1106" s="28"/>
      <c r="BJ1106" s="28"/>
      <c r="BM1106" s="28"/>
      <c r="BP1106" s="28"/>
      <c r="BS1106" s="28"/>
      <c r="BV1106" s="28"/>
      <c r="BY1106" s="28"/>
      <c r="CB1106" s="28"/>
      <c r="CE1106" s="28"/>
      <c r="CH1106" s="28"/>
      <c r="CK1106" s="28"/>
      <c r="CN1106" s="28"/>
      <c r="CQ1106" s="28"/>
      <c r="CT1106" s="28"/>
      <c r="CW1106" s="28"/>
      <c r="CZ1106" s="28"/>
      <c r="DC1106" s="28"/>
      <c r="DF1106" s="28"/>
      <c r="DI1106" s="28"/>
      <c r="DL1106" s="28"/>
      <c r="DO1106" s="28"/>
      <c r="DR1106" s="28"/>
      <c r="DU1106" s="28"/>
      <c r="DX1106" s="28"/>
      <c r="EA1106" s="28"/>
      <c r="ED1106" s="28"/>
      <c r="EG1106" s="28"/>
      <c r="EJ1106" s="28"/>
      <c r="EM1106" s="28"/>
      <c r="EP1106" s="28"/>
      <c r="ES1106" s="28"/>
      <c r="EV1106" s="28"/>
      <c r="EY1106" s="28"/>
      <c r="FB1106" s="28"/>
      <c r="FE1106" s="28"/>
      <c r="FH1106" s="28"/>
      <c r="FK1106" s="28"/>
      <c r="FN1106" s="28"/>
      <c r="FQ1106" s="28"/>
      <c r="FT1106" s="28"/>
      <c r="FW1106" s="28"/>
      <c r="FZ1106" s="28"/>
      <c r="GC1106" s="28"/>
    </row>
    <row r="1107" spans="1:185" s="25" customFormat="1" x14ac:dyDescent="0.3">
      <c r="A1107" s="27"/>
      <c r="B1107" s="28"/>
      <c r="C1107" s="27"/>
      <c r="D1107" s="26"/>
      <c r="E1107" s="28"/>
      <c r="H1107" s="28"/>
      <c r="K1107" s="28"/>
      <c r="N1107" s="28"/>
      <c r="Q1107" s="28"/>
      <c r="T1107" s="28"/>
      <c r="W1107" s="28"/>
      <c r="Z1107" s="28"/>
      <c r="AC1107" s="28"/>
      <c r="AF1107" s="28"/>
      <c r="AI1107" s="28"/>
      <c r="AL1107" s="28"/>
      <c r="AO1107" s="28"/>
      <c r="AR1107" s="28"/>
      <c r="AU1107" s="28"/>
      <c r="AX1107" s="28"/>
      <c r="BA1107" s="28"/>
      <c r="BD1107" s="28"/>
      <c r="BG1107" s="28"/>
      <c r="BJ1107" s="28"/>
      <c r="BM1107" s="28"/>
      <c r="BP1107" s="28"/>
      <c r="BS1107" s="28"/>
      <c r="BV1107" s="28"/>
      <c r="BY1107" s="28"/>
      <c r="CB1107" s="28"/>
      <c r="CE1107" s="28"/>
      <c r="CH1107" s="28"/>
      <c r="CK1107" s="28"/>
      <c r="CN1107" s="28"/>
      <c r="CQ1107" s="28"/>
      <c r="CT1107" s="28"/>
      <c r="CW1107" s="28"/>
      <c r="CZ1107" s="28"/>
      <c r="DC1107" s="28"/>
      <c r="DF1107" s="28"/>
      <c r="DI1107" s="28"/>
      <c r="DL1107" s="28"/>
      <c r="DO1107" s="28"/>
      <c r="DR1107" s="28"/>
      <c r="DU1107" s="28"/>
      <c r="DX1107" s="28"/>
      <c r="EA1107" s="28"/>
      <c r="ED1107" s="28"/>
      <c r="EG1107" s="28"/>
      <c r="EJ1107" s="28"/>
      <c r="EM1107" s="28"/>
      <c r="EP1107" s="28"/>
      <c r="ES1107" s="28"/>
      <c r="EV1107" s="28"/>
      <c r="EY1107" s="28"/>
      <c r="FB1107" s="28"/>
      <c r="FE1107" s="28"/>
      <c r="FH1107" s="28"/>
      <c r="FK1107" s="28"/>
      <c r="FN1107" s="28"/>
      <c r="FQ1107" s="28"/>
      <c r="FT1107" s="28"/>
      <c r="FW1107" s="28"/>
      <c r="FZ1107" s="28"/>
      <c r="GC1107" s="28"/>
    </row>
    <row r="1108" spans="1:185" s="25" customFormat="1" x14ac:dyDescent="0.3">
      <c r="A1108" s="27"/>
      <c r="B1108" s="28"/>
      <c r="C1108" s="27"/>
      <c r="D1108" s="26"/>
      <c r="E1108" s="28"/>
      <c r="H1108" s="28"/>
      <c r="K1108" s="28"/>
      <c r="N1108" s="28"/>
      <c r="Q1108" s="28"/>
      <c r="T1108" s="28"/>
      <c r="W1108" s="28"/>
      <c r="Z1108" s="28"/>
      <c r="AC1108" s="28"/>
      <c r="AF1108" s="28"/>
      <c r="AI1108" s="28"/>
      <c r="AL1108" s="28"/>
      <c r="AO1108" s="28"/>
      <c r="AR1108" s="28"/>
      <c r="AU1108" s="28"/>
      <c r="AX1108" s="28"/>
      <c r="BA1108" s="28"/>
      <c r="BD1108" s="28"/>
      <c r="BG1108" s="28"/>
      <c r="BJ1108" s="28"/>
      <c r="BM1108" s="28"/>
      <c r="BP1108" s="28"/>
      <c r="BS1108" s="28"/>
      <c r="BV1108" s="28"/>
      <c r="BY1108" s="28"/>
      <c r="CB1108" s="28"/>
      <c r="CE1108" s="28"/>
      <c r="CH1108" s="28"/>
      <c r="CK1108" s="28"/>
      <c r="CN1108" s="28"/>
      <c r="CQ1108" s="28"/>
      <c r="CT1108" s="28"/>
      <c r="CW1108" s="28"/>
      <c r="CZ1108" s="28"/>
      <c r="DC1108" s="28"/>
      <c r="DF1108" s="28"/>
      <c r="DI1108" s="28"/>
      <c r="DL1108" s="28"/>
      <c r="DO1108" s="28"/>
      <c r="DR1108" s="28"/>
      <c r="DU1108" s="28"/>
      <c r="DX1108" s="28"/>
      <c r="EA1108" s="28"/>
      <c r="ED1108" s="28"/>
      <c r="EG1108" s="28"/>
      <c r="EJ1108" s="28"/>
      <c r="EM1108" s="28"/>
      <c r="EP1108" s="28"/>
      <c r="ES1108" s="28"/>
      <c r="EV1108" s="28"/>
      <c r="EY1108" s="28"/>
      <c r="FB1108" s="28"/>
      <c r="FE1108" s="28"/>
      <c r="FH1108" s="28"/>
      <c r="FK1108" s="28"/>
      <c r="FN1108" s="28"/>
      <c r="FQ1108" s="28"/>
      <c r="FT1108" s="28"/>
      <c r="FW1108" s="28"/>
      <c r="FZ1108" s="28"/>
      <c r="GC1108" s="28"/>
    </row>
    <row r="1109" spans="1:185" s="25" customFormat="1" x14ac:dyDescent="0.3">
      <c r="A1109" s="27"/>
      <c r="B1109" s="28"/>
      <c r="C1109" s="27"/>
      <c r="D1109" s="26"/>
      <c r="E1109" s="28"/>
      <c r="H1109" s="28"/>
      <c r="K1109" s="28"/>
      <c r="N1109" s="28"/>
      <c r="Q1109" s="28"/>
      <c r="T1109" s="28"/>
      <c r="W1109" s="28"/>
      <c r="Z1109" s="28"/>
      <c r="AC1109" s="28"/>
      <c r="AF1109" s="28"/>
      <c r="AI1109" s="28"/>
      <c r="AL1109" s="28"/>
      <c r="AO1109" s="28"/>
      <c r="AR1109" s="28"/>
      <c r="AU1109" s="28"/>
      <c r="AX1109" s="28"/>
      <c r="BA1109" s="28"/>
      <c r="BD1109" s="28"/>
      <c r="BG1109" s="28"/>
      <c r="BJ1109" s="28"/>
      <c r="BM1109" s="28"/>
      <c r="BP1109" s="28"/>
      <c r="BS1109" s="28"/>
      <c r="BV1109" s="28"/>
      <c r="BY1109" s="28"/>
      <c r="CB1109" s="28"/>
      <c r="CE1109" s="28"/>
      <c r="CH1109" s="28"/>
      <c r="CK1109" s="28"/>
      <c r="CN1109" s="28"/>
      <c r="CQ1109" s="28"/>
      <c r="CT1109" s="28"/>
      <c r="CW1109" s="28"/>
      <c r="CZ1109" s="28"/>
      <c r="DC1109" s="28"/>
      <c r="DF1109" s="28"/>
      <c r="DI1109" s="28"/>
      <c r="DL1109" s="28"/>
      <c r="DO1109" s="28"/>
      <c r="DR1109" s="28"/>
      <c r="DU1109" s="28"/>
      <c r="DX1109" s="28"/>
      <c r="EA1109" s="28"/>
      <c r="ED1109" s="28"/>
      <c r="EG1109" s="28"/>
      <c r="EJ1109" s="28"/>
      <c r="EM1109" s="28"/>
      <c r="EP1109" s="28"/>
      <c r="ES1109" s="28"/>
      <c r="EV1109" s="28"/>
      <c r="EY1109" s="28"/>
      <c r="FB1109" s="28"/>
      <c r="FE1109" s="28"/>
      <c r="FH1109" s="28"/>
      <c r="FK1109" s="28"/>
      <c r="FN1109" s="28"/>
      <c r="FQ1109" s="28"/>
      <c r="FT1109" s="28"/>
      <c r="FW1109" s="28"/>
      <c r="FZ1109" s="28"/>
      <c r="GC1109" s="28"/>
    </row>
    <row r="1110" spans="1:185" s="25" customFormat="1" x14ac:dyDescent="0.3">
      <c r="A1110" s="27"/>
      <c r="B1110" s="28"/>
      <c r="C1110" s="27"/>
      <c r="D1110" s="26"/>
      <c r="E1110" s="28"/>
      <c r="H1110" s="28"/>
      <c r="K1110" s="28"/>
      <c r="N1110" s="28"/>
      <c r="Q1110" s="28"/>
      <c r="T1110" s="28"/>
      <c r="W1110" s="28"/>
      <c r="Z1110" s="28"/>
      <c r="AC1110" s="28"/>
      <c r="AF1110" s="28"/>
      <c r="AI1110" s="28"/>
      <c r="AL1110" s="28"/>
      <c r="AO1110" s="28"/>
      <c r="AR1110" s="28"/>
      <c r="AU1110" s="28"/>
      <c r="AX1110" s="28"/>
      <c r="BA1110" s="28"/>
      <c r="BD1110" s="28"/>
      <c r="BG1110" s="28"/>
      <c r="BJ1110" s="28"/>
      <c r="BM1110" s="28"/>
      <c r="BP1110" s="28"/>
      <c r="BS1110" s="28"/>
      <c r="BV1110" s="28"/>
      <c r="BY1110" s="28"/>
      <c r="CB1110" s="28"/>
      <c r="CE1110" s="28"/>
      <c r="CH1110" s="28"/>
      <c r="CK1110" s="28"/>
      <c r="CN1110" s="28"/>
      <c r="CQ1110" s="28"/>
      <c r="CT1110" s="28"/>
      <c r="CW1110" s="28"/>
      <c r="CZ1110" s="28"/>
      <c r="DC1110" s="28"/>
      <c r="DF1110" s="28"/>
      <c r="DI1110" s="28"/>
      <c r="DL1110" s="28"/>
      <c r="DO1110" s="28"/>
      <c r="DR1110" s="28"/>
      <c r="DU1110" s="28"/>
      <c r="DX1110" s="28"/>
      <c r="EA1110" s="28"/>
      <c r="ED1110" s="28"/>
      <c r="EG1110" s="28"/>
      <c r="EJ1110" s="28"/>
      <c r="EM1110" s="28"/>
      <c r="EP1110" s="28"/>
      <c r="ES1110" s="28"/>
      <c r="EV1110" s="28"/>
      <c r="EY1110" s="28"/>
      <c r="FB1110" s="28"/>
      <c r="FE1110" s="28"/>
      <c r="FH1110" s="28"/>
      <c r="FK1110" s="28"/>
      <c r="FN1110" s="28"/>
      <c r="FQ1110" s="28"/>
      <c r="FT1110" s="28"/>
      <c r="FW1110" s="28"/>
      <c r="FZ1110" s="28"/>
      <c r="GC1110" s="28"/>
    </row>
    <row r="1111" spans="1:185" s="25" customFormat="1" x14ac:dyDescent="0.3">
      <c r="A1111" s="27"/>
      <c r="B1111" s="28"/>
      <c r="C1111" s="27"/>
      <c r="D1111" s="26"/>
      <c r="E1111" s="28"/>
      <c r="H1111" s="28"/>
      <c r="K1111" s="28"/>
      <c r="N1111" s="28"/>
      <c r="Q1111" s="28"/>
      <c r="T1111" s="28"/>
      <c r="W1111" s="28"/>
      <c r="Z1111" s="28"/>
      <c r="AC1111" s="28"/>
      <c r="AF1111" s="28"/>
      <c r="AI1111" s="28"/>
      <c r="AL1111" s="28"/>
      <c r="AO1111" s="28"/>
      <c r="AR1111" s="28"/>
      <c r="AU1111" s="28"/>
      <c r="AX1111" s="28"/>
      <c r="BA1111" s="28"/>
      <c r="BD1111" s="28"/>
      <c r="BG1111" s="28"/>
      <c r="BJ1111" s="28"/>
      <c r="BM1111" s="28"/>
      <c r="BP1111" s="28"/>
      <c r="BS1111" s="28"/>
      <c r="BV1111" s="28"/>
      <c r="BY1111" s="28"/>
      <c r="CB1111" s="28"/>
      <c r="CE1111" s="28"/>
      <c r="CH1111" s="28"/>
      <c r="CK1111" s="28"/>
      <c r="CN1111" s="28"/>
      <c r="CQ1111" s="28"/>
      <c r="CT1111" s="28"/>
      <c r="CW1111" s="28"/>
      <c r="CZ1111" s="28"/>
      <c r="DC1111" s="28"/>
      <c r="DF1111" s="28"/>
      <c r="DI1111" s="28"/>
      <c r="DL1111" s="28"/>
      <c r="DO1111" s="28"/>
      <c r="DR1111" s="28"/>
      <c r="DU1111" s="28"/>
      <c r="DX1111" s="28"/>
      <c r="EA1111" s="28"/>
      <c r="ED1111" s="28"/>
      <c r="EG1111" s="28"/>
      <c r="EJ1111" s="28"/>
      <c r="EM1111" s="28"/>
      <c r="EP1111" s="28"/>
      <c r="ES1111" s="28"/>
      <c r="EV1111" s="28"/>
      <c r="EY1111" s="28"/>
      <c r="FB1111" s="28"/>
      <c r="FE1111" s="28"/>
      <c r="FH1111" s="28"/>
      <c r="FK1111" s="28"/>
      <c r="FN1111" s="28"/>
      <c r="FQ1111" s="28"/>
      <c r="FT1111" s="28"/>
      <c r="FW1111" s="28"/>
      <c r="FZ1111" s="28"/>
      <c r="GC1111" s="28"/>
    </row>
    <row r="1112" spans="1:185" s="25" customFormat="1" x14ac:dyDescent="0.3">
      <c r="A1112" s="27"/>
      <c r="B1112" s="28"/>
      <c r="C1112" s="27"/>
      <c r="D1112" s="26"/>
      <c r="E1112" s="28"/>
      <c r="H1112" s="28"/>
      <c r="K1112" s="28"/>
      <c r="N1112" s="28"/>
      <c r="Q1112" s="28"/>
      <c r="T1112" s="28"/>
      <c r="W1112" s="28"/>
      <c r="Z1112" s="28"/>
      <c r="AC1112" s="28"/>
      <c r="AF1112" s="28"/>
      <c r="AI1112" s="28"/>
      <c r="AL1112" s="28"/>
      <c r="AO1112" s="28"/>
      <c r="AR1112" s="28"/>
      <c r="AU1112" s="28"/>
      <c r="AX1112" s="28"/>
      <c r="BA1112" s="28"/>
      <c r="BD1112" s="28"/>
      <c r="BG1112" s="28"/>
      <c r="BJ1112" s="28"/>
      <c r="BM1112" s="28"/>
      <c r="BP1112" s="28"/>
      <c r="BS1112" s="28"/>
      <c r="BV1112" s="28"/>
      <c r="BY1112" s="28"/>
      <c r="CB1112" s="28"/>
      <c r="CE1112" s="28"/>
      <c r="CH1112" s="28"/>
      <c r="CK1112" s="28"/>
      <c r="CN1112" s="28"/>
      <c r="CQ1112" s="28"/>
      <c r="CT1112" s="28"/>
      <c r="CW1112" s="28"/>
      <c r="CZ1112" s="28"/>
      <c r="DC1112" s="28"/>
      <c r="DF1112" s="28"/>
      <c r="DI1112" s="28"/>
      <c r="DL1112" s="28"/>
      <c r="DO1112" s="28"/>
      <c r="DR1112" s="28"/>
      <c r="DU1112" s="28"/>
      <c r="DX1112" s="28"/>
      <c r="EA1112" s="28"/>
      <c r="ED1112" s="28"/>
      <c r="EG1112" s="28"/>
      <c r="EJ1112" s="28"/>
      <c r="EM1112" s="28"/>
      <c r="EP1112" s="28"/>
      <c r="ES1112" s="28"/>
      <c r="EV1112" s="28"/>
      <c r="EY1112" s="28"/>
      <c r="FB1112" s="28"/>
      <c r="FE1112" s="28"/>
      <c r="FH1112" s="28"/>
      <c r="FK1112" s="28"/>
      <c r="FN1112" s="28"/>
      <c r="FQ1112" s="28"/>
      <c r="FT1112" s="28"/>
      <c r="FW1112" s="28"/>
      <c r="FZ1112" s="28"/>
      <c r="GC1112" s="28"/>
    </row>
    <row r="1113" spans="1:185" s="25" customFormat="1" x14ac:dyDescent="0.3">
      <c r="A1113" s="27"/>
      <c r="B1113" s="28"/>
      <c r="C1113" s="27"/>
      <c r="D1113" s="26"/>
      <c r="E1113" s="28"/>
      <c r="H1113" s="28"/>
      <c r="K1113" s="28"/>
      <c r="N1113" s="28"/>
      <c r="Q1113" s="28"/>
      <c r="T1113" s="28"/>
      <c r="W1113" s="28"/>
      <c r="Z1113" s="28"/>
      <c r="AC1113" s="28"/>
      <c r="AF1113" s="28"/>
      <c r="AI1113" s="28"/>
      <c r="AL1113" s="28"/>
      <c r="AO1113" s="28"/>
      <c r="AR1113" s="28"/>
      <c r="AU1113" s="28"/>
      <c r="AX1113" s="28"/>
      <c r="BA1113" s="28"/>
      <c r="BD1113" s="28"/>
      <c r="BG1113" s="28"/>
      <c r="BJ1113" s="28"/>
      <c r="BM1113" s="28"/>
      <c r="BP1113" s="28"/>
      <c r="BS1113" s="28"/>
      <c r="BV1113" s="28"/>
      <c r="BY1113" s="28"/>
      <c r="CB1113" s="28"/>
      <c r="CE1113" s="28"/>
      <c r="CH1113" s="28"/>
      <c r="CK1113" s="28"/>
      <c r="CN1113" s="28"/>
      <c r="CQ1113" s="28"/>
      <c r="CT1113" s="28"/>
      <c r="CW1113" s="28"/>
      <c r="CZ1113" s="28"/>
      <c r="DC1113" s="28"/>
      <c r="DF1113" s="28"/>
      <c r="DI1113" s="28"/>
      <c r="DL1113" s="28"/>
      <c r="DO1113" s="28"/>
      <c r="DR1113" s="28"/>
      <c r="DU1113" s="28"/>
      <c r="DX1113" s="28"/>
      <c r="EA1113" s="28"/>
      <c r="ED1113" s="28"/>
      <c r="EG1113" s="28"/>
      <c r="EJ1113" s="28"/>
      <c r="EM1113" s="28"/>
      <c r="EP1113" s="28"/>
      <c r="ES1113" s="28"/>
      <c r="EV1113" s="28"/>
      <c r="EY1113" s="28"/>
      <c r="FB1113" s="28"/>
      <c r="FE1113" s="28"/>
      <c r="FH1113" s="28"/>
      <c r="FK1113" s="28"/>
      <c r="FN1113" s="28"/>
      <c r="FQ1113" s="28"/>
      <c r="FT1113" s="28"/>
      <c r="FW1113" s="28"/>
      <c r="FZ1113" s="28"/>
      <c r="GC1113" s="28"/>
    </row>
    <row r="1114" spans="1:185" s="25" customFormat="1" x14ac:dyDescent="0.3">
      <c r="A1114" s="27"/>
      <c r="B1114" s="28"/>
      <c r="C1114" s="27"/>
      <c r="D1114" s="26"/>
      <c r="E1114" s="28"/>
      <c r="H1114" s="28"/>
      <c r="K1114" s="28"/>
      <c r="N1114" s="28"/>
      <c r="Q1114" s="28"/>
      <c r="T1114" s="28"/>
      <c r="W1114" s="28"/>
      <c r="Z1114" s="28"/>
      <c r="AC1114" s="28"/>
      <c r="AF1114" s="28"/>
      <c r="AI1114" s="28"/>
      <c r="AL1114" s="28"/>
      <c r="AO1114" s="28"/>
      <c r="AR1114" s="28"/>
      <c r="AU1114" s="28"/>
      <c r="AX1114" s="28"/>
      <c r="BA1114" s="28"/>
      <c r="BD1114" s="28"/>
      <c r="BG1114" s="28"/>
      <c r="BJ1114" s="28"/>
      <c r="BM1114" s="28"/>
      <c r="BP1114" s="28"/>
      <c r="BS1114" s="28"/>
      <c r="BV1114" s="28"/>
      <c r="BY1114" s="28"/>
      <c r="CB1114" s="28"/>
      <c r="CE1114" s="28"/>
      <c r="CH1114" s="28"/>
      <c r="CK1114" s="28"/>
      <c r="CN1114" s="28"/>
      <c r="CQ1114" s="28"/>
      <c r="CT1114" s="28"/>
      <c r="CW1114" s="28"/>
      <c r="CZ1114" s="28"/>
      <c r="DC1114" s="28"/>
      <c r="DF1114" s="28"/>
      <c r="DI1114" s="28"/>
      <c r="DL1114" s="28"/>
      <c r="DO1114" s="28"/>
      <c r="DR1114" s="28"/>
      <c r="DU1114" s="28"/>
      <c r="DX1114" s="28"/>
      <c r="EA1114" s="28"/>
      <c r="ED1114" s="28"/>
      <c r="EG1114" s="28"/>
      <c r="EJ1114" s="28"/>
      <c r="EM1114" s="28"/>
      <c r="EP1114" s="28"/>
      <c r="ES1114" s="28"/>
      <c r="EV1114" s="28"/>
      <c r="EY1114" s="28"/>
      <c r="FB1114" s="28"/>
      <c r="FE1114" s="28"/>
      <c r="FH1114" s="28"/>
      <c r="FK1114" s="28"/>
      <c r="FN1114" s="28"/>
      <c r="FQ1114" s="28"/>
      <c r="FT1114" s="28"/>
      <c r="FW1114" s="28"/>
      <c r="FZ1114" s="28"/>
      <c r="GC1114" s="28"/>
    </row>
    <row r="1115" spans="1:185" s="25" customFormat="1" x14ac:dyDescent="0.3">
      <c r="A1115" s="27"/>
      <c r="B1115" s="28"/>
      <c r="C1115" s="27"/>
      <c r="D1115" s="26"/>
      <c r="E1115" s="28"/>
      <c r="H1115" s="28"/>
      <c r="K1115" s="28"/>
      <c r="N1115" s="28"/>
      <c r="Q1115" s="28"/>
      <c r="T1115" s="28"/>
      <c r="W1115" s="28"/>
      <c r="Z1115" s="28"/>
      <c r="AC1115" s="28"/>
      <c r="AF1115" s="28"/>
      <c r="AI1115" s="28"/>
      <c r="AL1115" s="28"/>
      <c r="AO1115" s="28"/>
      <c r="AR1115" s="28"/>
      <c r="AU1115" s="28"/>
      <c r="AX1115" s="28"/>
      <c r="BA1115" s="28"/>
      <c r="BD1115" s="28"/>
      <c r="BG1115" s="28"/>
      <c r="BJ1115" s="28"/>
      <c r="BM1115" s="28"/>
      <c r="BP1115" s="28"/>
      <c r="BS1115" s="28"/>
      <c r="BV1115" s="28"/>
      <c r="BY1115" s="28"/>
      <c r="CB1115" s="28"/>
      <c r="CE1115" s="28"/>
      <c r="CH1115" s="28"/>
      <c r="CK1115" s="28"/>
      <c r="CN1115" s="28"/>
      <c r="CQ1115" s="28"/>
      <c r="CT1115" s="28"/>
      <c r="CW1115" s="28"/>
      <c r="CZ1115" s="28"/>
      <c r="DC1115" s="28"/>
      <c r="DF1115" s="28"/>
      <c r="DI1115" s="28"/>
      <c r="DL1115" s="28"/>
      <c r="DO1115" s="28"/>
      <c r="DR1115" s="28"/>
      <c r="DU1115" s="28"/>
      <c r="DX1115" s="28"/>
      <c r="EA1115" s="28"/>
      <c r="ED1115" s="28"/>
      <c r="EG1115" s="28"/>
      <c r="EJ1115" s="28"/>
      <c r="EM1115" s="28"/>
      <c r="EP1115" s="28"/>
      <c r="ES1115" s="28"/>
      <c r="EV1115" s="28"/>
      <c r="EY1115" s="28"/>
      <c r="FB1115" s="28"/>
      <c r="FE1115" s="28"/>
      <c r="FH1115" s="28"/>
      <c r="FK1115" s="28"/>
      <c r="FN1115" s="28"/>
      <c r="FQ1115" s="28"/>
      <c r="FT1115" s="28"/>
      <c r="FW1115" s="28"/>
      <c r="FZ1115" s="28"/>
      <c r="GC1115" s="28"/>
    </row>
    <row r="1116" spans="1:185" s="25" customFormat="1" x14ac:dyDescent="0.3">
      <c r="A1116" s="27"/>
      <c r="B1116" s="28"/>
      <c r="C1116" s="27"/>
      <c r="D1116" s="26"/>
      <c r="E1116" s="28"/>
      <c r="H1116" s="28"/>
      <c r="K1116" s="28"/>
      <c r="N1116" s="28"/>
      <c r="Q1116" s="28"/>
      <c r="T1116" s="28"/>
      <c r="W1116" s="28"/>
      <c r="Z1116" s="28"/>
      <c r="AC1116" s="28"/>
      <c r="AF1116" s="28"/>
      <c r="AI1116" s="28"/>
      <c r="AL1116" s="28"/>
      <c r="AO1116" s="28"/>
      <c r="AR1116" s="28"/>
      <c r="AU1116" s="28"/>
      <c r="AX1116" s="28"/>
      <c r="BA1116" s="28"/>
      <c r="BD1116" s="28"/>
      <c r="BG1116" s="28"/>
      <c r="BJ1116" s="28"/>
      <c r="BM1116" s="28"/>
      <c r="BP1116" s="28"/>
      <c r="BS1116" s="28"/>
      <c r="BV1116" s="28"/>
      <c r="BY1116" s="28"/>
      <c r="CB1116" s="28"/>
      <c r="CE1116" s="28"/>
      <c r="CH1116" s="28"/>
      <c r="CK1116" s="28"/>
      <c r="CN1116" s="28"/>
      <c r="CQ1116" s="28"/>
      <c r="CT1116" s="28"/>
      <c r="CW1116" s="28"/>
      <c r="CZ1116" s="28"/>
      <c r="DC1116" s="28"/>
      <c r="DF1116" s="28"/>
      <c r="DI1116" s="28"/>
      <c r="DL1116" s="28"/>
      <c r="DO1116" s="28"/>
      <c r="DR1116" s="28"/>
      <c r="DU1116" s="28"/>
      <c r="DX1116" s="28"/>
      <c r="EA1116" s="28"/>
      <c r="ED1116" s="28"/>
      <c r="EG1116" s="28"/>
      <c r="EJ1116" s="28"/>
      <c r="EM1116" s="28"/>
      <c r="EP1116" s="28"/>
      <c r="ES1116" s="28"/>
      <c r="EV1116" s="28"/>
      <c r="EY1116" s="28"/>
      <c r="FB1116" s="28"/>
      <c r="FE1116" s="28"/>
      <c r="FH1116" s="28"/>
      <c r="FK1116" s="28"/>
      <c r="FN1116" s="28"/>
      <c r="FQ1116" s="28"/>
      <c r="FT1116" s="28"/>
      <c r="FW1116" s="28"/>
      <c r="FZ1116" s="28"/>
      <c r="GC1116" s="28"/>
    </row>
    <row r="1117" spans="1:185" s="25" customFormat="1" x14ac:dyDescent="0.3">
      <c r="A1117" s="27"/>
      <c r="B1117" s="28"/>
      <c r="C1117" s="27"/>
      <c r="D1117" s="26"/>
      <c r="E1117" s="28"/>
      <c r="H1117" s="28"/>
      <c r="K1117" s="28"/>
      <c r="N1117" s="28"/>
      <c r="Q1117" s="28"/>
      <c r="T1117" s="28"/>
      <c r="W1117" s="28"/>
      <c r="Z1117" s="28"/>
      <c r="AC1117" s="28"/>
      <c r="AF1117" s="28"/>
      <c r="AI1117" s="28"/>
      <c r="AL1117" s="28"/>
      <c r="AO1117" s="28"/>
      <c r="AR1117" s="28"/>
      <c r="AU1117" s="28"/>
      <c r="AX1117" s="28"/>
      <c r="BA1117" s="28"/>
      <c r="BD1117" s="28"/>
      <c r="BG1117" s="28"/>
      <c r="BJ1117" s="28"/>
      <c r="BM1117" s="28"/>
      <c r="BP1117" s="28"/>
      <c r="BS1117" s="28"/>
      <c r="BV1117" s="28"/>
      <c r="BY1117" s="28"/>
      <c r="CB1117" s="28"/>
      <c r="CE1117" s="28"/>
      <c r="CH1117" s="28"/>
      <c r="CK1117" s="28"/>
      <c r="CN1117" s="28"/>
      <c r="CQ1117" s="28"/>
      <c r="CT1117" s="28"/>
      <c r="CW1117" s="28"/>
      <c r="CZ1117" s="28"/>
      <c r="DC1117" s="28"/>
      <c r="DF1117" s="28"/>
      <c r="DI1117" s="28"/>
      <c r="DL1117" s="28"/>
      <c r="DO1117" s="28"/>
      <c r="DR1117" s="28"/>
      <c r="DU1117" s="28"/>
      <c r="DX1117" s="28"/>
      <c r="EA1117" s="28"/>
      <c r="ED1117" s="28"/>
      <c r="EG1117" s="28"/>
      <c r="EJ1117" s="28"/>
      <c r="EM1117" s="28"/>
      <c r="EP1117" s="28"/>
      <c r="ES1117" s="28"/>
      <c r="EV1117" s="28"/>
      <c r="EY1117" s="28"/>
      <c r="FB1117" s="28"/>
      <c r="FE1117" s="28"/>
      <c r="FH1117" s="28"/>
      <c r="FK1117" s="28"/>
      <c r="FN1117" s="28"/>
      <c r="FQ1117" s="28"/>
      <c r="FT1117" s="28"/>
      <c r="FW1117" s="28"/>
      <c r="FZ1117" s="28"/>
      <c r="GC1117" s="28"/>
    </row>
    <row r="1118" spans="1:185" s="25" customFormat="1" x14ac:dyDescent="0.3">
      <c r="A1118" s="27"/>
      <c r="B1118" s="28"/>
      <c r="C1118" s="27"/>
      <c r="D1118" s="26"/>
      <c r="E1118" s="28"/>
      <c r="H1118" s="28"/>
      <c r="K1118" s="28"/>
      <c r="N1118" s="28"/>
      <c r="Q1118" s="28"/>
      <c r="T1118" s="28"/>
      <c r="W1118" s="28"/>
      <c r="Z1118" s="28"/>
      <c r="AC1118" s="28"/>
      <c r="AF1118" s="28"/>
      <c r="AI1118" s="28"/>
      <c r="AL1118" s="28"/>
      <c r="AO1118" s="28"/>
      <c r="AR1118" s="28"/>
      <c r="AU1118" s="28"/>
      <c r="AX1118" s="28"/>
      <c r="BA1118" s="28"/>
      <c r="BD1118" s="28"/>
      <c r="BG1118" s="28"/>
      <c r="BJ1118" s="28"/>
      <c r="BM1118" s="28"/>
      <c r="BP1118" s="28"/>
      <c r="BS1118" s="28"/>
      <c r="BV1118" s="28"/>
      <c r="BY1118" s="28"/>
      <c r="CB1118" s="28"/>
      <c r="CE1118" s="28"/>
      <c r="CH1118" s="28"/>
      <c r="CK1118" s="28"/>
      <c r="CN1118" s="28"/>
      <c r="CQ1118" s="28"/>
      <c r="CT1118" s="28"/>
      <c r="CW1118" s="28"/>
      <c r="CZ1118" s="28"/>
      <c r="DC1118" s="28"/>
      <c r="DF1118" s="28"/>
      <c r="DI1118" s="28"/>
      <c r="DL1118" s="28"/>
      <c r="DO1118" s="28"/>
      <c r="DR1118" s="28"/>
      <c r="DU1118" s="28"/>
      <c r="DX1118" s="28"/>
      <c r="EA1118" s="28"/>
      <c r="ED1118" s="28"/>
      <c r="EG1118" s="28"/>
      <c r="EJ1118" s="28"/>
      <c r="EM1118" s="28"/>
      <c r="EP1118" s="28"/>
      <c r="ES1118" s="28"/>
      <c r="EV1118" s="28"/>
      <c r="EY1118" s="28"/>
      <c r="FB1118" s="28"/>
      <c r="FE1118" s="28"/>
      <c r="FH1118" s="28"/>
      <c r="FK1118" s="28"/>
      <c r="FN1118" s="28"/>
      <c r="FQ1118" s="28"/>
      <c r="FT1118" s="28"/>
      <c r="FW1118" s="28"/>
      <c r="FZ1118" s="28"/>
      <c r="GC1118" s="28"/>
    </row>
    <row r="1119" spans="1:185" s="25" customFormat="1" x14ac:dyDescent="0.3">
      <c r="A1119" s="27"/>
      <c r="B1119" s="28"/>
      <c r="C1119" s="27"/>
      <c r="D1119" s="26"/>
      <c r="E1119" s="28"/>
      <c r="H1119" s="28"/>
      <c r="K1119" s="28"/>
      <c r="N1119" s="28"/>
      <c r="Q1119" s="28"/>
      <c r="T1119" s="28"/>
      <c r="W1119" s="28"/>
      <c r="Z1119" s="28"/>
      <c r="AC1119" s="28"/>
      <c r="AF1119" s="28"/>
      <c r="AI1119" s="28"/>
      <c r="AL1119" s="28"/>
      <c r="AO1119" s="28"/>
      <c r="AR1119" s="28"/>
      <c r="AU1119" s="28"/>
      <c r="AX1119" s="28"/>
      <c r="BA1119" s="28"/>
      <c r="BD1119" s="28"/>
      <c r="BG1119" s="28"/>
      <c r="BJ1119" s="28"/>
      <c r="BM1119" s="28"/>
      <c r="BP1119" s="28"/>
      <c r="BS1119" s="28"/>
      <c r="BV1119" s="28"/>
      <c r="BY1119" s="28"/>
      <c r="CB1119" s="28"/>
      <c r="CE1119" s="28"/>
      <c r="CH1119" s="28"/>
      <c r="CK1119" s="28"/>
      <c r="CN1119" s="28"/>
      <c r="CQ1119" s="28"/>
      <c r="CT1119" s="28"/>
      <c r="CW1119" s="28"/>
      <c r="CZ1119" s="28"/>
      <c r="DC1119" s="28"/>
      <c r="DF1119" s="28"/>
      <c r="DI1119" s="28"/>
      <c r="DL1119" s="28"/>
      <c r="DO1119" s="28"/>
      <c r="DR1119" s="28"/>
      <c r="DU1119" s="28"/>
      <c r="DX1119" s="28"/>
      <c r="EA1119" s="28"/>
      <c r="ED1119" s="28"/>
      <c r="EG1119" s="28"/>
      <c r="EJ1119" s="28"/>
      <c r="EM1119" s="28"/>
      <c r="EP1119" s="28"/>
      <c r="ES1119" s="28"/>
      <c r="EV1119" s="28"/>
      <c r="EY1119" s="28"/>
      <c r="FB1119" s="28"/>
      <c r="FE1119" s="28"/>
      <c r="FH1119" s="28"/>
      <c r="FK1119" s="28"/>
      <c r="FN1119" s="28"/>
      <c r="FQ1119" s="28"/>
      <c r="FT1119" s="28"/>
      <c r="FW1119" s="28"/>
      <c r="FZ1119" s="28"/>
      <c r="GC1119" s="28"/>
    </row>
    <row r="1120" spans="1:185" s="25" customFormat="1" x14ac:dyDescent="0.3">
      <c r="A1120" s="27"/>
      <c r="B1120" s="28"/>
      <c r="C1120" s="27"/>
      <c r="D1120" s="26"/>
      <c r="E1120" s="28"/>
      <c r="H1120" s="28"/>
      <c r="K1120" s="28"/>
      <c r="N1120" s="28"/>
      <c r="Q1120" s="28"/>
      <c r="T1120" s="28"/>
      <c r="W1120" s="28"/>
      <c r="Z1120" s="28"/>
      <c r="AC1120" s="28"/>
      <c r="AF1120" s="28"/>
      <c r="AI1120" s="28"/>
      <c r="AL1120" s="28"/>
      <c r="AO1120" s="28"/>
      <c r="AR1120" s="28"/>
      <c r="AU1120" s="28"/>
      <c r="AX1120" s="28"/>
      <c r="BA1120" s="28"/>
      <c r="BD1120" s="28"/>
      <c r="BG1120" s="28"/>
      <c r="BJ1120" s="28"/>
      <c r="BM1120" s="28"/>
      <c r="BP1120" s="28"/>
      <c r="BS1120" s="28"/>
      <c r="BV1120" s="28"/>
      <c r="BY1120" s="28"/>
      <c r="CB1120" s="28"/>
      <c r="CE1120" s="28"/>
      <c r="CH1120" s="28"/>
      <c r="CK1120" s="28"/>
      <c r="CN1120" s="28"/>
      <c r="CQ1120" s="28"/>
      <c r="CT1120" s="28"/>
      <c r="CW1120" s="28"/>
      <c r="CZ1120" s="28"/>
      <c r="DC1120" s="28"/>
      <c r="DF1120" s="28"/>
      <c r="DI1120" s="28"/>
      <c r="DL1120" s="28"/>
      <c r="DO1120" s="28"/>
      <c r="DR1120" s="28"/>
      <c r="DU1120" s="28"/>
      <c r="DX1120" s="28"/>
      <c r="EA1120" s="28"/>
      <c r="ED1120" s="28"/>
      <c r="EG1120" s="28"/>
      <c r="EJ1120" s="28"/>
      <c r="EM1120" s="28"/>
      <c r="EP1120" s="28"/>
      <c r="ES1120" s="28"/>
      <c r="EV1120" s="28"/>
      <c r="EY1120" s="28"/>
      <c r="FB1120" s="28"/>
      <c r="FE1120" s="28"/>
      <c r="FH1120" s="28"/>
      <c r="FK1120" s="28"/>
      <c r="FN1120" s="28"/>
      <c r="FQ1120" s="28"/>
      <c r="FT1120" s="28"/>
      <c r="FW1120" s="28"/>
      <c r="FZ1120" s="28"/>
      <c r="GC1120" s="28"/>
    </row>
    <row r="1121" spans="1:185" s="25" customFormat="1" x14ac:dyDescent="0.3">
      <c r="A1121" s="27"/>
      <c r="B1121" s="28"/>
      <c r="C1121" s="27"/>
      <c r="D1121" s="26"/>
      <c r="E1121" s="28"/>
      <c r="H1121" s="28"/>
      <c r="K1121" s="28"/>
      <c r="N1121" s="28"/>
      <c r="Q1121" s="28"/>
      <c r="T1121" s="28"/>
      <c r="W1121" s="28"/>
      <c r="Z1121" s="28"/>
      <c r="AC1121" s="28"/>
      <c r="AF1121" s="28"/>
      <c r="AI1121" s="28"/>
      <c r="AL1121" s="28"/>
      <c r="AO1121" s="28"/>
      <c r="AR1121" s="28"/>
      <c r="AU1121" s="28"/>
      <c r="AX1121" s="28"/>
      <c r="BA1121" s="28"/>
      <c r="BD1121" s="28"/>
      <c r="BG1121" s="28"/>
      <c r="BJ1121" s="28"/>
      <c r="BM1121" s="28"/>
      <c r="BP1121" s="28"/>
      <c r="BS1121" s="28"/>
      <c r="BV1121" s="28"/>
      <c r="BY1121" s="28"/>
      <c r="CB1121" s="28"/>
      <c r="CE1121" s="28"/>
      <c r="CH1121" s="28"/>
      <c r="CK1121" s="28"/>
      <c r="CN1121" s="28"/>
      <c r="CQ1121" s="28"/>
      <c r="CT1121" s="28"/>
      <c r="CW1121" s="28"/>
      <c r="CZ1121" s="28"/>
      <c r="DC1121" s="28"/>
      <c r="DF1121" s="28"/>
      <c r="DI1121" s="28"/>
      <c r="DL1121" s="28"/>
      <c r="DO1121" s="28"/>
      <c r="DR1121" s="28"/>
      <c r="DU1121" s="28"/>
      <c r="DX1121" s="28"/>
      <c r="EA1121" s="28"/>
      <c r="ED1121" s="28"/>
      <c r="EG1121" s="28"/>
      <c r="EJ1121" s="28"/>
      <c r="EM1121" s="28"/>
      <c r="EP1121" s="28"/>
      <c r="ES1121" s="28"/>
      <c r="EV1121" s="28"/>
      <c r="EY1121" s="28"/>
      <c r="FB1121" s="28"/>
      <c r="FE1121" s="28"/>
      <c r="FH1121" s="28"/>
      <c r="FK1121" s="28"/>
      <c r="FN1121" s="28"/>
      <c r="FQ1121" s="28"/>
      <c r="FT1121" s="28"/>
      <c r="FW1121" s="28"/>
      <c r="FZ1121" s="28"/>
      <c r="GC1121" s="28"/>
    </row>
    <row r="1122" spans="1:185" s="25" customFormat="1" x14ac:dyDescent="0.3">
      <c r="A1122" s="27"/>
      <c r="B1122" s="28"/>
      <c r="C1122" s="27"/>
      <c r="D1122" s="26"/>
      <c r="E1122" s="28"/>
      <c r="H1122" s="28"/>
      <c r="K1122" s="28"/>
      <c r="N1122" s="28"/>
      <c r="Q1122" s="28"/>
      <c r="T1122" s="28"/>
      <c r="W1122" s="28"/>
      <c r="Z1122" s="28"/>
      <c r="AC1122" s="28"/>
      <c r="AF1122" s="28"/>
      <c r="AI1122" s="28"/>
      <c r="AL1122" s="28"/>
      <c r="AO1122" s="28"/>
      <c r="AR1122" s="28"/>
      <c r="AU1122" s="28"/>
      <c r="AX1122" s="28"/>
      <c r="BA1122" s="28"/>
      <c r="BD1122" s="28"/>
      <c r="BG1122" s="28"/>
      <c r="BJ1122" s="28"/>
      <c r="BM1122" s="28"/>
      <c r="BP1122" s="28"/>
      <c r="BS1122" s="28"/>
      <c r="BV1122" s="28"/>
      <c r="BY1122" s="28"/>
      <c r="CB1122" s="28"/>
      <c r="CE1122" s="28"/>
      <c r="CH1122" s="28"/>
      <c r="CK1122" s="28"/>
      <c r="CN1122" s="28"/>
      <c r="CQ1122" s="28"/>
      <c r="CT1122" s="28"/>
      <c r="CW1122" s="28"/>
      <c r="CZ1122" s="28"/>
      <c r="DC1122" s="28"/>
      <c r="DF1122" s="28"/>
      <c r="DI1122" s="28"/>
      <c r="DL1122" s="28"/>
      <c r="DO1122" s="28"/>
      <c r="DR1122" s="28"/>
      <c r="DU1122" s="28"/>
      <c r="DX1122" s="28"/>
      <c r="EA1122" s="28"/>
      <c r="ED1122" s="28"/>
      <c r="EG1122" s="28"/>
      <c r="EJ1122" s="28"/>
      <c r="EM1122" s="28"/>
      <c r="EP1122" s="28"/>
      <c r="ES1122" s="28"/>
      <c r="EV1122" s="28"/>
      <c r="EY1122" s="28"/>
      <c r="FB1122" s="28"/>
      <c r="FE1122" s="28"/>
      <c r="FH1122" s="28"/>
      <c r="FK1122" s="28"/>
      <c r="FN1122" s="28"/>
      <c r="FQ1122" s="28"/>
      <c r="FT1122" s="28"/>
      <c r="FW1122" s="28"/>
      <c r="FZ1122" s="28"/>
      <c r="GC1122" s="28"/>
    </row>
    <row r="1123" spans="1:185" s="25" customFormat="1" x14ac:dyDescent="0.3">
      <c r="A1123" s="27"/>
      <c r="B1123" s="28"/>
      <c r="C1123" s="27"/>
      <c r="D1123" s="26"/>
      <c r="E1123" s="28"/>
      <c r="H1123" s="28"/>
      <c r="K1123" s="28"/>
      <c r="N1123" s="28"/>
      <c r="Q1123" s="28"/>
      <c r="T1123" s="28"/>
      <c r="W1123" s="28"/>
      <c r="Z1123" s="28"/>
      <c r="AC1123" s="28"/>
      <c r="AF1123" s="28"/>
      <c r="AI1123" s="28"/>
      <c r="AL1123" s="28"/>
      <c r="AO1123" s="28"/>
      <c r="AR1123" s="28"/>
      <c r="AU1123" s="28"/>
      <c r="AX1123" s="28"/>
      <c r="BA1123" s="28"/>
      <c r="BD1123" s="28"/>
      <c r="BG1123" s="28"/>
      <c r="BJ1123" s="28"/>
      <c r="BM1123" s="28"/>
      <c r="BP1123" s="28"/>
      <c r="BS1123" s="28"/>
      <c r="BV1123" s="28"/>
      <c r="BY1123" s="28"/>
      <c r="CB1123" s="28"/>
      <c r="CE1123" s="28"/>
      <c r="CH1123" s="28"/>
      <c r="CK1123" s="28"/>
      <c r="CN1123" s="28"/>
      <c r="CQ1123" s="28"/>
      <c r="CT1123" s="28"/>
      <c r="CW1123" s="28"/>
      <c r="CZ1123" s="28"/>
      <c r="DC1123" s="28"/>
      <c r="DF1123" s="28"/>
      <c r="DI1123" s="28"/>
      <c r="DL1123" s="28"/>
      <c r="DO1123" s="28"/>
      <c r="DR1123" s="28"/>
      <c r="DU1123" s="28"/>
      <c r="DX1123" s="28"/>
      <c r="EA1123" s="28"/>
      <c r="ED1123" s="28"/>
      <c r="EG1123" s="28"/>
      <c r="EJ1123" s="28"/>
      <c r="EM1123" s="28"/>
      <c r="EP1123" s="28"/>
      <c r="ES1123" s="28"/>
      <c r="EV1123" s="28"/>
      <c r="EY1123" s="28"/>
      <c r="FB1123" s="28"/>
      <c r="FE1123" s="28"/>
      <c r="FH1123" s="28"/>
      <c r="FK1123" s="28"/>
      <c r="FN1123" s="28"/>
      <c r="FQ1123" s="28"/>
      <c r="FT1123" s="28"/>
      <c r="FW1123" s="28"/>
      <c r="FZ1123" s="28"/>
      <c r="GC1123" s="28"/>
    </row>
    <row r="1124" spans="1:185" s="25" customFormat="1" x14ac:dyDescent="0.3">
      <c r="A1124" s="27"/>
      <c r="B1124" s="28"/>
      <c r="C1124" s="27"/>
      <c r="D1124" s="26"/>
      <c r="E1124" s="28"/>
      <c r="H1124" s="28"/>
      <c r="K1124" s="28"/>
      <c r="N1124" s="28"/>
      <c r="Q1124" s="28"/>
      <c r="T1124" s="28"/>
      <c r="W1124" s="28"/>
      <c r="Z1124" s="28"/>
      <c r="AC1124" s="28"/>
      <c r="AF1124" s="28"/>
      <c r="AI1124" s="28"/>
      <c r="AL1124" s="28"/>
      <c r="AO1124" s="28"/>
      <c r="AR1124" s="28"/>
      <c r="AU1124" s="28"/>
      <c r="AX1124" s="28"/>
      <c r="BA1124" s="28"/>
      <c r="BD1124" s="28"/>
      <c r="BG1124" s="28"/>
      <c r="BJ1124" s="28"/>
      <c r="BM1124" s="28"/>
      <c r="BP1124" s="28"/>
      <c r="BS1124" s="28"/>
      <c r="BV1124" s="28"/>
      <c r="BY1124" s="28"/>
      <c r="CB1124" s="28"/>
      <c r="CE1124" s="28"/>
      <c r="CH1124" s="28"/>
      <c r="CK1124" s="28"/>
      <c r="CN1124" s="28"/>
      <c r="CQ1124" s="28"/>
      <c r="CT1124" s="28"/>
      <c r="CW1124" s="28"/>
      <c r="CZ1124" s="28"/>
      <c r="DC1124" s="28"/>
      <c r="DF1124" s="28"/>
      <c r="DI1124" s="28"/>
      <c r="DL1124" s="28"/>
      <c r="DO1124" s="28"/>
      <c r="DR1124" s="28"/>
      <c r="DU1124" s="28"/>
      <c r="DX1124" s="28"/>
      <c r="EA1124" s="28"/>
      <c r="ED1124" s="28"/>
      <c r="EG1124" s="28"/>
      <c r="EJ1124" s="28"/>
      <c r="EM1124" s="28"/>
      <c r="EP1124" s="28"/>
      <c r="ES1124" s="28"/>
      <c r="EV1124" s="28"/>
      <c r="EY1124" s="28"/>
      <c r="FB1124" s="28"/>
      <c r="FE1124" s="28"/>
      <c r="FH1124" s="28"/>
      <c r="FK1124" s="28"/>
      <c r="FN1124" s="28"/>
      <c r="FQ1124" s="28"/>
      <c r="FT1124" s="28"/>
      <c r="FW1124" s="28"/>
      <c r="FZ1124" s="28"/>
      <c r="GC1124" s="28"/>
    </row>
    <row r="1125" spans="1:185" s="25" customFormat="1" x14ac:dyDescent="0.3">
      <c r="A1125" s="27"/>
      <c r="B1125" s="28"/>
      <c r="C1125" s="27"/>
      <c r="D1125" s="26"/>
      <c r="E1125" s="28"/>
      <c r="H1125" s="28"/>
      <c r="K1125" s="28"/>
      <c r="N1125" s="28"/>
      <c r="Q1125" s="28"/>
      <c r="T1125" s="28"/>
      <c r="W1125" s="28"/>
      <c r="Z1125" s="28"/>
      <c r="AC1125" s="28"/>
      <c r="AF1125" s="28"/>
      <c r="AI1125" s="28"/>
      <c r="AL1125" s="28"/>
      <c r="AO1125" s="28"/>
      <c r="AR1125" s="28"/>
      <c r="AU1125" s="28"/>
      <c r="AX1125" s="28"/>
      <c r="BA1125" s="28"/>
      <c r="BD1125" s="28"/>
      <c r="BG1125" s="28"/>
      <c r="BJ1125" s="28"/>
      <c r="BM1125" s="28"/>
      <c r="BP1125" s="28"/>
      <c r="BS1125" s="28"/>
      <c r="BV1125" s="28"/>
      <c r="BY1125" s="28"/>
      <c r="CB1125" s="28"/>
      <c r="CE1125" s="28"/>
      <c r="CH1125" s="28"/>
      <c r="CK1125" s="28"/>
      <c r="CN1125" s="28"/>
      <c r="CQ1125" s="28"/>
      <c r="CT1125" s="28"/>
      <c r="CW1125" s="28"/>
      <c r="CZ1125" s="28"/>
      <c r="DC1125" s="28"/>
      <c r="DF1125" s="28"/>
      <c r="DI1125" s="28"/>
      <c r="DL1125" s="28"/>
      <c r="DO1125" s="28"/>
      <c r="DR1125" s="28"/>
      <c r="DU1125" s="28"/>
      <c r="DX1125" s="28"/>
      <c r="EA1125" s="28"/>
      <c r="ED1125" s="28"/>
      <c r="EG1125" s="28"/>
      <c r="EJ1125" s="28"/>
      <c r="EM1125" s="28"/>
      <c r="EP1125" s="28"/>
      <c r="ES1125" s="28"/>
      <c r="EV1125" s="28"/>
      <c r="EY1125" s="28"/>
      <c r="FB1125" s="28"/>
      <c r="FE1125" s="28"/>
      <c r="FH1125" s="28"/>
      <c r="FK1125" s="28"/>
      <c r="FN1125" s="28"/>
      <c r="FQ1125" s="28"/>
      <c r="FT1125" s="28"/>
      <c r="FW1125" s="28"/>
      <c r="FZ1125" s="28"/>
      <c r="GC1125" s="28"/>
    </row>
    <row r="1126" spans="1:185" s="25" customFormat="1" x14ac:dyDescent="0.3">
      <c r="A1126" s="27"/>
      <c r="B1126" s="28"/>
      <c r="C1126" s="27"/>
      <c r="D1126" s="26"/>
      <c r="E1126" s="28"/>
      <c r="H1126" s="28"/>
      <c r="K1126" s="28"/>
      <c r="N1126" s="28"/>
      <c r="Q1126" s="28"/>
      <c r="T1126" s="28"/>
      <c r="W1126" s="28"/>
      <c r="Z1126" s="28"/>
      <c r="AC1126" s="28"/>
      <c r="AF1126" s="28"/>
      <c r="AI1126" s="28"/>
      <c r="AL1126" s="28"/>
      <c r="AO1126" s="28"/>
      <c r="AR1126" s="28"/>
      <c r="AU1126" s="28"/>
      <c r="AX1126" s="28"/>
      <c r="BA1126" s="28"/>
      <c r="BD1126" s="28"/>
      <c r="BG1126" s="28"/>
      <c r="BJ1126" s="28"/>
      <c r="BM1126" s="28"/>
      <c r="BP1126" s="28"/>
      <c r="BS1126" s="28"/>
      <c r="BV1126" s="28"/>
      <c r="BY1126" s="28"/>
      <c r="CB1126" s="28"/>
      <c r="CE1126" s="28"/>
      <c r="CH1126" s="28"/>
      <c r="CK1126" s="28"/>
      <c r="CN1126" s="28"/>
      <c r="CQ1126" s="28"/>
      <c r="CT1126" s="28"/>
      <c r="CW1126" s="28"/>
      <c r="CZ1126" s="28"/>
      <c r="DC1126" s="28"/>
      <c r="DF1126" s="28"/>
      <c r="DI1126" s="28"/>
      <c r="DL1126" s="28"/>
      <c r="DO1126" s="28"/>
      <c r="DR1126" s="28"/>
      <c r="DU1126" s="28"/>
      <c r="DX1126" s="28"/>
      <c r="EA1126" s="28"/>
      <c r="ED1126" s="28"/>
      <c r="EG1126" s="28"/>
      <c r="EJ1126" s="28"/>
      <c r="EM1126" s="28"/>
      <c r="EP1126" s="28"/>
      <c r="ES1126" s="28"/>
      <c r="EV1126" s="28"/>
      <c r="EY1126" s="28"/>
      <c r="FB1126" s="28"/>
      <c r="FE1126" s="28"/>
      <c r="FH1126" s="28"/>
      <c r="FK1126" s="28"/>
      <c r="FN1126" s="28"/>
      <c r="FQ1126" s="28"/>
      <c r="FT1126" s="28"/>
      <c r="FW1126" s="28"/>
      <c r="FZ1126" s="28"/>
      <c r="GC1126" s="28"/>
    </row>
    <row r="1127" spans="1:185" s="25" customFormat="1" x14ac:dyDescent="0.3">
      <c r="A1127" s="27"/>
      <c r="B1127" s="28"/>
      <c r="C1127" s="27"/>
      <c r="D1127" s="26"/>
      <c r="E1127" s="28"/>
      <c r="H1127" s="28"/>
      <c r="K1127" s="28"/>
      <c r="N1127" s="28"/>
      <c r="Q1127" s="28"/>
      <c r="T1127" s="28"/>
      <c r="W1127" s="28"/>
      <c r="Z1127" s="28"/>
      <c r="AC1127" s="28"/>
      <c r="AF1127" s="28"/>
      <c r="AI1127" s="28"/>
      <c r="AL1127" s="28"/>
      <c r="AO1127" s="28"/>
      <c r="AR1127" s="28"/>
      <c r="AU1127" s="28"/>
      <c r="AX1127" s="28"/>
      <c r="BA1127" s="28"/>
      <c r="BD1127" s="28"/>
      <c r="BG1127" s="28"/>
      <c r="BJ1127" s="28"/>
      <c r="BM1127" s="28"/>
      <c r="BP1127" s="28"/>
      <c r="BS1127" s="28"/>
      <c r="BV1127" s="28"/>
      <c r="BY1127" s="28"/>
      <c r="CB1127" s="28"/>
      <c r="CE1127" s="28"/>
      <c r="CH1127" s="28"/>
      <c r="CK1127" s="28"/>
      <c r="CN1127" s="28"/>
      <c r="CQ1127" s="28"/>
      <c r="CT1127" s="28"/>
      <c r="CW1127" s="28"/>
      <c r="CZ1127" s="28"/>
      <c r="DC1127" s="28"/>
      <c r="DF1127" s="28"/>
      <c r="DI1127" s="28"/>
      <c r="DL1127" s="28"/>
      <c r="DO1127" s="28"/>
      <c r="DR1127" s="28"/>
      <c r="DU1127" s="28"/>
      <c r="DX1127" s="28"/>
      <c r="EA1127" s="28"/>
      <c r="ED1127" s="28"/>
      <c r="EG1127" s="28"/>
      <c r="EJ1127" s="28"/>
      <c r="EM1127" s="28"/>
      <c r="EP1127" s="28"/>
      <c r="ES1127" s="28"/>
      <c r="EV1127" s="28"/>
      <c r="EY1127" s="28"/>
      <c r="FB1127" s="28"/>
      <c r="FE1127" s="28"/>
      <c r="FH1127" s="28"/>
      <c r="FK1127" s="28"/>
      <c r="FN1127" s="28"/>
      <c r="FQ1127" s="28"/>
      <c r="FT1127" s="28"/>
      <c r="FW1127" s="28"/>
      <c r="FZ1127" s="28"/>
      <c r="GC1127" s="28"/>
    </row>
    <row r="1128" spans="1:185" s="25" customFormat="1" x14ac:dyDescent="0.3">
      <c r="A1128" s="27"/>
      <c r="B1128" s="28"/>
      <c r="C1128" s="27"/>
      <c r="D1128" s="26"/>
      <c r="E1128" s="28"/>
      <c r="H1128" s="28"/>
      <c r="K1128" s="28"/>
      <c r="N1128" s="28"/>
      <c r="Q1128" s="28"/>
      <c r="T1128" s="28"/>
      <c r="W1128" s="28"/>
      <c r="Z1128" s="28"/>
      <c r="AC1128" s="28"/>
      <c r="AF1128" s="28"/>
      <c r="AI1128" s="28"/>
      <c r="AL1128" s="28"/>
      <c r="AO1128" s="28"/>
      <c r="AR1128" s="28"/>
      <c r="AU1128" s="28"/>
      <c r="AX1128" s="28"/>
      <c r="BA1128" s="28"/>
      <c r="BD1128" s="28"/>
      <c r="BG1128" s="28"/>
      <c r="BJ1128" s="28"/>
      <c r="BM1128" s="28"/>
      <c r="BP1128" s="28"/>
      <c r="BS1128" s="28"/>
      <c r="BV1128" s="28"/>
      <c r="BY1128" s="28"/>
      <c r="CB1128" s="28"/>
      <c r="CE1128" s="28"/>
      <c r="CH1128" s="28"/>
      <c r="CK1128" s="28"/>
      <c r="CN1128" s="28"/>
      <c r="CQ1128" s="28"/>
      <c r="CT1128" s="28"/>
      <c r="CW1128" s="28"/>
      <c r="CZ1128" s="28"/>
      <c r="DC1128" s="28"/>
      <c r="DF1128" s="28"/>
      <c r="DI1128" s="28"/>
      <c r="DL1128" s="28"/>
      <c r="DO1128" s="28"/>
      <c r="DR1128" s="28"/>
      <c r="DU1128" s="28"/>
      <c r="DX1128" s="28"/>
      <c r="EA1128" s="28"/>
      <c r="ED1128" s="28"/>
      <c r="EG1128" s="28"/>
      <c r="EJ1128" s="28"/>
      <c r="EM1128" s="28"/>
      <c r="EP1128" s="28"/>
      <c r="ES1128" s="28"/>
      <c r="EV1128" s="28"/>
      <c r="EY1128" s="28"/>
      <c r="FB1128" s="28"/>
      <c r="FE1128" s="28"/>
      <c r="FH1128" s="28"/>
      <c r="FK1128" s="28"/>
      <c r="FN1128" s="28"/>
      <c r="FQ1128" s="28"/>
      <c r="FT1128" s="28"/>
      <c r="FW1128" s="28"/>
      <c r="FZ1128" s="28"/>
      <c r="GC1128" s="28"/>
    </row>
    <row r="1129" spans="1:185" s="25" customFormat="1" x14ac:dyDescent="0.3">
      <c r="A1129" s="27"/>
      <c r="B1129" s="28"/>
      <c r="C1129" s="27"/>
      <c r="D1129" s="26"/>
      <c r="E1129" s="28"/>
      <c r="H1129" s="28"/>
      <c r="K1129" s="28"/>
      <c r="N1129" s="28"/>
      <c r="Q1129" s="28"/>
      <c r="T1129" s="28"/>
      <c r="W1129" s="28"/>
      <c r="Z1129" s="28"/>
      <c r="AC1129" s="28"/>
      <c r="AF1129" s="28"/>
      <c r="AI1129" s="28"/>
      <c r="AL1129" s="28"/>
      <c r="AO1129" s="28"/>
      <c r="AR1129" s="28"/>
      <c r="AU1129" s="28"/>
      <c r="AX1129" s="28"/>
      <c r="BA1129" s="28"/>
      <c r="BD1129" s="28"/>
      <c r="BG1129" s="28"/>
      <c r="BJ1129" s="28"/>
      <c r="BM1129" s="28"/>
      <c r="BP1129" s="28"/>
      <c r="BS1129" s="28"/>
      <c r="BV1129" s="28"/>
      <c r="BY1129" s="28"/>
      <c r="CB1129" s="28"/>
      <c r="CE1129" s="28"/>
      <c r="CH1129" s="28"/>
      <c r="CK1129" s="28"/>
      <c r="CN1129" s="28"/>
      <c r="CQ1129" s="28"/>
      <c r="CT1129" s="28"/>
      <c r="CW1129" s="28"/>
      <c r="CZ1129" s="28"/>
      <c r="DC1129" s="28"/>
      <c r="DF1129" s="28"/>
      <c r="DI1129" s="28"/>
      <c r="DL1129" s="28"/>
      <c r="DO1129" s="28"/>
      <c r="DR1129" s="28"/>
      <c r="DU1129" s="28"/>
      <c r="DX1129" s="28"/>
      <c r="EA1129" s="28"/>
      <c r="ED1129" s="28"/>
      <c r="EG1129" s="28"/>
      <c r="EJ1129" s="28"/>
      <c r="EM1129" s="28"/>
      <c r="EP1129" s="28"/>
      <c r="ES1129" s="28"/>
      <c r="EV1129" s="28"/>
      <c r="EY1129" s="28"/>
      <c r="FB1129" s="28"/>
      <c r="FE1129" s="28"/>
      <c r="FH1129" s="28"/>
      <c r="FK1129" s="28"/>
      <c r="FN1129" s="28"/>
      <c r="FQ1129" s="28"/>
      <c r="FT1129" s="28"/>
      <c r="FW1129" s="28"/>
      <c r="FZ1129" s="28"/>
      <c r="GC1129" s="28"/>
    </row>
    <row r="1130" spans="1:185" s="25" customFormat="1" x14ac:dyDescent="0.3">
      <c r="A1130" s="27"/>
      <c r="B1130" s="28"/>
      <c r="C1130" s="27"/>
      <c r="D1130" s="26"/>
      <c r="E1130" s="28"/>
      <c r="H1130" s="28"/>
      <c r="K1130" s="28"/>
      <c r="N1130" s="28"/>
      <c r="Q1130" s="28"/>
      <c r="T1130" s="28"/>
      <c r="W1130" s="28"/>
      <c r="Z1130" s="28"/>
      <c r="AC1130" s="28"/>
      <c r="AF1130" s="28"/>
      <c r="AI1130" s="28"/>
      <c r="AL1130" s="28"/>
      <c r="AO1130" s="28"/>
      <c r="AR1130" s="28"/>
      <c r="AU1130" s="28"/>
      <c r="AX1130" s="28"/>
      <c r="BA1130" s="28"/>
      <c r="BD1130" s="28"/>
      <c r="BG1130" s="28"/>
      <c r="BJ1130" s="28"/>
      <c r="BM1130" s="28"/>
      <c r="BP1130" s="28"/>
      <c r="BS1130" s="28"/>
      <c r="BV1130" s="28"/>
      <c r="BY1130" s="28"/>
      <c r="CB1130" s="28"/>
      <c r="CE1130" s="28"/>
      <c r="CH1130" s="28"/>
      <c r="CK1130" s="28"/>
      <c r="CN1130" s="28"/>
      <c r="CQ1130" s="28"/>
      <c r="CT1130" s="28"/>
      <c r="CW1130" s="28"/>
      <c r="CZ1130" s="28"/>
      <c r="DC1130" s="28"/>
      <c r="DF1130" s="28"/>
      <c r="DI1130" s="28"/>
      <c r="DL1130" s="28"/>
      <c r="DO1130" s="28"/>
      <c r="DR1130" s="28"/>
      <c r="DU1130" s="28"/>
      <c r="DX1130" s="28"/>
      <c r="EA1130" s="28"/>
      <c r="ED1130" s="28"/>
      <c r="EG1130" s="28"/>
      <c r="EJ1130" s="28"/>
      <c r="EM1130" s="28"/>
      <c r="EP1130" s="28"/>
      <c r="ES1130" s="28"/>
      <c r="EV1130" s="28"/>
      <c r="EY1130" s="28"/>
      <c r="FB1130" s="28"/>
      <c r="FE1130" s="28"/>
      <c r="FH1130" s="28"/>
      <c r="FK1130" s="28"/>
      <c r="FN1130" s="28"/>
      <c r="FQ1130" s="28"/>
      <c r="FT1130" s="28"/>
      <c r="FW1130" s="28"/>
      <c r="FZ1130" s="28"/>
      <c r="GC1130" s="28"/>
    </row>
    <row r="1131" spans="1:185" s="25" customFormat="1" x14ac:dyDescent="0.3">
      <c r="A1131" s="27"/>
      <c r="B1131" s="28"/>
      <c r="C1131" s="27"/>
      <c r="D1131" s="26"/>
      <c r="E1131" s="28"/>
      <c r="H1131" s="28"/>
      <c r="K1131" s="28"/>
      <c r="N1131" s="28"/>
      <c r="Q1131" s="28"/>
      <c r="T1131" s="28"/>
      <c r="W1131" s="28"/>
      <c r="Z1131" s="28"/>
      <c r="AC1131" s="28"/>
      <c r="AF1131" s="28"/>
      <c r="AI1131" s="28"/>
      <c r="AL1131" s="28"/>
      <c r="AO1131" s="28"/>
      <c r="AR1131" s="28"/>
      <c r="AU1131" s="28"/>
      <c r="AX1131" s="28"/>
      <c r="BA1131" s="28"/>
      <c r="BD1131" s="28"/>
      <c r="BG1131" s="28"/>
      <c r="BJ1131" s="28"/>
      <c r="BM1131" s="28"/>
      <c r="BP1131" s="28"/>
      <c r="BS1131" s="28"/>
      <c r="BV1131" s="28"/>
      <c r="BY1131" s="28"/>
      <c r="CB1131" s="28"/>
      <c r="CE1131" s="28"/>
      <c r="CH1131" s="28"/>
      <c r="CK1131" s="28"/>
      <c r="CN1131" s="28"/>
      <c r="CQ1131" s="28"/>
      <c r="CT1131" s="28"/>
      <c r="CW1131" s="28"/>
      <c r="CZ1131" s="28"/>
      <c r="DC1131" s="28"/>
      <c r="DF1131" s="28"/>
      <c r="DI1131" s="28"/>
      <c r="DL1131" s="28"/>
      <c r="DO1131" s="28"/>
      <c r="DR1131" s="28"/>
      <c r="DU1131" s="28"/>
      <c r="DX1131" s="28"/>
      <c r="EA1131" s="28"/>
      <c r="ED1131" s="28"/>
      <c r="EG1131" s="28"/>
      <c r="EJ1131" s="28"/>
      <c r="EM1131" s="28"/>
      <c r="EP1131" s="28"/>
      <c r="ES1131" s="28"/>
      <c r="EV1131" s="28"/>
      <c r="EY1131" s="28"/>
      <c r="FB1131" s="28"/>
      <c r="FE1131" s="28"/>
      <c r="FH1131" s="28"/>
      <c r="FK1131" s="28"/>
      <c r="FN1131" s="28"/>
      <c r="FQ1131" s="28"/>
      <c r="FT1131" s="28"/>
      <c r="FW1131" s="28"/>
      <c r="FZ1131" s="28"/>
      <c r="GC1131" s="28"/>
    </row>
    <row r="1132" spans="1:185" s="25" customFormat="1" x14ac:dyDescent="0.3">
      <c r="A1132" s="27"/>
      <c r="B1132" s="28"/>
      <c r="C1132" s="27"/>
      <c r="D1132" s="26"/>
      <c r="E1132" s="28"/>
      <c r="H1132" s="28"/>
      <c r="K1132" s="28"/>
      <c r="N1132" s="28"/>
      <c r="Q1132" s="28"/>
      <c r="T1132" s="28"/>
      <c r="W1132" s="28"/>
      <c r="Z1132" s="28"/>
      <c r="AC1132" s="28"/>
      <c r="AF1132" s="28"/>
      <c r="AI1132" s="28"/>
      <c r="AL1132" s="28"/>
      <c r="AO1132" s="28"/>
      <c r="AR1132" s="28"/>
      <c r="AU1132" s="28"/>
      <c r="AX1132" s="28"/>
      <c r="BA1132" s="28"/>
      <c r="BD1132" s="28"/>
      <c r="BG1132" s="28"/>
      <c r="BJ1132" s="28"/>
      <c r="BM1132" s="28"/>
      <c r="BP1132" s="28"/>
      <c r="BS1132" s="28"/>
      <c r="BV1132" s="28"/>
      <c r="BY1132" s="28"/>
      <c r="CB1132" s="28"/>
      <c r="CE1132" s="28"/>
      <c r="CH1132" s="28"/>
      <c r="CK1132" s="28"/>
      <c r="CN1132" s="28"/>
      <c r="CQ1132" s="28"/>
      <c r="CT1132" s="28"/>
      <c r="CW1132" s="28"/>
      <c r="CZ1132" s="28"/>
      <c r="DC1132" s="28"/>
      <c r="DF1132" s="28"/>
      <c r="DI1132" s="28"/>
      <c r="DL1132" s="28"/>
      <c r="DO1132" s="28"/>
      <c r="DR1132" s="28"/>
      <c r="DU1132" s="28"/>
      <c r="DX1132" s="28"/>
      <c r="EA1132" s="28"/>
      <c r="ED1132" s="28"/>
      <c r="EG1132" s="28"/>
      <c r="EJ1132" s="28"/>
      <c r="EM1132" s="28"/>
      <c r="EP1132" s="28"/>
      <c r="ES1132" s="28"/>
      <c r="EV1132" s="28"/>
      <c r="EY1132" s="28"/>
      <c r="FB1132" s="28"/>
      <c r="FE1132" s="28"/>
      <c r="FH1132" s="28"/>
      <c r="FK1132" s="28"/>
      <c r="FN1132" s="28"/>
      <c r="FQ1132" s="28"/>
      <c r="FT1132" s="28"/>
      <c r="FW1132" s="28"/>
      <c r="FZ1132" s="28"/>
      <c r="GC1132" s="28"/>
    </row>
    <row r="1133" spans="1:185" s="25" customFormat="1" x14ac:dyDescent="0.3">
      <c r="A1133" s="27"/>
      <c r="B1133" s="28"/>
      <c r="C1133" s="27"/>
      <c r="D1133" s="26"/>
      <c r="E1133" s="28"/>
      <c r="H1133" s="28"/>
      <c r="K1133" s="28"/>
      <c r="N1133" s="28"/>
      <c r="Q1133" s="28"/>
      <c r="T1133" s="28"/>
      <c r="W1133" s="28"/>
      <c r="Z1133" s="28"/>
      <c r="AC1133" s="28"/>
      <c r="AF1133" s="28"/>
      <c r="AI1133" s="28"/>
      <c r="AL1133" s="28"/>
      <c r="AO1133" s="28"/>
      <c r="AR1133" s="28"/>
      <c r="AU1133" s="28"/>
      <c r="AX1133" s="28"/>
      <c r="BA1133" s="28"/>
      <c r="BD1133" s="28"/>
      <c r="BG1133" s="28"/>
      <c r="BJ1133" s="28"/>
      <c r="BM1133" s="28"/>
      <c r="BP1133" s="28"/>
      <c r="BS1133" s="28"/>
      <c r="BV1133" s="28"/>
      <c r="BY1133" s="28"/>
      <c r="CB1133" s="28"/>
      <c r="CE1133" s="28"/>
      <c r="CH1133" s="28"/>
      <c r="CK1133" s="28"/>
      <c r="CN1133" s="28"/>
      <c r="CQ1133" s="28"/>
      <c r="CT1133" s="28"/>
      <c r="CW1133" s="28"/>
      <c r="CZ1133" s="28"/>
      <c r="DC1133" s="28"/>
      <c r="DF1133" s="28"/>
      <c r="DI1133" s="28"/>
      <c r="DL1133" s="28"/>
      <c r="DO1133" s="28"/>
      <c r="DR1133" s="28"/>
      <c r="DU1133" s="28"/>
      <c r="DX1133" s="28"/>
      <c r="EA1133" s="28"/>
      <c r="ED1133" s="28"/>
      <c r="EG1133" s="28"/>
      <c r="EJ1133" s="28"/>
      <c r="EM1133" s="28"/>
      <c r="EP1133" s="28"/>
      <c r="ES1133" s="28"/>
      <c r="EV1133" s="28"/>
      <c r="EY1133" s="28"/>
      <c r="FB1133" s="28"/>
      <c r="FE1133" s="28"/>
      <c r="FH1133" s="28"/>
      <c r="FK1133" s="28"/>
      <c r="FN1133" s="28"/>
      <c r="FQ1133" s="28"/>
      <c r="FT1133" s="28"/>
      <c r="FW1133" s="28"/>
      <c r="FZ1133" s="28"/>
      <c r="GC1133" s="28"/>
    </row>
    <row r="1134" spans="1:185" s="25" customFormat="1" x14ac:dyDescent="0.3">
      <c r="A1134" s="27"/>
      <c r="B1134" s="28"/>
      <c r="C1134" s="27"/>
      <c r="D1134" s="26"/>
      <c r="E1134" s="28"/>
      <c r="H1134" s="28"/>
      <c r="K1134" s="28"/>
      <c r="N1134" s="28"/>
      <c r="Q1134" s="28"/>
      <c r="T1134" s="28"/>
      <c r="W1134" s="28"/>
      <c r="Z1134" s="28"/>
      <c r="AC1134" s="28"/>
      <c r="AF1134" s="28"/>
      <c r="AI1134" s="28"/>
      <c r="AL1134" s="28"/>
      <c r="AO1134" s="28"/>
      <c r="AR1134" s="28"/>
      <c r="AU1134" s="28"/>
      <c r="AX1134" s="28"/>
      <c r="BA1134" s="28"/>
      <c r="BD1134" s="28"/>
      <c r="BG1134" s="28"/>
      <c r="BJ1134" s="28"/>
      <c r="BM1134" s="28"/>
      <c r="BP1134" s="28"/>
      <c r="BS1134" s="28"/>
      <c r="BV1134" s="28"/>
      <c r="BY1134" s="28"/>
      <c r="CB1134" s="28"/>
      <c r="CE1134" s="28"/>
      <c r="CH1134" s="28"/>
      <c r="CK1134" s="28"/>
      <c r="CN1134" s="28"/>
      <c r="CQ1134" s="28"/>
      <c r="CT1134" s="28"/>
      <c r="CW1134" s="28"/>
      <c r="CZ1134" s="28"/>
      <c r="DC1134" s="28"/>
      <c r="DF1134" s="28"/>
      <c r="DI1134" s="28"/>
      <c r="DL1134" s="28"/>
      <c r="DO1134" s="28"/>
      <c r="DR1134" s="28"/>
      <c r="DU1134" s="28"/>
      <c r="DX1134" s="28"/>
      <c r="EA1134" s="28"/>
      <c r="ED1134" s="28"/>
      <c r="EG1134" s="28"/>
      <c r="EJ1134" s="28"/>
      <c r="EM1134" s="28"/>
      <c r="EP1134" s="28"/>
      <c r="ES1134" s="28"/>
      <c r="EV1134" s="28"/>
      <c r="EY1134" s="28"/>
      <c r="FB1134" s="28"/>
      <c r="FE1134" s="28"/>
      <c r="FH1134" s="28"/>
      <c r="FK1134" s="28"/>
      <c r="FN1134" s="28"/>
      <c r="FQ1134" s="28"/>
      <c r="FT1134" s="28"/>
      <c r="FW1134" s="28"/>
      <c r="FZ1134" s="28"/>
      <c r="GC1134" s="28"/>
    </row>
    <row r="1135" spans="1:185" s="25" customFormat="1" x14ac:dyDescent="0.3">
      <c r="A1135" s="27"/>
      <c r="B1135" s="28"/>
      <c r="C1135" s="27"/>
      <c r="D1135" s="26"/>
      <c r="E1135" s="28"/>
      <c r="H1135" s="28"/>
      <c r="K1135" s="28"/>
      <c r="N1135" s="28"/>
      <c r="Q1135" s="28"/>
      <c r="T1135" s="28"/>
      <c r="W1135" s="28"/>
      <c r="Z1135" s="28"/>
      <c r="AC1135" s="28"/>
      <c r="AF1135" s="28"/>
      <c r="AI1135" s="28"/>
      <c r="AL1135" s="28"/>
      <c r="AO1135" s="28"/>
      <c r="AR1135" s="28"/>
      <c r="AU1135" s="28"/>
      <c r="AX1135" s="28"/>
      <c r="BA1135" s="28"/>
      <c r="BD1135" s="28"/>
      <c r="BG1135" s="28"/>
      <c r="BJ1135" s="28"/>
      <c r="BM1135" s="28"/>
      <c r="BP1135" s="28"/>
      <c r="BS1135" s="28"/>
      <c r="BV1135" s="28"/>
      <c r="BY1135" s="28"/>
      <c r="CB1135" s="28"/>
      <c r="CE1135" s="28"/>
      <c r="CH1135" s="28"/>
      <c r="CK1135" s="28"/>
      <c r="CN1135" s="28"/>
      <c r="CQ1135" s="28"/>
      <c r="CT1135" s="28"/>
      <c r="CW1135" s="28"/>
      <c r="CZ1135" s="28"/>
      <c r="DC1135" s="28"/>
      <c r="DF1135" s="28"/>
      <c r="DI1135" s="28"/>
      <c r="DL1135" s="28"/>
      <c r="DO1135" s="28"/>
      <c r="DR1135" s="28"/>
      <c r="DU1135" s="28"/>
      <c r="DX1135" s="28"/>
      <c r="EA1135" s="28"/>
      <c r="ED1135" s="28"/>
      <c r="EG1135" s="28"/>
      <c r="EJ1135" s="28"/>
      <c r="EM1135" s="28"/>
      <c r="EP1135" s="28"/>
      <c r="ES1135" s="28"/>
      <c r="EV1135" s="28"/>
      <c r="EY1135" s="28"/>
      <c r="FB1135" s="28"/>
      <c r="FE1135" s="28"/>
      <c r="FH1135" s="28"/>
      <c r="FK1135" s="28"/>
      <c r="FN1135" s="28"/>
      <c r="FQ1135" s="28"/>
      <c r="FT1135" s="28"/>
      <c r="FW1135" s="28"/>
      <c r="FZ1135" s="28"/>
      <c r="GC1135" s="28"/>
    </row>
    <row r="1136" spans="1:185" s="25" customFormat="1" x14ac:dyDescent="0.3">
      <c r="A1136" s="27"/>
      <c r="B1136" s="28"/>
      <c r="C1136" s="27"/>
      <c r="D1136" s="26"/>
      <c r="E1136" s="28"/>
      <c r="H1136" s="28"/>
      <c r="K1136" s="28"/>
      <c r="N1136" s="28"/>
      <c r="Q1136" s="28"/>
      <c r="T1136" s="28"/>
      <c r="W1136" s="28"/>
      <c r="Z1136" s="28"/>
      <c r="AC1136" s="28"/>
      <c r="AF1136" s="28"/>
      <c r="AI1136" s="28"/>
      <c r="AL1136" s="28"/>
      <c r="AO1136" s="28"/>
      <c r="AR1136" s="28"/>
      <c r="AU1136" s="28"/>
      <c r="AX1136" s="28"/>
      <c r="BA1136" s="28"/>
      <c r="BD1136" s="28"/>
      <c r="BG1136" s="28"/>
      <c r="BJ1136" s="28"/>
      <c r="BM1136" s="28"/>
      <c r="BP1136" s="28"/>
      <c r="BS1136" s="28"/>
      <c r="BV1136" s="28"/>
      <c r="BY1136" s="28"/>
      <c r="CB1136" s="28"/>
      <c r="CE1136" s="28"/>
      <c r="CH1136" s="28"/>
      <c r="CK1136" s="28"/>
      <c r="CN1136" s="28"/>
      <c r="CQ1136" s="28"/>
      <c r="CT1136" s="28"/>
      <c r="CW1136" s="28"/>
      <c r="CZ1136" s="28"/>
      <c r="DC1136" s="28"/>
      <c r="DF1136" s="28"/>
      <c r="DI1136" s="28"/>
      <c r="DL1136" s="28"/>
      <c r="DO1136" s="28"/>
      <c r="DR1136" s="28"/>
      <c r="DU1136" s="28"/>
      <c r="DX1136" s="28"/>
      <c r="EA1136" s="28"/>
      <c r="ED1136" s="28"/>
      <c r="EG1136" s="28"/>
      <c r="EJ1136" s="28"/>
      <c r="EM1136" s="28"/>
      <c r="EP1136" s="28"/>
      <c r="ES1136" s="28"/>
      <c r="EV1136" s="28"/>
      <c r="EY1136" s="28"/>
      <c r="FB1136" s="28"/>
      <c r="FE1136" s="28"/>
      <c r="FH1136" s="28"/>
      <c r="FK1136" s="28"/>
      <c r="FN1136" s="28"/>
      <c r="FQ1136" s="28"/>
      <c r="FT1136" s="28"/>
      <c r="FW1136" s="28"/>
      <c r="FZ1136" s="28"/>
      <c r="GC1136" s="28"/>
    </row>
    <row r="1137" spans="1:185" s="25" customFormat="1" x14ac:dyDescent="0.3">
      <c r="A1137" s="27"/>
      <c r="B1137" s="28"/>
      <c r="C1137" s="27"/>
      <c r="D1137" s="26"/>
      <c r="E1137" s="28"/>
      <c r="H1137" s="28"/>
      <c r="K1137" s="28"/>
      <c r="N1137" s="28"/>
      <c r="Q1137" s="28"/>
      <c r="T1137" s="28"/>
      <c r="W1137" s="28"/>
      <c r="Z1137" s="28"/>
      <c r="AC1137" s="28"/>
      <c r="AF1137" s="28"/>
      <c r="AI1137" s="28"/>
      <c r="AL1137" s="28"/>
      <c r="AO1137" s="28"/>
      <c r="AR1137" s="28"/>
      <c r="AU1137" s="28"/>
      <c r="AX1137" s="28"/>
      <c r="BA1137" s="28"/>
      <c r="BD1137" s="28"/>
      <c r="BG1137" s="28"/>
      <c r="BJ1137" s="28"/>
      <c r="BM1137" s="28"/>
      <c r="BP1137" s="28"/>
      <c r="BS1137" s="28"/>
      <c r="BV1137" s="28"/>
      <c r="BY1137" s="28"/>
      <c r="CB1137" s="28"/>
      <c r="CE1137" s="28"/>
      <c r="CH1137" s="28"/>
      <c r="CK1137" s="28"/>
      <c r="CN1137" s="28"/>
      <c r="CQ1137" s="28"/>
      <c r="CT1137" s="28"/>
      <c r="CW1137" s="28"/>
      <c r="CZ1137" s="28"/>
      <c r="DC1137" s="28"/>
      <c r="DF1137" s="28"/>
      <c r="DI1137" s="28"/>
      <c r="DL1137" s="28"/>
      <c r="DO1137" s="28"/>
      <c r="DR1137" s="28"/>
      <c r="DU1137" s="28"/>
      <c r="DX1137" s="28"/>
      <c r="EA1137" s="28"/>
      <c r="ED1137" s="28"/>
      <c r="EG1137" s="28"/>
      <c r="EJ1137" s="28"/>
      <c r="EM1137" s="28"/>
      <c r="EP1137" s="28"/>
      <c r="ES1137" s="28"/>
      <c r="EV1137" s="28"/>
      <c r="EY1137" s="28"/>
      <c r="FB1137" s="28"/>
      <c r="FE1137" s="28"/>
      <c r="FH1137" s="28"/>
      <c r="FK1137" s="28"/>
      <c r="FN1137" s="28"/>
      <c r="FQ1137" s="28"/>
      <c r="FT1137" s="28"/>
      <c r="FW1137" s="28"/>
      <c r="FZ1137" s="28"/>
      <c r="GC1137" s="28"/>
    </row>
    <row r="1138" spans="1:185" s="25" customFormat="1" x14ac:dyDescent="0.3">
      <c r="A1138" s="27"/>
      <c r="B1138" s="28"/>
      <c r="C1138" s="27"/>
      <c r="D1138" s="26"/>
      <c r="E1138" s="28"/>
      <c r="H1138" s="28"/>
      <c r="K1138" s="28"/>
      <c r="N1138" s="28"/>
      <c r="Q1138" s="28"/>
      <c r="T1138" s="28"/>
      <c r="W1138" s="28"/>
      <c r="Z1138" s="28"/>
      <c r="AC1138" s="28"/>
      <c r="AF1138" s="28"/>
      <c r="AI1138" s="28"/>
      <c r="AL1138" s="28"/>
      <c r="AO1138" s="28"/>
      <c r="AR1138" s="28"/>
      <c r="AU1138" s="28"/>
      <c r="AX1138" s="28"/>
      <c r="BA1138" s="28"/>
      <c r="BD1138" s="28"/>
      <c r="BG1138" s="28"/>
      <c r="BJ1138" s="28"/>
      <c r="BM1138" s="28"/>
      <c r="BP1138" s="28"/>
      <c r="BS1138" s="28"/>
      <c r="BV1138" s="28"/>
      <c r="BY1138" s="28"/>
      <c r="CB1138" s="28"/>
      <c r="CE1138" s="28"/>
      <c r="CH1138" s="28"/>
      <c r="CK1138" s="28"/>
      <c r="CN1138" s="28"/>
      <c r="CQ1138" s="28"/>
      <c r="CT1138" s="28"/>
      <c r="CW1138" s="28"/>
      <c r="CZ1138" s="28"/>
      <c r="DC1138" s="28"/>
      <c r="DF1138" s="28"/>
      <c r="DI1138" s="28"/>
      <c r="DL1138" s="28"/>
      <c r="DO1138" s="28"/>
      <c r="DR1138" s="28"/>
      <c r="DU1138" s="28"/>
      <c r="DX1138" s="28"/>
      <c r="EA1138" s="28"/>
      <c r="ED1138" s="28"/>
      <c r="EG1138" s="28"/>
      <c r="EJ1138" s="28"/>
      <c r="EM1138" s="28"/>
      <c r="EP1138" s="28"/>
      <c r="ES1138" s="28"/>
      <c r="EV1138" s="28"/>
      <c r="EY1138" s="28"/>
      <c r="FB1138" s="28"/>
      <c r="FE1138" s="28"/>
      <c r="FH1138" s="28"/>
      <c r="FK1138" s="28"/>
      <c r="FN1138" s="28"/>
      <c r="FQ1138" s="28"/>
      <c r="FT1138" s="28"/>
      <c r="FW1138" s="28"/>
      <c r="FZ1138" s="28"/>
      <c r="GC1138" s="28"/>
    </row>
    <row r="1139" spans="1:185" s="25" customFormat="1" x14ac:dyDescent="0.3">
      <c r="A1139" s="27"/>
      <c r="B1139" s="28"/>
      <c r="C1139" s="27"/>
      <c r="D1139" s="26"/>
      <c r="E1139" s="28"/>
      <c r="H1139" s="28"/>
      <c r="K1139" s="28"/>
      <c r="N1139" s="28"/>
      <c r="Q1139" s="28"/>
      <c r="T1139" s="28"/>
      <c r="W1139" s="28"/>
      <c r="Z1139" s="28"/>
      <c r="AC1139" s="28"/>
      <c r="AF1139" s="28"/>
      <c r="AI1139" s="28"/>
      <c r="AL1139" s="28"/>
      <c r="AO1139" s="28"/>
      <c r="AR1139" s="28"/>
      <c r="AU1139" s="28"/>
      <c r="AX1139" s="28"/>
      <c r="BA1139" s="28"/>
      <c r="BD1139" s="28"/>
      <c r="BG1139" s="28"/>
      <c r="BJ1139" s="28"/>
      <c r="BM1139" s="28"/>
      <c r="BP1139" s="28"/>
      <c r="BS1139" s="28"/>
      <c r="BV1139" s="28"/>
      <c r="BY1139" s="28"/>
      <c r="CB1139" s="28"/>
      <c r="CE1139" s="28"/>
      <c r="CH1139" s="28"/>
      <c r="CK1139" s="28"/>
      <c r="CN1139" s="28"/>
      <c r="CQ1139" s="28"/>
      <c r="CT1139" s="28"/>
      <c r="CW1139" s="28"/>
      <c r="CZ1139" s="28"/>
      <c r="DC1139" s="28"/>
      <c r="DF1139" s="28"/>
      <c r="DI1139" s="28"/>
      <c r="DL1139" s="28"/>
      <c r="DO1139" s="28"/>
      <c r="DR1139" s="28"/>
      <c r="DU1139" s="28"/>
      <c r="DX1139" s="28"/>
      <c r="EA1139" s="28"/>
      <c r="ED1139" s="28"/>
      <c r="EG1139" s="28"/>
      <c r="EJ1139" s="28"/>
      <c r="EM1139" s="28"/>
      <c r="EP1139" s="28"/>
      <c r="ES1139" s="28"/>
      <c r="EV1139" s="28"/>
      <c r="EY1139" s="28"/>
      <c r="FB1139" s="28"/>
      <c r="FE1139" s="28"/>
      <c r="FH1139" s="28"/>
      <c r="FK1139" s="28"/>
      <c r="FN1139" s="28"/>
      <c r="FQ1139" s="28"/>
      <c r="FT1139" s="28"/>
      <c r="FW1139" s="28"/>
      <c r="FZ1139" s="28"/>
      <c r="GC1139" s="28"/>
    </row>
    <row r="1140" spans="1:185" s="25" customFormat="1" x14ac:dyDescent="0.3">
      <c r="A1140" s="27"/>
      <c r="B1140" s="28"/>
      <c r="C1140" s="27"/>
      <c r="D1140" s="26"/>
      <c r="E1140" s="28"/>
      <c r="H1140" s="28"/>
      <c r="K1140" s="28"/>
      <c r="N1140" s="28"/>
      <c r="Q1140" s="28"/>
      <c r="T1140" s="28"/>
      <c r="W1140" s="28"/>
      <c r="Z1140" s="28"/>
      <c r="AC1140" s="28"/>
      <c r="AF1140" s="28"/>
      <c r="AI1140" s="28"/>
      <c r="AL1140" s="28"/>
      <c r="AO1140" s="28"/>
      <c r="AR1140" s="28"/>
      <c r="AU1140" s="28"/>
      <c r="AX1140" s="28"/>
      <c r="BA1140" s="28"/>
      <c r="BD1140" s="28"/>
      <c r="BG1140" s="28"/>
      <c r="BJ1140" s="28"/>
      <c r="BM1140" s="28"/>
      <c r="BP1140" s="28"/>
      <c r="BS1140" s="28"/>
      <c r="BV1140" s="28"/>
      <c r="BY1140" s="28"/>
      <c r="CB1140" s="28"/>
      <c r="CE1140" s="28"/>
      <c r="CH1140" s="28"/>
      <c r="CK1140" s="28"/>
      <c r="CN1140" s="28"/>
      <c r="CQ1140" s="28"/>
      <c r="CT1140" s="28"/>
      <c r="CW1140" s="28"/>
      <c r="CZ1140" s="28"/>
      <c r="DC1140" s="28"/>
      <c r="DF1140" s="28"/>
      <c r="DI1140" s="28"/>
      <c r="DL1140" s="28"/>
      <c r="DO1140" s="28"/>
      <c r="DR1140" s="28"/>
      <c r="DU1140" s="28"/>
      <c r="DX1140" s="28"/>
      <c r="EA1140" s="28"/>
      <c r="ED1140" s="28"/>
      <c r="EG1140" s="28"/>
      <c r="EJ1140" s="28"/>
      <c r="EM1140" s="28"/>
      <c r="EP1140" s="28"/>
      <c r="ES1140" s="28"/>
      <c r="EV1140" s="28"/>
      <c r="EY1140" s="28"/>
      <c r="FB1140" s="28"/>
      <c r="FE1140" s="28"/>
      <c r="FH1140" s="28"/>
      <c r="FK1140" s="28"/>
      <c r="FN1140" s="28"/>
      <c r="FQ1140" s="28"/>
      <c r="FT1140" s="28"/>
      <c r="FW1140" s="28"/>
      <c r="FZ1140" s="28"/>
      <c r="GC1140" s="28"/>
    </row>
    <row r="1141" spans="1:185" s="25" customFormat="1" x14ac:dyDescent="0.3">
      <c r="A1141" s="27"/>
      <c r="B1141" s="28"/>
      <c r="C1141" s="27"/>
      <c r="D1141" s="26"/>
      <c r="E1141" s="28"/>
      <c r="H1141" s="28"/>
      <c r="K1141" s="28"/>
      <c r="N1141" s="28"/>
      <c r="Q1141" s="28"/>
      <c r="T1141" s="28"/>
      <c r="W1141" s="28"/>
      <c r="Z1141" s="28"/>
      <c r="AC1141" s="28"/>
      <c r="AF1141" s="28"/>
      <c r="AI1141" s="28"/>
      <c r="AL1141" s="28"/>
      <c r="AO1141" s="28"/>
      <c r="AR1141" s="28"/>
      <c r="AU1141" s="28"/>
      <c r="AX1141" s="28"/>
      <c r="BA1141" s="28"/>
      <c r="BD1141" s="28"/>
      <c r="BG1141" s="28"/>
      <c r="BJ1141" s="28"/>
      <c r="BM1141" s="28"/>
      <c r="BP1141" s="28"/>
      <c r="BS1141" s="28"/>
      <c r="BV1141" s="28"/>
      <c r="BY1141" s="28"/>
      <c r="CB1141" s="28"/>
      <c r="CE1141" s="28"/>
      <c r="CH1141" s="28"/>
      <c r="CK1141" s="28"/>
      <c r="CN1141" s="28"/>
      <c r="CQ1141" s="28"/>
      <c r="CT1141" s="28"/>
      <c r="CW1141" s="28"/>
      <c r="CZ1141" s="28"/>
      <c r="DC1141" s="28"/>
      <c r="DF1141" s="28"/>
      <c r="DI1141" s="28"/>
      <c r="DL1141" s="28"/>
      <c r="DO1141" s="28"/>
      <c r="DR1141" s="28"/>
      <c r="DU1141" s="28"/>
      <c r="DX1141" s="28"/>
      <c r="EA1141" s="28"/>
      <c r="ED1141" s="28"/>
      <c r="EG1141" s="28"/>
      <c r="EJ1141" s="28"/>
      <c r="EM1141" s="28"/>
      <c r="EP1141" s="28"/>
      <c r="ES1141" s="28"/>
      <c r="EV1141" s="28"/>
      <c r="EY1141" s="28"/>
      <c r="FB1141" s="28"/>
      <c r="FE1141" s="28"/>
      <c r="FH1141" s="28"/>
      <c r="FK1141" s="28"/>
      <c r="FN1141" s="28"/>
      <c r="FQ1141" s="28"/>
      <c r="FT1141" s="28"/>
      <c r="FW1141" s="28"/>
      <c r="FZ1141" s="28"/>
      <c r="GC1141" s="28"/>
    </row>
    <row r="1142" spans="1:185" s="25" customFormat="1" x14ac:dyDescent="0.3">
      <c r="A1142" s="27"/>
      <c r="B1142" s="28"/>
      <c r="C1142" s="27"/>
      <c r="D1142" s="26"/>
      <c r="E1142" s="28"/>
      <c r="H1142" s="28"/>
      <c r="K1142" s="28"/>
      <c r="N1142" s="28"/>
      <c r="Q1142" s="28"/>
      <c r="T1142" s="28"/>
      <c r="W1142" s="28"/>
      <c r="Z1142" s="28"/>
      <c r="AC1142" s="28"/>
      <c r="AF1142" s="28"/>
      <c r="AI1142" s="28"/>
      <c r="AL1142" s="28"/>
      <c r="AO1142" s="28"/>
      <c r="AR1142" s="28"/>
      <c r="AU1142" s="28"/>
      <c r="AX1142" s="28"/>
      <c r="BA1142" s="28"/>
      <c r="BD1142" s="28"/>
      <c r="BG1142" s="28"/>
      <c r="BJ1142" s="28"/>
      <c r="BM1142" s="28"/>
      <c r="BP1142" s="28"/>
      <c r="BS1142" s="28"/>
      <c r="BV1142" s="28"/>
      <c r="BY1142" s="28"/>
      <c r="CB1142" s="28"/>
      <c r="CE1142" s="28"/>
      <c r="CH1142" s="28"/>
      <c r="CK1142" s="28"/>
      <c r="CN1142" s="28"/>
      <c r="CQ1142" s="28"/>
      <c r="CT1142" s="28"/>
      <c r="CW1142" s="28"/>
      <c r="CZ1142" s="28"/>
      <c r="DC1142" s="28"/>
      <c r="DF1142" s="28"/>
      <c r="DI1142" s="28"/>
      <c r="DL1142" s="28"/>
      <c r="DO1142" s="28"/>
      <c r="DR1142" s="28"/>
      <c r="DU1142" s="28"/>
      <c r="DX1142" s="28"/>
      <c r="EA1142" s="28"/>
      <c r="ED1142" s="28"/>
      <c r="EG1142" s="28"/>
      <c r="EJ1142" s="28"/>
      <c r="EM1142" s="28"/>
      <c r="EP1142" s="28"/>
      <c r="ES1142" s="28"/>
      <c r="EV1142" s="28"/>
      <c r="EY1142" s="28"/>
      <c r="FB1142" s="28"/>
      <c r="FE1142" s="28"/>
      <c r="FH1142" s="28"/>
      <c r="FK1142" s="28"/>
      <c r="FN1142" s="28"/>
      <c r="FQ1142" s="28"/>
      <c r="FT1142" s="28"/>
      <c r="FW1142" s="28"/>
      <c r="FZ1142" s="28"/>
      <c r="GC1142" s="28"/>
    </row>
    <row r="1143" spans="1:185" s="25" customFormat="1" x14ac:dyDescent="0.3">
      <c r="A1143" s="27"/>
      <c r="B1143" s="28"/>
      <c r="C1143" s="27"/>
      <c r="D1143" s="26"/>
      <c r="E1143" s="28"/>
      <c r="H1143" s="28"/>
      <c r="K1143" s="28"/>
      <c r="N1143" s="28"/>
      <c r="Q1143" s="28"/>
      <c r="T1143" s="28"/>
      <c r="W1143" s="28"/>
      <c r="Z1143" s="28"/>
      <c r="AC1143" s="28"/>
      <c r="AF1143" s="28"/>
      <c r="AI1143" s="28"/>
      <c r="AL1143" s="28"/>
      <c r="AO1143" s="28"/>
      <c r="AR1143" s="28"/>
      <c r="AU1143" s="28"/>
      <c r="AX1143" s="28"/>
      <c r="BA1143" s="28"/>
      <c r="BD1143" s="28"/>
      <c r="BG1143" s="28"/>
      <c r="BJ1143" s="28"/>
      <c r="BM1143" s="28"/>
      <c r="BP1143" s="28"/>
      <c r="BS1143" s="28"/>
      <c r="BV1143" s="28"/>
      <c r="BY1143" s="28"/>
      <c r="CB1143" s="28"/>
      <c r="CE1143" s="28"/>
      <c r="CH1143" s="28"/>
      <c r="CK1143" s="28"/>
      <c r="CN1143" s="28"/>
      <c r="CQ1143" s="28"/>
      <c r="CT1143" s="28"/>
      <c r="CW1143" s="28"/>
      <c r="CZ1143" s="28"/>
      <c r="DC1143" s="28"/>
      <c r="DF1143" s="28"/>
      <c r="DI1143" s="28"/>
      <c r="DL1143" s="28"/>
      <c r="DO1143" s="28"/>
      <c r="DR1143" s="28"/>
      <c r="DU1143" s="28"/>
      <c r="DX1143" s="28"/>
      <c r="EA1143" s="28"/>
      <c r="ED1143" s="28"/>
      <c r="EG1143" s="28"/>
      <c r="EJ1143" s="28"/>
      <c r="EM1143" s="28"/>
      <c r="EP1143" s="28"/>
      <c r="ES1143" s="28"/>
      <c r="EV1143" s="28"/>
      <c r="EY1143" s="28"/>
      <c r="FB1143" s="28"/>
      <c r="FE1143" s="28"/>
      <c r="FH1143" s="28"/>
      <c r="FK1143" s="28"/>
      <c r="FN1143" s="28"/>
      <c r="FQ1143" s="28"/>
      <c r="FT1143" s="28"/>
      <c r="FW1143" s="28"/>
      <c r="FZ1143" s="28"/>
      <c r="GC1143" s="28"/>
    </row>
    <row r="1144" spans="1:185" s="25" customFormat="1" x14ac:dyDescent="0.3">
      <c r="A1144" s="27"/>
      <c r="B1144" s="28"/>
      <c r="C1144" s="27"/>
      <c r="D1144" s="26"/>
      <c r="E1144" s="28"/>
      <c r="H1144" s="28"/>
      <c r="K1144" s="28"/>
      <c r="N1144" s="28"/>
      <c r="Q1144" s="28"/>
      <c r="T1144" s="28"/>
      <c r="W1144" s="28"/>
      <c r="Z1144" s="28"/>
      <c r="AC1144" s="28"/>
      <c r="AF1144" s="28"/>
      <c r="AI1144" s="28"/>
      <c r="AL1144" s="28"/>
      <c r="AO1144" s="28"/>
      <c r="AR1144" s="28"/>
      <c r="AU1144" s="28"/>
      <c r="AX1144" s="28"/>
      <c r="BA1144" s="28"/>
      <c r="BD1144" s="28"/>
      <c r="BG1144" s="28"/>
      <c r="BJ1144" s="28"/>
      <c r="BM1144" s="28"/>
      <c r="BP1144" s="28"/>
      <c r="BS1144" s="28"/>
      <c r="BV1144" s="28"/>
      <c r="BY1144" s="28"/>
      <c r="CB1144" s="28"/>
      <c r="CE1144" s="28"/>
      <c r="CH1144" s="28"/>
      <c r="CK1144" s="28"/>
      <c r="CN1144" s="28"/>
      <c r="CQ1144" s="28"/>
      <c r="CT1144" s="28"/>
      <c r="CW1144" s="28"/>
      <c r="CZ1144" s="28"/>
      <c r="DC1144" s="28"/>
      <c r="DF1144" s="28"/>
      <c r="DI1144" s="28"/>
      <c r="DL1144" s="28"/>
      <c r="DO1144" s="28"/>
      <c r="DR1144" s="28"/>
      <c r="DU1144" s="28"/>
      <c r="DX1144" s="28"/>
      <c r="EA1144" s="28"/>
      <c r="ED1144" s="28"/>
      <c r="EG1144" s="28"/>
      <c r="EJ1144" s="28"/>
      <c r="EM1144" s="28"/>
      <c r="EP1144" s="28"/>
      <c r="ES1144" s="28"/>
      <c r="EV1144" s="28"/>
      <c r="EY1144" s="28"/>
      <c r="FB1144" s="28"/>
      <c r="FE1144" s="28"/>
      <c r="FH1144" s="28"/>
      <c r="FK1144" s="28"/>
      <c r="FN1144" s="28"/>
      <c r="FQ1144" s="28"/>
      <c r="FT1144" s="28"/>
      <c r="FW1144" s="28"/>
      <c r="FZ1144" s="28"/>
      <c r="GC1144" s="28"/>
    </row>
    <row r="1145" spans="1:185" s="25" customFormat="1" x14ac:dyDescent="0.3">
      <c r="A1145" s="27"/>
      <c r="B1145" s="28"/>
      <c r="C1145" s="27"/>
      <c r="D1145" s="26"/>
      <c r="E1145" s="28"/>
      <c r="H1145" s="28"/>
      <c r="K1145" s="28"/>
      <c r="N1145" s="28"/>
      <c r="Q1145" s="28"/>
      <c r="T1145" s="28"/>
      <c r="W1145" s="28"/>
      <c r="Z1145" s="28"/>
      <c r="AC1145" s="28"/>
      <c r="AF1145" s="28"/>
      <c r="AI1145" s="28"/>
      <c r="AL1145" s="28"/>
      <c r="AO1145" s="28"/>
      <c r="AR1145" s="28"/>
      <c r="AU1145" s="28"/>
      <c r="AX1145" s="28"/>
      <c r="BA1145" s="28"/>
      <c r="BD1145" s="28"/>
      <c r="BG1145" s="28"/>
      <c r="BJ1145" s="28"/>
      <c r="BM1145" s="28"/>
      <c r="BP1145" s="28"/>
      <c r="BS1145" s="28"/>
      <c r="BV1145" s="28"/>
      <c r="BY1145" s="28"/>
      <c r="CB1145" s="28"/>
      <c r="CE1145" s="28"/>
      <c r="CH1145" s="28"/>
      <c r="CK1145" s="28"/>
      <c r="CN1145" s="28"/>
      <c r="CQ1145" s="28"/>
      <c r="CT1145" s="28"/>
      <c r="CW1145" s="28"/>
      <c r="CZ1145" s="28"/>
      <c r="DC1145" s="28"/>
      <c r="DF1145" s="28"/>
      <c r="DI1145" s="28"/>
      <c r="DL1145" s="28"/>
      <c r="DO1145" s="28"/>
      <c r="DR1145" s="28"/>
      <c r="DU1145" s="28"/>
      <c r="DX1145" s="28"/>
      <c r="EA1145" s="28"/>
      <c r="ED1145" s="28"/>
      <c r="EG1145" s="28"/>
      <c r="EJ1145" s="28"/>
      <c r="EM1145" s="28"/>
      <c r="EP1145" s="28"/>
      <c r="ES1145" s="28"/>
      <c r="EV1145" s="28"/>
      <c r="EY1145" s="28"/>
      <c r="FB1145" s="28"/>
      <c r="FE1145" s="28"/>
      <c r="FH1145" s="28"/>
      <c r="FK1145" s="28"/>
      <c r="FN1145" s="28"/>
      <c r="FQ1145" s="28"/>
      <c r="FT1145" s="28"/>
      <c r="FW1145" s="28"/>
      <c r="FZ1145" s="28"/>
      <c r="GC1145" s="28"/>
    </row>
    <row r="1146" spans="1:185" s="25" customFormat="1" x14ac:dyDescent="0.3">
      <c r="A1146" s="27"/>
      <c r="B1146" s="28"/>
      <c r="C1146" s="27"/>
      <c r="D1146" s="26"/>
      <c r="E1146" s="28"/>
      <c r="H1146" s="28"/>
      <c r="K1146" s="28"/>
      <c r="N1146" s="28"/>
      <c r="Q1146" s="28"/>
      <c r="T1146" s="28"/>
      <c r="W1146" s="28"/>
      <c r="Z1146" s="28"/>
      <c r="AC1146" s="28"/>
      <c r="AF1146" s="28"/>
      <c r="AI1146" s="28"/>
      <c r="AL1146" s="28"/>
      <c r="AO1146" s="28"/>
      <c r="AR1146" s="28"/>
      <c r="AU1146" s="28"/>
      <c r="AX1146" s="28"/>
      <c r="BA1146" s="28"/>
      <c r="BD1146" s="28"/>
      <c r="BG1146" s="28"/>
      <c r="BJ1146" s="28"/>
      <c r="BM1146" s="28"/>
      <c r="BP1146" s="28"/>
      <c r="BS1146" s="28"/>
      <c r="BV1146" s="28"/>
      <c r="BY1146" s="28"/>
      <c r="CB1146" s="28"/>
      <c r="CE1146" s="28"/>
      <c r="CH1146" s="28"/>
      <c r="CK1146" s="28"/>
      <c r="CN1146" s="28"/>
      <c r="CQ1146" s="28"/>
      <c r="CT1146" s="28"/>
      <c r="CW1146" s="28"/>
      <c r="CZ1146" s="28"/>
      <c r="DC1146" s="28"/>
      <c r="DF1146" s="28"/>
      <c r="DI1146" s="28"/>
      <c r="DL1146" s="28"/>
      <c r="DO1146" s="28"/>
      <c r="DR1146" s="28"/>
      <c r="DU1146" s="28"/>
      <c r="DX1146" s="28"/>
      <c r="EA1146" s="28"/>
      <c r="ED1146" s="28"/>
      <c r="EG1146" s="28"/>
      <c r="EJ1146" s="28"/>
      <c r="EM1146" s="28"/>
      <c r="EP1146" s="28"/>
      <c r="ES1146" s="28"/>
      <c r="EV1146" s="28"/>
      <c r="EY1146" s="28"/>
      <c r="FB1146" s="28"/>
      <c r="FE1146" s="28"/>
      <c r="FH1146" s="28"/>
      <c r="FK1146" s="28"/>
      <c r="FN1146" s="28"/>
      <c r="FQ1146" s="28"/>
      <c r="FT1146" s="28"/>
      <c r="FW1146" s="28"/>
      <c r="FZ1146" s="28"/>
      <c r="GC1146" s="28"/>
    </row>
    <row r="1147" spans="1:185" s="25" customFormat="1" x14ac:dyDescent="0.3">
      <c r="A1147" s="27"/>
      <c r="B1147" s="28"/>
      <c r="C1147" s="27"/>
      <c r="D1147" s="26"/>
      <c r="E1147" s="28"/>
      <c r="H1147" s="28"/>
      <c r="K1147" s="28"/>
      <c r="N1147" s="28"/>
      <c r="Q1147" s="28"/>
      <c r="T1147" s="28"/>
      <c r="W1147" s="28"/>
      <c r="Z1147" s="28"/>
      <c r="AC1147" s="28"/>
      <c r="AF1147" s="28"/>
      <c r="AI1147" s="28"/>
      <c r="AL1147" s="28"/>
      <c r="AO1147" s="28"/>
      <c r="AR1147" s="28"/>
      <c r="AU1147" s="28"/>
      <c r="AX1147" s="28"/>
      <c r="BA1147" s="28"/>
      <c r="BD1147" s="28"/>
      <c r="BG1147" s="28"/>
      <c r="BJ1147" s="28"/>
      <c r="BM1147" s="28"/>
      <c r="BP1147" s="28"/>
      <c r="BS1147" s="28"/>
      <c r="BV1147" s="28"/>
      <c r="BY1147" s="28"/>
      <c r="CB1147" s="28"/>
      <c r="CE1147" s="28"/>
      <c r="CH1147" s="28"/>
      <c r="CK1147" s="28"/>
      <c r="CN1147" s="28"/>
      <c r="CQ1147" s="28"/>
      <c r="CT1147" s="28"/>
      <c r="CW1147" s="28"/>
      <c r="CZ1147" s="28"/>
      <c r="DC1147" s="28"/>
      <c r="DF1147" s="28"/>
      <c r="DI1147" s="28"/>
      <c r="DL1147" s="28"/>
      <c r="DO1147" s="28"/>
      <c r="DR1147" s="28"/>
      <c r="DU1147" s="28"/>
      <c r="DX1147" s="28"/>
      <c r="EA1147" s="28"/>
      <c r="ED1147" s="28"/>
      <c r="EG1147" s="28"/>
      <c r="EJ1147" s="28"/>
      <c r="EM1147" s="28"/>
      <c r="EP1147" s="28"/>
      <c r="ES1147" s="28"/>
      <c r="EV1147" s="28"/>
      <c r="EY1147" s="28"/>
      <c r="FB1147" s="28"/>
      <c r="FE1147" s="28"/>
      <c r="FH1147" s="28"/>
      <c r="FK1147" s="28"/>
      <c r="FN1147" s="28"/>
      <c r="FQ1147" s="28"/>
      <c r="FT1147" s="28"/>
      <c r="FW1147" s="28"/>
      <c r="FZ1147" s="28"/>
      <c r="GC1147" s="28"/>
    </row>
    <row r="1148" spans="1:185" s="25" customFormat="1" x14ac:dyDescent="0.3">
      <c r="A1148" s="27"/>
      <c r="B1148" s="28"/>
      <c r="C1148" s="27"/>
      <c r="D1148" s="26"/>
      <c r="E1148" s="28"/>
      <c r="H1148" s="28"/>
      <c r="K1148" s="28"/>
      <c r="N1148" s="28"/>
      <c r="Q1148" s="28"/>
      <c r="T1148" s="28"/>
      <c r="W1148" s="28"/>
      <c r="Z1148" s="28"/>
      <c r="AC1148" s="28"/>
      <c r="AF1148" s="28"/>
      <c r="AI1148" s="28"/>
      <c r="AL1148" s="28"/>
      <c r="AO1148" s="28"/>
      <c r="AR1148" s="28"/>
      <c r="AU1148" s="28"/>
      <c r="AX1148" s="28"/>
      <c r="BA1148" s="28"/>
      <c r="BD1148" s="28"/>
      <c r="BG1148" s="28"/>
      <c r="BJ1148" s="28"/>
      <c r="BM1148" s="28"/>
      <c r="BP1148" s="28"/>
      <c r="BS1148" s="28"/>
      <c r="BV1148" s="28"/>
      <c r="BY1148" s="28"/>
      <c r="CB1148" s="28"/>
      <c r="CE1148" s="28"/>
      <c r="CH1148" s="28"/>
      <c r="CK1148" s="28"/>
      <c r="CN1148" s="28"/>
      <c r="CQ1148" s="28"/>
      <c r="CT1148" s="28"/>
      <c r="CW1148" s="28"/>
      <c r="CZ1148" s="28"/>
      <c r="DC1148" s="28"/>
      <c r="DF1148" s="28"/>
      <c r="DI1148" s="28"/>
      <c r="DL1148" s="28"/>
      <c r="DO1148" s="28"/>
      <c r="DR1148" s="28"/>
      <c r="DU1148" s="28"/>
      <c r="DX1148" s="28"/>
      <c r="EA1148" s="28"/>
      <c r="ED1148" s="28"/>
      <c r="EG1148" s="28"/>
      <c r="EJ1148" s="28"/>
      <c r="EM1148" s="28"/>
      <c r="EP1148" s="28"/>
      <c r="ES1148" s="28"/>
      <c r="EV1148" s="28"/>
      <c r="EY1148" s="28"/>
      <c r="FB1148" s="28"/>
      <c r="FE1148" s="28"/>
      <c r="FH1148" s="28"/>
      <c r="FK1148" s="28"/>
      <c r="FN1148" s="28"/>
      <c r="FQ1148" s="28"/>
      <c r="FT1148" s="28"/>
      <c r="FW1148" s="28"/>
      <c r="FZ1148" s="28"/>
      <c r="GC1148" s="28"/>
    </row>
    <row r="1149" spans="1:185" s="25" customFormat="1" x14ac:dyDescent="0.3">
      <c r="A1149" s="27"/>
      <c r="B1149" s="28"/>
      <c r="C1149" s="27"/>
      <c r="D1149" s="26"/>
      <c r="E1149" s="28"/>
      <c r="H1149" s="28"/>
      <c r="K1149" s="28"/>
      <c r="N1149" s="28"/>
      <c r="Q1149" s="28"/>
      <c r="T1149" s="28"/>
      <c r="W1149" s="28"/>
      <c r="Z1149" s="28"/>
      <c r="AC1149" s="28"/>
      <c r="AF1149" s="28"/>
      <c r="AI1149" s="28"/>
      <c r="AL1149" s="28"/>
      <c r="AO1149" s="28"/>
      <c r="AR1149" s="28"/>
      <c r="AU1149" s="28"/>
      <c r="AX1149" s="28"/>
      <c r="BA1149" s="28"/>
      <c r="BD1149" s="28"/>
      <c r="BG1149" s="28"/>
      <c r="BJ1149" s="28"/>
      <c r="BM1149" s="28"/>
      <c r="BP1149" s="28"/>
      <c r="BS1149" s="28"/>
      <c r="BV1149" s="28"/>
      <c r="BY1149" s="28"/>
      <c r="CB1149" s="28"/>
      <c r="CE1149" s="28"/>
      <c r="CH1149" s="28"/>
      <c r="CK1149" s="28"/>
      <c r="CN1149" s="28"/>
      <c r="CQ1149" s="28"/>
      <c r="CT1149" s="28"/>
      <c r="CW1149" s="28"/>
      <c r="CZ1149" s="28"/>
      <c r="DC1149" s="28"/>
      <c r="DF1149" s="28"/>
      <c r="DI1149" s="28"/>
      <c r="DL1149" s="28"/>
      <c r="DO1149" s="28"/>
      <c r="DR1149" s="28"/>
      <c r="DU1149" s="28"/>
      <c r="DX1149" s="28"/>
      <c r="EA1149" s="28"/>
      <c r="ED1149" s="28"/>
      <c r="EG1149" s="28"/>
      <c r="EJ1149" s="28"/>
      <c r="EM1149" s="28"/>
      <c r="EP1149" s="28"/>
      <c r="ES1149" s="28"/>
      <c r="EV1149" s="28"/>
      <c r="EY1149" s="28"/>
      <c r="FB1149" s="28"/>
      <c r="FE1149" s="28"/>
      <c r="FH1149" s="28"/>
      <c r="FK1149" s="28"/>
      <c r="FN1149" s="28"/>
      <c r="FQ1149" s="28"/>
      <c r="FT1149" s="28"/>
      <c r="FW1149" s="28"/>
      <c r="FZ1149" s="28"/>
      <c r="GC1149" s="28"/>
    </row>
    <row r="1150" spans="1:185" s="25" customFormat="1" x14ac:dyDescent="0.3">
      <c r="A1150" s="27"/>
      <c r="B1150" s="28"/>
      <c r="C1150" s="27"/>
      <c r="D1150" s="26"/>
      <c r="E1150" s="28"/>
      <c r="H1150" s="28"/>
      <c r="K1150" s="28"/>
      <c r="N1150" s="28"/>
      <c r="Q1150" s="28"/>
      <c r="T1150" s="28"/>
      <c r="W1150" s="28"/>
      <c r="Z1150" s="28"/>
      <c r="AC1150" s="28"/>
      <c r="AF1150" s="28"/>
      <c r="AI1150" s="28"/>
      <c r="AL1150" s="28"/>
      <c r="AO1150" s="28"/>
      <c r="AR1150" s="28"/>
      <c r="AU1150" s="28"/>
      <c r="AX1150" s="28"/>
      <c r="BA1150" s="28"/>
      <c r="BD1150" s="28"/>
      <c r="BG1150" s="28"/>
      <c r="BJ1150" s="28"/>
      <c r="BM1150" s="28"/>
      <c r="BP1150" s="28"/>
      <c r="BS1150" s="28"/>
      <c r="BV1150" s="28"/>
      <c r="BY1150" s="28"/>
      <c r="CB1150" s="28"/>
      <c r="CE1150" s="28"/>
      <c r="CH1150" s="28"/>
      <c r="CK1150" s="28"/>
      <c r="CN1150" s="28"/>
      <c r="CQ1150" s="28"/>
      <c r="CT1150" s="28"/>
      <c r="CW1150" s="28"/>
      <c r="CZ1150" s="28"/>
      <c r="DC1150" s="28"/>
      <c r="DF1150" s="28"/>
      <c r="DI1150" s="28"/>
      <c r="DL1150" s="28"/>
      <c r="DO1150" s="28"/>
      <c r="DR1150" s="28"/>
      <c r="DU1150" s="28"/>
      <c r="DX1150" s="28"/>
      <c r="EA1150" s="28"/>
      <c r="ED1150" s="28"/>
      <c r="EG1150" s="28"/>
      <c r="EJ1150" s="28"/>
      <c r="EM1150" s="28"/>
      <c r="EP1150" s="28"/>
      <c r="ES1150" s="28"/>
      <c r="EV1150" s="28"/>
      <c r="EY1150" s="28"/>
      <c r="FB1150" s="28"/>
      <c r="FE1150" s="28"/>
      <c r="FH1150" s="28"/>
      <c r="FK1150" s="28"/>
      <c r="FN1150" s="28"/>
      <c r="FQ1150" s="28"/>
      <c r="FT1150" s="28"/>
      <c r="FW1150" s="28"/>
      <c r="FZ1150" s="28"/>
      <c r="GC1150" s="28"/>
    </row>
    <row r="1151" spans="1:185" s="25" customFormat="1" x14ac:dyDescent="0.3">
      <c r="A1151" s="27"/>
      <c r="B1151" s="28"/>
      <c r="C1151" s="27"/>
      <c r="D1151" s="26"/>
      <c r="E1151" s="28"/>
      <c r="H1151" s="28"/>
      <c r="K1151" s="28"/>
      <c r="N1151" s="28"/>
      <c r="Q1151" s="28"/>
      <c r="T1151" s="28"/>
      <c r="W1151" s="28"/>
      <c r="Z1151" s="28"/>
      <c r="AC1151" s="28"/>
      <c r="AF1151" s="28"/>
      <c r="AI1151" s="28"/>
      <c r="AL1151" s="28"/>
      <c r="AO1151" s="28"/>
      <c r="AR1151" s="28"/>
      <c r="AU1151" s="28"/>
      <c r="AX1151" s="28"/>
      <c r="BA1151" s="28"/>
      <c r="BD1151" s="28"/>
      <c r="BG1151" s="28"/>
      <c r="BJ1151" s="28"/>
      <c r="BM1151" s="28"/>
      <c r="BP1151" s="28"/>
      <c r="BS1151" s="28"/>
      <c r="BV1151" s="28"/>
      <c r="BY1151" s="28"/>
      <c r="CB1151" s="28"/>
      <c r="CE1151" s="28"/>
      <c r="CH1151" s="28"/>
      <c r="CK1151" s="28"/>
      <c r="CN1151" s="28"/>
      <c r="CQ1151" s="28"/>
      <c r="CT1151" s="28"/>
      <c r="CW1151" s="28"/>
      <c r="CZ1151" s="28"/>
      <c r="DC1151" s="28"/>
      <c r="DF1151" s="28"/>
      <c r="DI1151" s="28"/>
      <c r="DL1151" s="28"/>
      <c r="DO1151" s="28"/>
      <c r="DR1151" s="28"/>
      <c r="DU1151" s="28"/>
      <c r="DX1151" s="28"/>
      <c r="EA1151" s="28"/>
      <c r="ED1151" s="28"/>
      <c r="EG1151" s="28"/>
      <c r="EJ1151" s="28"/>
      <c r="EM1151" s="28"/>
      <c r="EP1151" s="28"/>
      <c r="ES1151" s="28"/>
      <c r="EV1151" s="28"/>
      <c r="EY1151" s="28"/>
      <c r="FB1151" s="28"/>
      <c r="FE1151" s="28"/>
      <c r="FH1151" s="28"/>
      <c r="FK1151" s="28"/>
      <c r="FN1151" s="28"/>
      <c r="FQ1151" s="28"/>
      <c r="FT1151" s="28"/>
      <c r="FW1151" s="28"/>
      <c r="FZ1151" s="28"/>
      <c r="GC1151" s="28"/>
    </row>
    <row r="1152" spans="1:185" s="25" customFormat="1" x14ac:dyDescent="0.3">
      <c r="A1152" s="27"/>
      <c r="B1152" s="28"/>
      <c r="C1152" s="27"/>
      <c r="D1152" s="26"/>
      <c r="E1152" s="28"/>
      <c r="H1152" s="28"/>
      <c r="K1152" s="28"/>
      <c r="N1152" s="28"/>
      <c r="Q1152" s="28"/>
      <c r="T1152" s="28"/>
      <c r="W1152" s="28"/>
      <c r="Z1152" s="28"/>
      <c r="AC1152" s="28"/>
      <c r="AF1152" s="28"/>
      <c r="AI1152" s="28"/>
      <c r="AL1152" s="28"/>
      <c r="AO1152" s="28"/>
      <c r="AR1152" s="28"/>
      <c r="AU1152" s="28"/>
      <c r="AX1152" s="28"/>
      <c r="BA1152" s="28"/>
      <c r="BD1152" s="28"/>
      <c r="BG1152" s="28"/>
      <c r="BJ1152" s="28"/>
      <c r="BM1152" s="28"/>
      <c r="BP1152" s="28"/>
      <c r="BS1152" s="28"/>
      <c r="BV1152" s="28"/>
      <c r="BY1152" s="28"/>
      <c r="CB1152" s="28"/>
      <c r="CE1152" s="28"/>
      <c r="CH1152" s="28"/>
      <c r="CK1152" s="28"/>
      <c r="CN1152" s="28"/>
      <c r="CQ1152" s="28"/>
      <c r="CT1152" s="28"/>
      <c r="CW1152" s="28"/>
      <c r="CZ1152" s="28"/>
      <c r="DC1152" s="28"/>
      <c r="DF1152" s="28"/>
      <c r="DI1152" s="28"/>
      <c r="DL1152" s="28"/>
      <c r="DO1152" s="28"/>
      <c r="DR1152" s="28"/>
      <c r="DU1152" s="28"/>
      <c r="DX1152" s="28"/>
      <c r="EA1152" s="28"/>
      <c r="ED1152" s="28"/>
      <c r="EG1152" s="28"/>
      <c r="EJ1152" s="28"/>
      <c r="EM1152" s="28"/>
      <c r="EP1152" s="28"/>
      <c r="ES1152" s="28"/>
      <c r="EV1152" s="28"/>
      <c r="EY1152" s="28"/>
      <c r="FB1152" s="28"/>
      <c r="FE1152" s="28"/>
      <c r="FH1152" s="28"/>
      <c r="FK1152" s="28"/>
      <c r="FN1152" s="28"/>
      <c r="FQ1152" s="28"/>
      <c r="FT1152" s="28"/>
      <c r="FW1152" s="28"/>
      <c r="FZ1152" s="28"/>
      <c r="GC1152" s="28"/>
    </row>
    <row r="1153" spans="1:185" s="25" customFormat="1" x14ac:dyDescent="0.3">
      <c r="A1153" s="27"/>
      <c r="B1153" s="28"/>
      <c r="C1153" s="27"/>
      <c r="D1153" s="26"/>
      <c r="E1153" s="28"/>
      <c r="H1153" s="28"/>
      <c r="K1153" s="28"/>
      <c r="N1153" s="28"/>
      <c r="Q1153" s="28"/>
      <c r="T1153" s="28"/>
      <c r="W1153" s="28"/>
      <c r="Z1153" s="28"/>
      <c r="AC1153" s="28"/>
      <c r="AF1153" s="28"/>
      <c r="AI1153" s="28"/>
      <c r="AL1153" s="28"/>
      <c r="AO1153" s="28"/>
      <c r="AR1153" s="28"/>
      <c r="AU1153" s="28"/>
      <c r="AX1153" s="28"/>
      <c r="BA1153" s="28"/>
      <c r="BD1153" s="28"/>
      <c r="BG1153" s="28"/>
      <c r="BJ1153" s="28"/>
      <c r="BM1153" s="28"/>
      <c r="BP1153" s="28"/>
      <c r="BS1153" s="28"/>
      <c r="BV1153" s="28"/>
      <c r="BY1153" s="28"/>
      <c r="CB1153" s="28"/>
      <c r="CE1153" s="28"/>
      <c r="CH1153" s="28"/>
      <c r="CK1153" s="28"/>
      <c r="CN1153" s="28"/>
      <c r="CQ1153" s="28"/>
      <c r="CT1153" s="28"/>
      <c r="CW1153" s="28"/>
      <c r="CZ1153" s="28"/>
      <c r="DC1153" s="28"/>
      <c r="DF1153" s="28"/>
      <c r="DI1153" s="28"/>
      <c r="DL1153" s="28"/>
      <c r="DO1153" s="28"/>
      <c r="DR1153" s="28"/>
      <c r="DU1153" s="28"/>
      <c r="DX1153" s="28"/>
      <c r="EA1153" s="28"/>
      <c r="ED1153" s="28"/>
      <c r="EG1153" s="28"/>
      <c r="EJ1153" s="28"/>
      <c r="EM1153" s="28"/>
      <c r="EP1153" s="28"/>
      <c r="ES1153" s="28"/>
      <c r="EV1153" s="28"/>
      <c r="EY1153" s="28"/>
      <c r="FB1153" s="28"/>
      <c r="FE1153" s="28"/>
      <c r="FH1153" s="28"/>
      <c r="FK1153" s="28"/>
      <c r="FN1153" s="28"/>
      <c r="FQ1153" s="28"/>
      <c r="FT1153" s="28"/>
      <c r="FW1153" s="28"/>
      <c r="FZ1153" s="28"/>
      <c r="GC1153" s="28"/>
    </row>
    <row r="1154" spans="1:185" s="25" customFormat="1" x14ac:dyDescent="0.3">
      <c r="A1154" s="27"/>
      <c r="B1154" s="28"/>
      <c r="C1154" s="27"/>
      <c r="D1154" s="26"/>
      <c r="E1154" s="28"/>
      <c r="H1154" s="28"/>
      <c r="K1154" s="28"/>
      <c r="N1154" s="28"/>
      <c r="Q1154" s="28"/>
      <c r="T1154" s="28"/>
      <c r="W1154" s="28"/>
      <c r="Z1154" s="28"/>
      <c r="AC1154" s="28"/>
      <c r="AF1154" s="28"/>
      <c r="AI1154" s="28"/>
      <c r="AL1154" s="28"/>
      <c r="AO1154" s="28"/>
      <c r="AR1154" s="28"/>
      <c r="AU1154" s="28"/>
      <c r="AX1154" s="28"/>
      <c r="BA1154" s="28"/>
      <c r="BD1154" s="28"/>
      <c r="BG1154" s="28"/>
      <c r="BJ1154" s="28"/>
      <c r="BM1154" s="28"/>
      <c r="BP1154" s="28"/>
      <c r="BS1154" s="28"/>
      <c r="BV1154" s="28"/>
      <c r="BY1154" s="28"/>
      <c r="CB1154" s="28"/>
      <c r="CE1154" s="28"/>
      <c r="CH1154" s="28"/>
      <c r="CK1154" s="28"/>
      <c r="CN1154" s="28"/>
      <c r="CQ1154" s="28"/>
      <c r="CT1154" s="28"/>
      <c r="CW1154" s="28"/>
      <c r="CZ1154" s="28"/>
      <c r="DC1154" s="28"/>
      <c r="DF1154" s="28"/>
      <c r="DI1154" s="28"/>
      <c r="DL1154" s="28"/>
      <c r="DO1154" s="28"/>
      <c r="DR1154" s="28"/>
      <c r="DU1154" s="28"/>
      <c r="DX1154" s="28"/>
      <c r="EA1154" s="28"/>
      <c r="ED1154" s="28"/>
      <c r="EG1154" s="28"/>
      <c r="EJ1154" s="28"/>
      <c r="EM1154" s="28"/>
      <c r="EP1154" s="28"/>
      <c r="ES1154" s="28"/>
      <c r="EV1154" s="28"/>
      <c r="EY1154" s="28"/>
      <c r="FB1154" s="28"/>
      <c r="FE1154" s="28"/>
      <c r="FH1154" s="28"/>
      <c r="FK1154" s="28"/>
      <c r="FN1154" s="28"/>
      <c r="FQ1154" s="28"/>
      <c r="FT1154" s="28"/>
      <c r="FW1154" s="28"/>
      <c r="FZ1154" s="28"/>
      <c r="GC1154" s="28"/>
    </row>
    <row r="1155" spans="1:185" s="25" customFormat="1" x14ac:dyDescent="0.3">
      <c r="A1155" s="27"/>
      <c r="B1155" s="28"/>
      <c r="C1155" s="27"/>
      <c r="D1155" s="26"/>
      <c r="E1155" s="28"/>
      <c r="H1155" s="28"/>
      <c r="K1155" s="28"/>
      <c r="N1155" s="28"/>
      <c r="Q1155" s="28"/>
      <c r="T1155" s="28"/>
      <c r="W1155" s="28"/>
      <c r="Z1155" s="28"/>
      <c r="AC1155" s="28"/>
      <c r="AF1155" s="28"/>
      <c r="AI1155" s="28"/>
      <c r="AL1155" s="28"/>
      <c r="AO1155" s="28"/>
      <c r="AR1155" s="28"/>
      <c r="AU1155" s="28"/>
      <c r="AX1155" s="28"/>
      <c r="BA1155" s="28"/>
      <c r="BD1155" s="28"/>
      <c r="BG1155" s="28"/>
      <c r="BJ1155" s="28"/>
      <c r="BM1155" s="28"/>
      <c r="BP1155" s="28"/>
      <c r="BS1155" s="28"/>
      <c r="BV1155" s="28"/>
      <c r="BY1155" s="28"/>
      <c r="CB1155" s="28"/>
      <c r="CE1155" s="28"/>
      <c r="CH1155" s="28"/>
      <c r="CK1155" s="28"/>
      <c r="CN1155" s="28"/>
      <c r="CQ1155" s="28"/>
      <c r="CT1155" s="28"/>
      <c r="CW1155" s="28"/>
      <c r="CZ1155" s="28"/>
      <c r="DC1155" s="28"/>
      <c r="DF1155" s="28"/>
      <c r="DI1155" s="28"/>
      <c r="DL1155" s="28"/>
      <c r="DO1155" s="28"/>
      <c r="DR1155" s="28"/>
      <c r="DU1155" s="28"/>
      <c r="DX1155" s="28"/>
      <c r="EA1155" s="28"/>
      <c r="ED1155" s="28"/>
      <c r="EG1155" s="28"/>
      <c r="EJ1155" s="28"/>
      <c r="EM1155" s="28"/>
      <c r="EP1155" s="28"/>
      <c r="ES1155" s="28"/>
      <c r="EV1155" s="28"/>
      <c r="EY1155" s="28"/>
      <c r="FB1155" s="28"/>
      <c r="FE1155" s="28"/>
      <c r="FH1155" s="28"/>
      <c r="FK1155" s="28"/>
      <c r="FN1155" s="28"/>
      <c r="FQ1155" s="28"/>
      <c r="FT1155" s="28"/>
      <c r="FW1155" s="28"/>
      <c r="FZ1155" s="28"/>
      <c r="GC1155" s="28"/>
    </row>
    <row r="1156" spans="1:185" s="25" customFormat="1" x14ac:dyDescent="0.3">
      <c r="A1156" s="27"/>
      <c r="B1156" s="28"/>
      <c r="C1156" s="27"/>
      <c r="D1156" s="26"/>
      <c r="E1156" s="28"/>
      <c r="H1156" s="28"/>
      <c r="K1156" s="28"/>
      <c r="N1156" s="28"/>
      <c r="Q1156" s="28"/>
      <c r="T1156" s="28"/>
      <c r="W1156" s="28"/>
      <c r="Z1156" s="28"/>
      <c r="AC1156" s="28"/>
      <c r="AF1156" s="28"/>
      <c r="AI1156" s="28"/>
      <c r="AL1156" s="28"/>
      <c r="AO1156" s="28"/>
      <c r="AR1156" s="28"/>
      <c r="AU1156" s="28"/>
      <c r="AX1156" s="28"/>
      <c r="BA1156" s="28"/>
      <c r="BD1156" s="28"/>
      <c r="BG1156" s="28"/>
      <c r="BJ1156" s="28"/>
      <c r="BM1156" s="28"/>
      <c r="BP1156" s="28"/>
      <c r="BS1156" s="28"/>
      <c r="BV1156" s="28"/>
      <c r="BY1156" s="28"/>
      <c r="CB1156" s="28"/>
      <c r="CE1156" s="28"/>
      <c r="CH1156" s="28"/>
      <c r="CK1156" s="28"/>
      <c r="CN1156" s="28"/>
      <c r="CQ1156" s="28"/>
      <c r="CT1156" s="28"/>
      <c r="CW1156" s="28"/>
      <c r="CZ1156" s="28"/>
      <c r="DC1156" s="28"/>
      <c r="DF1156" s="28"/>
      <c r="DI1156" s="28"/>
      <c r="DL1156" s="28"/>
      <c r="DO1156" s="28"/>
      <c r="DR1156" s="28"/>
      <c r="DU1156" s="28"/>
      <c r="DX1156" s="28"/>
      <c r="EA1156" s="28"/>
      <c r="ED1156" s="28"/>
      <c r="EG1156" s="28"/>
      <c r="EJ1156" s="28"/>
      <c r="EM1156" s="28"/>
      <c r="EP1156" s="28"/>
      <c r="ES1156" s="28"/>
      <c r="EV1156" s="28"/>
      <c r="EY1156" s="28"/>
      <c r="FB1156" s="28"/>
      <c r="FE1156" s="28"/>
      <c r="FH1156" s="28"/>
      <c r="FK1156" s="28"/>
      <c r="FN1156" s="28"/>
      <c r="FQ1156" s="28"/>
      <c r="FT1156" s="28"/>
      <c r="FW1156" s="28"/>
      <c r="FZ1156" s="28"/>
      <c r="GC1156" s="28"/>
    </row>
    <row r="1157" spans="1:185" s="25" customFormat="1" x14ac:dyDescent="0.3">
      <c r="A1157" s="27"/>
      <c r="B1157" s="28"/>
      <c r="C1157" s="27"/>
      <c r="D1157" s="26"/>
      <c r="E1157" s="28"/>
      <c r="H1157" s="28"/>
      <c r="K1157" s="28"/>
      <c r="N1157" s="28"/>
      <c r="Q1157" s="28"/>
      <c r="T1157" s="28"/>
      <c r="W1157" s="28"/>
      <c r="Z1157" s="28"/>
      <c r="AC1157" s="28"/>
      <c r="AF1157" s="28"/>
      <c r="AI1157" s="28"/>
      <c r="AL1157" s="28"/>
      <c r="AO1157" s="28"/>
      <c r="AR1157" s="28"/>
      <c r="AU1157" s="28"/>
      <c r="AX1157" s="28"/>
      <c r="BA1157" s="28"/>
      <c r="BD1157" s="28"/>
      <c r="BG1157" s="28"/>
      <c r="BJ1157" s="28"/>
      <c r="BM1157" s="28"/>
      <c r="BP1157" s="28"/>
      <c r="BS1157" s="28"/>
      <c r="BV1157" s="28"/>
      <c r="BY1157" s="28"/>
      <c r="CB1157" s="28"/>
      <c r="CE1157" s="28"/>
      <c r="CH1157" s="28"/>
      <c r="CK1157" s="28"/>
      <c r="CN1157" s="28"/>
      <c r="CQ1157" s="28"/>
      <c r="CT1157" s="28"/>
      <c r="CW1157" s="28"/>
      <c r="CZ1157" s="28"/>
      <c r="DC1157" s="28"/>
      <c r="DF1157" s="28"/>
      <c r="DI1157" s="28"/>
      <c r="DL1157" s="28"/>
      <c r="DO1157" s="28"/>
      <c r="DR1157" s="28"/>
      <c r="DU1157" s="28"/>
      <c r="DX1157" s="28"/>
      <c r="EA1157" s="28"/>
      <c r="ED1157" s="28"/>
      <c r="EG1157" s="28"/>
      <c r="EJ1157" s="28"/>
      <c r="EM1157" s="28"/>
      <c r="EP1157" s="28"/>
      <c r="ES1157" s="28"/>
      <c r="EV1157" s="28"/>
      <c r="EY1157" s="28"/>
      <c r="FB1157" s="28"/>
      <c r="FE1157" s="28"/>
      <c r="FH1157" s="28"/>
      <c r="FK1157" s="28"/>
      <c r="FN1157" s="28"/>
      <c r="FQ1157" s="28"/>
      <c r="FT1157" s="28"/>
      <c r="FW1157" s="28"/>
      <c r="FZ1157" s="28"/>
      <c r="GC1157" s="28"/>
    </row>
    <row r="1158" spans="1:185" s="25" customFormat="1" x14ac:dyDescent="0.3">
      <c r="A1158" s="27"/>
      <c r="B1158" s="28"/>
      <c r="C1158" s="27"/>
      <c r="D1158" s="26"/>
      <c r="E1158" s="28"/>
      <c r="H1158" s="28"/>
      <c r="K1158" s="28"/>
      <c r="N1158" s="28"/>
      <c r="Q1158" s="28"/>
      <c r="T1158" s="28"/>
      <c r="W1158" s="28"/>
      <c r="Z1158" s="28"/>
      <c r="AC1158" s="28"/>
      <c r="AF1158" s="28"/>
      <c r="AI1158" s="28"/>
      <c r="AL1158" s="28"/>
      <c r="AO1158" s="28"/>
      <c r="AR1158" s="28"/>
      <c r="AU1158" s="28"/>
      <c r="AX1158" s="28"/>
      <c r="BA1158" s="28"/>
      <c r="BD1158" s="28"/>
      <c r="BG1158" s="28"/>
      <c r="BJ1158" s="28"/>
      <c r="BM1158" s="28"/>
      <c r="BP1158" s="28"/>
      <c r="BS1158" s="28"/>
      <c r="BV1158" s="28"/>
      <c r="BY1158" s="28"/>
      <c r="CB1158" s="28"/>
      <c r="CE1158" s="28"/>
      <c r="CH1158" s="28"/>
      <c r="CK1158" s="28"/>
      <c r="CN1158" s="28"/>
      <c r="CQ1158" s="28"/>
      <c r="CT1158" s="28"/>
      <c r="CW1158" s="28"/>
      <c r="CZ1158" s="28"/>
      <c r="DC1158" s="28"/>
      <c r="DF1158" s="28"/>
      <c r="DI1158" s="28"/>
      <c r="DL1158" s="28"/>
      <c r="DO1158" s="28"/>
      <c r="DR1158" s="28"/>
      <c r="DU1158" s="28"/>
      <c r="DX1158" s="28"/>
      <c r="EA1158" s="28"/>
      <c r="ED1158" s="28"/>
      <c r="EG1158" s="28"/>
      <c r="EJ1158" s="28"/>
      <c r="EM1158" s="28"/>
      <c r="EP1158" s="28"/>
      <c r="ES1158" s="28"/>
      <c r="EV1158" s="28"/>
      <c r="EY1158" s="28"/>
      <c r="FB1158" s="28"/>
      <c r="FE1158" s="28"/>
      <c r="FH1158" s="28"/>
      <c r="FK1158" s="28"/>
      <c r="FN1158" s="28"/>
      <c r="FQ1158" s="28"/>
      <c r="FT1158" s="28"/>
      <c r="FW1158" s="28"/>
      <c r="FZ1158" s="28"/>
      <c r="GC1158" s="28"/>
    </row>
    <row r="1159" spans="1:185" s="25" customFormat="1" x14ac:dyDescent="0.3">
      <c r="A1159" s="27"/>
      <c r="B1159" s="28"/>
      <c r="C1159" s="27"/>
      <c r="D1159" s="26"/>
      <c r="E1159" s="28"/>
      <c r="H1159" s="28"/>
      <c r="K1159" s="28"/>
      <c r="N1159" s="28"/>
      <c r="Q1159" s="28"/>
      <c r="T1159" s="28"/>
      <c r="W1159" s="28"/>
      <c r="Z1159" s="28"/>
      <c r="AC1159" s="28"/>
      <c r="AF1159" s="28"/>
      <c r="AI1159" s="28"/>
      <c r="AL1159" s="28"/>
      <c r="AO1159" s="28"/>
      <c r="AR1159" s="28"/>
      <c r="AU1159" s="28"/>
      <c r="AX1159" s="28"/>
      <c r="BA1159" s="28"/>
      <c r="BD1159" s="28"/>
      <c r="BG1159" s="28"/>
      <c r="BJ1159" s="28"/>
      <c r="BM1159" s="28"/>
      <c r="BP1159" s="28"/>
      <c r="BS1159" s="28"/>
      <c r="BV1159" s="28"/>
      <c r="BY1159" s="28"/>
      <c r="CB1159" s="28"/>
      <c r="CE1159" s="28"/>
      <c r="CH1159" s="28"/>
      <c r="CK1159" s="28"/>
      <c r="CN1159" s="28"/>
      <c r="CQ1159" s="28"/>
      <c r="CT1159" s="28"/>
      <c r="CW1159" s="28"/>
      <c r="CZ1159" s="28"/>
      <c r="DC1159" s="28"/>
      <c r="DF1159" s="28"/>
      <c r="DI1159" s="28"/>
      <c r="DL1159" s="28"/>
      <c r="DO1159" s="28"/>
      <c r="DR1159" s="28"/>
      <c r="DU1159" s="28"/>
      <c r="DX1159" s="28"/>
      <c r="EA1159" s="28"/>
      <c r="ED1159" s="28"/>
      <c r="EG1159" s="28"/>
      <c r="EJ1159" s="28"/>
      <c r="EM1159" s="28"/>
      <c r="EP1159" s="28"/>
      <c r="ES1159" s="28"/>
      <c r="EV1159" s="28"/>
      <c r="EY1159" s="28"/>
      <c r="FB1159" s="28"/>
      <c r="FE1159" s="28"/>
      <c r="FH1159" s="28"/>
      <c r="FK1159" s="28"/>
      <c r="FN1159" s="28"/>
      <c r="FQ1159" s="28"/>
      <c r="FT1159" s="28"/>
      <c r="FW1159" s="28"/>
      <c r="FZ1159" s="28"/>
      <c r="GC1159" s="28"/>
    </row>
    <row r="1160" spans="1:185" s="25" customFormat="1" x14ac:dyDescent="0.3">
      <c r="A1160" s="27"/>
      <c r="B1160" s="28"/>
      <c r="C1160" s="27"/>
      <c r="D1160" s="26"/>
      <c r="E1160" s="28"/>
      <c r="H1160" s="28"/>
      <c r="K1160" s="28"/>
      <c r="N1160" s="28"/>
      <c r="Q1160" s="28"/>
      <c r="T1160" s="28"/>
      <c r="W1160" s="28"/>
      <c r="Z1160" s="28"/>
      <c r="AC1160" s="28"/>
      <c r="AF1160" s="28"/>
      <c r="AI1160" s="28"/>
      <c r="AL1160" s="28"/>
      <c r="AO1160" s="28"/>
      <c r="AR1160" s="28"/>
      <c r="AU1160" s="28"/>
      <c r="AX1160" s="28"/>
      <c r="BA1160" s="28"/>
      <c r="BD1160" s="28"/>
      <c r="BG1160" s="28"/>
      <c r="BJ1160" s="28"/>
      <c r="BM1160" s="28"/>
      <c r="BP1160" s="28"/>
      <c r="BS1160" s="28"/>
      <c r="BV1160" s="28"/>
      <c r="BY1160" s="28"/>
      <c r="CB1160" s="28"/>
      <c r="CE1160" s="28"/>
      <c r="CH1160" s="28"/>
      <c r="CK1160" s="28"/>
      <c r="CN1160" s="28"/>
      <c r="CQ1160" s="28"/>
      <c r="CT1160" s="28"/>
      <c r="CW1160" s="28"/>
      <c r="CZ1160" s="28"/>
      <c r="DC1160" s="28"/>
      <c r="DF1160" s="28"/>
      <c r="DI1160" s="28"/>
      <c r="DL1160" s="28"/>
      <c r="DO1160" s="28"/>
      <c r="DR1160" s="28"/>
      <c r="DU1160" s="28"/>
      <c r="DX1160" s="28"/>
      <c r="EA1160" s="28"/>
      <c r="ED1160" s="28"/>
      <c r="EG1160" s="28"/>
      <c r="EJ1160" s="28"/>
      <c r="EM1160" s="28"/>
      <c r="EP1160" s="28"/>
      <c r="ES1160" s="28"/>
      <c r="EV1160" s="28"/>
      <c r="EY1160" s="28"/>
      <c r="FB1160" s="28"/>
      <c r="FE1160" s="28"/>
      <c r="FH1160" s="28"/>
      <c r="FK1160" s="28"/>
      <c r="FN1160" s="28"/>
      <c r="FQ1160" s="28"/>
      <c r="FT1160" s="28"/>
      <c r="FW1160" s="28"/>
      <c r="FZ1160" s="28"/>
      <c r="GC1160" s="28"/>
    </row>
    <row r="1161" spans="1:185" s="25" customFormat="1" x14ac:dyDescent="0.3">
      <c r="A1161" s="27"/>
      <c r="B1161" s="28"/>
      <c r="C1161" s="27"/>
      <c r="D1161" s="26"/>
      <c r="E1161" s="28"/>
      <c r="H1161" s="28"/>
      <c r="K1161" s="28"/>
      <c r="N1161" s="28"/>
      <c r="Q1161" s="28"/>
      <c r="T1161" s="28"/>
      <c r="W1161" s="28"/>
      <c r="Z1161" s="28"/>
      <c r="AC1161" s="28"/>
      <c r="AF1161" s="28"/>
      <c r="AI1161" s="28"/>
      <c r="AL1161" s="28"/>
      <c r="AO1161" s="28"/>
      <c r="AR1161" s="28"/>
      <c r="AU1161" s="28"/>
      <c r="AX1161" s="28"/>
      <c r="BA1161" s="28"/>
      <c r="BD1161" s="28"/>
      <c r="BG1161" s="28"/>
      <c r="BJ1161" s="28"/>
      <c r="BM1161" s="28"/>
      <c r="BP1161" s="28"/>
      <c r="BS1161" s="28"/>
      <c r="BV1161" s="28"/>
      <c r="BY1161" s="28"/>
      <c r="CB1161" s="28"/>
      <c r="CE1161" s="28"/>
      <c r="CH1161" s="28"/>
      <c r="CK1161" s="28"/>
      <c r="CN1161" s="28"/>
      <c r="CQ1161" s="28"/>
      <c r="CT1161" s="28"/>
      <c r="CW1161" s="28"/>
      <c r="CZ1161" s="28"/>
      <c r="DC1161" s="28"/>
      <c r="DF1161" s="28"/>
      <c r="DI1161" s="28"/>
      <c r="DL1161" s="28"/>
      <c r="DO1161" s="28"/>
      <c r="DR1161" s="28"/>
      <c r="DU1161" s="28"/>
      <c r="DX1161" s="28"/>
      <c r="EA1161" s="28"/>
      <c r="ED1161" s="28"/>
      <c r="EG1161" s="28"/>
      <c r="EJ1161" s="28"/>
      <c r="EM1161" s="28"/>
      <c r="EP1161" s="28"/>
      <c r="ES1161" s="28"/>
      <c r="EV1161" s="28"/>
      <c r="EY1161" s="28"/>
      <c r="FB1161" s="28"/>
      <c r="FE1161" s="28"/>
      <c r="FH1161" s="28"/>
      <c r="FK1161" s="28"/>
      <c r="FN1161" s="28"/>
      <c r="FQ1161" s="28"/>
      <c r="FT1161" s="28"/>
      <c r="FW1161" s="28"/>
      <c r="FZ1161" s="28"/>
      <c r="GC1161" s="28"/>
    </row>
    <row r="1162" spans="1:185" s="25" customFormat="1" x14ac:dyDescent="0.3">
      <c r="A1162" s="27"/>
      <c r="B1162" s="28"/>
      <c r="C1162" s="27"/>
      <c r="D1162" s="26"/>
      <c r="E1162" s="28"/>
      <c r="H1162" s="28"/>
      <c r="K1162" s="28"/>
      <c r="N1162" s="28"/>
      <c r="Q1162" s="28"/>
      <c r="T1162" s="28"/>
      <c r="W1162" s="28"/>
      <c r="Z1162" s="28"/>
      <c r="AC1162" s="28"/>
      <c r="AF1162" s="28"/>
      <c r="AI1162" s="28"/>
      <c r="AL1162" s="28"/>
      <c r="AO1162" s="28"/>
      <c r="AR1162" s="28"/>
      <c r="AU1162" s="28"/>
      <c r="AX1162" s="28"/>
      <c r="BA1162" s="28"/>
      <c r="BD1162" s="28"/>
      <c r="BG1162" s="28"/>
      <c r="BJ1162" s="28"/>
      <c r="BM1162" s="28"/>
      <c r="BP1162" s="28"/>
      <c r="BS1162" s="28"/>
      <c r="BV1162" s="28"/>
      <c r="BY1162" s="28"/>
      <c r="CB1162" s="28"/>
      <c r="CE1162" s="28"/>
      <c r="CH1162" s="28"/>
      <c r="CK1162" s="28"/>
      <c r="CN1162" s="28"/>
      <c r="CQ1162" s="28"/>
      <c r="CT1162" s="28"/>
      <c r="CW1162" s="28"/>
      <c r="CZ1162" s="28"/>
      <c r="DC1162" s="28"/>
      <c r="DF1162" s="28"/>
      <c r="DI1162" s="28"/>
      <c r="DL1162" s="28"/>
      <c r="DO1162" s="28"/>
      <c r="DR1162" s="28"/>
      <c r="DU1162" s="28"/>
      <c r="DX1162" s="28"/>
      <c r="EA1162" s="28"/>
      <c r="ED1162" s="28"/>
      <c r="EG1162" s="28"/>
      <c r="EJ1162" s="28"/>
      <c r="EM1162" s="28"/>
      <c r="EP1162" s="28"/>
      <c r="ES1162" s="28"/>
      <c r="EV1162" s="28"/>
      <c r="EY1162" s="28"/>
      <c r="FB1162" s="28"/>
      <c r="FE1162" s="28"/>
      <c r="FH1162" s="28"/>
      <c r="FK1162" s="28"/>
      <c r="FN1162" s="28"/>
      <c r="FQ1162" s="28"/>
      <c r="FT1162" s="28"/>
      <c r="FW1162" s="28"/>
      <c r="FZ1162" s="28"/>
      <c r="GC1162" s="28"/>
    </row>
    <row r="1163" spans="1:185" s="25" customFormat="1" x14ac:dyDescent="0.3">
      <c r="A1163" s="27"/>
      <c r="B1163" s="28"/>
      <c r="C1163" s="27"/>
      <c r="D1163" s="26"/>
      <c r="E1163" s="28"/>
      <c r="H1163" s="28"/>
      <c r="K1163" s="28"/>
      <c r="N1163" s="28"/>
      <c r="Q1163" s="28"/>
      <c r="T1163" s="28"/>
      <c r="W1163" s="28"/>
      <c r="Z1163" s="28"/>
      <c r="AC1163" s="28"/>
      <c r="AF1163" s="28"/>
      <c r="AI1163" s="28"/>
      <c r="AL1163" s="28"/>
      <c r="AO1163" s="28"/>
      <c r="AR1163" s="28"/>
      <c r="AU1163" s="28"/>
      <c r="AX1163" s="28"/>
      <c r="BA1163" s="28"/>
      <c r="BD1163" s="28"/>
      <c r="BG1163" s="28"/>
      <c r="BJ1163" s="28"/>
      <c r="BM1163" s="28"/>
      <c r="BP1163" s="28"/>
      <c r="BS1163" s="28"/>
      <c r="BV1163" s="28"/>
      <c r="BY1163" s="28"/>
      <c r="CB1163" s="28"/>
      <c r="CE1163" s="28"/>
      <c r="CH1163" s="28"/>
      <c r="CK1163" s="28"/>
      <c r="CN1163" s="28"/>
      <c r="CQ1163" s="28"/>
      <c r="CT1163" s="28"/>
      <c r="CW1163" s="28"/>
      <c r="CZ1163" s="28"/>
      <c r="DC1163" s="28"/>
      <c r="DF1163" s="28"/>
      <c r="DI1163" s="28"/>
      <c r="DL1163" s="28"/>
      <c r="DO1163" s="28"/>
      <c r="DR1163" s="28"/>
      <c r="DU1163" s="28"/>
      <c r="DX1163" s="28"/>
      <c r="EA1163" s="28"/>
      <c r="ED1163" s="28"/>
      <c r="EG1163" s="28"/>
      <c r="EJ1163" s="28"/>
      <c r="EM1163" s="28"/>
      <c r="EP1163" s="28"/>
      <c r="ES1163" s="28"/>
      <c r="EV1163" s="28"/>
      <c r="EY1163" s="28"/>
      <c r="FB1163" s="28"/>
      <c r="FE1163" s="28"/>
      <c r="FH1163" s="28"/>
      <c r="FK1163" s="28"/>
      <c r="FN1163" s="28"/>
      <c r="FQ1163" s="28"/>
      <c r="FT1163" s="28"/>
      <c r="FW1163" s="28"/>
      <c r="FZ1163" s="28"/>
      <c r="GC1163" s="28"/>
    </row>
    <row r="1164" spans="1:185" s="25" customFormat="1" x14ac:dyDescent="0.3">
      <c r="A1164" s="27"/>
      <c r="B1164" s="28"/>
      <c r="C1164" s="27"/>
      <c r="D1164" s="26"/>
      <c r="E1164" s="28"/>
      <c r="H1164" s="28"/>
      <c r="K1164" s="28"/>
      <c r="N1164" s="28"/>
      <c r="Q1164" s="28"/>
      <c r="T1164" s="28"/>
      <c r="W1164" s="28"/>
      <c r="Z1164" s="28"/>
      <c r="AC1164" s="28"/>
      <c r="AF1164" s="28"/>
      <c r="AI1164" s="28"/>
      <c r="AL1164" s="28"/>
      <c r="AO1164" s="28"/>
      <c r="AR1164" s="28"/>
      <c r="AU1164" s="28"/>
      <c r="AX1164" s="28"/>
      <c r="BA1164" s="28"/>
      <c r="BD1164" s="28"/>
      <c r="BG1164" s="28"/>
      <c r="BJ1164" s="28"/>
      <c r="BM1164" s="28"/>
      <c r="BP1164" s="28"/>
      <c r="BS1164" s="28"/>
      <c r="BV1164" s="28"/>
      <c r="BY1164" s="28"/>
      <c r="CB1164" s="28"/>
      <c r="CE1164" s="28"/>
      <c r="CH1164" s="28"/>
      <c r="CK1164" s="28"/>
      <c r="CN1164" s="28"/>
      <c r="CQ1164" s="28"/>
      <c r="CT1164" s="28"/>
      <c r="CW1164" s="28"/>
      <c r="CZ1164" s="28"/>
      <c r="DC1164" s="28"/>
      <c r="DF1164" s="28"/>
      <c r="DI1164" s="28"/>
      <c r="DL1164" s="28"/>
      <c r="DO1164" s="28"/>
      <c r="DR1164" s="28"/>
      <c r="DU1164" s="28"/>
      <c r="DX1164" s="28"/>
      <c r="EA1164" s="28"/>
      <c r="ED1164" s="28"/>
      <c r="EG1164" s="28"/>
      <c r="EJ1164" s="28"/>
      <c r="EM1164" s="28"/>
      <c r="EP1164" s="28"/>
      <c r="ES1164" s="28"/>
      <c r="EV1164" s="28"/>
      <c r="EY1164" s="28"/>
      <c r="FB1164" s="28"/>
      <c r="FE1164" s="28"/>
      <c r="FH1164" s="28"/>
      <c r="FK1164" s="28"/>
      <c r="FN1164" s="28"/>
      <c r="FQ1164" s="28"/>
      <c r="FT1164" s="28"/>
      <c r="FW1164" s="28"/>
      <c r="FZ1164" s="28"/>
      <c r="GC1164" s="28"/>
    </row>
    <row r="1165" spans="1:185" s="25" customFormat="1" x14ac:dyDescent="0.3">
      <c r="A1165" s="27"/>
      <c r="B1165" s="28"/>
      <c r="C1165" s="27"/>
      <c r="D1165" s="26"/>
      <c r="E1165" s="28"/>
      <c r="H1165" s="28"/>
      <c r="K1165" s="28"/>
      <c r="N1165" s="28"/>
      <c r="Q1165" s="28"/>
      <c r="T1165" s="28"/>
      <c r="W1165" s="28"/>
      <c r="Z1165" s="28"/>
      <c r="AC1165" s="28"/>
      <c r="AF1165" s="28"/>
      <c r="AI1165" s="28"/>
      <c r="AL1165" s="28"/>
      <c r="AO1165" s="28"/>
      <c r="AR1165" s="28"/>
      <c r="AU1165" s="28"/>
      <c r="AX1165" s="28"/>
      <c r="BA1165" s="28"/>
      <c r="BD1165" s="28"/>
      <c r="BG1165" s="28"/>
      <c r="BJ1165" s="28"/>
      <c r="BM1165" s="28"/>
      <c r="BP1165" s="28"/>
      <c r="BS1165" s="28"/>
      <c r="BV1165" s="28"/>
      <c r="BY1165" s="28"/>
      <c r="CB1165" s="28"/>
      <c r="CE1165" s="28"/>
      <c r="CH1165" s="28"/>
      <c r="CK1165" s="28"/>
      <c r="CN1165" s="28"/>
      <c r="CQ1165" s="28"/>
      <c r="CT1165" s="28"/>
      <c r="CW1165" s="28"/>
      <c r="CZ1165" s="28"/>
      <c r="DC1165" s="28"/>
      <c r="DF1165" s="28"/>
      <c r="DI1165" s="28"/>
      <c r="DL1165" s="28"/>
      <c r="DO1165" s="28"/>
      <c r="DR1165" s="28"/>
      <c r="DU1165" s="28"/>
      <c r="DX1165" s="28"/>
      <c r="EA1165" s="28"/>
      <c r="ED1165" s="28"/>
      <c r="EG1165" s="28"/>
      <c r="EJ1165" s="28"/>
      <c r="EM1165" s="28"/>
      <c r="EP1165" s="28"/>
      <c r="ES1165" s="28"/>
      <c r="EV1165" s="28"/>
      <c r="EY1165" s="28"/>
      <c r="FB1165" s="28"/>
      <c r="FE1165" s="28"/>
      <c r="FH1165" s="28"/>
      <c r="FK1165" s="28"/>
      <c r="FN1165" s="28"/>
      <c r="FQ1165" s="28"/>
      <c r="FT1165" s="28"/>
      <c r="FW1165" s="28"/>
      <c r="FZ1165" s="28"/>
      <c r="GC1165" s="28"/>
    </row>
    <row r="1166" spans="1:185" s="25" customFormat="1" x14ac:dyDescent="0.3">
      <c r="A1166" s="27"/>
      <c r="B1166" s="28"/>
      <c r="C1166" s="27"/>
      <c r="D1166" s="26"/>
      <c r="E1166" s="28"/>
      <c r="H1166" s="28"/>
      <c r="K1166" s="28"/>
      <c r="N1166" s="28"/>
      <c r="Q1166" s="28"/>
      <c r="T1166" s="28"/>
      <c r="W1166" s="28"/>
      <c r="Z1166" s="28"/>
      <c r="AC1166" s="28"/>
      <c r="AF1166" s="28"/>
      <c r="AI1166" s="28"/>
      <c r="AL1166" s="28"/>
      <c r="AO1166" s="28"/>
      <c r="AR1166" s="28"/>
      <c r="AU1166" s="28"/>
      <c r="AX1166" s="28"/>
      <c r="BA1166" s="28"/>
      <c r="BD1166" s="28"/>
      <c r="BG1166" s="28"/>
      <c r="BJ1166" s="28"/>
      <c r="BM1166" s="28"/>
      <c r="BP1166" s="28"/>
      <c r="BS1166" s="28"/>
      <c r="BV1166" s="28"/>
      <c r="BY1166" s="28"/>
      <c r="CB1166" s="28"/>
      <c r="CE1166" s="28"/>
      <c r="CH1166" s="28"/>
      <c r="CK1166" s="28"/>
      <c r="CN1166" s="28"/>
      <c r="CQ1166" s="28"/>
      <c r="CT1166" s="28"/>
      <c r="CW1166" s="28"/>
      <c r="CZ1166" s="28"/>
      <c r="DC1166" s="28"/>
      <c r="DF1166" s="28"/>
      <c r="DI1166" s="28"/>
      <c r="DL1166" s="28"/>
      <c r="DO1166" s="28"/>
      <c r="DR1166" s="28"/>
      <c r="DU1166" s="28"/>
      <c r="DX1166" s="28"/>
      <c r="EA1166" s="28"/>
      <c r="ED1166" s="28"/>
      <c r="EG1166" s="28"/>
      <c r="EJ1166" s="28"/>
      <c r="EM1166" s="28"/>
      <c r="EP1166" s="28"/>
      <c r="ES1166" s="28"/>
      <c r="EV1166" s="28"/>
      <c r="EY1166" s="28"/>
      <c r="FB1166" s="28"/>
      <c r="FE1166" s="28"/>
      <c r="FH1166" s="28"/>
      <c r="FK1166" s="28"/>
      <c r="FN1166" s="28"/>
      <c r="FQ1166" s="28"/>
      <c r="FT1166" s="28"/>
      <c r="FW1166" s="28"/>
      <c r="FZ1166" s="28"/>
      <c r="GC1166" s="28"/>
    </row>
    <row r="1167" spans="1:185" s="25" customFormat="1" x14ac:dyDescent="0.3">
      <c r="A1167" s="27"/>
      <c r="B1167" s="28"/>
      <c r="C1167" s="27"/>
      <c r="D1167" s="26"/>
      <c r="E1167" s="28"/>
      <c r="H1167" s="28"/>
      <c r="K1167" s="28"/>
      <c r="N1167" s="28"/>
      <c r="Q1167" s="28"/>
      <c r="T1167" s="28"/>
      <c r="W1167" s="28"/>
      <c r="Z1167" s="28"/>
      <c r="AC1167" s="28"/>
      <c r="AF1167" s="28"/>
      <c r="AI1167" s="28"/>
      <c r="AL1167" s="28"/>
      <c r="AO1167" s="28"/>
      <c r="AR1167" s="28"/>
      <c r="AU1167" s="28"/>
      <c r="AX1167" s="28"/>
      <c r="BA1167" s="28"/>
      <c r="BD1167" s="28"/>
      <c r="BG1167" s="28"/>
      <c r="BJ1167" s="28"/>
      <c r="BM1167" s="28"/>
      <c r="BP1167" s="28"/>
      <c r="BS1167" s="28"/>
      <c r="BV1167" s="28"/>
      <c r="BY1167" s="28"/>
      <c r="CB1167" s="28"/>
      <c r="CE1167" s="28"/>
      <c r="CH1167" s="28"/>
      <c r="CK1167" s="28"/>
      <c r="CN1167" s="28"/>
      <c r="CQ1167" s="28"/>
      <c r="CT1167" s="28"/>
      <c r="CW1167" s="28"/>
      <c r="CZ1167" s="28"/>
      <c r="DC1167" s="28"/>
      <c r="DF1167" s="28"/>
      <c r="DI1167" s="28"/>
      <c r="DL1167" s="28"/>
      <c r="DO1167" s="28"/>
      <c r="DR1167" s="28"/>
      <c r="DU1167" s="28"/>
      <c r="DX1167" s="28"/>
      <c r="EA1167" s="28"/>
      <c r="ED1167" s="28"/>
      <c r="EG1167" s="28"/>
      <c r="EJ1167" s="28"/>
      <c r="EM1167" s="28"/>
      <c r="EP1167" s="28"/>
      <c r="ES1167" s="28"/>
      <c r="EV1167" s="28"/>
      <c r="EY1167" s="28"/>
      <c r="FB1167" s="28"/>
      <c r="FE1167" s="28"/>
      <c r="FH1167" s="28"/>
      <c r="FK1167" s="28"/>
      <c r="FN1167" s="28"/>
      <c r="FQ1167" s="28"/>
      <c r="FT1167" s="28"/>
      <c r="FW1167" s="28"/>
      <c r="FZ1167" s="28"/>
      <c r="GC1167" s="28"/>
    </row>
    <row r="1168" spans="1:185" s="25" customFormat="1" x14ac:dyDescent="0.3">
      <c r="A1168" s="27"/>
      <c r="B1168" s="28"/>
      <c r="C1168" s="27"/>
      <c r="D1168" s="26"/>
      <c r="E1168" s="28"/>
      <c r="H1168" s="28"/>
      <c r="K1168" s="28"/>
      <c r="N1168" s="28"/>
      <c r="Q1168" s="28"/>
      <c r="T1168" s="28"/>
      <c r="W1168" s="28"/>
      <c r="Z1168" s="28"/>
      <c r="AC1168" s="28"/>
      <c r="AF1168" s="28"/>
      <c r="AI1168" s="28"/>
      <c r="AL1168" s="28"/>
      <c r="AO1168" s="28"/>
      <c r="AR1168" s="28"/>
      <c r="AU1168" s="28"/>
      <c r="AX1168" s="28"/>
      <c r="BA1168" s="28"/>
      <c r="BD1168" s="28"/>
      <c r="BG1168" s="28"/>
      <c r="BJ1168" s="28"/>
      <c r="BM1168" s="28"/>
      <c r="BP1168" s="28"/>
      <c r="BS1168" s="28"/>
      <c r="BV1168" s="28"/>
      <c r="BY1168" s="28"/>
      <c r="CB1168" s="28"/>
      <c r="CE1168" s="28"/>
      <c r="CH1168" s="28"/>
      <c r="CK1168" s="28"/>
      <c r="CN1168" s="28"/>
      <c r="CQ1168" s="28"/>
      <c r="CT1168" s="28"/>
      <c r="CW1168" s="28"/>
      <c r="CZ1168" s="28"/>
      <c r="DC1168" s="28"/>
      <c r="DF1168" s="28"/>
      <c r="DI1168" s="28"/>
      <c r="DL1168" s="28"/>
      <c r="DO1168" s="28"/>
      <c r="DR1168" s="28"/>
      <c r="DU1168" s="28"/>
      <c r="DX1168" s="28"/>
      <c r="EA1168" s="28"/>
      <c r="ED1168" s="28"/>
      <c r="EG1168" s="28"/>
      <c r="EJ1168" s="28"/>
      <c r="EM1168" s="28"/>
      <c r="EP1168" s="28"/>
      <c r="ES1168" s="28"/>
      <c r="EV1168" s="28"/>
      <c r="EY1168" s="28"/>
      <c r="FB1168" s="28"/>
      <c r="FE1168" s="28"/>
      <c r="FH1168" s="28"/>
      <c r="FK1168" s="28"/>
      <c r="FN1168" s="28"/>
      <c r="FQ1168" s="28"/>
      <c r="FT1168" s="28"/>
      <c r="FW1168" s="28"/>
      <c r="FZ1168" s="28"/>
      <c r="GC1168" s="28"/>
    </row>
    <row r="1169" spans="1:185" s="25" customFormat="1" x14ac:dyDescent="0.3">
      <c r="A1169" s="27"/>
      <c r="B1169" s="28"/>
      <c r="C1169" s="27"/>
      <c r="D1169" s="26"/>
      <c r="E1169" s="28"/>
      <c r="H1169" s="28"/>
      <c r="K1169" s="28"/>
      <c r="N1169" s="28"/>
      <c r="Q1169" s="28"/>
      <c r="T1169" s="28"/>
      <c r="W1169" s="28"/>
      <c r="Z1169" s="28"/>
      <c r="AC1169" s="28"/>
      <c r="AF1169" s="28"/>
      <c r="AI1169" s="28"/>
      <c r="AL1169" s="28"/>
      <c r="AO1169" s="28"/>
      <c r="AR1169" s="28"/>
      <c r="AU1169" s="28"/>
      <c r="AX1169" s="28"/>
      <c r="BA1169" s="28"/>
      <c r="BD1169" s="28"/>
      <c r="BG1169" s="28"/>
      <c r="BJ1169" s="28"/>
      <c r="BM1169" s="28"/>
      <c r="BP1169" s="28"/>
      <c r="BS1169" s="28"/>
      <c r="BV1169" s="28"/>
      <c r="BY1169" s="28"/>
      <c r="CB1169" s="28"/>
      <c r="CE1169" s="28"/>
      <c r="CH1169" s="28"/>
      <c r="CK1169" s="28"/>
      <c r="CN1169" s="28"/>
      <c r="CQ1169" s="28"/>
      <c r="CT1169" s="28"/>
      <c r="CW1169" s="28"/>
      <c r="CZ1169" s="28"/>
      <c r="DC1169" s="28"/>
      <c r="DF1169" s="28"/>
      <c r="DI1169" s="28"/>
      <c r="DL1169" s="28"/>
      <c r="DO1169" s="28"/>
      <c r="DR1169" s="28"/>
      <c r="DU1169" s="28"/>
      <c r="DX1169" s="28"/>
      <c r="EA1169" s="28"/>
      <c r="ED1169" s="28"/>
      <c r="EG1169" s="28"/>
      <c r="EJ1169" s="28"/>
      <c r="EM1169" s="28"/>
      <c r="EP1169" s="28"/>
      <c r="ES1169" s="28"/>
      <c r="EV1169" s="28"/>
      <c r="EY1169" s="28"/>
      <c r="FB1169" s="28"/>
      <c r="FE1169" s="28"/>
      <c r="FH1169" s="28"/>
      <c r="FK1169" s="28"/>
      <c r="FN1169" s="28"/>
      <c r="FQ1169" s="28"/>
      <c r="FT1169" s="28"/>
      <c r="FW1169" s="28"/>
      <c r="FZ1169" s="28"/>
      <c r="GC1169" s="28"/>
    </row>
    <row r="1170" spans="1:185" s="25" customFormat="1" x14ac:dyDescent="0.3">
      <c r="A1170" s="27"/>
      <c r="B1170" s="28"/>
      <c r="C1170" s="27"/>
      <c r="D1170" s="26"/>
      <c r="E1170" s="28"/>
      <c r="H1170" s="28"/>
      <c r="K1170" s="28"/>
      <c r="N1170" s="28"/>
      <c r="Q1170" s="28"/>
      <c r="T1170" s="28"/>
      <c r="W1170" s="28"/>
      <c r="Z1170" s="28"/>
      <c r="AC1170" s="28"/>
      <c r="AF1170" s="28"/>
      <c r="AI1170" s="28"/>
      <c r="AL1170" s="28"/>
      <c r="AO1170" s="28"/>
      <c r="AR1170" s="28"/>
      <c r="AU1170" s="28"/>
      <c r="AX1170" s="28"/>
      <c r="BA1170" s="28"/>
      <c r="BD1170" s="28"/>
      <c r="BG1170" s="28"/>
      <c r="BJ1170" s="28"/>
      <c r="BM1170" s="28"/>
      <c r="BP1170" s="28"/>
      <c r="BS1170" s="28"/>
      <c r="BV1170" s="28"/>
      <c r="BY1170" s="28"/>
      <c r="CB1170" s="28"/>
      <c r="CE1170" s="28"/>
      <c r="CH1170" s="28"/>
      <c r="CK1170" s="28"/>
      <c r="CN1170" s="28"/>
      <c r="CQ1170" s="28"/>
      <c r="CT1170" s="28"/>
      <c r="CW1170" s="28"/>
      <c r="CZ1170" s="28"/>
      <c r="DC1170" s="28"/>
      <c r="DF1170" s="28"/>
      <c r="DI1170" s="28"/>
      <c r="DL1170" s="28"/>
      <c r="DO1170" s="28"/>
      <c r="DR1170" s="28"/>
      <c r="DU1170" s="28"/>
      <c r="DX1170" s="28"/>
      <c r="EA1170" s="28"/>
      <c r="ED1170" s="28"/>
      <c r="EG1170" s="28"/>
      <c r="EJ1170" s="28"/>
      <c r="EM1170" s="28"/>
      <c r="EP1170" s="28"/>
      <c r="ES1170" s="28"/>
      <c r="EV1170" s="28"/>
      <c r="EY1170" s="28"/>
      <c r="FB1170" s="28"/>
      <c r="FE1170" s="28"/>
      <c r="FH1170" s="28"/>
      <c r="FK1170" s="28"/>
      <c r="FN1170" s="28"/>
      <c r="FQ1170" s="28"/>
      <c r="FT1170" s="28"/>
      <c r="FW1170" s="28"/>
      <c r="FZ1170" s="28"/>
      <c r="GC1170" s="28"/>
    </row>
    <row r="1171" spans="1:185" s="25" customFormat="1" x14ac:dyDescent="0.3">
      <c r="A1171" s="27"/>
      <c r="B1171" s="28"/>
      <c r="C1171" s="27"/>
      <c r="D1171" s="26"/>
      <c r="E1171" s="28"/>
      <c r="H1171" s="28"/>
      <c r="K1171" s="28"/>
      <c r="N1171" s="28"/>
      <c r="Q1171" s="28"/>
      <c r="T1171" s="28"/>
      <c r="W1171" s="28"/>
      <c r="Z1171" s="28"/>
      <c r="AC1171" s="28"/>
      <c r="AF1171" s="28"/>
      <c r="AI1171" s="28"/>
      <c r="AL1171" s="28"/>
      <c r="AO1171" s="28"/>
      <c r="AR1171" s="28"/>
      <c r="AU1171" s="28"/>
      <c r="AX1171" s="28"/>
      <c r="BA1171" s="28"/>
      <c r="BD1171" s="28"/>
      <c r="BG1171" s="28"/>
      <c r="BJ1171" s="28"/>
      <c r="BM1171" s="28"/>
      <c r="BP1171" s="28"/>
      <c r="BS1171" s="28"/>
      <c r="BV1171" s="28"/>
      <c r="BY1171" s="28"/>
      <c r="CB1171" s="28"/>
      <c r="CE1171" s="28"/>
      <c r="CH1171" s="28"/>
      <c r="CK1171" s="28"/>
      <c r="CN1171" s="28"/>
      <c r="CQ1171" s="28"/>
      <c r="CT1171" s="28"/>
      <c r="CW1171" s="28"/>
      <c r="CZ1171" s="28"/>
      <c r="DC1171" s="28"/>
      <c r="DF1171" s="28"/>
      <c r="DI1171" s="28"/>
      <c r="DL1171" s="28"/>
      <c r="DO1171" s="28"/>
      <c r="DR1171" s="28"/>
      <c r="DU1171" s="28"/>
      <c r="DX1171" s="28"/>
      <c r="EA1171" s="28"/>
      <c r="ED1171" s="28"/>
      <c r="EG1171" s="28"/>
      <c r="EJ1171" s="28"/>
      <c r="EM1171" s="28"/>
      <c r="EP1171" s="28"/>
      <c r="ES1171" s="28"/>
      <c r="EV1171" s="28"/>
      <c r="EY1171" s="28"/>
      <c r="FB1171" s="28"/>
      <c r="FE1171" s="28"/>
      <c r="FH1171" s="28"/>
      <c r="FK1171" s="28"/>
      <c r="FN1171" s="28"/>
      <c r="FQ1171" s="28"/>
      <c r="FT1171" s="28"/>
      <c r="FW1171" s="28"/>
      <c r="FZ1171" s="28"/>
      <c r="GC1171" s="28"/>
    </row>
    <row r="1172" spans="1:185" s="25" customFormat="1" x14ac:dyDescent="0.3">
      <c r="A1172" s="27"/>
      <c r="B1172" s="28"/>
      <c r="C1172" s="27"/>
      <c r="D1172" s="26"/>
      <c r="E1172" s="28"/>
      <c r="H1172" s="28"/>
      <c r="K1172" s="28"/>
      <c r="N1172" s="28"/>
      <c r="Q1172" s="28"/>
      <c r="T1172" s="28"/>
      <c r="W1172" s="28"/>
      <c r="Z1172" s="28"/>
      <c r="AC1172" s="28"/>
      <c r="AF1172" s="28"/>
      <c r="AI1172" s="28"/>
      <c r="AL1172" s="28"/>
      <c r="AO1172" s="28"/>
      <c r="AR1172" s="28"/>
      <c r="AU1172" s="28"/>
      <c r="AX1172" s="28"/>
      <c r="BA1172" s="28"/>
      <c r="BD1172" s="28"/>
      <c r="BG1172" s="28"/>
      <c r="BJ1172" s="28"/>
      <c r="BM1172" s="28"/>
      <c r="BP1172" s="28"/>
      <c r="BS1172" s="28"/>
      <c r="BV1172" s="28"/>
      <c r="BY1172" s="28"/>
      <c r="CB1172" s="28"/>
      <c r="CE1172" s="28"/>
      <c r="CH1172" s="28"/>
      <c r="CK1172" s="28"/>
      <c r="CN1172" s="28"/>
      <c r="CQ1172" s="28"/>
      <c r="CT1172" s="28"/>
      <c r="CW1172" s="28"/>
      <c r="CZ1172" s="28"/>
      <c r="DC1172" s="28"/>
      <c r="DF1172" s="28"/>
      <c r="DI1172" s="28"/>
      <c r="DL1172" s="28"/>
      <c r="DO1172" s="28"/>
      <c r="DR1172" s="28"/>
      <c r="DU1172" s="28"/>
      <c r="DX1172" s="28"/>
      <c r="EA1172" s="28"/>
      <c r="ED1172" s="28"/>
      <c r="EG1172" s="28"/>
      <c r="EJ1172" s="28"/>
      <c r="EM1172" s="28"/>
      <c r="EP1172" s="28"/>
      <c r="ES1172" s="28"/>
      <c r="EV1172" s="28"/>
      <c r="EY1172" s="28"/>
      <c r="FB1172" s="28"/>
      <c r="FE1172" s="28"/>
      <c r="FH1172" s="28"/>
      <c r="FK1172" s="28"/>
      <c r="FN1172" s="28"/>
      <c r="FQ1172" s="28"/>
      <c r="FT1172" s="28"/>
      <c r="FW1172" s="28"/>
      <c r="FZ1172" s="28"/>
      <c r="GC1172" s="28"/>
    </row>
    <row r="1173" spans="1:185" s="25" customFormat="1" x14ac:dyDescent="0.3">
      <c r="A1173" s="27"/>
      <c r="B1173" s="28"/>
      <c r="C1173" s="27"/>
      <c r="D1173" s="26"/>
      <c r="E1173" s="28"/>
      <c r="H1173" s="28"/>
      <c r="K1173" s="28"/>
      <c r="N1173" s="28"/>
      <c r="Q1173" s="28"/>
      <c r="T1173" s="28"/>
      <c r="W1173" s="28"/>
      <c r="Z1173" s="28"/>
      <c r="AC1173" s="28"/>
      <c r="AF1173" s="28"/>
      <c r="AI1173" s="28"/>
      <c r="AL1173" s="28"/>
      <c r="AO1173" s="28"/>
      <c r="AR1173" s="28"/>
      <c r="AU1173" s="28"/>
      <c r="AX1173" s="28"/>
      <c r="BA1173" s="28"/>
      <c r="BD1173" s="28"/>
      <c r="BG1173" s="28"/>
      <c r="BJ1173" s="28"/>
      <c r="BM1173" s="28"/>
      <c r="BP1173" s="28"/>
      <c r="BS1173" s="28"/>
      <c r="BV1173" s="28"/>
      <c r="BY1173" s="28"/>
      <c r="CB1173" s="28"/>
      <c r="CE1173" s="28"/>
      <c r="CH1173" s="28"/>
      <c r="CK1173" s="28"/>
      <c r="CN1173" s="28"/>
      <c r="CQ1173" s="28"/>
      <c r="CT1173" s="28"/>
      <c r="CW1173" s="28"/>
      <c r="CZ1173" s="28"/>
      <c r="DC1173" s="28"/>
      <c r="DF1173" s="28"/>
      <c r="DI1173" s="28"/>
      <c r="DL1173" s="28"/>
      <c r="DO1173" s="28"/>
      <c r="DR1173" s="28"/>
      <c r="DU1173" s="28"/>
      <c r="DX1173" s="28"/>
      <c r="EA1173" s="28"/>
      <c r="ED1173" s="28"/>
      <c r="EG1173" s="28"/>
      <c r="EJ1173" s="28"/>
      <c r="EM1173" s="28"/>
      <c r="EP1173" s="28"/>
      <c r="ES1173" s="28"/>
      <c r="EV1173" s="28"/>
      <c r="EY1173" s="28"/>
      <c r="FB1173" s="28"/>
      <c r="FE1173" s="28"/>
      <c r="FH1173" s="28"/>
      <c r="FK1173" s="28"/>
      <c r="FN1173" s="28"/>
      <c r="FQ1173" s="28"/>
      <c r="FT1173" s="28"/>
      <c r="FW1173" s="28"/>
      <c r="FZ1173" s="28"/>
      <c r="GC1173" s="28"/>
    </row>
    <row r="1174" spans="1:185" s="25" customFormat="1" x14ac:dyDescent="0.3">
      <c r="A1174" s="27"/>
      <c r="B1174" s="28"/>
      <c r="C1174" s="27"/>
      <c r="D1174" s="26"/>
      <c r="E1174" s="28"/>
      <c r="H1174" s="28"/>
      <c r="K1174" s="28"/>
      <c r="N1174" s="28"/>
      <c r="Q1174" s="28"/>
      <c r="T1174" s="28"/>
      <c r="W1174" s="28"/>
      <c r="Z1174" s="28"/>
      <c r="AC1174" s="28"/>
      <c r="AF1174" s="28"/>
      <c r="AI1174" s="28"/>
      <c r="AL1174" s="28"/>
      <c r="AO1174" s="28"/>
      <c r="AR1174" s="28"/>
      <c r="AU1174" s="28"/>
      <c r="AX1174" s="28"/>
      <c r="BA1174" s="28"/>
      <c r="BD1174" s="28"/>
      <c r="BG1174" s="28"/>
      <c r="BJ1174" s="28"/>
      <c r="BM1174" s="28"/>
      <c r="BP1174" s="28"/>
      <c r="BS1174" s="28"/>
      <c r="BV1174" s="28"/>
      <c r="BY1174" s="28"/>
      <c r="CB1174" s="28"/>
      <c r="CE1174" s="28"/>
      <c r="CH1174" s="28"/>
      <c r="CK1174" s="28"/>
      <c r="CN1174" s="28"/>
      <c r="CQ1174" s="28"/>
      <c r="CT1174" s="28"/>
      <c r="CW1174" s="28"/>
      <c r="CZ1174" s="28"/>
      <c r="DC1174" s="28"/>
      <c r="DF1174" s="28"/>
      <c r="DI1174" s="28"/>
      <c r="DL1174" s="28"/>
      <c r="DO1174" s="28"/>
      <c r="DR1174" s="28"/>
      <c r="DU1174" s="28"/>
      <c r="DX1174" s="28"/>
      <c r="EA1174" s="28"/>
      <c r="ED1174" s="28"/>
      <c r="EG1174" s="28"/>
      <c r="EJ1174" s="28"/>
      <c r="EM1174" s="28"/>
      <c r="EP1174" s="28"/>
      <c r="ES1174" s="28"/>
      <c r="EV1174" s="28"/>
      <c r="EY1174" s="28"/>
      <c r="FB1174" s="28"/>
      <c r="FE1174" s="28"/>
      <c r="FH1174" s="28"/>
      <c r="FK1174" s="28"/>
      <c r="FN1174" s="28"/>
      <c r="FQ1174" s="28"/>
      <c r="FT1174" s="28"/>
      <c r="FW1174" s="28"/>
      <c r="FZ1174" s="28"/>
      <c r="GC1174" s="28"/>
    </row>
    <row r="1175" spans="1:185" s="25" customFormat="1" x14ac:dyDescent="0.3">
      <c r="A1175" s="27"/>
      <c r="B1175" s="28"/>
      <c r="C1175" s="27"/>
      <c r="D1175" s="26"/>
      <c r="E1175" s="28"/>
      <c r="H1175" s="28"/>
      <c r="K1175" s="28"/>
      <c r="N1175" s="28"/>
      <c r="Q1175" s="28"/>
      <c r="T1175" s="28"/>
      <c r="W1175" s="28"/>
      <c r="Z1175" s="28"/>
      <c r="AC1175" s="28"/>
      <c r="AF1175" s="28"/>
      <c r="AI1175" s="28"/>
      <c r="AL1175" s="28"/>
      <c r="AO1175" s="28"/>
      <c r="AR1175" s="28"/>
      <c r="AU1175" s="28"/>
      <c r="AX1175" s="28"/>
      <c r="BA1175" s="28"/>
      <c r="BD1175" s="28"/>
      <c r="BG1175" s="28"/>
      <c r="BJ1175" s="28"/>
      <c r="BM1175" s="28"/>
      <c r="BP1175" s="28"/>
      <c r="BS1175" s="28"/>
      <c r="BV1175" s="28"/>
      <c r="BY1175" s="28"/>
      <c r="CB1175" s="28"/>
      <c r="CE1175" s="28"/>
      <c r="CH1175" s="28"/>
      <c r="CK1175" s="28"/>
      <c r="CN1175" s="28"/>
      <c r="CQ1175" s="28"/>
      <c r="CT1175" s="28"/>
      <c r="CW1175" s="28"/>
      <c r="CZ1175" s="28"/>
      <c r="DC1175" s="28"/>
      <c r="DF1175" s="28"/>
      <c r="DI1175" s="28"/>
      <c r="DL1175" s="28"/>
      <c r="DO1175" s="28"/>
      <c r="DR1175" s="28"/>
      <c r="DU1175" s="28"/>
      <c r="DX1175" s="28"/>
      <c r="EA1175" s="28"/>
      <c r="ED1175" s="28"/>
      <c r="EG1175" s="28"/>
      <c r="EJ1175" s="28"/>
      <c r="EM1175" s="28"/>
      <c r="EP1175" s="28"/>
      <c r="ES1175" s="28"/>
      <c r="EV1175" s="28"/>
      <c r="EY1175" s="28"/>
      <c r="FB1175" s="28"/>
      <c r="FE1175" s="28"/>
      <c r="FH1175" s="28"/>
      <c r="FK1175" s="28"/>
      <c r="FN1175" s="28"/>
      <c r="FQ1175" s="28"/>
      <c r="FT1175" s="28"/>
      <c r="FW1175" s="28"/>
      <c r="FZ1175" s="28"/>
      <c r="GC1175" s="28"/>
    </row>
    <row r="1176" spans="1:185" s="25" customFormat="1" x14ac:dyDescent="0.3">
      <c r="A1176" s="27"/>
      <c r="B1176" s="28"/>
      <c r="C1176" s="27"/>
      <c r="D1176" s="26"/>
      <c r="E1176" s="28"/>
      <c r="H1176" s="28"/>
      <c r="K1176" s="28"/>
      <c r="N1176" s="28"/>
      <c r="Q1176" s="28"/>
      <c r="T1176" s="28"/>
      <c r="W1176" s="28"/>
      <c r="Z1176" s="28"/>
      <c r="AC1176" s="28"/>
      <c r="AF1176" s="28"/>
      <c r="AI1176" s="28"/>
      <c r="AL1176" s="28"/>
      <c r="AO1176" s="28"/>
      <c r="AR1176" s="28"/>
      <c r="AU1176" s="28"/>
      <c r="AX1176" s="28"/>
      <c r="BA1176" s="28"/>
      <c r="BD1176" s="28"/>
      <c r="BG1176" s="28"/>
      <c r="BJ1176" s="28"/>
      <c r="BM1176" s="28"/>
      <c r="BP1176" s="28"/>
      <c r="BS1176" s="28"/>
      <c r="BV1176" s="28"/>
      <c r="BY1176" s="28"/>
      <c r="CB1176" s="28"/>
      <c r="CE1176" s="28"/>
      <c r="CH1176" s="28"/>
      <c r="CK1176" s="28"/>
      <c r="CN1176" s="28"/>
      <c r="CQ1176" s="28"/>
      <c r="CT1176" s="28"/>
      <c r="CW1176" s="28"/>
      <c r="CZ1176" s="28"/>
      <c r="DC1176" s="28"/>
      <c r="DF1176" s="28"/>
      <c r="DI1176" s="28"/>
      <c r="DL1176" s="28"/>
      <c r="DO1176" s="28"/>
      <c r="DR1176" s="28"/>
      <c r="DU1176" s="28"/>
      <c r="DX1176" s="28"/>
      <c r="EA1176" s="28"/>
      <c r="ED1176" s="28"/>
      <c r="EG1176" s="28"/>
      <c r="EJ1176" s="28"/>
      <c r="EM1176" s="28"/>
      <c r="EP1176" s="28"/>
      <c r="ES1176" s="28"/>
      <c r="EV1176" s="28"/>
      <c r="EY1176" s="28"/>
      <c r="FB1176" s="28"/>
      <c r="FE1176" s="28"/>
      <c r="FH1176" s="28"/>
      <c r="FK1176" s="28"/>
      <c r="FN1176" s="28"/>
      <c r="FQ1176" s="28"/>
      <c r="FT1176" s="28"/>
      <c r="FW1176" s="28"/>
      <c r="FZ1176" s="28"/>
      <c r="GC1176" s="28"/>
    </row>
    <row r="1177" spans="1:185" s="25" customFormat="1" x14ac:dyDescent="0.3">
      <c r="A1177" s="27"/>
      <c r="B1177" s="28"/>
      <c r="C1177" s="27"/>
      <c r="D1177" s="26"/>
      <c r="E1177" s="28"/>
      <c r="H1177" s="28"/>
      <c r="K1177" s="28"/>
      <c r="N1177" s="28"/>
      <c r="Q1177" s="28"/>
      <c r="T1177" s="28"/>
      <c r="W1177" s="28"/>
      <c r="Z1177" s="28"/>
      <c r="AC1177" s="28"/>
      <c r="AF1177" s="28"/>
      <c r="AI1177" s="28"/>
      <c r="AL1177" s="28"/>
      <c r="AO1177" s="28"/>
      <c r="AR1177" s="28"/>
      <c r="AU1177" s="28"/>
      <c r="AX1177" s="28"/>
      <c r="BA1177" s="28"/>
      <c r="BD1177" s="28"/>
      <c r="BG1177" s="28"/>
      <c r="BJ1177" s="28"/>
      <c r="BM1177" s="28"/>
      <c r="BP1177" s="28"/>
      <c r="BS1177" s="28"/>
      <c r="BV1177" s="28"/>
      <c r="BY1177" s="28"/>
      <c r="CB1177" s="28"/>
      <c r="CE1177" s="28"/>
      <c r="CH1177" s="28"/>
      <c r="CK1177" s="28"/>
      <c r="CN1177" s="28"/>
      <c r="CQ1177" s="28"/>
      <c r="CT1177" s="28"/>
      <c r="CW1177" s="28"/>
      <c r="CZ1177" s="28"/>
      <c r="DC1177" s="28"/>
      <c r="DF1177" s="28"/>
      <c r="DI1177" s="28"/>
      <c r="DL1177" s="28"/>
      <c r="DO1177" s="28"/>
      <c r="DR1177" s="28"/>
      <c r="DU1177" s="28"/>
      <c r="DX1177" s="28"/>
      <c r="EA1177" s="28"/>
      <c r="ED1177" s="28"/>
      <c r="EG1177" s="28"/>
      <c r="EJ1177" s="28"/>
      <c r="EM1177" s="28"/>
      <c r="EP1177" s="28"/>
      <c r="ES1177" s="28"/>
      <c r="EV1177" s="28"/>
      <c r="EY1177" s="28"/>
      <c r="FB1177" s="28"/>
      <c r="FE1177" s="28"/>
      <c r="FH1177" s="28"/>
      <c r="FK1177" s="28"/>
      <c r="FN1177" s="28"/>
      <c r="FQ1177" s="28"/>
      <c r="FT1177" s="28"/>
      <c r="FW1177" s="28"/>
      <c r="FZ1177" s="28"/>
      <c r="GC1177" s="28"/>
    </row>
    <row r="1178" spans="1:185" s="25" customFormat="1" x14ac:dyDescent="0.3">
      <c r="A1178" s="27"/>
      <c r="B1178" s="28"/>
      <c r="C1178" s="27"/>
      <c r="D1178" s="26"/>
      <c r="E1178" s="28"/>
      <c r="H1178" s="28"/>
      <c r="K1178" s="28"/>
      <c r="N1178" s="28"/>
      <c r="Q1178" s="28"/>
      <c r="T1178" s="28"/>
      <c r="W1178" s="28"/>
      <c r="Z1178" s="28"/>
      <c r="AC1178" s="28"/>
      <c r="AF1178" s="28"/>
      <c r="AI1178" s="28"/>
      <c r="AL1178" s="28"/>
      <c r="AO1178" s="28"/>
      <c r="AR1178" s="28"/>
      <c r="AU1178" s="28"/>
      <c r="AX1178" s="28"/>
      <c r="BA1178" s="28"/>
      <c r="BD1178" s="28"/>
      <c r="BG1178" s="28"/>
      <c r="BJ1178" s="28"/>
      <c r="BM1178" s="28"/>
      <c r="BP1178" s="28"/>
      <c r="BS1178" s="28"/>
      <c r="BV1178" s="28"/>
      <c r="BY1178" s="28"/>
      <c r="CB1178" s="28"/>
      <c r="CE1178" s="28"/>
      <c r="CH1178" s="28"/>
      <c r="CK1178" s="28"/>
      <c r="CN1178" s="28"/>
      <c r="CQ1178" s="28"/>
      <c r="CT1178" s="28"/>
      <c r="CW1178" s="28"/>
      <c r="CZ1178" s="28"/>
      <c r="DC1178" s="28"/>
      <c r="DF1178" s="28"/>
      <c r="DI1178" s="28"/>
      <c r="DL1178" s="28"/>
      <c r="DO1178" s="28"/>
      <c r="DR1178" s="28"/>
      <c r="DU1178" s="28"/>
      <c r="DX1178" s="28"/>
      <c r="EA1178" s="28"/>
      <c r="ED1178" s="28"/>
      <c r="EG1178" s="28"/>
      <c r="EJ1178" s="28"/>
      <c r="EM1178" s="28"/>
      <c r="EP1178" s="28"/>
      <c r="ES1178" s="28"/>
      <c r="EV1178" s="28"/>
      <c r="EY1178" s="28"/>
      <c r="FB1178" s="28"/>
      <c r="FE1178" s="28"/>
      <c r="FH1178" s="28"/>
      <c r="FK1178" s="28"/>
      <c r="FN1178" s="28"/>
      <c r="FQ1178" s="28"/>
      <c r="FT1178" s="28"/>
      <c r="FW1178" s="28"/>
      <c r="FZ1178" s="28"/>
      <c r="GC1178" s="28"/>
    </row>
    <row r="1179" spans="1:185" s="25" customFormat="1" x14ac:dyDescent="0.3">
      <c r="A1179" s="27"/>
      <c r="B1179" s="28"/>
      <c r="C1179" s="27"/>
      <c r="D1179" s="26"/>
      <c r="E1179" s="28"/>
      <c r="H1179" s="28"/>
      <c r="K1179" s="28"/>
      <c r="N1179" s="28"/>
      <c r="Q1179" s="28"/>
      <c r="T1179" s="28"/>
      <c r="W1179" s="28"/>
      <c r="Z1179" s="28"/>
      <c r="AC1179" s="28"/>
      <c r="AF1179" s="28"/>
      <c r="AI1179" s="28"/>
      <c r="AL1179" s="28"/>
      <c r="AO1179" s="28"/>
      <c r="AR1179" s="28"/>
      <c r="AU1179" s="28"/>
      <c r="AX1179" s="28"/>
      <c r="BA1179" s="28"/>
      <c r="BD1179" s="28"/>
      <c r="BG1179" s="28"/>
      <c r="BJ1179" s="28"/>
      <c r="BM1179" s="28"/>
      <c r="BP1179" s="28"/>
      <c r="BS1179" s="28"/>
      <c r="BV1179" s="28"/>
      <c r="BY1179" s="28"/>
      <c r="CB1179" s="28"/>
      <c r="CE1179" s="28"/>
      <c r="CH1179" s="28"/>
      <c r="CK1179" s="28"/>
      <c r="CN1179" s="28"/>
      <c r="CQ1179" s="28"/>
      <c r="CT1179" s="28"/>
      <c r="CW1179" s="28"/>
      <c r="CZ1179" s="28"/>
      <c r="DC1179" s="28"/>
      <c r="DF1179" s="28"/>
      <c r="DI1179" s="28"/>
      <c r="DL1179" s="28"/>
      <c r="DO1179" s="28"/>
      <c r="DR1179" s="28"/>
      <c r="DU1179" s="28"/>
      <c r="DX1179" s="28"/>
      <c r="EA1179" s="28"/>
      <c r="ED1179" s="28"/>
      <c r="EG1179" s="28"/>
      <c r="EJ1179" s="28"/>
      <c r="EM1179" s="28"/>
      <c r="EP1179" s="28"/>
      <c r="ES1179" s="28"/>
      <c r="EV1179" s="28"/>
      <c r="EY1179" s="28"/>
      <c r="FB1179" s="28"/>
      <c r="FE1179" s="28"/>
      <c r="FH1179" s="28"/>
      <c r="FK1179" s="28"/>
      <c r="FN1179" s="28"/>
      <c r="FQ1179" s="28"/>
      <c r="FT1179" s="28"/>
      <c r="FW1179" s="28"/>
      <c r="FZ1179" s="28"/>
      <c r="GC1179" s="28"/>
    </row>
    <row r="1180" spans="1:185" s="25" customFormat="1" x14ac:dyDescent="0.3">
      <c r="A1180" s="27"/>
      <c r="B1180" s="28"/>
      <c r="C1180" s="27"/>
      <c r="D1180" s="26"/>
      <c r="E1180" s="28"/>
      <c r="H1180" s="28"/>
      <c r="K1180" s="28"/>
      <c r="N1180" s="28"/>
      <c r="Q1180" s="28"/>
      <c r="T1180" s="28"/>
      <c r="W1180" s="28"/>
      <c r="Z1180" s="28"/>
      <c r="AC1180" s="28"/>
      <c r="AF1180" s="28"/>
      <c r="AI1180" s="28"/>
      <c r="AL1180" s="28"/>
      <c r="AO1180" s="28"/>
      <c r="AR1180" s="28"/>
      <c r="AU1180" s="28"/>
      <c r="AX1180" s="28"/>
      <c r="BA1180" s="28"/>
      <c r="BD1180" s="28"/>
      <c r="BG1180" s="28"/>
      <c r="BJ1180" s="28"/>
      <c r="BM1180" s="28"/>
      <c r="BP1180" s="28"/>
      <c r="BS1180" s="28"/>
      <c r="BV1180" s="28"/>
      <c r="BY1180" s="28"/>
      <c r="CB1180" s="28"/>
      <c r="CE1180" s="28"/>
      <c r="CH1180" s="28"/>
      <c r="CK1180" s="28"/>
      <c r="CN1180" s="28"/>
      <c r="CQ1180" s="28"/>
      <c r="CT1180" s="28"/>
      <c r="CW1180" s="28"/>
      <c r="CZ1180" s="28"/>
      <c r="DC1180" s="28"/>
      <c r="DF1180" s="28"/>
      <c r="DI1180" s="28"/>
      <c r="DL1180" s="28"/>
      <c r="DO1180" s="28"/>
      <c r="DR1180" s="28"/>
      <c r="DU1180" s="28"/>
      <c r="DX1180" s="28"/>
      <c r="EA1180" s="28"/>
      <c r="ED1180" s="28"/>
      <c r="EG1180" s="28"/>
      <c r="EJ1180" s="28"/>
      <c r="EM1180" s="28"/>
      <c r="EP1180" s="28"/>
      <c r="ES1180" s="28"/>
      <c r="EV1180" s="28"/>
      <c r="EY1180" s="28"/>
      <c r="FB1180" s="28"/>
      <c r="FE1180" s="28"/>
      <c r="FH1180" s="28"/>
      <c r="FK1180" s="28"/>
      <c r="FN1180" s="28"/>
      <c r="FQ1180" s="28"/>
      <c r="FT1180" s="28"/>
      <c r="FW1180" s="28"/>
      <c r="FZ1180" s="28"/>
      <c r="GC1180" s="28"/>
    </row>
    <row r="1181" spans="1:185" s="25" customFormat="1" x14ac:dyDescent="0.3">
      <c r="A1181" s="27"/>
      <c r="B1181" s="28"/>
      <c r="C1181" s="27"/>
      <c r="D1181" s="26"/>
      <c r="E1181" s="28"/>
      <c r="H1181" s="28"/>
      <c r="K1181" s="28"/>
      <c r="N1181" s="28"/>
      <c r="Q1181" s="28"/>
      <c r="T1181" s="28"/>
      <c r="W1181" s="28"/>
      <c r="Z1181" s="28"/>
      <c r="AC1181" s="28"/>
      <c r="AF1181" s="28"/>
      <c r="AI1181" s="28"/>
      <c r="AL1181" s="28"/>
      <c r="AO1181" s="28"/>
      <c r="AR1181" s="28"/>
      <c r="AU1181" s="28"/>
      <c r="AX1181" s="28"/>
      <c r="BA1181" s="28"/>
      <c r="BD1181" s="28"/>
      <c r="BG1181" s="28"/>
      <c r="BJ1181" s="28"/>
      <c r="BM1181" s="28"/>
      <c r="BP1181" s="28"/>
      <c r="BS1181" s="28"/>
      <c r="BV1181" s="28"/>
      <c r="BY1181" s="28"/>
      <c r="CB1181" s="28"/>
      <c r="CE1181" s="28"/>
      <c r="CH1181" s="28"/>
      <c r="CK1181" s="28"/>
      <c r="CN1181" s="28"/>
      <c r="CQ1181" s="28"/>
      <c r="CT1181" s="28"/>
      <c r="CW1181" s="28"/>
      <c r="CZ1181" s="28"/>
      <c r="DC1181" s="28"/>
      <c r="DF1181" s="28"/>
      <c r="DI1181" s="28"/>
      <c r="DL1181" s="28"/>
      <c r="DO1181" s="28"/>
      <c r="DR1181" s="28"/>
      <c r="DU1181" s="28"/>
      <c r="DX1181" s="28"/>
      <c r="EA1181" s="28"/>
      <c r="ED1181" s="28"/>
      <c r="EG1181" s="28"/>
      <c r="EJ1181" s="28"/>
      <c r="EM1181" s="28"/>
      <c r="EP1181" s="28"/>
      <c r="ES1181" s="28"/>
      <c r="EV1181" s="28"/>
      <c r="EY1181" s="28"/>
      <c r="FB1181" s="28"/>
      <c r="FE1181" s="28"/>
      <c r="FH1181" s="28"/>
      <c r="FK1181" s="28"/>
      <c r="FN1181" s="28"/>
      <c r="FQ1181" s="28"/>
      <c r="FT1181" s="28"/>
      <c r="FW1181" s="28"/>
      <c r="FZ1181" s="28"/>
      <c r="GC1181" s="28"/>
    </row>
    <row r="1182" spans="1:185" s="25" customFormat="1" x14ac:dyDescent="0.3">
      <c r="A1182" s="27"/>
      <c r="B1182" s="28"/>
      <c r="C1182" s="27"/>
      <c r="D1182" s="26"/>
      <c r="E1182" s="28"/>
      <c r="H1182" s="28"/>
      <c r="K1182" s="28"/>
      <c r="N1182" s="28"/>
      <c r="Q1182" s="28"/>
      <c r="T1182" s="28"/>
      <c r="W1182" s="28"/>
      <c r="Z1182" s="28"/>
      <c r="AC1182" s="28"/>
      <c r="AF1182" s="28"/>
      <c r="AI1182" s="28"/>
      <c r="AL1182" s="28"/>
      <c r="AO1182" s="28"/>
      <c r="AR1182" s="28"/>
      <c r="AU1182" s="28"/>
      <c r="AX1182" s="28"/>
      <c r="BA1182" s="28"/>
      <c r="BD1182" s="28"/>
      <c r="BG1182" s="28"/>
      <c r="BJ1182" s="28"/>
      <c r="BM1182" s="28"/>
      <c r="BP1182" s="28"/>
      <c r="BS1182" s="28"/>
      <c r="BV1182" s="28"/>
      <c r="BY1182" s="28"/>
      <c r="CB1182" s="28"/>
      <c r="CE1182" s="28"/>
      <c r="CH1182" s="28"/>
      <c r="CK1182" s="28"/>
      <c r="CN1182" s="28"/>
      <c r="CQ1182" s="28"/>
      <c r="CT1182" s="28"/>
      <c r="CW1182" s="28"/>
      <c r="CZ1182" s="28"/>
      <c r="DC1182" s="28"/>
      <c r="DF1182" s="28"/>
      <c r="DI1182" s="28"/>
      <c r="DL1182" s="28"/>
      <c r="DO1182" s="28"/>
      <c r="DR1182" s="28"/>
      <c r="DU1182" s="28"/>
      <c r="DX1182" s="28"/>
      <c r="EA1182" s="28"/>
      <c r="ED1182" s="28"/>
      <c r="EG1182" s="28"/>
      <c r="EJ1182" s="28"/>
      <c r="EM1182" s="28"/>
      <c r="EP1182" s="28"/>
      <c r="ES1182" s="28"/>
      <c r="EV1182" s="28"/>
      <c r="EY1182" s="28"/>
      <c r="FB1182" s="28"/>
      <c r="FE1182" s="28"/>
      <c r="FH1182" s="28"/>
      <c r="FK1182" s="28"/>
      <c r="FN1182" s="28"/>
      <c r="FQ1182" s="28"/>
      <c r="FT1182" s="28"/>
      <c r="FW1182" s="28"/>
      <c r="FZ1182" s="28"/>
      <c r="GC1182" s="28"/>
    </row>
    <row r="1183" spans="1:185" s="25" customFormat="1" x14ac:dyDescent="0.3">
      <c r="A1183" s="27"/>
      <c r="B1183" s="28"/>
      <c r="C1183" s="27"/>
      <c r="D1183" s="26"/>
      <c r="E1183" s="28"/>
      <c r="H1183" s="28"/>
      <c r="K1183" s="28"/>
      <c r="N1183" s="28"/>
      <c r="Q1183" s="28"/>
      <c r="T1183" s="28"/>
      <c r="W1183" s="28"/>
      <c r="Z1183" s="28"/>
      <c r="AC1183" s="28"/>
      <c r="AF1183" s="28"/>
      <c r="AI1183" s="28"/>
      <c r="AL1183" s="28"/>
      <c r="AO1183" s="28"/>
      <c r="AR1183" s="28"/>
      <c r="AU1183" s="28"/>
      <c r="AX1183" s="28"/>
      <c r="BA1183" s="28"/>
      <c r="BD1183" s="28"/>
      <c r="BG1183" s="28"/>
      <c r="BJ1183" s="28"/>
      <c r="BM1183" s="28"/>
      <c r="BP1183" s="28"/>
      <c r="BS1183" s="28"/>
      <c r="BV1183" s="28"/>
      <c r="BY1183" s="28"/>
      <c r="CB1183" s="28"/>
      <c r="CE1183" s="28"/>
      <c r="CH1183" s="28"/>
      <c r="CK1183" s="28"/>
      <c r="CN1183" s="28"/>
      <c r="CQ1183" s="28"/>
      <c r="CT1183" s="28"/>
      <c r="CW1183" s="28"/>
      <c r="CZ1183" s="28"/>
      <c r="DC1183" s="28"/>
      <c r="DF1183" s="28"/>
      <c r="DI1183" s="28"/>
      <c r="DL1183" s="28"/>
      <c r="DO1183" s="28"/>
      <c r="DR1183" s="28"/>
      <c r="DU1183" s="28"/>
      <c r="DX1183" s="28"/>
      <c r="EA1183" s="28"/>
      <c r="ED1183" s="28"/>
      <c r="EG1183" s="28"/>
      <c r="EJ1183" s="28"/>
      <c r="EM1183" s="28"/>
      <c r="EP1183" s="28"/>
      <c r="ES1183" s="28"/>
      <c r="EV1183" s="28"/>
      <c r="EY1183" s="28"/>
      <c r="FB1183" s="28"/>
      <c r="FE1183" s="28"/>
      <c r="FH1183" s="28"/>
      <c r="FK1183" s="28"/>
      <c r="FN1183" s="28"/>
      <c r="FQ1183" s="28"/>
      <c r="FT1183" s="28"/>
      <c r="FW1183" s="28"/>
      <c r="FZ1183" s="28"/>
      <c r="GC1183" s="28"/>
    </row>
    <row r="1184" spans="1:185" s="25" customFormat="1" x14ac:dyDescent="0.3">
      <c r="A1184" s="27"/>
      <c r="B1184" s="28"/>
      <c r="C1184" s="27"/>
      <c r="D1184" s="26"/>
      <c r="E1184" s="28"/>
      <c r="H1184" s="28"/>
      <c r="K1184" s="28"/>
      <c r="N1184" s="28"/>
      <c r="Q1184" s="28"/>
      <c r="T1184" s="28"/>
      <c r="W1184" s="28"/>
      <c r="Z1184" s="28"/>
      <c r="AC1184" s="28"/>
      <c r="AF1184" s="28"/>
      <c r="AI1184" s="28"/>
      <c r="AL1184" s="28"/>
      <c r="AO1184" s="28"/>
      <c r="AR1184" s="28"/>
      <c r="AU1184" s="28"/>
      <c r="AX1184" s="28"/>
      <c r="BA1184" s="28"/>
      <c r="BD1184" s="28"/>
      <c r="BG1184" s="28"/>
      <c r="BJ1184" s="28"/>
      <c r="BM1184" s="28"/>
      <c r="BP1184" s="28"/>
      <c r="BS1184" s="28"/>
      <c r="BV1184" s="28"/>
      <c r="BY1184" s="28"/>
      <c r="CB1184" s="28"/>
      <c r="CE1184" s="28"/>
      <c r="CH1184" s="28"/>
      <c r="CK1184" s="28"/>
      <c r="CN1184" s="28"/>
      <c r="CQ1184" s="28"/>
      <c r="CT1184" s="28"/>
      <c r="CW1184" s="28"/>
      <c r="CZ1184" s="28"/>
      <c r="DC1184" s="28"/>
      <c r="DF1184" s="28"/>
      <c r="DI1184" s="28"/>
      <c r="DL1184" s="28"/>
      <c r="DO1184" s="28"/>
      <c r="DR1184" s="28"/>
      <c r="DU1184" s="28"/>
      <c r="DX1184" s="28"/>
      <c r="EA1184" s="28"/>
      <c r="ED1184" s="28"/>
      <c r="EG1184" s="28"/>
      <c r="EJ1184" s="28"/>
      <c r="EM1184" s="28"/>
      <c r="EP1184" s="28"/>
      <c r="ES1184" s="28"/>
      <c r="EV1184" s="28"/>
      <c r="EY1184" s="28"/>
      <c r="FB1184" s="28"/>
      <c r="FE1184" s="28"/>
      <c r="FH1184" s="28"/>
      <c r="FK1184" s="28"/>
      <c r="FN1184" s="28"/>
      <c r="FQ1184" s="28"/>
      <c r="FT1184" s="28"/>
      <c r="FW1184" s="28"/>
      <c r="FZ1184" s="28"/>
      <c r="GC1184" s="28"/>
    </row>
    <row r="1185" spans="1:185" s="25" customFormat="1" x14ac:dyDescent="0.3">
      <c r="A1185" s="27"/>
      <c r="B1185" s="28"/>
      <c r="C1185" s="27"/>
      <c r="D1185" s="26"/>
      <c r="E1185" s="28"/>
      <c r="H1185" s="28"/>
      <c r="K1185" s="28"/>
      <c r="N1185" s="28"/>
      <c r="Q1185" s="28"/>
      <c r="T1185" s="28"/>
      <c r="W1185" s="28"/>
      <c r="Z1185" s="28"/>
      <c r="AC1185" s="28"/>
      <c r="AF1185" s="28"/>
      <c r="AI1185" s="28"/>
      <c r="AL1185" s="28"/>
      <c r="AO1185" s="28"/>
      <c r="AR1185" s="28"/>
      <c r="AU1185" s="28"/>
      <c r="AX1185" s="28"/>
      <c r="BA1185" s="28"/>
      <c r="BD1185" s="28"/>
      <c r="BG1185" s="28"/>
      <c r="BJ1185" s="28"/>
      <c r="BM1185" s="28"/>
      <c r="BP1185" s="28"/>
      <c r="BS1185" s="28"/>
      <c r="BV1185" s="28"/>
      <c r="BY1185" s="28"/>
      <c r="CB1185" s="28"/>
      <c r="CE1185" s="28"/>
      <c r="CH1185" s="28"/>
      <c r="CK1185" s="28"/>
      <c r="CN1185" s="28"/>
      <c r="CQ1185" s="28"/>
      <c r="CT1185" s="28"/>
      <c r="CW1185" s="28"/>
      <c r="CZ1185" s="28"/>
      <c r="DC1185" s="28"/>
      <c r="DF1185" s="28"/>
      <c r="DI1185" s="28"/>
      <c r="DL1185" s="28"/>
      <c r="DO1185" s="28"/>
      <c r="DR1185" s="28"/>
      <c r="DU1185" s="28"/>
      <c r="DX1185" s="28"/>
      <c r="EA1185" s="28"/>
      <c r="ED1185" s="28"/>
      <c r="EG1185" s="28"/>
      <c r="EJ1185" s="28"/>
      <c r="EM1185" s="28"/>
      <c r="EP1185" s="28"/>
      <c r="ES1185" s="28"/>
      <c r="EV1185" s="28"/>
      <c r="EY1185" s="28"/>
      <c r="FB1185" s="28"/>
      <c r="FE1185" s="28"/>
      <c r="FH1185" s="28"/>
      <c r="FK1185" s="28"/>
      <c r="FN1185" s="28"/>
      <c r="FQ1185" s="28"/>
      <c r="FT1185" s="28"/>
      <c r="FW1185" s="28"/>
      <c r="FZ1185" s="28"/>
      <c r="GC1185" s="28"/>
    </row>
    <row r="1186" spans="1:185" s="25" customFormat="1" x14ac:dyDescent="0.3">
      <c r="A1186" s="27"/>
      <c r="B1186" s="28"/>
      <c r="C1186" s="27"/>
      <c r="D1186" s="26"/>
      <c r="E1186" s="28"/>
      <c r="H1186" s="28"/>
      <c r="K1186" s="28"/>
      <c r="N1186" s="28"/>
      <c r="Q1186" s="28"/>
      <c r="T1186" s="28"/>
      <c r="W1186" s="28"/>
      <c r="Z1186" s="28"/>
      <c r="AC1186" s="28"/>
      <c r="AF1186" s="28"/>
      <c r="AI1186" s="28"/>
      <c r="AL1186" s="28"/>
      <c r="AO1186" s="28"/>
      <c r="AR1186" s="28"/>
      <c r="AU1186" s="28"/>
      <c r="AX1186" s="28"/>
      <c r="BA1186" s="28"/>
      <c r="BD1186" s="28"/>
      <c r="BG1186" s="28"/>
      <c r="BJ1186" s="28"/>
      <c r="BM1186" s="28"/>
      <c r="BP1186" s="28"/>
      <c r="BS1186" s="28"/>
      <c r="BV1186" s="28"/>
      <c r="BY1186" s="28"/>
      <c r="CB1186" s="28"/>
      <c r="CE1186" s="28"/>
      <c r="CH1186" s="28"/>
      <c r="CK1186" s="28"/>
      <c r="CN1186" s="28"/>
      <c r="CQ1186" s="28"/>
      <c r="CT1186" s="28"/>
      <c r="CW1186" s="28"/>
      <c r="CZ1186" s="28"/>
      <c r="DC1186" s="28"/>
      <c r="DF1186" s="28"/>
      <c r="DI1186" s="28"/>
      <c r="DL1186" s="28"/>
      <c r="DO1186" s="28"/>
      <c r="DR1186" s="28"/>
      <c r="DU1186" s="28"/>
      <c r="DX1186" s="28"/>
      <c r="EA1186" s="28"/>
      <c r="ED1186" s="28"/>
      <c r="EG1186" s="28"/>
      <c r="EJ1186" s="28"/>
      <c r="EM1186" s="28"/>
      <c r="EP1186" s="28"/>
      <c r="ES1186" s="28"/>
      <c r="EV1186" s="28"/>
      <c r="EY1186" s="28"/>
      <c r="FB1186" s="28"/>
      <c r="FE1186" s="28"/>
      <c r="FH1186" s="28"/>
      <c r="FK1186" s="28"/>
      <c r="FN1186" s="28"/>
      <c r="FQ1186" s="28"/>
      <c r="FT1186" s="28"/>
      <c r="FW1186" s="28"/>
      <c r="FZ1186" s="28"/>
      <c r="GC1186" s="28"/>
    </row>
    <row r="1187" spans="1:185" s="25" customFormat="1" x14ac:dyDescent="0.3">
      <c r="A1187" s="27"/>
      <c r="B1187" s="28"/>
      <c r="C1187" s="27"/>
      <c r="D1187" s="26"/>
      <c r="E1187" s="28"/>
      <c r="H1187" s="28"/>
      <c r="K1187" s="28"/>
      <c r="N1187" s="28"/>
      <c r="Q1187" s="28"/>
      <c r="T1187" s="28"/>
      <c r="W1187" s="28"/>
      <c r="Z1187" s="28"/>
      <c r="AC1187" s="28"/>
      <c r="AF1187" s="28"/>
      <c r="AI1187" s="28"/>
      <c r="AL1187" s="28"/>
      <c r="AO1187" s="28"/>
      <c r="AR1187" s="28"/>
      <c r="AU1187" s="28"/>
      <c r="AX1187" s="28"/>
      <c r="BA1187" s="28"/>
      <c r="BD1187" s="28"/>
      <c r="BG1187" s="28"/>
      <c r="BJ1187" s="28"/>
      <c r="BM1187" s="28"/>
      <c r="BP1187" s="28"/>
      <c r="BS1187" s="28"/>
      <c r="BV1187" s="28"/>
      <c r="BY1187" s="28"/>
      <c r="CB1187" s="28"/>
      <c r="CE1187" s="28"/>
      <c r="CH1187" s="28"/>
      <c r="CK1187" s="28"/>
      <c r="CN1187" s="28"/>
      <c r="CQ1187" s="28"/>
      <c r="CT1187" s="28"/>
      <c r="CW1187" s="28"/>
      <c r="CZ1187" s="28"/>
      <c r="DC1187" s="28"/>
      <c r="DF1187" s="28"/>
      <c r="DI1187" s="28"/>
      <c r="DL1187" s="28"/>
      <c r="DO1187" s="28"/>
      <c r="DR1187" s="28"/>
      <c r="DU1187" s="28"/>
      <c r="DX1187" s="28"/>
      <c r="EA1187" s="28"/>
      <c r="ED1187" s="28"/>
      <c r="EG1187" s="28"/>
      <c r="EJ1187" s="28"/>
      <c r="EM1187" s="28"/>
      <c r="EP1187" s="28"/>
      <c r="ES1187" s="28"/>
      <c r="EV1187" s="28"/>
      <c r="EY1187" s="28"/>
      <c r="FB1187" s="28"/>
      <c r="FE1187" s="28"/>
      <c r="FH1187" s="28"/>
      <c r="FK1187" s="28"/>
      <c r="FN1187" s="28"/>
      <c r="FQ1187" s="28"/>
      <c r="FT1187" s="28"/>
      <c r="FW1187" s="28"/>
      <c r="FZ1187" s="28"/>
      <c r="GC1187" s="28"/>
    </row>
    <row r="1188" spans="1:185" s="25" customFormat="1" x14ac:dyDescent="0.3">
      <c r="A1188" s="27"/>
      <c r="B1188" s="28"/>
      <c r="C1188" s="27"/>
      <c r="D1188" s="26"/>
      <c r="E1188" s="28"/>
      <c r="H1188" s="28"/>
      <c r="K1188" s="28"/>
      <c r="N1188" s="28"/>
      <c r="Q1188" s="28"/>
      <c r="T1188" s="28"/>
      <c r="W1188" s="28"/>
      <c r="Z1188" s="28"/>
      <c r="AC1188" s="28"/>
      <c r="AF1188" s="28"/>
      <c r="AI1188" s="28"/>
      <c r="AL1188" s="28"/>
      <c r="AO1188" s="28"/>
      <c r="AR1188" s="28"/>
      <c r="AU1188" s="28"/>
      <c r="AX1188" s="28"/>
      <c r="BA1188" s="28"/>
      <c r="BD1188" s="28"/>
      <c r="BG1188" s="28"/>
      <c r="BJ1188" s="28"/>
      <c r="BM1188" s="28"/>
      <c r="BP1188" s="28"/>
      <c r="BS1188" s="28"/>
      <c r="BV1188" s="28"/>
      <c r="BY1188" s="28"/>
      <c r="CB1188" s="28"/>
      <c r="CE1188" s="28"/>
      <c r="CH1188" s="28"/>
      <c r="CK1188" s="28"/>
      <c r="CN1188" s="28"/>
      <c r="CQ1188" s="28"/>
      <c r="CT1188" s="28"/>
      <c r="CW1188" s="28"/>
      <c r="CZ1188" s="28"/>
      <c r="DC1188" s="28"/>
      <c r="DF1188" s="28"/>
      <c r="DI1188" s="28"/>
      <c r="DL1188" s="28"/>
      <c r="DO1188" s="28"/>
      <c r="DR1188" s="28"/>
      <c r="DU1188" s="28"/>
      <c r="DX1188" s="28"/>
      <c r="EA1188" s="28"/>
      <c r="ED1188" s="28"/>
      <c r="EG1188" s="28"/>
      <c r="EJ1188" s="28"/>
      <c r="EM1188" s="28"/>
      <c r="EP1188" s="28"/>
      <c r="ES1188" s="28"/>
      <c r="EV1188" s="28"/>
      <c r="EY1188" s="28"/>
      <c r="FB1188" s="28"/>
      <c r="FE1188" s="28"/>
      <c r="FH1188" s="28"/>
      <c r="FK1188" s="28"/>
      <c r="FN1188" s="28"/>
      <c r="FQ1188" s="28"/>
      <c r="FT1188" s="28"/>
      <c r="FW1188" s="28"/>
      <c r="FZ1188" s="28"/>
      <c r="GC1188" s="28"/>
    </row>
    <row r="1189" spans="1:185" s="25" customFormat="1" x14ac:dyDescent="0.3">
      <c r="A1189" s="27"/>
      <c r="B1189" s="28"/>
      <c r="C1189" s="27"/>
      <c r="D1189" s="26"/>
      <c r="E1189" s="28"/>
      <c r="H1189" s="28"/>
      <c r="K1189" s="28"/>
      <c r="N1189" s="28"/>
      <c r="Q1189" s="28"/>
      <c r="T1189" s="28"/>
      <c r="W1189" s="28"/>
      <c r="Z1189" s="28"/>
      <c r="AC1189" s="28"/>
      <c r="AF1189" s="28"/>
      <c r="AI1189" s="28"/>
      <c r="AL1189" s="28"/>
      <c r="AO1189" s="28"/>
      <c r="AR1189" s="28"/>
      <c r="AU1189" s="28"/>
      <c r="AX1189" s="28"/>
      <c r="BA1189" s="28"/>
      <c r="BD1189" s="28"/>
      <c r="BG1189" s="28"/>
      <c r="BJ1189" s="28"/>
      <c r="BM1189" s="28"/>
      <c r="BP1189" s="28"/>
      <c r="BS1189" s="28"/>
      <c r="BV1189" s="28"/>
      <c r="BY1189" s="28"/>
      <c r="CB1189" s="28"/>
      <c r="CE1189" s="28"/>
      <c r="CH1189" s="28"/>
      <c r="CK1189" s="28"/>
      <c r="CN1189" s="28"/>
      <c r="CQ1189" s="28"/>
      <c r="CT1189" s="28"/>
      <c r="CW1189" s="28"/>
      <c r="CZ1189" s="28"/>
      <c r="DC1189" s="28"/>
      <c r="DF1189" s="28"/>
      <c r="DI1189" s="28"/>
      <c r="DL1189" s="28"/>
      <c r="DO1189" s="28"/>
      <c r="DR1189" s="28"/>
      <c r="DU1189" s="28"/>
      <c r="DX1189" s="28"/>
      <c r="EA1189" s="28"/>
      <c r="ED1189" s="28"/>
      <c r="EG1189" s="28"/>
      <c r="EJ1189" s="28"/>
      <c r="EM1189" s="28"/>
      <c r="EP1189" s="28"/>
      <c r="ES1189" s="28"/>
      <c r="EV1189" s="28"/>
      <c r="EY1189" s="28"/>
      <c r="FB1189" s="28"/>
      <c r="FE1189" s="28"/>
      <c r="FH1189" s="28"/>
      <c r="FK1189" s="28"/>
      <c r="FN1189" s="28"/>
      <c r="FQ1189" s="28"/>
      <c r="FT1189" s="28"/>
      <c r="FW1189" s="28"/>
      <c r="FZ1189" s="28"/>
      <c r="GC1189" s="28"/>
    </row>
    <row r="1190" spans="1:185" s="25" customFormat="1" x14ac:dyDescent="0.3">
      <c r="A1190" s="27"/>
      <c r="B1190" s="28"/>
      <c r="C1190" s="27"/>
      <c r="D1190" s="26"/>
      <c r="E1190" s="28"/>
      <c r="H1190" s="28"/>
      <c r="K1190" s="28"/>
      <c r="N1190" s="28"/>
      <c r="Q1190" s="28"/>
      <c r="T1190" s="28"/>
      <c r="W1190" s="28"/>
      <c r="Z1190" s="28"/>
      <c r="AC1190" s="28"/>
      <c r="AF1190" s="28"/>
      <c r="AI1190" s="28"/>
      <c r="AL1190" s="28"/>
      <c r="AO1190" s="28"/>
      <c r="AR1190" s="28"/>
      <c r="AU1190" s="28"/>
      <c r="AX1190" s="28"/>
      <c r="BA1190" s="28"/>
      <c r="BD1190" s="28"/>
      <c r="BG1190" s="28"/>
      <c r="BJ1190" s="28"/>
      <c r="BM1190" s="28"/>
      <c r="BP1190" s="28"/>
      <c r="BS1190" s="28"/>
      <c r="BV1190" s="28"/>
      <c r="BY1190" s="28"/>
      <c r="CB1190" s="28"/>
      <c r="CE1190" s="28"/>
      <c r="CH1190" s="28"/>
      <c r="CK1190" s="28"/>
      <c r="CN1190" s="28"/>
      <c r="CQ1190" s="28"/>
      <c r="CT1190" s="28"/>
      <c r="CW1190" s="28"/>
      <c r="CZ1190" s="28"/>
      <c r="DC1190" s="28"/>
      <c r="DF1190" s="28"/>
      <c r="DI1190" s="28"/>
      <c r="DL1190" s="28"/>
      <c r="DO1190" s="28"/>
      <c r="DR1190" s="28"/>
      <c r="DU1190" s="28"/>
      <c r="DX1190" s="28"/>
      <c r="EA1190" s="28"/>
      <c r="ED1190" s="28"/>
      <c r="EG1190" s="28"/>
      <c r="EJ1190" s="28"/>
      <c r="EM1190" s="28"/>
      <c r="EP1190" s="28"/>
      <c r="ES1190" s="28"/>
      <c r="EV1190" s="28"/>
      <c r="EY1190" s="28"/>
      <c r="FB1190" s="28"/>
      <c r="FE1190" s="28"/>
      <c r="FH1190" s="28"/>
      <c r="FK1190" s="28"/>
      <c r="FN1190" s="28"/>
      <c r="FQ1190" s="28"/>
      <c r="FT1190" s="28"/>
      <c r="FW1190" s="28"/>
      <c r="FZ1190" s="28"/>
      <c r="GC1190" s="28"/>
    </row>
    <row r="1191" spans="1:185" s="25" customFormat="1" x14ac:dyDescent="0.3">
      <c r="A1191" s="27"/>
      <c r="B1191" s="28"/>
      <c r="C1191" s="27"/>
      <c r="D1191" s="26"/>
      <c r="E1191" s="28"/>
      <c r="H1191" s="28"/>
      <c r="K1191" s="28"/>
      <c r="N1191" s="28"/>
      <c r="Q1191" s="28"/>
      <c r="T1191" s="28"/>
      <c r="W1191" s="28"/>
      <c r="Z1191" s="28"/>
      <c r="AC1191" s="28"/>
      <c r="AF1191" s="28"/>
      <c r="AI1191" s="28"/>
      <c r="AL1191" s="28"/>
      <c r="AO1191" s="28"/>
      <c r="AR1191" s="28"/>
      <c r="AU1191" s="28"/>
      <c r="AX1191" s="28"/>
      <c r="BA1191" s="28"/>
      <c r="BD1191" s="28"/>
      <c r="BG1191" s="28"/>
      <c r="BJ1191" s="28"/>
      <c r="BM1191" s="28"/>
      <c r="BP1191" s="28"/>
      <c r="BS1191" s="28"/>
      <c r="BV1191" s="28"/>
      <c r="BY1191" s="28"/>
      <c r="CB1191" s="28"/>
      <c r="CE1191" s="28"/>
      <c r="CH1191" s="28"/>
      <c r="CK1191" s="28"/>
      <c r="CN1191" s="28"/>
      <c r="CQ1191" s="28"/>
      <c r="CT1191" s="28"/>
      <c r="CW1191" s="28"/>
      <c r="CZ1191" s="28"/>
      <c r="DC1191" s="28"/>
      <c r="DF1191" s="28"/>
      <c r="DI1191" s="28"/>
      <c r="DL1191" s="28"/>
      <c r="DO1191" s="28"/>
      <c r="DR1191" s="28"/>
      <c r="DU1191" s="28"/>
      <c r="DX1191" s="28"/>
      <c r="EA1191" s="28"/>
      <c r="ED1191" s="28"/>
      <c r="EG1191" s="28"/>
      <c r="EJ1191" s="28"/>
      <c r="EM1191" s="28"/>
      <c r="EP1191" s="28"/>
      <c r="ES1191" s="28"/>
      <c r="EV1191" s="28"/>
      <c r="EY1191" s="28"/>
      <c r="FB1191" s="28"/>
      <c r="FE1191" s="28"/>
      <c r="FH1191" s="28"/>
      <c r="FK1191" s="28"/>
      <c r="FN1191" s="28"/>
      <c r="FQ1191" s="28"/>
      <c r="FT1191" s="28"/>
      <c r="FW1191" s="28"/>
      <c r="FZ1191" s="28"/>
      <c r="GC1191" s="28"/>
    </row>
    <row r="1192" spans="1:185" s="25" customFormat="1" x14ac:dyDescent="0.3">
      <c r="A1192" s="27"/>
      <c r="B1192" s="28"/>
      <c r="C1192" s="27"/>
      <c r="D1192" s="26"/>
      <c r="E1192" s="28"/>
      <c r="H1192" s="28"/>
      <c r="K1192" s="28"/>
      <c r="N1192" s="28"/>
      <c r="Q1192" s="28"/>
      <c r="T1192" s="28"/>
      <c r="W1192" s="28"/>
      <c r="Z1192" s="28"/>
      <c r="AC1192" s="28"/>
      <c r="AF1192" s="28"/>
      <c r="AI1192" s="28"/>
      <c r="AL1192" s="28"/>
      <c r="AO1192" s="28"/>
      <c r="AR1192" s="28"/>
      <c r="AU1192" s="28"/>
      <c r="AX1192" s="28"/>
      <c r="BA1192" s="28"/>
      <c r="BD1192" s="28"/>
      <c r="BG1192" s="28"/>
      <c r="BJ1192" s="28"/>
      <c r="BM1192" s="28"/>
      <c r="BP1192" s="28"/>
      <c r="BS1192" s="28"/>
      <c r="BV1192" s="28"/>
      <c r="BY1192" s="28"/>
      <c r="CB1192" s="28"/>
      <c r="CE1192" s="28"/>
      <c r="CH1192" s="28"/>
      <c r="CK1192" s="28"/>
      <c r="CN1192" s="28"/>
      <c r="CQ1192" s="28"/>
      <c r="CT1192" s="28"/>
      <c r="CW1192" s="28"/>
      <c r="CZ1192" s="28"/>
      <c r="DC1192" s="28"/>
      <c r="DF1192" s="28"/>
      <c r="DI1192" s="28"/>
      <c r="DL1192" s="28"/>
      <c r="DO1192" s="28"/>
      <c r="DR1192" s="28"/>
      <c r="DU1192" s="28"/>
      <c r="DX1192" s="28"/>
      <c r="EA1192" s="28"/>
      <c r="ED1192" s="28"/>
      <c r="EG1192" s="28"/>
      <c r="EJ1192" s="28"/>
      <c r="EM1192" s="28"/>
      <c r="EP1192" s="28"/>
      <c r="ES1192" s="28"/>
      <c r="EV1192" s="28"/>
      <c r="EY1192" s="28"/>
      <c r="FB1192" s="28"/>
      <c r="FE1192" s="28"/>
      <c r="FH1192" s="28"/>
      <c r="FK1192" s="28"/>
      <c r="FN1192" s="28"/>
      <c r="FQ1192" s="28"/>
      <c r="FT1192" s="28"/>
      <c r="FW1192" s="28"/>
      <c r="FZ1192" s="28"/>
      <c r="GC1192" s="28"/>
    </row>
    <row r="1193" spans="1:185" s="25" customFormat="1" x14ac:dyDescent="0.3">
      <c r="A1193" s="27"/>
      <c r="B1193" s="28"/>
      <c r="C1193" s="27"/>
      <c r="D1193" s="26"/>
      <c r="E1193" s="28"/>
      <c r="H1193" s="28"/>
      <c r="K1193" s="28"/>
      <c r="N1193" s="28"/>
      <c r="Q1193" s="28"/>
      <c r="T1193" s="28"/>
      <c r="W1193" s="28"/>
      <c r="Z1193" s="28"/>
      <c r="AC1193" s="28"/>
      <c r="AF1193" s="28"/>
      <c r="AI1193" s="28"/>
      <c r="AL1193" s="28"/>
      <c r="AO1193" s="28"/>
      <c r="AR1193" s="28"/>
      <c r="AU1193" s="28"/>
      <c r="AX1193" s="28"/>
      <c r="BA1193" s="28"/>
      <c r="BD1193" s="28"/>
      <c r="BG1193" s="28"/>
      <c r="BJ1193" s="28"/>
      <c r="BM1193" s="28"/>
      <c r="BP1193" s="28"/>
      <c r="BS1193" s="28"/>
      <c r="BV1193" s="28"/>
      <c r="BY1193" s="28"/>
      <c r="CB1193" s="28"/>
      <c r="CE1193" s="28"/>
      <c r="CH1193" s="28"/>
      <c r="CK1193" s="28"/>
      <c r="CN1193" s="28"/>
      <c r="CQ1193" s="28"/>
      <c r="CT1193" s="28"/>
      <c r="CW1193" s="28"/>
      <c r="CZ1193" s="28"/>
      <c r="DC1193" s="28"/>
      <c r="DF1193" s="28"/>
      <c r="DI1193" s="28"/>
      <c r="DL1193" s="28"/>
      <c r="DO1193" s="28"/>
      <c r="DR1193" s="28"/>
      <c r="DU1193" s="28"/>
      <c r="DX1193" s="28"/>
      <c r="EA1193" s="28"/>
      <c r="ED1193" s="28"/>
      <c r="EG1193" s="28"/>
      <c r="EJ1193" s="28"/>
      <c r="EM1193" s="28"/>
      <c r="EP1193" s="28"/>
      <c r="ES1193" s="28"/>
      <c r="EV1193" s="28"/>
      <c r="EY1193" s="28"/>
      <c r="FB1193" s="28"/>
      <c r="FE1193" s="28"/>
      <c r="FH1193" s="28"/>
      <c r="FK1193" s="28"/>
      <c r="FN1193" s="28"/>
      <c r="FQ1193" s="28"/>
      <c r="FT1193" s="28"/>
      <c r="FW1193" s="28"/>
      <c r="FZ1193" s="28"/>
      <c r="GC1193" s="28"/>
    </row>
    <row r="1194" spans="1:185" s="25" customFormat="1" x14ac:dyDescent="0.3">
      <c r="A1194" s="27"/>
      <c r="B1194" s="28"/>
      <c r="C1194" s="27"/>
      <c r="D1194" s="26"/>
      <c r="E1194" s="28"/>
      <c r="H1194" s="28"/>
      <c r="K1194" s="28"/>
      <c r="N1194" s="28"/>
      <c r="Q1194" s="28"/>
      <c r="T1194" s="28"/>
      <c r="W1194" s="28"/>
      <c r="Z1194" s="28"/>
      <c r="AC1194" s="28"/>
      <c r="AF1194" s="28"/>
      <c r="AI1194" s="28"/>
      <c r="AL1194" s="28"/>
      <c r="AO1194" s="28"/>
      <c r="AR1194" s="28"/>
      <c r="AU1194" s="28"/>
      <c r="AX1194" s="28"/>
      <c r="BA1194" s="28"/>
      <c r="BD1194" s="28"/>
      <c r="BG1194" s="28"/>
      <c r="BJ1194" s="28"/>
      <c r="BM1194" s="28"/>
      <c r="BP1194" s="28"/>
      <c r="BS1194" s="28"/>
      <c r="BV1194" s="28"/>
      <c r="BY1194" s="28"/>
      <c r="CB1194" s="28"/>
      <c r="CE1194" s="28"/>
      <c r="CH1194" s="28"/>
      <c r="CK1194" s="28"/>
      <c r="CN1194" s="28"/>
      <c r="CQ1194" s="28"/>
      <c r="CT1194" s="28"/>
      <c r="CW1194" s="28"/>
      <c r="CZ1194" s="28"/>
      <c r="DC1194" s="28"/>
      <c r="DF1194" s="28"/>
      <c r="DI1194" s="28"/>
      <c r="DL1194" s="28"/>
      <c r="DO1194" s="28"/>
      <c r="DR1194" s="28"/>
      <c r="DU1194" s="28"/>
      <c r="DX1194" s="28"/>
      <c r="EA1194" s="28"/>
      <c r="ED1194" s="28"/>
      <c r="EG1194" s="28"/>
      <c r="EJ1194" s="28"/>
      <c r="EM1194" s="28"/>
      <c r="EP1194" s="28"/>
      <c r="ES1194" s="28"/>
      <c r="EV1194" s="28"/>
      <c r="EY1194" s="28"/>
      <c r="FB1194" s="28"/>
      <c r="FE1194" s="28"/>
      <c r="FH1194" s="28"/>
      <c r="FK1194" s="28"/>
      <c r="FN1194" s="28"/>
      <c r="FQ1194" s="28"/>
      <c r="FT1194" s="28"/>
      <c r="FW1194" s="28"/>
      <c r="FZ1194" s="28"/>
      <c r="GC1194" s="28"/>
    </row>
    <row r="1195" spans="1:185" s="25" customFormat="1" x14ac:dyDescent="0.3">
      <c r="A1195" s="27"/>
      <c r="B1195" s="28"/>
      <c r="C1195" s="27"/>
      <c r="D1195" s="26"/>
      <c r="E1195" s="28"/>
      <c r="H1195" s="28"/>
      <c r="K1195" s="28"/>
      <c r="N1195" s="28"/>
      <c r="Q1195" s="28"/>
      <c r="T1195" s="28"/>
      <c r="W1195" s="28"/>
      <c r="Z1195" s="28"/>
      <c r="AC1195" s="28"/>
      <c r="AF1195" s="28"/>
      <c r="AI1195" s="28"/>
      <c r="AL1195" s="28"/>
      <c r="AO1195" s="28"/>
      <c r="AR1195" s="28"/>
      <c r="AU1195" s="28"/>
      <c r="AX1195" s="28"/>
      <c r="BA1195" s="28"/>
      <c r="BD1195" s="28"/>
      <c r="BG1195" s="28"/>
      <c r="BJ1195" s="28"/>
      <c r="BM1195" s="28"/>
      <c r="BP1195" s="28"/>
      <c r="BS1195" s="28"/>
      <c r="BV1195" s="28"/>
      <c r="BY1195" s="28"/>
      <c r="CB1195" s="28"/>
      <c r="CE1195" s="28"/>
      <c r="CH1195" s="28"/>
      <c r="CK1195" s="28"/>
      <c r="CN1195" s="28"/>
      <c r="CQ1195" s="28"/>
      <c r="CT1195" s="28"/>
      <c r="CW1195" s="28"/>
      <c r="CZ1195" s="28"/>
      <c r="DC1195" s="28"/>
      <c r="DF1195" s="28"/>
      <c r="DI1195" s="28"/>
      <c r="DL1195" s="28"/>
      <c r="DO1195" s="28"/>
      <c r="DR1195" s="28"/>
      <c r="DU1195" s="28"/>
      <c r="DX1195" s="28"/>
      <c r="EA1195" s="28"/>
      <c r="ED1195" s="28"/>
      <c r="EG1195" s="28"/>
      <c r="EJ1195" s="28"/>
      <c r="EM1195" s="28"/>
      <c r="EP1195" s="28"/>
      <c r="ES1195" s="28"/>
      <c r="EV1195" s="28"/>
      <c r="EY1195" s="28"/>
      <c r="FB1195" s="28"/>
      <c r="FE1195" s="28"/>
      <c r="FH1195" s="28"/>
      <c r="FK1195" s="28"/>
      <c r="FN1195" s="28"/>
      <c r="FQ1195" s="28"/>
      <c r="FT1195" s="28"/>
      <c r="FW1195" s="28"/>
      <c r="FZ1195" s="28"/>
      <c r="GC1195" s="28"/>
    </row>
    <row r="1196" spans="1:185" s="25" customFormat="1" x14ac:dyDescent="0.3">
      <c r="A1196" s="27"/>
      <c r="B1196" s="28"/>
      <c r="C1196" s="27"/>
      <c r="D1196" s="26"/>
      <c r="E1196" s="28"/>
      <c r="H1196" s="28"/>
      <c r="K1196" s="28"/>
      <c r="N1196" s="28"/>
      <c r="Q1196" s="28"/>
      <c r="T1196" s="28"/>
      <c r="W1196" s="28"/>
      <c r="Z1196" s="28"/>
      <c r="AC1196" s="28"/>
      <c r="AF1196" s="28"/>
      <c r="AI1196" s="28"/>
      <c r="AL1196" s="28"/>
      <c r="AO1196" s="28"/>
      <c r="AR1196" s="28"/>
      <c r="AU1196" s="28"/>
      <c r="AX1196" s="28"/>
      <c r="BA1196" s="28"/>
      <c r="BD1196" s="28"/>
      <c r="BG1196" s="28"/>
      <c r="BJ1196" s="28"/>
      <c r="BM1196" s="28"/>
      <c r="BP1196" s="28"/>
      <c r="BS1196" s="28"/>
      <c r="BV1196" s="28"/>
      <c r="BY1196" s="28"/>
      <c r="CB1196" s="28"/>
      <c r="CE1196" s="28"/>
      <c r="CH1196" s="28"/>
      <c r="CK1196" s="28"/>
      <c r="CN1196" s="28"/>
      <c r="CQ1196" s="28"/>
      <c r="CT1196" s="28"/>
      <c r="CW1196" s="28"/>
      <c r="CZ1196" s="28"/>
      <c r="DC1196" s="28"/>
      <c r="DF1196" s="28"/>
      <c r="DI1196" s="28"/>
      <c r="DL1196" s="28"/>
      <c r="DO1196" s="28"/>
      <c r="DR1196" s="28"/>
      <c r="DU1196" s="28"/>
      <c r="DX1196" s="28"/>
      <c r="EA1196" s="28"/>
      <c r="ED1196" s="28"/>
      <c r="EG1196" s="28"/>
      <c r="EJ1196" s="28"/>
      <c r="EM1196" s="28"/>
      <c r="EP1196" s="28"/>
      <c r="ES1196" s="28"/>
      <c r="EV1196" s="28"/>
      <c r="EY1196" s="28"/>
      <c r="FB1196" s="28"/>
      <c r="FE1196" s="28"/>
      <c r="FH1196" s="28"/>
      <c r="FK1196" s="28"/>
      <c r="FN1196" s="28"/>
      <c r="FQ1196" s="28"/>
      <c r="FT1196" s="28"/>
      <c r="FW1196" s="28"/>
      <c r="FZ1196" s="28"/>
      <c r="GC1196" s="28"/>
    </row>
    <row r="1197" spans="1:185" s="25" customFormat="1" x14ac:dyDescent="0.3">
      <c r="A1197" s="27"/>
      <c r="B1197" s="28"/>
      <c r="C1197" s="27"/>
      <c r="D1197" s="26"/>
      <c r="E1197" s="28"/>
      <c r="H1197" s="28"/>
      <c r="K1197" s="28"/>
      <c r="N1197" s="28"/>
      <c r="Q1197" s="28"/>
      <c r="T1197" s="28"/>
      <c r="W1197" s="28"/>
      <c r="Z1197" s="28"/>
      <c r="AC1197" s="28"/>
      <c r="AF1197" s="28"/>
      <c r="AI1197" s="28"/>
      <c r="AL1197" s="28"/>
      <c r="AO1197" s="28"/>
      <c r="AR1197" s="28"/>
      <c r="AU1197" s="28"/>
      <c r="AX1197" s="28"/>
      <c r="BA1197" s="28"/>
      <c r="BD1197" s="28"/>
      <c r="BG1197" s="28"/>
      <c r="BJ1197" s="28"/>
      <c r="BM1197" s="28"/>
      <c r="BP1197" s="28"/>
      <c r="BS1197" s="28"/>
      <c r="BV1197" s="28"/>
      <c r="BY1197" s="28"/>
      <c r="CB1197" s="28"/>
      <c r="CE1197" s="28"/>
      <c r="CH1197" s="28"/>
      <c r="CK1197" s="28"/>
      <c r="CN1197" s="28"/>
      <c r="CQ1197" s="28"/>
      <c r="CT1197" s="28"/>
      <c r="CW1197" s="28"/>
      <c r="CZ1197" s="28"/>
      <c r="DC1197" s="28"/>
      <c r="DF1197" s="28"/>
      <c r="DI1197" s="28"/>
      <c r="DL1197" s="28"/>
      <c r="DO1197" s="28"/>
      <c r="DR1197" s="28"/>
      <c r="DU1197" s="28"/>
      <c r="DX1197" s="28"/>
      <c r="EA1197" s="28"/>
      <c r="ED1197" s="28"/>
      <c r="EG1197" s="28"/>
      <c r="EJ1197" s="28"/>
      <c r="EM1197" s="28"/>
      <c r="EP1197" s="28"/>
      <c r="ES1197" s="28"/>
      <c r="EV1197" s="28"/>
      <c r="EY1197" s="28"/>
      <c r="FB1197" s="28"/>
      <c r="FE1197" s="28"/>
      <c r="FH1197" s="28"/>
      <c r="FK1197" s="28"/>
      <c r="FN1197" s="28"/>
      <c r="FQ1197" s="28"/>
      <c r="FT1197" s="28"/>
      <c r="FW1197" s="28"/>
      <c r="FZ1197" s="28"/>
      <c r="GC1197" s="28"/>
    </row>
    <row r="1198" spans="1:185" s="25" customFormat="1" x14ac:dyDescent="0.3">
      <c r="A1198" s="27"/>
      <c r="B1198" s="28"/>
      <c r="C1198" s="27"/>
      <c r="D1198" s="26"/>
      <c r="E1198" s="28"/>
      <c r="H1198" s="28"/>
      <c r="K1198" s="28"/>
      <c r="N1198" s="28"/>
      <c r="Q1198" s="28"/>
      <c r="T1198" s="28"/>
      <c r="W1198" s="28"/>
      <c r="Z1198" s="28"/>
      <c r="AC1198" s="28"/>
      <c r="AF1198" s="28"/>
      <c r="AI1198" s="28"/>
      <c r="AL1198" s="28"/>
      <c r="AO1198" s="28"/>
      <c r="AR1198" s="28"/>
      <c r="AU1198" s="28"/>
      <c r="AX1198" s="28"/>
      <c r="BA1198" s="28"/>
      <c r="BD1198" s="28"/>
      <c r="BG1198" s="28"/>
      <c r="BJ1198" s="28"/>
      <c r="BM1198" s="28"/>
      <c r="BP1198" s="28"/>
      <c r="BS1198" s="28"/>
      <c r="BV1198" s="28"/>
      <c r="BY1198" s="28"/>
      <c r="CB1198" s="28"/>
      <c r="CE1198" s="28"/>
      <c r="CH1198" s="28"/>
      <c r="CK1198" s="28"/>
      <c r="CN1198" s="28"/>
      <c r="CQ1198" s="28"/>
      <c r="CT1198" s="28"/>
      <c r="CW1198" s="28"/>
      <c r="CZ1198" s="28"/>
      <c r="DC1198" s="28"/>
      <c r="DF1198" s="28"/>
      <c r="DI1198" s="28"/>
      <c r="DL1198" s="28"/>
      <c r="DO1198" s="28"/>
      <c r="DR1198" s="28"/>
      <c r="DU1198" s="28"/>
      <c r="DX1198" s="28"/>
      <c r="EA1198" s="28"/>
      <c r="ED1198" s="28"/>
      <c r="EG1198" s="28"/>
      <c r="EJ1198" s="28"/>
      <c r="EM1198" s="28"/>
      <c r="EP1198" s="28"/>
      <c r="ES1198" s="28"/>
      <c r="EV1198" s="28"/>
      <c r="EY1198" s="28"/>
      <c r="FB1198" s="28"/>
      <c r="FE1198" s="28"/>
      <c r="FH1198" s="28"/>
      <c r="FK1198" s="28"/>
      <c r="FN1198" s="28"/>
      <c r="FQ1198" s="28"/>
      <c r="FT1198" s="28"/>
      <c r="FW1198" s="28"/>
      <c r="FZ1198" s="28"/>
      <c r="GC1198" s="28"/>
    </row>
    <row r="1199" spans="1:185" s="25" customFormat="1" x14ac:dyDescent="0.3">
      <c r="A1199" s="27"/>
      <c r="B1199" s="28"/>
      <c r="C1199" s="27"/>
      <c r="D1199" s="26"/>
      <c r="E1199" s="28"/>
      <c r="H1199" s="28"/>
      <c r="K1199" s="28"/>
      <c r="N1199" s="28"/>
      <c r="Q1199" s="28"/>
      <c r="T1199" s="28"/>
      <c r="W1199" s="28"/>
      <c r="Z1199" s="28"/>
      <c r="AC1199" s="28"/>
      <c r="AF1199" s="28"/>
      <c r="AI1199" s="28"/>
      <c r="AL1199" s="28"/>
      <c r="AO1199" s="28"/>
      <c r="AR1199" s="28"/>
      <c r="AU1199" s="28"/>
      <c r="AX1199" s="28"/>
      <c r="BA1199" s="28"/>
      <c r="BD1199" s="28"/>
      <c r="BG1199" s="28"/>
      <c r="BJ1199" s="28"/>
      <c r="BM1199" s="28"/>
      <c r="BP1199" s="28"/>
      <c r="BS1199" s="28"/>
      <c r="BV1199" s="28"/>
      <c r="BY1199" s="28"/>
      <c r="CB1199" s="28"/>
      <c r="CE1199" s="28"/>
      <c r="CH1199" s="28"/>
      <c r="CK1199" s="28"/>
      <c r="CN1199" s="28"/>
      <c r="CQ1199" s="28"/>
      <c r="CT1199" s="28"/>
      <c r="CW1199" s="28"/>
      <c r="CZ1199" s="28"/>
      <c r="DC1199" s="28"/>
      <c r="DF1199" s="28"/>
      <c r="DI1199" s="28"/>
      <c r="DL1199" s="28"/>
      <c r="DO1199" s="28"/>
      <c r="DR1199" s="28"/>
      <c r="DU1199" s="28"/>
      <c r="DX1199" s="28"/>
      <c r="EA1199" s="28"/>
      <c r="ED1199" s="28"/>
      <c r="EG1199" s="28"/>
      <c r="EJ1199" s="28"/>
      <c r="EM1199" s="28"/>
      <c r="EP1199" s="28"/>
      <c r="ES1199" s="28"/>
      <c r="EV1199" s="28"/>
      <c r="EY1199" s="28"/>
      <c r="FB1199" s="28"/>
      <c r="FE1199" s="28"/>
      <c r="FH1199" s="28"/>
      <c r="FK1199" s="28"/>
      <c r="FN1199" s="28"/>
      <c r="FQ1199" s="28"/>
      <c r="FT1199" s="28"/>
      <c r="FW1199" s="28"/>
      <c r="FZ1199" s="28"/>
      <c r="GC1199" s="28"/>
    </row>
    <row r="1200" spans="1:185" s="25" customFormat="1" x14ac:dyDescent="0.3">
      <c r="A1200" s="27"/>
      <c r="B1200" s="28"/>
      <c r="C1200" s="27"/>
      <c r="D1200" s="26"/>
      <c r="E1200" s="28"/>
      <c r="H1200" s="28"/>
      <c r="K1200" s="28"/>
      <c r="N1200" s="28"/>
      <c r="Q1200" s="28"/>
      <c r="T1200" s="28"/>
      <c r="W1200" s="28"/>
      <c r="Z1200" s="28"/>
      <c r="AC1200" s="28"/>
      <c r="AF1200" s="28"/>
      <c r="AI1200" s="28"/>
      <c r="AL1200" s="28"/>
      <c r="AO1200" s="28"/>
      <c r="AR1200" s="28"/>
      <c r="AU1200" s="28"/>
      <c r="AX1200" s="28"/>
      <c r="BA1200" s="28"/>
      <c r="BD1200" s="28"/>
      <c r="BG1200" s="28"/>
      <c r="BJ1200" s="28"/>
      <c r="BM1200" s="28"/>
      <c r="BP1200" s="28"/>
      <c r="BS1200" s="28"/>
      <c r="BV1200" s="28"/>
      <c r="BY1200" s="28"/>
      <c r="CB1200" s="28"/>
      <c r="CE1200" s="28"/>
      <c r="CH1200" s="28"/>
      <c r="CK1200" s="28"/>
      <c r="CN1200" s="28"/>
      <c r="CQ1200" s="28"/>
      <c r="CT1200" s="28"/>
      <c r="CW1200" s="28"/>
      <c r="CZ1200" s="28"/>
      <c r="DC1200" s="28"/>
      <c r="DF1200" s="28"/>
      <c r="DI1200" s="28"/>
      <c r="DL1200" s="28"/>
      <c r="DO1200" s="28"/>
      <c r="DR1200" s="28"/>
      <c r="DU1200" s="28"/>
      <c r="DX1200" s="28"/>
      <c r="EA1200" s="28"/>
      <c r="ED1200" s="28"/>
      <c r="EG1200" s="28"/>
      <c r="EJ1200" s="28"/>
      <c r="EM1200" s="28"/>
      <c r="EP1200" s="28"/>
      <c r="ES1200" s="28"/>
      <c r="EV1200" s="28"/>
      <c r="EY1200" s="28"/>
      <c r="FB1200" s="28"/>
      <c r="FE1200" s="28"/>
      <c r="FH1200" s="28"/>
      <c r="FK1200" s="28"/>
      <c r="FN1200" s="28"/>
      <c r="FQ1200" s="28"/>
      <c r="FT1200" s="28"/>
      <c r="FW1200" s="28"/>
      <c r="FZ1200" s="28"/>
      <c r="GC1200" s="28"/>
    </row>
    <row r="1201" spans="1:185" s="25" customFormat="1" x14ac:dyDescent="0.3">
      <c r="A1201" s="27"/>
      <c r="B1201" s="28"/>
      <c r="C1201" s="27"/>
      <c r="D1201" s="26"/>
      <c r="E1201" s="28"/>
      <c r="H1201" s="28"/>
      <c r="K1201" s="28"/>
      <c r="N1201" s="28"/>
      <c r="Q1201" s="28"/>
      <c r="T1201" s="28"/>
      <c r="W1201" s="28"/>
      <c r="Z1201" s="28"/>
      <c r="AC1201" s="28"/>
      <c r="AF1201" s="28"/>
      <c r="AI1201" s="28"/>
      <c r="AL1201" s="28"/>
      <c r="AO1201" s="28"/>
      <c r="AR1201" s="28"/>
      <c r="AU1201" s="28"/>
      <c r="AX1201" s="28"/>
      <c r="BA1201" s="28"/>
      <c r="BD1201" s="28"/>
      <c r="BG1201" s="28"/>
      <c r="BJ1201" s="28"/>
      <c r="BM1201" s="28"/>
      <c r="BP1201" s="28"/>
      <c r="BS1201" s="28"/>
      <c r="BV1201" s="28"/>
      <c r="BY1201" s="28"/>
      <c r="CB1201" s="28"/>
      <c r="CE1201" s="28"/>
      <c r="CH1201" s="28"/>
      <c r="CK1201" s="28"/>
      <c r="CN1201" s="28"/>
      <c r="CQ1201" s="28"/>
      <c r="CT1201" s="28"/>
      <c r="CW1201" s="28"/>
      <c r="CZ1201" s="28"/>
      <c r="DC1201" s="28"/>
      <c r="DF1201" s="28"/>
      <c r="DI1201" s="28"/>
      <c r="DL1201" s="28"/>
      <c r="DO1201" s="28"/>
      <c r="DR1201" s="28"/>
      <c r="DU1201" s="28"/>
      <c r="DX1201" s="28"/>
      <c r="EA1201" s="28"/>
      <c r="ED1201" s="28"/>
      <c r="EG1201" s="28"/>
      <c r="EJ1201" s="28"/>
      <c r="EM1201" s="28"/>
      <c r="EP1201" s="28"/>
      <c r="ES1201" s="28"/>
      <c r="EV1201" s="28"/>
      <c r="EY1201" s="28"/>
      <c r="FB1201" s="28"/>
      <c r="FE1201" s="28"/>
      <c r="FH1201" s="28"/>
      <c r="FK1201" s="28"/>
      <c r="FN1201" s="28"/>
      <c r="FQ1201" s="28"/>
      <c r="FT1201" s="28"/>
      <c r="FW1201" s="28"/>
      <c r="FZ1201" s="28"/>
      <c r="GC1201" s="28"/>
    </row>
    <row r="1202" spans="1:185" s="25" customFormat="1" x14ac:dyDescent="0.3">
      <c r="A1202" s="27"/>
      <c r="B1202" s="28"/>
      <c r="C1202" s="27"/>
      <c r="D1202" s="26"/>
      <c r="E1202" s="28"/>
      <c r="H1202" s="28"/>
      <c r="K1202" s="28"/>
      <c r="N1202" s="28"/>
      <c r="Q1202" s="28"/>
      <c r="T1202" s="28"/>
      <c r="W1202" s="28"/>
      <c r="Z1202" s="28"/>
      <c r="AC1202" s="28"/>
      <c r="AF1202" s="28"/>
      <c r="AI1202" s="28"/>
      <c r="AL1202" s="28"/>
      <c r="AO1202" s="28"/>
      <c r="AR1202" s="28"/>
      <c r="AU1202" s="28"/>
      <c r="AX1202" s="28"/>
      <c r="BA1202" s="28"/>
      <c r="BD1202" s="28"/>
      <c r="BG1202" s="28"/>
      <c r="BJ1202" s="28"/>
      <c r="BM1202" s="28"/>
      <c r="BP1202" s="28"/>
      <c r="BS1202" s="28"/>
      <c r="BV1202" s="28"/>
      <c r="BY1202" s="28"/>
      <c r="CB1202" s="28"/>
      <c r="CE1202" s="28"/>
      <c r="CH1202" s="28"/>
      <c r="CK1202" s="28"/>
      <c r="CN1202" s="28"/>
      <c r="CQ1202" s="28"/>
      <c r="CT1202" s="28"/>
      <c r="CW1202" s="28"/>
      <c r="CZ1202" s="28"/>
      <c r="DC1202" s="28"/>
      <c r="DF1202" s="28"/>
      <c r="DI1202" s="28"/>
      <c r="DL1202" s="28"/>
      <c r="DO1202" s="28"/>
      <c r="DR1202" s="28"/>
      <c r="DU1202" s="28"/>
      <c r="DX1202" s="28"/>
      <c r="EA1202" s="28"/>
      <c r="ED1202" s="28"/>
      <c r="EG1202" s="28"/>
      <c r="EJ1202" s="28"/>
      <c r="EM1202" s="28"/>
      <c r="EP1202" s="28"/>
      <c r="ES1202" s="28"/>
      <c r="EV1202" s="28"/>
      <c r="EY1202" s="28"/>
      <c r="FB1202" s="28"/>
      <c r="FE1202" s="28"/>
      <c r="FH1202" s="28"/>
      <c r="FK1202" s="28"/>
      <c r="FN1202" s="28"/>
      <c r="FQ1202" s="28"/>
      <c r="FT1202" s="28"/>
      <c r="FW1202" s="28"/>
      <c r="FZ1202" s="28"/>
      <c r="GC1202" s="28"/>
    </row>
    <row r="1203" spans="1:185" s="25" customFormat="1" x14ac:dyDescent="0.3">
      <c r="A1203" s="27"/>
      <c r="B1203" s="28"/>
      <c r="C1203" s="27"/>
      <c r="D1203" s="26"/>
      <c r="E1203" s="28"/>
      <c r="H1203" s="28"/>
      <c r="K1203" s="28"/>
      <c r="N1203" s="28"/>
      <c r="Q1203" s="28"/>
      <c r="T1203" s="28"/>
      <c r="W1203" s="28"/>
      <c r="Z1203" s="28"/>
      <c r="AC1203" s="28"/>
      <c r="AF1203" s="28"/>
      <c r="AI1203" s="28"/>
      <c r="AL1203" s="28"/>
      <c r="AO1203" s="28"/>
      <c r="AR1203" s="28"/>
      <c r="AU1203" s="28"/>
      <c r="AX1203" s="28"/>
      <c r="BA1203" s="28"/>
      <c r="BD1203" s="28"/>
      <c r="BG1203" s="28"/>
      <c r="BJ1203" s="28"/>
      <c r="BM1203" s="28"/>
      <c r="BP1203" s="28"/>
      <c r="BS1203" s="28"/>
      <c r="BV1203" s="28"/>
      <c r="BY1203" s="28"/>
      <c r="CB1203" s="28"/>
      <c r="CE1203" s="28"/>
      <c r="CH1203" s="28"/>
      <c r="CK1203" s="28"/>
      <c r="CN1203" s="28"/>
      <c r="CQ1203" s="28"/>
      <c r="CT1203" s="28"/>
      <c r="CW1203" s="28"/>
      <c r="CZ1203" s="28"/>
      <c r="DC1203" s="28"/>
      <c r="DF1203" s="28"/>
      <c r="DI1203" s="28"/>
      <c r="DL1203" s="28"/>
      <c r="DO1203" s="28"/>
      <c r="DR1203" s="28"/>
      <c r="DU1203" s="28"/>
      <c r="DX1203" s="28"/>
      <c r="EA1203" s="28"/>
      <c r="ED1203" s="28"/>
      <c r="EG1203" s="28"/>
      <c r="EJ1203" s="28"/>
      <c r="EM1203" s="28"/>
      <c r="EP1203" s="28"/>
      <c r="ES1203" s="28"/>
      <c r="EV1203" s="28"/>
      <c r="EY1203" s="28"/>
      <c r="FB1203" s="28"/>
      <c r="FE1203" s="28"/>
      <c r="FH1203" s="28"/>
      <c r="FK1203" s="28"/>
      <c r="FN1203" s="28"/>
      <c r="FQ1203" s="28"/>
      <c r="FT1203" s="28"/>
      <c r="FW1203" s="28"/>
      <c r="FZ1203" s="28"/>
      <c r="GC1203" s="28"/>
    </row>
    <row r="1204" spans="1:185" s="25" customFormat="1" x14ac:dyDescent="0.3">
      <c r="A1204" s="27"/>
      <c r="B1204" s="28"/>
      <c r="C1204" s="27"/>
      <c r="D1204" s="26"/>
      <c r="E1204" s="28"/>
      <c r="H1204" s="28"/>
      <c r="K1204" s="28"/>
      <c r="N1204" s="28"/>
      <c r="Q1204" s="28"/>
      <c r="T1204" s="28"/>
      <c r="W1204" s="28"/>
      <c r="Z1204" s="28"/>
      <c r="AC1204" s="28"/>
      <c r="AF1204" s="28"/>
      <c r="AI1204" s="28"/>
      <c r="AL1204" s="28"/>
      <c r="AO1204" s="28"/>
      <c r="AR1204" s="28"/>
      <c r="AU1204" s="28"/>
      <c r="AX1204" s="28"/>
      <c r="BA1204" s="28"/>
      <c r="BD1204" s="28"/>
      <c r="BG1204" s="28"/>
      <c r="BJ1204" s="28"/>
      <c r="BM1204" s="28"/>
      <c r="BP1204" s="28"/>
      <c r="BS1204" s="28"/>
      <c r="BV1204" s="28"/>
      <c r="BY1204" s="28"/>
      <c r="CB1204" s="28"/>
      <c r="CE1204" s="28"/>
      <c r="CH1204" s="28"/>
      <c r="CK1204" s="28"/>
      <c r="CN1204" s="28"/>
      <c r="CQ1204" s="28"/>
      <c r="CT1204" s="28"/>
      <c r="CW1204" s="28"/>
      <c r="CZ1204" s="28"/>
      <c r="DC1204" s="28"/>
      <c r="DF1204" s="28"/>
      <c r="DI1204" s="28"/>
      <c r="DL1204" s="28"/>
      <c r="DO1204" s="28"/>
      <c r="DR1204" s="28"/>
      <c r="DU1204" s="28"/>
      <c r="DX1204" s="28"/>
      <c r="EA1204" s="28"/>
      <c r="ED1204" s="28"/>
      <c r="EG1204" s="28"/>
      <c r="EJ1204" s="28"/>
      <c r="EM1204" s="28"/>
      <c r="EP1204" s="28"/>
      <c r="ES1204" s="28"/>
      <c r="EV1204" s="28"/>
      <c r="EY1204" s="28"/>
      <c r="FB1204" s="28"/>
      <c r="FE1204" s="28"/>
      <c r="FH1204" s="28"/>
      <c r="FK1204" s="28"/>
      <c r="FN1204" s="28"/>
      <c r="FQ1204" s="28"/>
      <c r="FT1204" s="28"/>
      <c r="FW1204" s="28"/>
      <c r="FZ1204" s="28"/>
      <c r="GC1204" s="28"/>
    </row>
    <row r="1205" spans="1:185" s="25" customFormat="1" x14ac:dyDescent="0.3">
      <c r="A1205" s="27"/>
      <c r="B1205" s="28"/>
      <c r="C1205" s="27"/>
      <c r="D1205" s="26"/>
      <c r="E1205" s="28"/>
      <c r="H1205" s="28"/>
      <c r="K1205" s="28"/>
      <c r="N1205" s="28"/>
      <c r="Q1205" s="28"/>
      <c r="T1205" s="28"/>
      <c r="W1205" s="28"/>
      <c r="Z1205" s="28"/>
      <c r="AC1205" s="28"/>
      <c r="AF1205" s="28"/>
      <c r="AI1205" s="28"/>
      <c r="AL1205" s="28"/>
      <c r="AO1205" s="28"/>
      <c r="AR1205" s="28"/>
      <c r="AU1205" s="28"/>
      <c r="AX1205" s="28"/>
      <c r="BA1205" s="28"/>
      <c r="BD1205" s="28"/>
      <c r="BG1205" s="28"/>
      <c r="BJ1205" s="28"/>
      <c r="BM1205" s="28"/>
      <c r="BP1205" s="28"/>
      <c r="BS1205" s="28"/>
      <c r="BV1205" s="28"/>
      <c r="BY1205" s="28"/>
      <c r="CB1205" s="28"/>
      <c r="CE1205" s="28"/>
      <c r="CH1205" s="28"/>
      <c r="CK1205" s="28"/>
      <c r="CN1205" s="28"/>
      <c r="CQ1205" s="28"/>
      <c r="CT1205" s="28"/>
      <c r="CW1205" s="28"/>
      <c r="CZ1205" s="28"/>
      <c r="DC1205" s="28"/>
      <c r="DF1205" s="28"/>
      <c r="DI1205" s="28"/>
      <c r="DL1205" s="28"/>
      <c r="DO1205" s="28"/>
      <c r="DR1205" s="28"/>
      <c r="DU1205" s="28"/>
      <c r="DX1205" s="28"/>
      <c r="EA1205" s="28"/>
      <c r="ED1205" s="28"/>
      <c r="EG1205" s="28"/>
      <c r="EJ1205" s="28"/>
      <c r="EM1205" s="28"/>
      <c r="EP1205" s="28"/>
      <c r="ES1205" s="28"/>
      <c r="EV1205" s="28"/>
      <c r="EY1205" s="28"/>
      <c r="FB1205" s="28"/>
      <c r="FE1205" s="28"/>
      <c r="FH1205" s="28"/>
      <c r="FK1205" s="28"/>
      <c r="FN1205" s="28"/>
      <c r="FQ1205" s="28"/>
      <c r="FT1205" s="28"/>
      <c r="FW1205" s="28"/>
      <c r="FZ1205" s="28"/>
      <c r="GC1205" s="28"/>
    </row>
    <row r="1206" spans="1:185" s="25" customFormat="1" x14ac:dyDescent="0.3">
      <c r="A1206" s="27"/>
      <c r="B1206" s="28"/>
      <c r="C1206" s="27"/>
      <c r="D1206" s="26"/>
      <c r="E1206" s="28"/>
      <c r="H1206" s="28"/>
      <c r="K1206" s="28"/>
      <c r="N1206" s="28"/>
      <c r="Q1206" s="28"/>
      <c r="T1206" s="28"/>
      <c r="W1206" s="28"/>
      <c r="Z1206" s="28"/>
      <c r="AC1206" s="28"/>
      <c r="AF1206" s="28"/>
      <c r="AI1206" s="28"/>
      <c r="AL1206" s="28"/>
      <c r="AO1206" s="28"/>
      <c r="AR1206" s="28"/>
      <c r="AU1206" s="28"/>
      <c r="AX1206" s="28"/>
      <c r="BA1206" s="28"/>
      <c r="BD1206" s="28"/>
      <c r="BG1206" s="28"/>
      <c r="BJ1206" s="28"/>
      <c r="BM1206" s="28"/>
      <c r="BP1206" s="28"/>
      <c r="BS1206" s="28"/>
      <c r="BV1206" s="28"/>
      <c r="BY1206" s="28"/>
      <c r="CB1206" s="28"/>
      <c r="CE1206" s="28"/>
      <c r="CH1206" s="28"/>
      <c r="CK1206" s="28"/>
      <c r="CN1206" s="28"/>
      <c r="CQ1206" s="28"/>
      <c r="CT1206" s="28"/>
      <c r="CW1206" s="28"/>
      <c r="CZ1206" s="28"/>
      <c r="DC1206" s="28"/>
      <c r="DF1206" s="28"/>
      <c r="DI1206" s="28"/>
      <c r="DL1206" s="28"/>
      <c r="DO1206" s="28"/>
      <c r="DR1206" s="28"/>
      <c r="DU1206" s="28"/>
      <c r="DX1206" s="28"/>
      <c r="EA1206" s="28"/>
      <c r="ED1206" s="28"/>
      <c r="EG1206" s="28"/>
      <c r="EJ1206" s="28"/>
      <c r="EM1206" s="28"/>
      <c r="EP1206" s="28"/>
      <c r="ES1206" s="28"/>
      <c r="EV1206" s="28"/>
      <c r="EY1206" s="28"/>
      <c r="FB1206" s="28"/>
      <c r="FE1206" s="28"/>
      <c r="FH1206" s="28"/>
      <c r="FK1206" s="28"/>
      <c r="FN1206" s="28"/>
      <c r="FQ1206" s="28"/>
      <c r="FT1206" s="28"/>
      <c r="FW1206" s="28"/>
      <c r="FZ1206" s="28"/>
      <c r="GC1206" s="28"/>
    </row>
    <row r="1207" spans="1:185" s="25" customFormat="1" x14ac:dyDescent="0.3">
      <c r="A1207" s="27"/>
      <c r="B1207" s="28"/>
      <c r="C1207" s="27"/>
      <c r="D1207" s="26"/>
      <c r="E1207" s="28"/>
      <c r="H1207" s="28"/>
      <c r="K1207" s="28"/>
      <c r="N1207" s="28"/>
      <c r="Q1207" s="28"/>
      <c r="T1207" s="28"/>
      <c r="W1207" s="28"/>
      <c r="Z1207" s="28"/>
      <c r="AC1207" s="28"/>
      <c r="AF1207" s="28"/>
      <c r="AI1207" s="28"/>
      <c r="AL1207" s="28"/>
      <c r="AO1207" s="28"/>
      <c r="AR1207" s="28"/>
      <c r="AU1207" s="28"/>
      <c r="AX1207" s="28"/>
      <c r="BA1207" s="28"/>
      <c r="BD1207" s="28"/>
      <c r="BG1207" s="28"/>
      <c r="BJ1207" s="28"/>
      <c r="BM1207" s="28"/>
      <c r="BP1207" s="28"/>
      <c r="BS1207" s="28"/>
      <c r="BV1207" s="28"/>
      <c r="BY1207" s="28"/>
      <c r="CB1207" s="28"/>
      <c r="CE1207" s="28"/>
      <c r="CH1207" s="28"/>
      <c r="CK1207" s="28"/>
      <c r="CN1207" s="28"/>
      <c r="CQ1207" s="28"/>
      <c r="CT1207" s="28"/>
      <c r="CW1207" s="28"/>
      <c r="CZ1207" s="28"/>
      <c r="DC1207" s="28"/>
      <c r="DF1207" s="28"/>
      <c r="DI1207" s="28"/>
      <c r="DL1207" s="28"/>
      <c r="DO1207" s="28"/>
      <c r="DR1207" s="28"/>
      <c r="DU1207" s="28"/>
      <c r="DX1207" s="28"/>
      <c r="EA1207" s="28"/>
      <c r="ED1207" s="28"/>
      <c r="EG1207" s="28"/>
      <c r="EJ1207" s="28"/>
      <c r="EM1207" s="28"/>
      <c r="EP1207" s="28"/>
      <c r="ES1207" s="28"/>
      <c r="EV1207" s="28"/>
      <c r="EY1207" s="28"/>
      <c r="FB1207" s="28"/>
      <c r="FE1207" s="28"/>
      <c r="FH1207" s="28"/>
      <c r="FK1207" s="28"/>
      <c r="FN1207" s="28"/>
      <c r="FQ1207" s="28"/>
      <c r="FT1207" s="28"/>
      <c r="FW1207" s="28"/>
      <c r="FZ1207" s="28"/>
      <c r="GC1207" s="28"/>
    </row>
    <row r="1208" spans="1:185" s="25" customFormat="1" x14ac:dyDescent="0.3">
      <c r="A1208" s="27"/>
      <c r="B1208" s="28"/>
      <c r="C1208" s="27"/>
      <c r="D1208" s="26"/>
      <c r="E1208" s="28"/>
      <c r="H1208" s="28"/>
      <c r="K1208" s="28"/>
      <c r="N1208" s="28"/>
      <c r="Q1208" s="28"/>
      <c r="T1208" s="28"/>
      <c r="W1208" s="28"/>
      <c r="Z1208" s="28"/>
      <c r="AC1208" s="28"/>
      <c r="AF1208" s="28"/>
      <c r="AI1208" s="28"/>
      <c r="AL1208" s="28"/>
      <c r="AO1208" s="28"/>
      <c r="AR1208" s="28"/>
      <c r="AU1208" s="28"/>
      <c r="AX1208" s="28"/>
      <c r="BA1208" s="28"/>
      <c r="BD1208" s="28"/>
      <c r="BG1208" s="28"/>
      <c r="BJ1208" s="28"/>
      <c r="BM1208" s="28"/>
      <c r="BP1208" s="28"/>
      <c r="BS1208" s="28"/>
      <c r="BV1208" s="28"/>
      <c r="BY1208" s="28"/>
      <c r="CB1208" s="28"/>
      <c r="CE1208" s="28"/>
      <c r="CH1208" s="28"/>
      <c r="CK1208" s="28"/>
      <c r="CN1208" s="28"/>
      <c r="CQ1208" s="28"/>
      <c r="CT1208" s="28"/>
      <c r="CW1208" s="28"/>
      <c r="CZ1208" s="28"/>
      <c r="DC1208" s="28"/>
      <c r="DF1208" s="28"/>
      <c r="DI1208" s="28"/>
      <c r="DL1208" s="28"/>
      <c r="DO1208" s="28"/>
      <c r="DR1208" s="28"/>
      <c r="DU1208" s="28"/>
      <c r="DX1208" s="28"/>
      <c r="EA1208" s="28"/>
      <c r="ED1208" s="28"/>
      <c r="EG1208" s="28"/>
      <c r="EJ1208" s="28"/>
      <c r="EM1208" s="28"/>
      <c r="EP1208" s="28"/>
      <c r="ES1208" s="28"/>
      <c r="EV1208" s="28"/>
      <c r="EY1208" s="28"/>
      <c r="FB1208" s="28"/>
      <c r="FE1208" s="28"/>
      <c r="FH1208" s="28"/>
      <c r="FK1208" s="28"/>
      <c r="FN1208" s="28"/>
      <c r="FQ1208" s="28"/>
      <c r="FT1208" s="28"/>
      <c r="FW1208" s="28"/>
      <c r="FZ1208" s="28"/>
      <c r="GC1208" s="28"/>
    </row>
    <row r="1209" spans="1:185" s="25" customFormat="1" x14ac:dyDescent="0.3">
      <c r="A1209" s="27"/>
      <c r="B1209" s="28"/>
      <c r="C1209" s="27"/>
      <c r="D1209" s="26"/>
      <c r="E1209" s="28"/>
      <c r="H1209" s="28"/>
      <c r="K1209" s="28"/>
      <c r="N1209" s="28"/>
      <c r="Q1209" s="28"/>
      <c r="T1209" s="28"/>
      <c r="W1209" s="28"/>
      <c r="Z1209" s="28"/>
      <c r="AC1209" s="28"/>
      <c r="AF1209" s="28"/>
      <c r="AI1209" s="28"/>
      <c r="AL1209" s="28"/>
      <c r="AO1209" s="28"/>
      <c r="AR1209" s="28"/>
      <c r="AU1209" s="28"/>
      <c r="AX1209" s="28"/>
      <c r="BA1209" s="28"/>
      <c r="BD1209" s="28"/>
      <c r="BG1209" s="28"/>
      <c r="BJ1209" s="28"/>
      <c r="BM1209" s="28"/>
      <c r="BP1209" s="28"/>
      <c r="BS1209" s="28"/>
      <c r="BV1209" s="28"/>
      <c r="BY1209" s="28"/>
      <c r="CB1209" s="28"/>
      <c r="CE1209" s="28"/>
      <c r="CH1209" s="28"/>
      <c r="CK1209" s="28"/>
      <c r="CN1209" s="28"/>
      <c r="CQ1209" s="28"/>
      <c r="CT1209" s="28"/>
      <c r="CW1209" s="28"/>
      <c r="CZ1209" s="28"/>
      <c r="DC1209" s="28"/>
      <c r="DF1209" s="28"/>
      <c r="DI1209" s="28"/>
      <c r="DL1209" s="28"/>
      <c r="DO1209" s="28"/>
      <c r="DR1209" s="28"/>
      <c r="DU1209" s="28"/>
      <c r="DX1209" s="28"/>
      <c r="EA1209" s="28"/>
      <c r="ED1209" s="28"/>
      <c r="EG1209" s="28"/>
      <c r="EJ1209" s="28"/>
      <c r="EM1209" s="28"/>
      <c r="EP1209" s="28"/>
      <c r="ES1209" s="28"/>
      <c r="EV1209" s="28"/>
      <c r="EY1209" s="28"/>
      <c r="FB1209" s="28"/>
      <c r="FE1209" s="28"/>
      <c r="FH1209" s="28"/>
      <c r="FK1209" s="28"/>
      <c r="FN1209" s="28"/>
      <c r="FQ1209" s="28"/>
      <c r="FT1209" s="28"/>
      <c r="FW1209" s="28"/>
      <c r="FZ1209" s="28"/>
      <c r="GC1209" s="28"/>
    </row>
    <row r="1210" spans="1:185" s="25" customFormat="1" x14ac:dyDescent="0.3">
      <c r="A1210" s="27"/>
      <c r="B1210" s="28"/>
      <c r="C1210" s="27"/>
      <c r="D1210" s="26"/>
      <c r="E1210" s="28"/>
      <c r="H1210" s="28"/>
      <c r="K1210" s="28"/>
      <c r="N1210" s="28"/>
      <c r="Q1210" s="28"/>
      <c r="T1210" s="28"/>
      <c r="W1210" s="28"/>
      <c r="Z1210" s="28"/>
      <c r="AC1210" s="28"/>
      <c r="AF1210" s="28"/>
      <c r="AI1210" s="28"/>
      <c r="AL1210" s="28"/>
      <c r="AO1210" s="28"/>
      <c r="AR1210" s="28"/>
      <c r="AU1210" s="28"/>
      <c r="AX1210" s="28"/>
      <c r="BA1210" s="28"/>
      <c r="BD1210" s="28"/>
      <c r="BG1210" s="28"/>
      <c r="BJ1210" s="28"/>
      <c r="BM1210" s="28"/>
      <c r="BP1210" s="28"/>
      <c r="BS1210" s="28"/>
      <c r="BV1210" s="28"/>
      <c r="BY1210" s="28"/>
      <c r="CB1210" s="28"/>
      <c r="CE1210" s="28"/>
      <c r="CH1210" s="28"/>
      <c r="CK1210" s="28"/>
      <c r="CN1210" s="28"/>
      <c r="CQ1210" s="28"/>
      <c r="CT1210" s="28"/>
      <c r="CW1210" s="28"/>
      <c r="CZ1210" s="28"/>
      <c r="DC1210" s="28"/>
      <c r="DF1210" s="28"/>
      <c r="DI1210" s="28"/>
      <c r="DL1210" s="28"/>
      <c r="DO1210" s="28"/>
      <c r="DR1210" s="28"/>
      <c r="DU1210" s="28"/>
      <c r="DX1210" s="28"/>
      <c r="EA1210" s="28"/>
      <c r="ED1210" s="28"/>
      <c r="EG1210" s="28"/>
      <c r="EJ1210" s="28"/>
      <c r="EM1210" s="28"/>
      <c r="EP1210" s="28"/>
      <c r="ES1210" s="28"/>
      <c r="EV1210" s="28"/>
      <c r="EY1210" s="28"/>
      <c r="FB1210" s="28"/>
      <c r="FE1210" s="28"/>
      <c r="FH1210" s="28"/>
      <c r="FK1210" s="28"/>
      <c r="FN1210" s="28"/>
      <c r="FQ1210" s="28"/>
      <c r="FT1210" s="28"/>
      <c r="FW1210" s="28"/>
      <c r="FZ1210" s="28"/>
      <c r="GC1210" s="28"/>
    </row>
    <row r="1211" spans="1:185" s="25" customFormat="1" x14ac:dyDescent="0.3">
      <c r="A1211" s="27"/>
      <c r="B1211" s="28"/>
      <c r="C1211" s="27"/>
      <c r="D1211" s="26"/>
      <c r="E1211" s="28"/>
      <c r="H1211" s="28"/>
      <c r="K1211" s="28"/>
      <c r="N1211" s="28"/>
      <c r="Q1211" s="28"/>
      <c r="T1211" s="28"/>
      <c r="W1211" s="28"/>
      <c r="Z1211" s="28"/>
      <c r="AC1211" s="28"/>
      <c r="AF1211" s="28"/>
      <c r="AI1211" s="28"/>
      <c r="AL1211" s="28"/>
      <c r="AO1211" s="28"/>
      <c r="AR1211" s="28"/>
      <c r="AU1211" s="28"/>
      <c r="AX1211" s="28"/>
      <c r="BA1211" s="28"/>
      <c r="BD1211" s="28"/>
      <c r="BG1211" s="28"/>
      <c r="BJ1211" s="28"/>
      <c r="BM1211" s="28"/>
      <c r="BP1211" s="28"/>
      <c r="BS1211" s="28"/>
      <c r="BV1211" s="28"/>
      <c r="BY1211" s="28"/>
      <c r="CB1211" s="28"/>
      <c r="CE1211" s="28"/>
      <c r="CH1211" s="28"/>
      <c r="CK1211" s="28"/>
      <c r="CN1211" s="28"/>
      <c r="CQ1211" s="28"/>
      <c r="CT1211" s="28"/>
      <c r="CW1211" s="28"/>
      <c r="CZ1211" s="28"/>
      <c r="DC1211" s="28"/>
      <c r="DF1211" s="28"/>
      <c r="DI1211" s="28"/>
      <c r="DL1211" s="28"/>
      <c r="DO1211" s="28"/>
      <c r="DR1211" s="28"/>
      <c r="DU1211" s="28"/>
      <c r="DX1211" s="28"/>
      <c r="EA1211" s="28"/>
      <c r="ED1211" s="28"/>
      <c r="EG1211" s="28"/>
      <c r="EJ1211" s="28"/>
      <c r="EM1211" s="28"/>
      <c r="EP1211" s="28"/>
      <c r="ES1211" s="28"/>
      <c r="EV1211" s="28"/>
      <c r="EY1211" s="28"/>
      <c r="FB1211" s="28"/>
      <c r="FE1211" s="28"/>
      <c r="FH1211" s="28"/>
      <c r="FK1211" s="28"/>
      <c r="FN1211" s="28"/>
      <c r="FQ1211" s="28"/>
      <c r="FT1211" s="28"/>
      <c r="FW1211" s="28"/>
      <c r="FZ1211" s="28"/>
      <c r="GC1211" s="28"/>
    </row>
    <row r="1212" spans="1:185" s="25" customFormat="1" x14ac:dyDescent="0.3">
      <c r="A1212" s="27"/>
      <c r="B1212" s="28"/>
      <c r="C1212" s="27"/>
      <c r="D1212" s="26"/>
      <c r="E1212" s="28"/>
      <c r="H1212" s="28"/>
      <c r="K1212" s="28"/>
      <c r="N1212" s="28"/>
      <c r="Q1212" s="28"/>
      <c r="T1212" s="28"/>
      <c r="W1212" s="28"/>
      <c r="Z1212" s="28"/>
      <c r="AC1212" s="28"/>
      <c r="AF1212" s="28"/>
      <c r="AI1212" s="28"/>
      <c r="AL1212" s="28"/>
      <c r="AO1212" s="28"/>
      <c r="AR1212" s="28"/>
      <c r="AU1212" s="28"/>
      <c r="AX1212" s="28"/>
      <c r="BA1212" s="28"/>
      <c r="BD1212" s="28"/>
      <c r="BG1212" s="28"/>
      <c r="BJ1212" s="28"/>
      <c r="BM1212" s="28"/>
      <c r="BP1212" s="28"/>
      <c r="BS1212" s="28"/>
      <c r="BV1212" s="28"/>
      <c r="BY1212" s="28"/>
      <c r="CB1212" s="28"/>
      <c r="CE1212" s="28"/>
      <c r="CH1212" s="28"/>
      <c r="CK1212" s="28"/>
      <c r="CN1212" s="28"/>
      <c r="CQ1212" s="28"/>
      <c r="CT1212" s="28"/>
      <c r="CW1212" s="28"/>
      <c r="CZ1212" s="28"/>
      <c r="DC1212" s="28"/>
      <c r="DF1212" s="28"/>
      <c r="DI1212" s="28"/>
      <c r="DL1212" s="28"/>
      <c r="DO1212" s="28"/>
      <c r="DR1212" s="28"/>
      <c r="DU1212" s="28"/>
      <c r="DX1212" s="28"/>
      <c r="EA1212" s="28"/>
      <c r="ED1212" s="28"/>
      <c r="EG1212" s="28"/>
      <c r="EJ1212" s="28"/>
      <c r="EM1212" s="28"/>
      <c r="EP1212" s="28"/>
      <c r="ES1212" s="28"/>
      <c r="EV1212" s="28"/>
      <c r="EY1212" s="28"/>
      <c r="FB1212" s="28"/>
      <c r="FE1212" s="28"/>
      <c r="FH1212" s="28"/>
      <c r="FK1212" s="28"/>
      <c r="FN1212" s="28"/>
      <c r="FQ1212" s="28"/>
      <c r="FT1212" s="28"/>
      <c r="FW1212" s="28"/>
      <c r="FZ1212" s="28"/>
      <c r="GC1212" s="28"/>
    </row>
    <row r="1213" spans="1:185" s="25" customFormat="1" x14ac:dyDescent="0.3">
      <c r="A1213" s="27"/>
      <c r="B1213" s="28"/>
      <c r="C1213" s="27"/>
      <c r="D1213" s="26"/>
      <c r="E1213" s="28"/>
      <c r="H1213" s="28"/>
      <c r="K1213" s="28"/>
      <c r="N1213" s="28"/>
      <c r="Q1213" s="28"/>
      <c r="T1213" s="28"/>
      <c r="W1213" s="28"/>
      <c r="Z1213" s="28"/>
      <c r="AC1213" s="28"/>
      <c r="AF1213" s="28"/>
      <c r="AI1213" s="28"/>
      <c r="AL1213" s="28"/>
      <c r="AO1213" s="28"/>
      <c r="AR1213" s="28"/>
      <c r="AU1213" s="28"/>
      <c r="AX1213" s="28"/>
      <c r="BA1213" s="28"/>
      <c r="BD1213" s="28"/>
      <c r="BG1213" s="28"/>
      <c r="BJ1213" s="28"/>
      <c r="BM1213" s="28"/>
      <c r="BP1213" s="28"/>
      <c r="BS1213" s="28"/>
      <c r="BV1213" s="28"/>
      <c r="BY1213" s="28"/>
      <c r="CB1213" s="28"/>
      <c r="CE1213" s="28"/>
      <c r="CH1213" s="28"/>
      <c r="CK1213" s="28"/>
      <c r="CN1213" s="28"/>
      <c r="CQ1213" s="28"/>
      <c r="CT1213" s="28"/>
      <c r="CW1213" s="28"/>
      <c r="CZ1213" s="28"/>
      <c r="DC1213" s="28"/>
      <c r="DF1213" s="28"/>
      <c r="DI1213" s="28"/>
      <c r="DL1213" s="28"/>
      <c r="DO1213" s="28"/>
      <c r="DR1213" s="28"/>
      <c r="DU1213" s="28"/>
      <c r="DX1213" s="28"/>
      <c r="EA1213" s="28"/>
      <c r="ED1213" s="28"/>
      <c r="EG1213" s="28"/>
      <c r="EJ1213" s="28"/>
      <c r="EM1213" s="28"/>
      <c r="EP1213" s="28"/>
      <c r="ES1213" s="28"/>
      <c r="EV1213" s="28"/>
      <c r="EY1213" s="28"/>
      <c r="FB1213" s="28"/>
      <c r="FE1213" s="28"/>
      <c r="FH1213" s="28"/>
      <c r="FK1213" s="28"/>
      <c r="FN1213" s="28"/>
      <c r="FQ1213" s="28"/>
      <c r="FT1213" s="28"/>
      <c r="FW1213" s="28"/>
      <c r="FZ1213" s="28"/>
      <c r="GC1213" s="28"/>
    </row>
    <row r="1214" spans="1:185" s="25" customFormat="1" x14ac:dyDescent="0.3">
      <c r="A1214" s="27"/>
      <c r="B1214" s="28"/>
      <c r="C1214" s="27"/>
      <c r="D1214" s="26"/>
      <c r="E1214" s="28"/>
      <c r="H1214" s="28"/>
      <c r="K1214" s="28"/>
      <c r="N1214" s="28"/>
      <c r="Q1214" s="28"/>
      <c r="T1214" s="28"/>
      <c r="W1214" s="28"/>
      <c r="Z1214" s="28"/>
      <c r="AC1214" s="28"/>
      <c r="AF1214" s="28"/>
      <c r="AI1214" s="28"/>
      <c r="AL1214" s="28"/>
      <c r="AO1214" s="28"/>
      <c r="AR1214" s="28"/>
      <c r="AU1214" s="28"/>
      <c r="AX1214" s="28"/>
      <c r="BA1214" s="28"/>
      <c r="BD1214" s="28"/>
      <c r="BG1214" s="28"/>
      <c r="BJ1214" s="28"/>
      <c r="BM1214" s="28"/>
      <c r="BP1214" s="28"/>
      <c r="BS1214" s="28"/>
      <c r="BV1214" s="28"/>
      <c r="BY1214" s="28"/>
      <c r="CB1214" s="28"/>
      <c r="CE1214" s="28"/>
      <c r="CH1214" s="28"/>
      <c r="CK1214" s="28"/>
      <c r="CN1214" s="28"/>
      <c r="CQ1214" s="28"/>
      <c r="CT1214" s="28"/>
      <c r="CW1214" s="28"/>
      <c r="CZ1214" s="28"/>
      <c r="DC1214" s="28"/>
      <c r="DF1214" s="28"/>
      <c r="DI1214" s="28"/>
      <c r="DL1214" s="28"/>
      <c r="DO1214" s="28"/>
      <c r="DR1214" s="28"/>
      <c r="DU1214" s="28"/>
      <c r="DX1214" s="28"/>
      <c r="EA1214" s="28"/>
      <c r="ED1214" s="28"/>
      <c r="EG1214" s="28"/>
      <c r="EJ1214" s="28"/>
      <c r="EM1214" s="28"/>
      <c r="EP1214" s="28"/>
      <c r="ES1214" s="28"/>
      <c r="EV1214" s="28"/>
      <c r="EY1214" s="28"/>
      <c r="FB1214" s="28"/>
      <c r="FE1214" s="28"/>
      <c r="FH1214" s="28"/>
      <c r="FK1214" s="28"/>
      <c r="FN1214" s="28"/>
      <c r="FQ1214" s="28"/>
      <c r="FT1214" s="28"/>
      <c r="FW1214" s="28"/>
      <c r="FZ1214" s="28"/>
      <c r="GC1214" s="28"/>
    </row>
    <row r="1215" spans="1:185" s="25" customFormat="1" x14ac:dyDescent="0.3">
      <c r="A1215" s="27"/>
      <c r="B1215" s="28"/>
      <c r="C1215" s="27"/>
      <c r="D1215" s="26"/>
      <c r="E1215" s="28"/>
      <c r="H1215" s="28"/>
      <c r="K1215" s="28"/>
      <c r="N1215" s="28"/>
      <c r="Q1215" s="28"/>
      <c r="T1215" s="28"/>
      <c r="W1215" s="28"/>
      <c r="Z1215" s="28"/>
      <c r="AC1215" s="28"/>
      <c r="AF1215" s="28"/>
      <c r="AI1215" s="28"/>
      <c r="AL1215" s="28"/>
      <c r="AO1215" s="28"/>
      <c r="AR1215" s="28"/>
      <c r="AU1215" s="28"/>
      <c r="AX1215" s="28"/>
      <c r="BA1215" s="28"/>
      <c r="BD1215" s="28"/>
      <c r="BG1215" s="28"/>
      <c r="BJ1215" s="28"/>
      <c r="BM1215" s="28"/>
      <c r="BP1215" s="28"/>
      <c r="BS1215" s="28"/>
      <c r="BV1215" s="28"/>
      <c r="BY1215" s="28"/>
      <c r="CB1215" s="28"/>
      <c r="CE1215" s="28"/>
      <c r="CH1215" s="28"/>
      <c r="CK1215" s="28"/>
      <c r="CN1215" s="28"/>
      <c r="CQ1215" s="28"/>
      <c r="CT1215" s="28"/>
      <c r="CW1215" s="28"/>
      <c r="CZ1215" s="28"/>
      <c r="DC1215" s="28"/>
      <c r="DF1215" s="28"/>
      <c r="DI1215" s="28"/>
      <c r="DL1215" s="28"/>
      <c r="DO1215" s="28"/>
      <c r="DR1215" s="28"/>
      <c r="DU1215" s="28"/>
      <c r="DX1215" s="28"/>
      <c r="EA1215" s="28"/>
      <c r="ED1215" s="28"/>
      <c r="EG1215" s="28"/>
      <c r="EJ1215" s="28"/>
      <c r="EM1215" s="28"/>
      <c r="EP1215" s="28"/>
      <c r="ES1215" s="28"/>
      <c r="EV1215" s="28"/>
      <c r="EY1215" s="28"/>
      <c r="FB1215" s="28"/>
      <c r="FE1215" s="28"/>
      <c r="FH1215" s="28"/>
      <c r="FK1215" s="28"/>
      <c r="FN1215" s="28"/>
      <c r="FQ1215" s="28"/>
      <c r="FT1215" s="28"/>
      <c r="FW1215" s="28"/>
      <c r="FZ1215" s="28"/>
      <c r="GC1215" s="28"/>
    </row>
    <row r="1216" spans="1:185" s="25" customFormat="1" x14ac:dyDescent="0.3">
      <c r="A1216" s="27"/>
      <c r="B1216" s="28"/>
      <c r="C1216" s="27"/>
      <c r="D1216" s="26"/>
      <c r="E1216" s="28"/>
      <c r="H1216" s="28"/>
      <c r="K1216" s="28"/>
      <c r="N1216" s="28"/>
      <c r="Q1216" s="28"/>
      <c r="T1216" s="28"/>
      <c r="W1216" s="28"/>
      <c r="Z1216" s="28"/>
      <c r="AC1216" s="28"/>
      <c r="AF1216" s="28"/>
      <c r="AI1216" s="28"/>
      <c r="AL1216" s="28"/>
      <c r="AO1216" s="28"/>
      <c r="AR1216" s="28"/>
      <c r="AU1216" s="28"/>
      <c r="AX1216" s="28"/>
      <c r="BA1216" s="28"/>
      <c r="BD1216" s="28"/>
      <c r="BG1216" s="28"/>
      <c r="BJ1216" s="28"/>
      <c r="BM1216" s="28"/>
      <c r="BP1216" s="28"/>
      <c r="BS1216" s="28"/>
      <c r="BV1216" s="28"/>
      <c r="BY1216" s="28"/>
      <c r="CB1216" s="28"/>
      <c r="CE1216" s="28"/>
      <c r="CH1216" s="28"/>
      <c r="CK1216" s="28"/>
      <c r="CN1216" s="28"/>
      <c r="CQ1216" s="28"/>
      <c r="CT1216" s="28"/>
      <c r="CW1216" s="28"/>
      <c r="CZ1216" s="28"/>
      <c r="DC1216" s="28"/>
      <c r="DF1216" s="28"/>
      <c r="DI1216" s="28"/>
      <c r="DL1216" s="28"/>
      <c r="DO1216" s="28"/>
      <c r="DR1216" s="28"/>
      <c r="DU1216" s="28"/>
      <c r="DX1216" s="28"/>
      <c r="EA1216" s="28"/>
      <c r="ED1216" s="28"/>
      <c r="EG1216" s="28"/>
      <c r="EJ1216" s="28"/>
      <c r="EM1216" s="28"/>
      <c r="EP1216" s="28"/>
      <c r="ES1216" s="28"/>
      <c r="EV1216" s="28"/>
      <c r="EY1216" s="28"/>
      <c r="FB1216" s="28"/>
      <c r="FE1216" s="28"/>
      <c r="FH1216" s="28"/>
      <c r="FK1216" s="28"/>
      <c r="FN1216" s="28"/>
      <c r="FQ1216" s="28"/>
      <c r="FT1216" s="28"/>
      <c r="FW1216" s="28"/>
      <c r="FZ1216" s="28"/>
      <c r="GC1216" s="28"/>
    </row>
    <row r="1217" spans="1:185" s="25" customFormat="1" x14ac:dyDescent="0.3">
      <c r="A1217" s="27"/>
      <c r="B1217" s="28"/>
      <c r="C1217" s="27"/>
      <c r="D1217" s="26"/>
      <c r="E1217" s="28"/>
      <c r="H1217" s="28"/>
      <c r="K1217" s="28"/>
      <c r="N1217" s="28"/>
      <c r="Q1217" s="28"/>
      <c r="T1217" s="28"/>
      <c r="W1217" s="28"/>
      <c r="Z1217" s="28"/>
      <c r="AC1217" s="28"/>
      <c r="AF1217" s="28"/>
      <c r="AI1217" s="28"/>
      <c r="AL1217" s="28"/>
      <c r="AO1217" s="28"/>
      <c r="AR1217" s="28"/>
      <c r="AU1217" s="28"/>
      <c r="AX1217" s="28"/>
      <c r="BA1217" s="28"/>
      <c r="BD1217" s="28"/>
      <c r="BG1217" s="28"/>
      <c r="BJ1217" s="28"/>
      <c r="BM1217" s="28"/>
      <c r="BP1217" s="28"/>
      <c r="BS1217" s="28"/>
      <c r="BV1217" s="28"/>
      <c r="BY1217" s="28"/>
      <c r="CB1217" s="28"/>
      <c r="CE1217" s="28"/>
      <c r="CH1217" s="28"/>
      <c r="CK1217" s="28"/>
      <c r="CN1217" s="28"/>
      <c r="CQ1217" s="28"/>
      <c r="CT1217" s="28"/>
      <c r="CW1217" s="28"/>
      <c r="CZ1217" s="28"/>
      <c r="DC1217" s="28"/>
      <c r="DF1217" s="28"/>
      <c r="DI1217" s="28"/>
      <c r="DL1217" s="28"/>
      <c r="DO1217" s="28"/>
      <c r="DR1217" s="28"/>
      <c r="DU1217" s="28"/>
      <c r="DX1217" s="28"/>
      <c r="EA1217" s="28"/>
      <c r="ED1217" s="28"/>
      <c r="EG1217" s="28"/>
      <c r="EJ1217" s="28"/>
      <c r="EM1217" s="28"/>
      <c r="EP1217" s="28"/>
      <c r="ES1217" s="28"/>
      <c r="EV1217" s="28"/>
      <c r="EY1217" s="28"/>
      <c r="FB1217" s="28"/>
      <c r="FE1217" s="28"/>
      <c r="FH1217" s="28"/>
      <c r="FK1217" s="28"/>
      <c r="FN1217" s="28"/>
      <c r="FQ1217" s="28"/>
      <c r="FT1217" s="28"/>
      <c r="FW1217" s="28"/>
      <c r="FZ1217" s="28"/>
      <c r="GC1217" s="28"/>
    </row>
    <row r="1218" spans="1:185" s="25" customFormat="1" x14ac:dyDescent="0.3">
      <c r="A1218" s="27"/>
      <c r="B1218" s="28"/>
      <c r="C1218" s="27"/>
      <c r="D1218" s="26"/>
      <c r="E1218" s="28"/>
      <c r="H1218" s="28"/>
      <c r="K1218" s="28"/>
      <c r="N1218" s="28"/>
      <c r="Q1218" s="28"/>
      <c r="T1218" s="28"/>
      <c r="W1218" s="28"/>
      <c r="Z1218" s="28"/>
      <c r="AC1218" s="28"/>
      <c r="AF1218" s="28"/>
      <c r="AI1218" s="28"/>
      <c r="AL1218" s="28"/>
      <c r="AO1218" s="28"/>
      <c r="AR1218" s="28"/>
      <c r="AU1218" s="28"/>
      <c r="AX1218" s="28"/>
      <c r="BA1218" s="28"/>
      <c r="BD1218" s="28"/>
      <c r="BG1218" s="28"/>
      <c r="BJ1218" s="28"/>
      <c r="BM1218" s="28"/>
      <c r="BP1218" s="28"/>
      <c r="BS1218" s="28"/>
      <c r="BV1218" s="28"/>
      <c r="BY1218" s="28"/>
      <c r="CB1218" s="28"/>
      <c r="CE1218" s="28"/>
      <c r="CH1218" s="28"/>
      <c r="CK1218" s="28"/>
      <c r="CN1218" s="28"/>
      <c r="CQ1218" s="28"/>
      <c r="CT1218" s="28"/>
      <c r="CW1218" s="28"/>
      <c r="CZ1218" s="28"/>
      <c r="DC1218" s="28"/>
      <c r="DF1218" s="28"/>
      <c r="DI1218" s="28"/>
      <c r="DL1218" s="28"/>
      <c r="DO1218" s="28"/>
      <c r="DR1218" s="28"/>
      <c r="DU1218" s="28"/>
      <c r="DX1218" s="28"/>
      <c r="EA1218" s="28"/>
      <c r="ED1218" s="28"/>
      <c r="EG1218" s="28"/>
      <c r="EJ1218" s="28"/>
      <c r="EM1218" s="28"/>
      <c r="EP1218" s="28"/>
      <c r="ES1218" s="28"/>
      <c r="EV1218" s="28"/>
      <c r="EY1218" s="28"/>
      <c r="FB1218" s="28"/>
      <c r="FE1218" s="28"/>
      <c r="FH1218" s="28"/>
      <c r="FK1218" s="28"/>
      <c r="FN1218" s="28"/>
      <c r="FQ1218" s="28"/>
      <c r="FT1218" s="28"/>
      <c r="FW1218" s="28"/>
      <c r="FZ1218" s="28"/>
      <c r="GC1218" s="28"/>
    </row>
    <row r="1219" spans="1:185" s="25" customFormat="1" x14ac:dyDescent="0.3">
      <c r="A1219" s="27"/>
      <c r="B1219" s="28"/>
      <c r="C1219" s="27"/>
      <c r="D1219" s="26"/>
      <c r="E1219" s="28"/>
      <c r="H1219" s="28"/>
      <c r="K1219" s="28"/>
      <c r="N1219" s="28"/>
      <c r="Q1219" s="28"/>
      <c r="T1219" s="28"/>
      <c r="W1219" s="28"/>
      <c r="Z1219" s="28"/>
      <c r="AC1219" s="28"/>
      <c r="AF1219" s="28"/>
      <c r="AI1219" s="28"/>
      <c r="AL1219" s="28"/>
      <c r="AO1219" s="28"/>
      <c r="AR1219" s="28"/>
      <c r="AU1219" s="28"/>
      <c r="AX1219" s="28"/>
      <c r="BA1219" s="28"/>
      <c r="BD1219" s="28"/>
      <c r="BG1219" s="28"/>
      <c r="BJ1219" s="28"/>
      <c r="BM1219" s="28"/>
      <c r="BP1219" s="28"/>
      <c r="BS1219" s="28"/>
      <c r="BV1219" s="28"/>
      <c r="BY1219" s="28"/>
      <c r="CB1219" s="28"/>
      <c r="CE1219" s="28"/>
      <c r="CH1219" s="28"/>
      <c r="CK1219" s="28"/>
      <c r="CN1219" s="28"/>
      <c r="CQ1219" s="28"/>
      <c r="CT1219" s="28"/>
      <c r="CW1219" s="28"/>
      <c r="CZ1219" s="28"/>
      <c r="DC1219" s="28"/>
      <c r="DF1219" s="28"/>
      <c r="DI1219" s="28"/>
      <c r="DL1219" s="28"/>
      <c r="DO1219" s="28"/>
      <c r="DR1219" s="28"/>
      <c r="DU1219" s="28"/>
      <c r="DX1219" s="28"/>
      <c r="EA1219" s="28"/>
      <c r="ED1219" s="28"/>
      <c r="EG1219" s="28"/>
      <c r="EJ1219" s="28"/>
      <c r="EM1219" s="28"/>
      <c r="EP1219" s="28"/>
      <c r="ES1219" s="28"/>
      <c r="EV1219" s="28"/>
      <c r="EY1219" s="28"/>
      <c r="FB1219" s="28"/>
      <c r="FE1219" s="28"/>
      <c r="FH1219" s="28"/>
      <c r="FK1219" s="28"/>
      <c r="FN1219" s="28"/>
      <c r="FQ1219" s="28"/>
      <c r="FT1219" s="28"/>
      <c r="FW1219" s="28"/>
      <c r="FZ1219" s="28"/>
      <c r="GC1219" s="28"/>
    </row>
    <row r="1220" spans="1:185" s="25" customFormat="1" x14ac:dyDescent="0.3">
      <c r="A1220" s="27"/>
      <c r="B1220" s="28"/>
      <c r="C1220" s="27"/>
      <c r="D1220" s="26"/>
      <c r="E1220" s="28"/>
      <c r="H1220" s="28"/>
      <c r="K1220" s="28"/>
      <c r="N1220" s="28"/>
      <c r="Q1220" s="28"/>
      <c r="T1220" s="28"/>
      <c r="W1220" s="28"/>
      <c r="Z1220" s="28"/>
      <c r="AC1220" s="28"/>
      <c r="AF1220" s="28"/>
      <c r="AI1220" s="28"/>
      <c r="AL1220" s="28"/>
      <c r="AO1220" s="28"/>
      <c r="AR1220" s="28"/>
      <c r="AU1220" s="28"/>
      <c r="AX1220" s="28"/>
      <c r="BA1220" s="28"/>
      <c r="BD1220" s="28"/>
      <c r="BG1220" s="28"/>
      <c r="BJ1220" s="28"/>
      <c r="BM1220" s="28"/>
      <c r="BP1220" s="28"/>
      <c r="BS1220" s="28"/>
      <c r="BV1220" s="28"/>
      <c r="BY1220" s="28"/>
      <c r="CB1220" s="28"/>
      <c r="CE1220" s="28"/>
      <c r="CH1220" s="28"/>
      <c r="CK1220" s="28"/>
      <c r="CN1220" s="28"/>
      <c r="CQ1220" s="28"/>
      <c r="CT1220" s="28"/>
      <c r="CW1220" s="28"/>
      <c r="CZ1220" s="28"/>
      <c r="DC1220" s="28"/>
      <c r="DF1220" s="28"/>
      <c r="DI1220" s="28"/>
      <c r="DL1220" s="28"/>
      <c r="DO1220" s="28"/>
      <c r="DR1220" s="28"/>
      <c r="DU1220" s="28"/>
      <c r="DX1220" s="28"/>
      <c r="EA1220" s="28"/>
      <c r="ED1220" s="28"/>
      <c r="EG1220" s="28"/>
      <c r="EJ1220" s="28"/>
      <c r="EM1220" s="28"/>
      <c r="EP1220" s="28"/>
      <c r="ES1220" s="28"/>
      <c r="EV1220" s="28"/>
      <c r="EY1220" s="28"/>
      <c r="FB1220" s="28"/>
      <c r="FE1220" s="28"/>
      <c r="FH1220" s="28"/>
      <c r="FK1220" s="28"/>
      <c r="FN1220" s="28"/>
      <c r="FQ1220" s="28"/>
      <c r="FT1220" s="28"/>
      <c r="FW1220" s="28"/>
      <c r="FZ1220" s="28"/>
      <c r="GC1220" s="28"/>
    </row>
    <row r="1221" spans="1:185" s="25" customFormat="1" x14ac:dyDescent="0.3">
      <c r="A1221" s="27"/>
      <c r="B1221" s="28"/>
      <c r="C1221" s="27"/>
      <c r="D1221" s="26"/>
      <c r="E1221" s="28"/>
      <c r="H1221" s="28"/>
      <c r="K1221" s="28"/>
      <c r="N1221" s="28"/>
      <c r="Q1221" s="28"/>
      <c r="T1221" s="28"/>
      <c r="W1221" s="28"/>
      <c r="Z1221" s="28"/>
      <c r="AC1221" s="28"/>
      <c r="AF1221" s="28"/>
      <c r="AI1221" s="28"/>
      <c r="AL1221" s="28"/>
      <c r="AO1221" s="28"/>
      <c r="AR1221" s="28"/>
      <c r="AU1221" s="28"/>
      <c r="AX1221" s="28"/>
      <c r="BA1221" s="28"/>
      <c r="BD1221" s="28"/>
      <c r="BG1221" s="28"/>
      <c r="BJ1221" s="28"/>
      <c r="BM1221" s="28"/>
      <c r="BP1221" s="28"/>
      <c r="BS1221" s="28"/>
      <c r="BV1221" s="28"/>
      <c r="BY1221" s="28"/>
      <c r="CB1221" s="28"/>
      <c r="CE1221" s="28"/>
      <c r="CH1221" s="28"/>
      <c r="CK1221" s="28"/>
      <c r="CN1221" s="28"/>
      <c r="CQ1221" s="28"/>
      <c r="CT1221" s="28"/>
      <c r="CW1221" s="28"/>
      <c r="CZ1221" s="28"/>
      <c r="DC1221" s="28"/>
      <c r="DF1221" s="28"/>
      <c r="DI1221" s="28"/>
      <c r="DL1221" s="28"/>
      <c r="DO1221" s="28"/>
      <c r="DR1221" s="28"/>
      <c r="DU1221" s="28"/>
      <c r="DX1221" s="28"/>
      <c r="EA1221" s="28"/>
      <c r="ED1221" s="28"/>
      <c r="EG1221" s="28"/>
      <c r="EJ1221" s="28"/>
      <c r="EM1221" s="28"/>
      <c r="EP1221" s="28"/>
      <c r="ES1221" s="28"/>
      <c r="EV1221" s="28"/>
      <c r="EY1221" s="28"/>
      <c r="FB1221" s="28"/>
      <c r="FE1221" s="28"/>
      <c r="FH1221" s="28"/>
      <c r="FK1221" s="28"/>
      <c r="FN1221" s="28"/>
      <c r="FQ1221" s="28"/>
      <c r="FT1221" s="28"/>
      <c r="FW1221" s="28"/>
      <c r="FZ1221" s="28"/>
      <c r="GC1221" s="28"/>
    </row>
    <row r="1222" spans="1:185" s="25" customFormat="1" x14ac:dyDescent="0.3">
      <c r="A1222" s="27"/>
      <c r="B1222" s="28"/>
      <c r="C1222" s="27"/>
      <c r="D1222" s="26"/>
      <c r="E1222" s="28"/>
      <c r="H1222" s="28"/>
      <c r="K1222" s="28"/>
      <c r="N1222" s="28"/>
      <c r="Q1222" s="28"/>
      <c r="T1222" s="28"/>
      <c r="W1222" s="28"/>
      <c r="Z1222" s="28"/>
      <c r="AC1222" s="28"/>
      <c r="AF1222" s="28"/>
      <c r="AI1222" s="28"/>
      <c r="AL1222" s="28"/>
      <c r="AO1222" s="28"/>
      <c r="AR1222" s="28"/>
      <c r="AU1222" s="28"/>
      <c r="AX1222" s="28"/>
      <c r="BA1222" s="28"/>
      <c r="BD1222" s="28"/>
      <c r="BG1222" s="28"/>
      <c r="BJ1222" s="28"/>
      <c r="BM1222" s="28"/>
      <c r="BP1222" s="28"/>
      <c r="BS1222" s="28"/>
      <c r="BV1222" s="28"/>
      <c r="BY1222" s="28"/>
      <c r="CB1222" s="28"/>
      <c r="CE1222" s="28"/>
      <c r="CH1222" s="28"/>
      <c r="CK1222" s="28"/>
      <c r="CN1222" s="28"/>
      <c r="CQ1222" s="28"/>
      <c r="CT1222" s="28"/>
      <c r="CW1222" s="28"/>
      <c r="CZ1222" s="28"/>
      <c r="DC1222" s="28"/>
      <c r="DF1222" s="28"/>
      <c r="DI1222" s="28"/>
      <c r="DL1222" s="28"/>
      <c r="DO1222" s="28"/>
      <c r="DR1222" s="28"/>
      <c r="DU1222" s="28"/>
      <c r="DX1222" s="28"/>
      <c r="EA1222" s="28"/>
      <c r="ED1222" s="28"/>
      <c r="EG1222" s="28"/>
      <c r="EJ1222" s="28"/>
      <c r="EM1222" s="28"/>
      <c r="EP1222" s="28"/>
      <c r="ES1222" s="28"/>
      <c r="EV1222" s="28"/>
      <c r="EY1222" s="28"/>
      <c r="FB1222" s="28"/>
      <c r="FE1222" s="28"/>
      <c r="FH1222" s="28"/>
      <c r="FK1222" s="28"/>
      <c r="FN1222" s="28"/>
      <c r="FQ1222" s="28"/>
      <c r="FT1222" s="28"/>
      <c r="FW1222" s="28"/>
      <c r="FZ1222" s="28"/>
      <c r="GC1222" s="28"/>
    </row>
    <row r="1223" spans="1:185" s="25" customFormat="1" x14ac:dyDescent="0.3">
      <c r="A1223" s="27"/>
      <c r="B1223" s="28"/>
      <c r="C1223" s="27"/>
      <c r="D1223" s="26"/>
      <c r="E1223" s="28"/>
      <c r="H1223" s="28"/>
      <c r="K1223" s="28"/>
      <c r="N1223" s="28"/>
      <c r="Q1223" s="28"/>
      <c r="T1223" s="28"/>
      <c r="W1223" s="28"/>
      <c r="Z1223" s="28"/>
      <c r="AC1223" s="28"/>
      <c r="AF1223" s="28"/>
      <c r="AI1223" s="28"/>
      <c r="AL1223" s="28"/>
      <c r="AO1223" s="28"/>
      <c r="AR1223" s="28"/>
      <c r="AU1223" s="28"/>
      <c r="AX1223" s="28"/>
      <c r="BA1223" s="28"/>
      <c r="BD1223" s="28"/>
      <c r="BG1223" s="28"/>
      <c r="BJ1223" s="28"/>
      <c r="BM1223" s="28"/>
      <c r="BP1223" s="28"/>
      <c r="BS1223" s="28"/>
      <c r="BV1223" s="28"/>
      <c r="BY1223" s="28"/>
      <c r="CB1223" s="28"/>
      <c r="CE1223" s="28"/>
      <c r="CH1223" s="28"/>
      <c r="CK1223" s="28"/>
      <c r="CN1223" s="28"/>
      <c r="CQ1223" s="28"/>
      <c r="CT1223" s="28"/>
      <c r="CW1223" s="28"/>
      <c r="CZ1223" s="28"/>
      <c r="DC1223" s="28"/>
      <c r="DF1223" s="28"/>
      <c r="DI1223" s="28"/>
      <c r="DL1223" s="28"/>
      <c r="DO1223" s="28"/>
      <c r="DR1223" s="28"/>
      <c r="DU1223" s="28"/>
      <c r="DX1223" s="28"/>
      <c r="EA1223" s="28"/>
      <c r="ED1223" s="28"/>
      <c r="EG1223" s="28"/>
      <c r="EJ1223" s="28"/>
      <c r="EM1223" s="28"/>
      <c r="EP1223" s="28"/>
      <c r="ES1223" s="28"/>
      <c r="EV1223" s="28"/>
      <c r="EY1223" s="28"/>
      <c r="FB1223" s="28"/>
      <c r="FE1223" s="28"/>
      <c r="FH1223" s="28"/>
      <c r="FK1223" s="28"/>
      <c r="FN1223" s="28"/>
      <c r="FQ1223" s="28"/>
      <c r="FT1223" s="28"/>
      <c r="FW1223" s="28"/>
      <c r="FZ1223" s="28"/>
      <c r="GC1223" s="28"/>
    </row>
    <row r="1224" spans="1:185" s="25" customFormat="1" x14ac:dyDescent="0.3">
      <c r="A1224" s="27"/>
      <c r="B1224" s="28"/>
      <c r="C1224" s="27"/>
      <c r="D1224" s="26"/>
      <c r="E1224" s="28"/>
      <c r="H1224" s="28"/>
      <c r="K1224" s="28"/>
      <c r="N1224" s="28"/>
      <c r="Q1224" s="28"/>
      <c r="T1224" s="28"/>
      <c r="W1224" s="28"/>
      <c r="Z1224" s="28"/>
      <c r="AC1224" s="28"/>
      <c r="AF1224" s="28"/>
      <c r="AI1224" s="28"/>
      <c r="AL1224" s="28"/>
      <c r="AO1224" s="28"/>
      <c r="AR1224" s="28"/>
      <c r="AU1224" s="28"/>
      <c r="AX1224" s="28"/>
      <c r="BA1224" s="28"/>
      <c r="BD1224" s="28"/>
      <c r="BG1224" s="28"/>
      <c r="BJ1224" s="28"/>
      <c r="BM1224" s="28"/>
      <c r="BP1224" s="28"/>
      <c r="BS1224" s="28"/>
      <c r="BV1224" s="28"/>
      <c r="BY1224" s="28"/>
      <c r="CB1224" s="28"/>
      <c r="CE1224" s="28"/>
      <c r="CH1224" s="28"/>
      <c r="CK1224" s="28"/>
      <c r="CN1224" s="28"/>
      <c r="CQ1224" s="28"/>
      <c r="CT1224" s="28"/>
      <c r="CW1224" s="28"/>
      <c r="CZ1224" s="28"/>
      <c r="DC1224" s="28"/>
      <c r="DF1224" s="28"/>
      <c r="DI1224" s="28"/>
      <c r="DL1224" s="28"/>
      <c r="DO1224" s="28"/>
      <c r="DR1224" s="28"/>
      <c r="DU1224" s="28"/>
      <c r="DX1224" s="28"/>
      <c r="EA1224" s="28"/>
      <c r="ED1224" s="28"/>
      <c r="EG1224" s="28"/>
      <c r="EJ1224" s="28"/>
      <c r="EM1224" s="28"/>
      <c r="EP1224" s="28"/>
      <c r="ES1224" s="28"/>
      <c r="EV1224" s="28"/>
      <c r="EY1224" s="28"/>
      <c r="FB1224" s="28"/>
      <c r="FE1224" s="28"/>
      <c r="FH1224" s="28"/>
      <c r="FK1224" s="28"/>
      <c r="FN1224" s="28"/>
      <c r="FQ1224" s="28"/>
      <c r="FT1224" s="28"/>
      <c r="FW1224" s="28"/>
      <c r="FZ1224" s="28"/>
      <c r="GC1224" s="28"/>
    </row>
    <row r="1225" spans="1:185" s="25" customFormat="1" x14ac:dyDescent="0.3">
      <c r="A1225" s="27"/>
      <c r="B1225" s="28"/>
      <c r="C1225" s="27"/>
      <c r="D1225" s="26"/>
      <c r="E1225" s="28"/>
      <c r="H1225" s="28"/>
      <c r="K1225" s="28"/>
      <c r="N1225" s="28"/>
      <c r="Q1225" s="28"/>
      <c r="T1225" s="28"/>
      <c r="W1225" s="28"/>
      <c r="Z1225" s="28"/>
      <c r="AC1225" s="28"/>
      <c r="AF1225" s="28"/>
      <c r="AI1225" s="28"/>
      <c r="AL1225" s="28"/>
      <c r="AO1225" s="28"/>
      <c r="AR1225" s="28"/>
      <c r="AU1225" s="28"/>
      <c r="AX1225" s="28"/>
      <c r="BA1225" s="28"/>
      <c r="BD1225" s="28"/>
      <c r="BG1225" s="28"/>
      <c r="BJ1225" s="28"/>
      <c r="BM1225" s="28"/>
      <c r="BP1225" s="28"/>
      <c r="BS1225" s="28"/>
      <c r="BV1225" s="28"/>
      <c r="BY1225" s="28"/>
      <c r="CB1225" s="28"/>
      <c r="CE1225" s="28"/>
      <c r="CH1225" s="28"/>
      <c r="CK1225" s="28"/>
      <c r="CN1225" s="28"/>
      <c r="CQ1225" s="28"/>
      <c r="CT1225" s="28"/>
      <c r="CW1225" s="28"/>
      <c r="CZ1225" s="28"/>
      <c r="DC1225" s="28"/>
      <c r="DF1225" s="28"/>
      <c r="DI1225" s="28"/>
      <c r="DL1225" s="28"/>
      <c r="DO1225" s="28"/>
      <c r="DR1225" s="28"/>
      <c r="DU1225" s="28"/>
      <c r="DX1225" s="28"/>
      <c r="EA1225" s="28"/>
      <c r="ED1225" s="28"/>
      <c r="EG1225" s="28"/>
      <c r="EJ1225" s="28"/>
      <c r="EM1225" s="28"/>
      <c r="EP1225" s="28"/>
      <c r="ES1225" s="28"/>
      <c r="EV1225" s="28"/>
      <c r="EY1225" s="28"/>
      <c r="FB1225" s="28"/>
      <c r="FE1225" s="28"/>
      <c r="FH1225" s="28"/>
      <c r="FK1225" s="28"/>
      <c r="FN1225" s="28"/>
      <c r="FQ1225" s="28"/>
      <c r="FT1225" s="28"/>
      <c r="FW1225" s="28"/>
      <c r="FZ1225" s="28"/>
      <c r="GC1225" s="28"/>
    </row>
    <row r="1226" spans="1:185" s="25" customFormat="1" x14ac:dyDescent="0.3">
      <c r="A1226" s="27"/>
      <c r="B1226" s="28"/>
      <c r="C1226" s="27"/>
      <c r="D1226" s="26"/>
      <c r="E1226" s="28"/>
      <c r="H1226" s="28"/>
      <c r="K1226" s="28"/>
      <c r="N1226" s="28"/>
      <c r="Q1226" s="28"/>
      <c r="T1226" s="28"/>
      <c r="W1226" s="28"/>
      <c r="Z1226" s="28"/>
      <c r="AC1226" s="28"/>
      <c r="AF1226" s="28"/>
      <c r="AI1226" s="28"/>
      <c r="AL1226" s="28"/>
      <c r="AO1226" s="28"/>
      <c r="AR1226" s="28"/>
      <c r="AU1226" s="28"/>
      <c r="AX1226" s="28"/>
      <c r="BA1226" s="28"/>
      <c r="BD1226" s="28"/>
      <c r="BG1226" s="28"/>
      <c r="BJ1226" s="28"/>
      <c r="BM1226" s="28"/>
      <c r="BP1226" s="28"/>
      <c r="BS1226" s="28"/>
      <c r="BV1226" s="28"/>
      <c r="BY1226" s="28"/>
      <c r="CB1226" s="28"/>
      <c r="CE1226" s="28"/>
      <c r="CH1226" s="28"/>
      <c r="CK1226" s="28"/>
      <c r="CN1226" s="28"/>
      <c r="CQ1226" s="28"/>
      <c r="CT1226" s="28"/>
      <c r="CW1226" s="28"/>
      <c r="CZ1226" s="28"/>
      <c r="DC1226" s="28"/>
      <c r="DF1226" s="28"/>
      <c r="DI1226" s="28"/>
      <c r="DL1226" s="28"/>
      <c r="DO1226" s="28"/>
      <c r="DR1226" s="28"/>
      <c r="DU1226" s="28"/>
      <c r="DX1226" s="28"/>
      <c r="EA1226" s="28"/>
      <c r="ED1226" s="28"/>
      <c r="EG1226" s="28"/>
      <c r="EJ1226" s="28"/>
      <c r="EM1226" s="28"/>
      <c r="EP1226" s="28"/>
      <c r="ES1226" s="28"/>
      <c r="EV1226" s="28"/>
      <c r="EY1226" s="28"/>
      <c r="FB1226" s="28"/>
      <c r="FE1226" s="28"/>
      <c r="FH1226" s="28"/>
      <c r="FK1226" s="28"/>
      <c r="FN1226" s="28"/>
      <c r="FQ1226" s="28"/>
      <c r="FT1226" s="28"/>
      <c r="FW1226" s="28"/>
      <c r="FZ1226" s="28"/>
      <c r="GC1226" s="28"/>
    </row>
    <row r="1227" spans="1:185" s="25" customFormat="1" x14ac:dyDescent="0.3">
      <c r="A1227" s="27"/>
      <c r="B1227" s="28"/>
      <c r="C1227" s="27"/>
      <c r="D1227" s="26"/>
      <c r="E1227" s="28"/>
      <c r="H1227" s="28"/>
      <c r="K1227" s="28"/>
      <c r="N1227" s="28"/>
      <c r="Q1227" s="28"/>
      <c r="T1227" s="28"/>
      <c r="W1227" s="28"/>
      <c r="Z1227" s="28"/>
      <c r="AC1227" s="28"/>
      <c r="AF1227" s="28"/>
      <c r="AI1227" s="28"/>
      <c r="AL1227" s="28"/>
      <c r="AO1227" s="28"/>
      <c r="AR1227" s="28"/>
      <c r="AU1227" s="28"/>
      <c r="AX1227" s="28"/>
      <c r="BA1227" s="28"/>
      <c r="BD1227" s="28"/>
      <c r="BG1227" s="28"/>
      <c r="BJ1227" s="28"/>
      <c r="BM1227" s="28"/>
      <c r="BP1227" s="28"/>
      <c r="BS1227" s="28"/>
      <c r="BV1227" s="28"/>
      <c r="BY1227" s="28"/>
      <c r="CB1227" s="28"/>
      <c r="CE1227" s="28"/>
      <c r="CH1227" s="28"/>
      <c r="CK1227" s="28"/>
      <c r="CN1227" s="28"/>
      <c r="CQ1227" s="28"/>
      <c r="CT1227" s="28"/>
      <c r="CW1227" s="28"/>
      <c r="CZ1227" s="28"/>
      <c r="DC1227" s="28"/>
      <c r="DF1227" s="28"/>
      <c r="DI1227" s="28"/>
      <c r="DL1227" s="28"/>
      <c r="DO1227" s="28"/>
      <c r="DR1227" s="28"/>
      <c r="DU1227" s="28"/>
      <c r="DX1227" s="28"/>
      <c r="EA1227" s="28"/>
      <c r="ED1227" s="28"/>
      <c r="EG1227" s="28"/>
      <c r="EJ1227" s="28"/>
      <c r="EM1227" s="28"/>
      <c r="EP1227" s="28"/>
      <c r="ES1227" s="28"/>
      <c r="EV1227" s="28"/>
      <c r="EY1227" s="28"/>
      <c r="FB1227" s="28"/>
      <c r="FE1227" s="28"/>
      <c r="FH1227" s="28"/>
      <c r="FK1227" s="28"/>
      <c r="FN1227" s="28"/>
      <c r="FQ1227" s="28"/>
      <c r="FT1227" s="28"/>
      <c r="FW1227" s="28"/>
      <c r="FZ1227" s="28"/>
      <c r="GC1227" s="28"/>
    </row>
    <row r="1228" spans="1:185" s="25" customFormat="1" x14ac:dyDescent="0.3">
      <c r="A1228" s="27"/>
      <c r="B1228" s="28"/>
      <c r="C1228" s="27"/>
      <c r="D1228" s="26"/>
      <c r="E1228" s="28"/>
      <c r="H1228" s="28"/>
      <c r="K1228" s="28"/>
      <c r="N1228" s="28"/>
      <c r="Q1228" s="28"/>
      <c r="T1228" s="28"/>
      <c r="W1228" s="28"/>
      <c r="Z1228" s="28"/>
      <c r="AC1228" s="28"/>
      <c r="AF1228" s="28"/>
      <c r="AI1228" s="28"/>
      <c r="AL1228" s="28"/>
      <c r="AO1228" s="28"/>
      <c r="AR1228" s="28"/>
      <c r="AU1228" s="28"/>
      <c r="AX1228" s="28"/>
      <c r="BA1228" s="28"/>
      <c r="BD1228" s="28"/>
      <c r="BG1228" s="28"/>
      <c r="BJ1228" s="28"/>
      <c r="BM1228" s="28"/>
      <c r="BP1228" s="28"/>
      <c r="BS1228" s="28"/>
      <c r="BV1228" s="28"/>
      <c r="BY1228" s="28"/>
      <c r="CB1228" s="28"/>
      <c r="CE1228" s="28"/>
      <c r="CH1228" s="28"/>
      <c r="CK1228" s="28"/>
      <c r="CN1228" s="28"/>
      <c r="CQ1228" s="28"/>
      <c r="CT1228" s="28"/>
      <c r="CW1228" s="28"/>
      <c r="CZ1228" s="28"/>
      <c r="DC1228" s="28"/>
      <c r="DF1228" s="28"/>
      <c r="DI1228" s="28"/>
      <c r="DL1228" s="28"/>
      <c r="DO1228" s="28"/>
      <c r="DR1228" s="28"/>
      <c r="DU1228" s="28"/>
      <c r="DX1228" s="28"/>
      <c r="EA1228" s="28"/>
      <c r="ED1228" s="28"/>
      <c r="EG1228" s="28"/>
      <c r="EJ1228" s="28"/>
      <c r="EM1228" s="28"/>
      <c r="EP1228" s="28"/>
      <c r="ES1228" s="28"/>
      <c r="EV1228" s="28"/>
      <c r="EY1228" s="28"/>
      <c r="FB1228" s="28"/>
      <c r="FE1228" s="28"/>
      <c r="FH1228" s="28"/>
      <c r="FK1228" s="28"/>
      <c r="FN1228" s="28"/>
      <c r="FQ1228" s="28"/>
      <c r="FT1228" s="28"/>
      <c r="FW1228" s="28"/>
      <c r="FZ1228" s="28"/>
      <c r="GC1228" s="28"/>
    </row>
    <row r="1229" spans="1:185" s="25" customFormat="1" x14ac:dyDescent="0.3">
      <c r="A1229" s="27"/>
      <c r="B1229" s="28"/>
      <c r="C1229" s="27"/>
      <c r="D1229" s="26"/>
      <c r="E1229" s="28"/>
      <c r="H1229" s="28"/>
      <c r="K1229" s="28"/>
      <c r="N1229" s="28"/>
      <c r="Q1229" s="28"/>
      <c r="T1229" s="28"/>
      <c r="W1229" s="28"/>
      <c r="Z1229" s="28"/>
      <c r="AC1229" s="28"/>
      <c r="AF1229" s="28"/>
      <c r="AI1229" s="28"/>
      <c r="AL1229" s="28"/>
      <c r="AO1229" s="28"/>
      <c r="AR1229" s="28"/>
      <c r="AU1229" s="28"/>
      <c r="AX1229" s="28"/>
      <c r="BA1229" s="28"/>
      <c r="BD1229" s="28"/>
      <c r="BG1229" s="28"/>
      <c r="BJ1229" s="28"/>
      <c r="BM1229" s="28"/>
      <c r="BP1229" s="28"/>
      <c r="BS1229" s="28"/>
      <c r="BV1229" s="28"/>
      <c r="BY1229" s="28"/>
      <c r="CB1229" s="28"/>
      <c r="CE1229" s="28"/>
      <c r="CH1229" s="28"/>
      <c r="CK1229" s="28"/>
      <c r="CN1229" s="28"/>
      <c r="CQ1229" s="28"/>
      <c r="CT1229" s="28"/>
      <c r="CW1229" s="28"/>
      <c r="CZ1229" s="28"/>
      <c r="DC1229" s="28"/>
      <c r="DF1229" s="28"/>
      <c r="DI1229" s="28"/>
      <c r="DL1229" s="28"/>
      <c r="DO1229" s="28"/>
      <c r="DR1229" s="28"/>
      <c r="DU1229" s="28"/>
      <c r="DX1229" s="28"/>
      <c r="EA1229" s="28"/>
      <c r="ED1229" s="28"/>
      <c r="EG1229" s="28"/>
      <c r="EJ1229" s="28"/>
      <c r="EM1229" s="28"/>
      <c r="EP1229" s="28"/>
      <c r="ES1229" s="28"/>
      <c r="EV1229" s="28"/>
      <c r="EY1229" s="28"/>
      <c r="FB1229" s="28"/>
      <c r="FE1229" s="28"/>
      <c r="FH1229" s="28"/>
      <c r="FK1229" s="28"/>
      <c r="FN1229" s="28"/>
      <c r="FQ1229" s="28"/>
      <c r="FT1229" s="28"/>
      <c r="FW1229" s="28"/>
      <c r="FZ1229" s="28"/>
      <c r="GC1229" s="28"/>
    </row>
    <row r="1230" spans="1:185" s="25" customFormat="1" x14ac:dyDescent="0.3">
      <c r="A1230" s="27"/>
      <c r="B1230" s="28"/>
      <c r="C1230" s="27"/>
      <c r="D1230" s="26"/>
      <c r="E1230" s="28"/>
      <c r="H1230" s="28"/>
      <c r="K1230" s="28"/>
      <c r="N1230" s="28"/>
      <c r="Q1230" s="28"/>
      <c r="T1230" s="28"/>
      <c r="W1230" s="28"/>
      <c r="Z1230" s="28"/>
      <c r="AC1230" s="28"/>
      <c r="AF1230" s="28"/>
      <c r="AI1230" s="28"/>
      <c r="AL1230" s="28"/>
      <c r="AO1230" s="28"/>
      <c r="AR1230" s="28"/>
      <c r="AU1230" s="28"/>
      <c r="AX1230" s="28"/>
      <c r="BA1230" s="28"/>
      <c r="BD1230" s="28"/>
      <c r="BG1230" s="28"/>
      <c r="BJ1230" s="28"/>
      <c r="BM1230" s="28"/>
      <c r="BP1230" s="28"/>
      <c r="BS1230" s="28"/>
      <c r="BV1230" s="28"/>
      <c r="BY1230" s="28"/>
      <c r="CB1230" s="28"/>
      <c r="CE1230" s="28"/>
      <c r="CH1230" s="28"/>
      <c r="CK1230" s="28"/>
      <c r="CN1230" s="28"/>
      <c r="CQ1230" s="28"/>
      <c r="CT1230" s="28"/>
      <c r="CW1230" s="28"/>
      <c r="CZ1230" s="28"/>
      <c r="DC1230" s="28"/>
      <c r="DF1230" s="28"/>
      <c r="DI1230" s="28"/>
      <c r="DL1230" s="28"/>
      <c r="DO1230" s="28"/>
      <c r="DR1230" s="28"/>
      <c r="DU1230" s="28"/>
      <c r="DX1230" s="28"/>
      <c r="EA1230" s="28"/>
      <c r="ED1230" s="28"/>
      <c r="EG1230" s="28"/>
      <c r="EJ1230" s="28"/>
      <c r="EM1230" s="28"/>
      <c r="EP1230" s="28"/>
      <c r="ES1230" s="28"/>
      <c r="EV1230" s="28"/>
      <c r="EY1230" s="28"/>
      <c r="FB1230" s="28"/>
      <c r="FE1230" s="28"/>
      <c r="FH1230" s="28"/>
      <c r="FK1230" s="28"/>
      <c r="FN1230" s="28"/>
      <c r="FQ1230" s="28"/>
      <c r="FT1230" s="28"/>
      <c r="FW1230" s="28"/>
      <c r="FZ1230" s="28"/>
      <c r="GC1230" s="28"/>
    </row>
    <row r="1231" spans="1:185" s="25" customFormat="1" x14ac:dyDescent="0.3">
      <c r="A1231" s="27"/>
      <c r="B1231" s="28"/>
      <c r="C1231" s="27"/>
      <c r="D1231" s="26"/>
      <c r="E1231" s="28"/>
      <c r="H1231" s="28"/>
      <c r="K1231" s="28"/>
      <c r="N1231" s="28"/>
      <c r="Q1231" s="28"/>
      <c r="T1231" s="28"/>
      <c r="W1231" s="28"/>
      <c r="Z1231" s="28"/>
      <c r="AC1231" s="28"/>
      <c r="AF1231" s="28"/>
      <c r="AI1231" s="28"/>
      <c r="AL1231" s="28"/>
      <c r="AO1231" s="28"/>
      <c r="AR1231" s="28"/>
      <c r="AU1231" s="28"/>
      <c r="AX1231" s="28"/>
      <c r="BA1231" s="28"/>
      <c r="BD1231" s="28"/>
      <c r="BG1231" s="28"/>
      <c r="BJ1231" s="28"/>
      <c r="BM1231" s="28"/>
      <c r="BP1231" s="28"/>
      <c r="BS1231" s="28"/>
      <c r="BV1231" s="28"/>
      <c r="BY1231" s="28"/>
      <c r="CB1231" s="28"/>
      <c r="CE1231" s="28"/>
      <c r="CH1231" s="28"/>
      <c r="CK1231" s="28"/>
      <c r="CN1231" s="28"/>
      <c r="CQ1231" s="28"/>
      <c r="CT1231" s="28"/>
      <c r="CW1231" s="28"/>
      <c r="CZ1231" s="28"/>
      <c r="DC1231" s="28"/>
      <c r="DF1231" s="28"/>
      <c r="DI1231" s="28"/>
      <c r="DL1231" s="28"/>
      <c r="DO1231" s="28"/>
      <c r="DR1231" s="28"/>
      <c r="DU1231" s="28"/>
      <c r="DX1231" s="28"/>
      <c r="EA1231" s="28"/>
      <c r="ED1231" s="28"/>
      <c r="EG1231" s="28"/>
      <c r="EJ1231" s="28"/>
      <c r="EM1231" s="28"/>
      <c r="EP1231" s="28"/>
      <c r="ES1231" s="28"/>
      <c r="EV1231" s="28"/>
      <c r="EY1231" s="28"/>
      <c r="FB1231" s="28"/>
      <c r="FE1231" s="28"/>
      <c r="FH1231" s="28"/>
      <c r="FK1231" s="28"/>
      <c r="FN1231" s="28"/>
      <c r="FQ1231" s="28"/>
      <c r="FT1231" s="28"/>
      <c r="FW1231" s="28"/>
      <c r="FZ1231" s="28"/>
      <c r="GC1231" s="28"/>
    </row>
    <row r="1232" spans="1:185" s="25" customFormat="1" x14ac:dyDescent="0.3">
      <c r="A1232" s="27"/>
      <c r="B1232" s="28"/>
      <c r="C1232" s="27"/>
      <c r="D1232" s="26"/>
      <c r="E1232" s="28"/>
      <c r="H1232" s="28"/>
      <c r="K1232" s="28"/>
      <c r="N1232" s="28"/>
      <c r="Q1232" s="28"/>
      <c r="T1232" s="28"/>
      <c r="W1232" s="28"/>
      <c r="Z1232" s="28"/>
      <c r="AC1232" s="28"/>
      <c r="AF1232" s="28"/>
      <c r="AI1232" s="28"/>
      <c r="AL1232" s="28"/>
      <c r="AO1232" s="28"/>
      <c r="AR1232" s="28"/>
      <c r="AU1232" s="28"/>
      <c r="AX1232" s="28"/>
      <c r="BA1232" s="28"/>
      <c r="BD1232" s="28"/>
      <c r="BG1232" s="28"/>
      <c r="BJ1232" s="28"/>
      <c r="BM1232" s="28"/>
      <c r="BP1232" s="28"/>
      <c r="BS1232" s="28"/>
      <c r="BV1232" s="28"/>
      <c r="BY1232" s="28"/>
      <c r="CB1232" s="28"/>
      <c r="CE1232" s="28"/>
      <c r="CH1232" s="28"/>
      <c r="CK1232" s="28"/>
      <c r="CN1232" s="28"/>
      <c r="CQ1232" s="28"/>
      <c r="CT1232" s="28"/>
      <c r="CW1232" s="28"/>
      <c r="CZ1232" s="28"/>
      <c r="DC1232" s="28"/>
      <c r="DF1232" s="28"/>
      <c r="DI1232" s="28"/>
      <c r="DL1232" s="28"/>
      <c r="DO1232" s="28"/>
      <c r="DR1232" s="28"/>
      <c r="DU1232" s="28"/>
      <c r="DX1232" s="28"/>
      <c r="EA1232" s="28"/>
      <c r="ED1232" s="28"/>
      <c r="EG1232" s="28"/>
      <c r="EJ1232" s="28"/>
      <c r="EM1232" s="28"/>
      <c r="EP1232" s="28"/>
      <c r="ES1232" s="28"/>
      <c r="EV1232" s="28"/>
      <c r="EY1232" s="28"/>
      <c r="FB1232" s="28"/>
      <c r="FE1232" s="28"/>
      <c r="FH1232" s="28"/>
      <c r="FK1232" s="28"/>
      <c r="FN1232" s="28"/>
      <c r="FQ1232" s="28"/>
      <c r="FT1232" s="28"/>
      <c r="FW1232" s="28"/>
      <c r="FZ1232" s="28"/>
      <c r="GC1232" s="28"/>
    </row>
    <row r="1233" spans="1:185" s="25" customFormat="1" x14ac:dyDescent="0.3">
      <c r="A1233" s="27"/>
      <c r="B1233" s="28"/>
      <c r="C1233" s="27"/>
      <c r="D1233" s="26"/>
      <c r="E1233" s="28"/>
      <c r="H1233" s="28"/>
      <c r="K1233" s="28"/>
      <c r="N1233" s="28"/>
      <c r="Q1233" s="28"/>
      <c r="T1233" s="28"/>
      <c r="W1233" s="28"/>
      <c r="Z1233" s="28"/>
      <c r="AC1233" s="28"/>
      <c r="AF1233" s="28"/>
      <c r="AI1233" s="28"/>
      <c r="AL1233" s="28"/>
      <c r="AO1233" s="28"/>
      <c r="AR1233" s="28"/>
      <c r="AU1233" s="28"/>
      <c r="AX1233" s="28"/>
      <c r="BA1233" s="28"/>
      <c r="BD1233" s="28"/>
      <c r="BG1233" s="28"/>
      <c r="BJ1233" s="28"/>
      <c r="BM1233" s="28"/>
      <c r="BP1233" s="28"/>
      <c r="BS1233" s="28"/>
      <c r="BV1233" s="28"/>
      <c r="BY1233" s="28"/>
      <c r="CB1233" s="28"/>
      <c r="CE1233" s="28"/>
      <c r="CH1233" s="28"/>
      <c r="CK1233" s="28"/>
      <c r="CN1233" s="28"/>
      <c r="CQ1233" s="28"/>
      <c r="CT1233" s="28"/>
      <c r="CW1233" s="28"/>
      <c r="CZ1233" s="28"/>
      <c r="DC1233" s="28"/>
      <c r="DF1233" s="28"/>
      <c r="DI1233" s="28"/>
      <c r="DL1233" s="28"/>
      <c r="DO1233" s="28"/>
      <c r="DR1233" s="28"/>
      <c r="DU1233" s="28"/>
      <c r="DX1233" s="28"/>
      <c r="EA1233" s="28"/>
      <c r="ED1233" s="28"/>
      <c r="EG1233" s="28"/>
      <c r="EJ1233" s="28"/>
      <c r="EM1233" s="28"/>
      <c r="EP1233" s="28"/>
      <c r="ES1233" s="28"/>
      <c r="EV1233" s="28"/>
      <c r="EY1233" s="28"/>
      <c r="FB1233" s="28"/>
      <c r="FE1233" s="28"/>
      <c r="FH1233" s="28"/>
      <c r="FK1233" s="28"/>
      <c r="FN1233" s="28"/>
      <c r="FQ1233" s="28"/>
      <c r="FT1233" s="28"/>
      <c r="FW1233" s="28"/>
      <c r="FZ1233" s="28"/>
      <c r="GC1233" s="28"/>
    </row>
    <row r="1234" spans="1:185" s="25" customFormat="1" x14ac:dyDescent="0.3">
      <c r="A1234" s="27"/>
      <c r="B1234" s="28"/>
      <c r="C1234" s="27"/>
      <c r="D1234" s="26"/>
      <c r="E1234" s="28"/>
      <c r="H1234" s="28"/>
      <c r="K1234" s="28"/>
      <c r="N1234" s="28"/>
      <c r="Q1234" s="28"/>
      <c r="T1234" s="28"/>
      <c r="W1234" s="28"/>
      <c r="Z1234" s="28"/>
      <c r="AC1234" s="28"/>
      <c r="AF1234" s="28"/>
      <c r="AI1234" s="28"/>
      <c r="AL1234" s="28"/>
      <c r="AO1234" s="28"/>
      <c r="AR1234" s="28"/>
      <c r="AU1234" s="28"/>
      <c r="AX1234" s="28"/>
      <c r="BA1234" s="28"/>
      <c r="BD1234" s="28"/>
      <c r="BG1234" s="28"/>
      <c r="BJ1234" s="28"/>
      <c r="BM1234" s="28"/>
      <c r="BP1234" s="28"/>
      <c r="BS1234" s="28"/>
      <c r="BV1234" s="28"/>
      <c r="BY1234" s="28"/>
      <c r="CB1234" s="28"/>
      <c r="CE1234" s="28"/>
      <c r="CH1234" s="28"/>
      <c r="CK1234" s="28"/>
      <c r="CN1234" s="28"/>
      <c r="CQ1234" s="28"/>
      <c r="CT1234" s="28"/>
      <c r="CW1234" s="28"/>
      <c r="CZ1234" s="28"/>
      <c r="DC1234" s="28"/>
      <c r="DF1234" s="28"/>
      <c r="DI1234" s="28"/>
      <c r="DL1234" s="28"/>
      <c r="DO1234" s="28"/>
      <c r="DR1234" s="28"/>
      <c r="DU1234" s="28"/>
      <c r="DX1234" s="28"/>
      <c r="EA1234" s="28"/>
      <c r="ED1234" s="28"/>
      <c r="EG1234" s="28"/>
      <c r="EJ1234" s="28"/>
      <c r="EM1234" s="28"/>
      <c r="EP1234" s="28"/>
      <c r="ES1234" s="28"/>
      <c r="EV1234" s="28"/>
      <c r="EY1234" s="28"/>
      <c r="FB1234" s="28"/>
      <c r="FE1234" s="28"/>
      <c r="FH1234" s="28"/>
      <c r="FK1234" s="28"/>
      <c r="FN1234" s="28"/>
      <c r="FQ1234" s="28"/>
      <c r="FT1234" s="28"/>
      <c r="FW1234" s="28"/>
      <c r="FZ1234" s="28"/>
      <c r="GC1234" s="28"/>
    </row>
    <row r="1235" spans="1:185" s="25" customFormat="1" x14ac:dyDescent="0.3">
      <c r="A1235" s="27"/>
      <c r="B1235" s="28"/>
      <c r="C1235" s="27"/>
      <c r="D1235" s="26"/>
      <c r="E1235" s="28"/>
      <c r="H1235" s="28"/>
      <c r="K1235" s="28"/>
      <c r="N1235" s="28"/>
      <c r="Q1235" s="28"/>
      <c r="T1235" s="28"/>
      <c r="W1235" s="28"/>
      <c r="Z1235" s="28"/>
      <c r="AC1235" s="28"/>
      <c r="AF1235" s="28"/>
      <c r="AI1235" s="28"/>
      <c r="AL1235" s="28"/>
      <c r="AO1235" s="28"/>
      <c r="AR1235" s="28"/>
      <c r="AU1235" s="28"/>
      <c r="AX1235" s="28"/>
      <c r="BA1235" s="28"/>
      <c r="BD1235" s="28"/>
      <c r="BG1235" s="28"/>
      <c r="BJ1235" s="28"/>
      <c r="BM1235" s="28"/>
      <c r="BP1235" s="28"/>
      <c r="BS1235" s="28"/>
      <c r="BV1235" s="28"/>
      <c r="BY1235" s="28"/>
      <c r="CB1235" s="28"/>
      <c r="CE1235" s="28"/>
      <c r="CH1235" s="28"/>
      <c r="CK1235" s="28"/>
      <c r="CN1235" s="28"/>
      <c r="CQ1235" s="28"/>
      <c r="CT1235" s="28"/>
      <c r="CW1235" s="28"/>
      <c r="CZ1235" s="28"/>
      <c r="DC1235" s="28"/>
      <c r="DF1235" s="28"/>
      <c r="DI1235" s="28"/>
      <c r="DL1235" s="28"/>
      <c r="DO1235" s="28"/>
      <c r="DR1235" s="28"/>
      <c r="DU1235" s="28"/>
      <c r="DX1235" s="28"/>
      <c r="EA1235" s="28"/>
      <c r="ED1235" s="28"/>
      <c r="EG1235" s="28"/>
      <c r="EJ1235" s="28"/>
      <c r="EM1235" s="28"/>
      <c r="EP1235" s="28"/>
      <c r="ES1235" s="28"/>
      <c r="EV1235" s="28"/>
      <c r="EY1235" s="28"/>
      <c r="FB1235" s="28"/>
      <c r="FE1235" s="28"/>
      <c r="FH1235" s="28"/>
      <c r="FK1235" s="28"/>
      <c r="FN1235" s="28"/>
      <c r="FQ1235" s="28"/>
      <c r="FT1235" s="28"/>
      <c r="FW1235" s="28"/>
      <c r="FZ1235" s="28"/>
      <c r="GC1235" s="28"/>
    </row>
    <row r="1236" spans="1:185" s="25" customFormat="1" x14ac:dyDescent="0.3">
      <c r="A1236" s="27"/>
      <c r="B1236" s="28"/>
      <c r="C1236" s="27"/>
      <c r="D1236" s="26"/>
      <c r="E1236" s="28"/>
      <c r="H1236" s="28"/>
      <c r="K1236" s="28"/>
      <c r="N1236" s="28"/>
      <c r="Q1236" s="28"/>
      <c r="T1236" s="28"/>
      <c r="W1236" s="28"/>
      <c r="Z1236" s="28"/>
      <c r="AC1236" s="28"/>
      <c r="AF1236" s="28"/>
      <c r="AI1236" s="28"/>
      <c r="AL1236" s="28"/>
      <c r="AO1236" s="28"/>
      <c r="AR1236" s="28"/>
      <c r="AU1236" s="28"/>
      <c r="AX1236" s="28"/>
      <c r="BA1236" s="28"/>
      <c r="BD1236" s="28"/>
      <c r="BG1236" s="28"/>
      <c r="BJ1236" s="28"/>
      <c r="BM1236" s="28"/>
      <c r="BP1236" s="28"/>
      <c r="BS1236" s="28"/>
      <c r="BV1236" s="28"/>
      <c r="BY1236" s="28"/>
      <c r="CB1236" s="28"/>
      <c r="CE1236" s="28"/>
      <c r="CH1236" s="28"/>
      <c r="CK1236" s="28"/>
      <c r="CN1236" s="28"/>
      <c r="CQ1236" s="28"/>
      <c r="CT1236" s="28"/>
      <c r="CW1236" s="28"/>
      <c r="CZ1236" s="28"/>
      <c r="DC1236" s="28"/>
      <c r="DF1236" s="28"/>
      <c r="DI1236" s="28"/>
      <c r="DL1236" s="28"/>
      <c r="DO1236" s="28"/>
      <c r="DR1236" s="28"/>
      <c r="DU1236" s="28"/>
      <c r="DX1236" s="28"/>
      <c r="EA1236" s="28"/>
      <c r="ED1236" s="28"/>
      <c r="EG1236" s="28"/>
      <c r="EJ1236" s="28"/>
      <c r="EM1236" s="28"/>
      <c r="EP1236" s="28"/>
      <c r="ES1236" s="28"/>
      <c r="EV1236" s="28"/>
      <c r="EY1236" s="28"/>
      <c r="FB1236" s="28"/>
      <c r="FE1236" s="28"/>
      <c r="FH1236" s="28"/>
      <c r="FK1236" s="28"/>
      <c r="FN1236" s="28"/>
      <c r="FQ1236" s="28"/>
      <c r="FT1236" s="28"/>
      <c r="FW1236" s="28"/>
      <c r="FZ1236" s="28"/>
      <c r="GC1236" s="28"/>
    </row>
    <row r="1237" spans="1:185" s="25" customFormat="1" x14ac:dyDescent="0.3">
      <c r="A1237" s="27"/>
      <c r="B1237" s="28"/>
      <c r="C1237" s="27"/>
      <c r="D1237" s="26"/>
      <c r="E1237" s="28"/>
      <c r="H1237" s="28"/>
      <c r="K1237" s="28"/>
      <c r="N1237" s="28"/>
      <c r="Q1237" s="28"/>
      <c r="T1237" s="28"/>
      <c r="W1237" s="28"/>
      <c r="Z1237" s="28"/>
      <c r="AC1237" s="28"/>
      <c r="AF1237" s="28"/>
      <c r="AI1237" s="28"/>
      <c r="AL1237" s="28"/>
      <c r="AO1237" s="28"/>
      <c r="AR1237" s="28"/>
      <c r="AU1237" s="28"/>
      <c r="AX1237" s="28"/>
      <c r="BA1237" s="28"/>
      <c r="BD1237" s="28"/>
      <c r="BG1237" s="28"/>
      <c r="BJ1237" s="28"/>
      <c r="BM1237" s="28"/>
      <c r="BP1237" s="28"/>
      <c r="BS1237" s="28"/>
      <c r="BV1237" s="28"/>
      <c r="BY1237" s="28"/>
      <c r="CB1237" s="28"/>
      <c r="CE1237" s="28"/>
      <c r="CH1237" s="28"/>
      <c r="CK1237" s="28"/>
      <c r="CN1237" s="28"/>
      <c r="CQ1237" s="28"/>
      <c r="CT1237" s="28"/>
      <c r="CW1237" s="28"/>
      <c r="CZ1237" s="28"/>
      <c r="DC1237" s="28"/>
      <c r="DF1237" s="28"/>
      <c r="DI1237" s="28"/>
      <c r="DL1237" s="28"/>
      <c r="DO1237" s="28"/>
      <c r="DR1237" s="28"/>
      <c r="DU1237" s="28"/>
      <c r="DX1237" s="28"/>
      <c r="EA1237" s="28"/>
      <c r="ED1237" s="28"/>
      <c r="EG1237" s="28"/>
      <c r="EJ1237" s="28"/>
      <c r="EM1237" s="28"/>
      <c r="EP1237" s="28"/>
      <c r="ES1237" s="28"/>
      <c r="EV1237" s="28"/>
      <c r="EY1237" s="28"/>
      <c r="FB1237" s="28"/>
      <c r="FE1237" s="28"/>
      <c r="FH1237" s="28"/>
      <c r="FK1237" s="28"/>
      <c r="FN1237" s="28"/>
      <c r="FQ1237" s="28"/>
      <c r="FT1237" s="28"/>
      <c r="FW1237" s="28"/>
      <c r="FZ1237" s="28"/>
      <c r="GC1237" s="28"/>
    </row>
    <row r="1238" spans="1:185" s="25" customFormat="1" x14ac:dyDescent="0.3">
      <c r="A1238" s="27"/>
      <c r="B1238" s="28"/>
      <c r="C1238" s="27"/>
      <c r="D1238" s="26"/>
      <c r="E1238" s="28"/>
      <c r="H1238" s="28"/>
      <c r="K1238" s="28"/>
      <c r="N1238" s="28"/>
      <c r="Q1238" s="28"/>
      <c r="T1238" s="28"/>
      <c r="W1238" s="28"/>
      <c r="Z1238" s="28"/>
      <c r="AC1238" s="28"/>
      <c r="AF1238" s="28"/>
      <c r="AI1238" s="28"/>
      <c r="AL1238" s="28"/>
      <c r="AO1238" s="28"/>
      <c r="AR1238" s="28"/>
      <c r="AU1238" s="28"/>
      <c r="AX1238" s="28"/>
      <c r="BA1238" s="28"/>
      <c r="BD1238" s="28"/>
      <c r="BG1238" s="28"/>
      <c r="BJ1238" s="28"/>
      <c r="BM1238" s="28"/>
      <c r="BP1238" s="28"/>
      <c r="BS1238" s="28"/>
      <c r="BV1238" s="28"/>
      <c r="BY1238" s="28"/>
      <c r="CB1238" s="28"/>
      <c r="CE1238" s="28"/>
      <c r="CH1238" s="28"/>
      <c r="CK1238" s="28"/>
      <c r="CN1238" s="28"/>
      <c r="CQ1238" s="28"/>
      <c r="CT1238" s="28"/>
      <c r="CW1238" s="28"/>
      <c r="CZ1238" s="28"/>
      <c r="DC1238" s="28"/>
      <c r="DF1238" s="28"/>
      <c r="DI1238" s="28"/>
      <c r="DL1238" s="28"/>
      <c r="DO1238" s="28"/>
      <c r="DR1238" s="28"/>
      <c r="DU1238" s="28"/>
      <c r="DX1238" s="28"/>
      <c r="EA1238" s="28"/>
      <c r="ED1238" s="28"/>
      <c r="EG1238" s="28"/>
      <c r="EJ1238" s="28"/>
      <c r="EM1238" s="28"/>
      <c r="EP1238" s="28"/>
      <c r="ES1238" s="28"/>
      <c r="EV1238" s="28"/>
      <c r="EY1238" s="28"/>
      <c r="FB1238" s="28"/>
      <c r="FE1238" s="28"/>
      <c r="FH1238" s="28"/>
      <c r="FK1238" s="28"/>
      <c r="FN1238" s="28"/>
      <c r="FQ1238" s="28"/>
      <c r="FT1238" s="28"/>
      <c r="FW1238" s="28"/>
      <c r="FZ1238" s="28"/>
      <c r="GC1238" s="28"/>
    </row>
    <row r="1239" spans="1:185" s="25" customFormat="1" x14ac:dyDescent="0.3">
      <c r="A1239" s="27"/>
      <c r="B1239" s="28"/>
      <c r="C1239" s="27"/>
      <c r="D1239" s="26"/>
      <c r="E1239" s="28"/>
      <c r="H1239" s="28"/>
      <c r="K1239" s="28"/>
      <c r="N1239" s="28"/>
      <c r="Q1239" s="28"/>
      <c r="T1239" s="28"/>
      <c r="W1239" s="28"/>
      <c r="Z1239" s="28"/>
      <c r="AC1239" s="28"/>
      <c r="AF1239" s="28"/>
      <c r="AI1239" s="28"/>
      <c r="AL1239" s="28"/>
      <c r="AO1239" s="28"/>
      <c r="AR1239" s="28"/>
      <c r="AU1239" s="28"/>
      <c r="AX1239" s="28"/>
      <c r="BA1239" s="28"/>
      <c r="BD1239" s="28"/>
      <c r="BG1239" s="28"/>
      <c r="BJ1239" s="28"/>
      <c r="BM1239" s="28"/>
      <c r="BP1239" s="28"/>
      <c r="BS1239" s="28"/>
      <c r="BV1239" s="28"/>
      <c r="BY1239" s="28"/>
      <c r="CB1239" s="28"/>
      <c r="CE1239" s="28"/>
      <c r="CH1239" s="28"/>
      <c r="CK1239" s="28"/>
      <c r="CN1239" s="28"/>
      <c r="CQ1239" s="28"/>
      <c r="CT1239" s="28"/>
      <c r="CW1239" s="28"/>
      <c r="CZ1239" s="28"/>
      <c r="DC1239" s="28"/>
      <c r="DF1239" s="28"/>
      <c r="DI1239" s="28"/>
      <c r="DL1239" s="28"/>
      <c r="DO1239" s="28"/>
      <c r="DR1239" s="28"/>
      <c r="DU1239" s="28"/>
      <c r="DX1239" s="28"/>
      <c r="EA1239" s="28"/>
      <c r="ED1239" s="28"/>
      <c r="EG1239" s="28"/>
      <c r="EJ1239" s="28"/>
      <c r="EM1239" s="28"/>
      <c r="EP1239" s="28"/>
      <c r="ES1239" s="28"/>
      <c r="EV1239" s="28"/>
      <c r="EY1239" s="28"/>
      <c r="FB1239" s="28"/>
      <c r="FE1239" s="28"/>
      <c r="FH1239" s="28"/>
      <c r="FK1239" s="28"/>
      <c r="FN1239" s="28"/>
      <c r="FQ1239" s="28"/>
      <c r="FT1239" s="28"/>
      <c r="FW1239" s="28"/>
      <c r="FZ1239" s="28"/>
      <c r="GC1239" s="28"/>
    </row>
    <row r="1240" spans="1:185" s="25" customFormat="1" x14ac:dyDescent="0.3">
      <c r="A1240" s="27"/>
      <c r="B1240" s="28"/>
      <c r="C1240" s="27"/>
      <c r="D1240" s="26"/>
      <c r="E1240" s="28"/>
      <c r="H1240" s="28"/>
      <c r="K1240" s="28"/>
      <c r="N1240" s="28"/>
      <c r="Q1240" s="28"/>
      <c r="T1240" s="28"/>
      <c r="W1240" s="28"/>
      <c r="Z1240" s="28"/>
      <c r="AC1240" s="28"/>
      <c r="AF1240" s="28"/>
      <c r="AI1240" s="28"/>
      <c r="AL1240" s="28"/>
      <c r="AO1240" s="28"/>
      <c r="AR1240" s="28"/>
      <c r="AU1240" s="28"/>
      <c r="AX1240" s="28"/>
      <c r="BA1240" s="28"/>
      <c r="BD1240" s="28"/>
      <c r="BG1240" s="28"/>
      <c r="BJ1240" s="28"/>
      <c r="BM1240" s="28"/>
      <c r="BP1240" s="28"/>
      <c r="BS1240" s="28"/>
      <c r="BV1240" s="28"/>
      <c r="BY1240" s="28"/>
      <c r="CB1240" s="28"/>
      <c r="CE1240" s="28"/>
      <c r="CH1240" s="28"/>
      <c r="CK1240" s="28"/>
      <c r="CN1240" s="28"/>
      <c r="CQ1240" s="28"/>
      <c r="CT1240" s="28"/>
      <c r="CW1240" s="28"/>
      <c r="CZ1240" s="28"/>
      <c r="DC1240" s="28"/>
      <c r="DF1240" s="28"/>
      <c r="DI1240" s="28"/>
      <c r="DL1240" s="28"/>
      <c r="DO1240" s="28"/>
      <c r="DR1240" s="28"/>
      <c r="DU1240" s="28"/>
      <c r="DX1240" s="28"/>
      <c r="EA1240" s="28"/>
      <c r="ED1240" s="28"/>
      <c r="EG1240" s="28"/>
      <c r="EJ1240" s="28"/>
      <c r="EM1240" s="28"/>
      <c r="EP1240" s="28"/>
      <c r="ES1240" s="28"/>
      <c r="EV1240" s="28"/>
      <c r="EY1240" s="28"/>
      <c r="FB1240" s="28"/>
      <c r="FE1240" s="28"/>
      <c r="FH1240" s="28"/>
      <c r="FK1240" s="28"/>
      <c r="FN1240" s="28"/>
      <c r="FQ1240" s="28"/>
      <c r="FT1240" s="28"/>
      <c r="FW1240" s="28"/>
      <c r="FZ1240" s="28"/>
      <c r="GC1240" s="28"/>
    </row>
    <row r="1241" spans="1:185" s="25" customFormat="1" x14ac:dyDescent="0.3">
      <c r="A1241" s="27"/>
      <c r="B1241" s="28"/>
      <c r="C1241" s="27"/>
      <c r="D1241" s="26"/>
      <c r="E1241" s="28"/>
      <c r="H1241" s="28"/>
      <c r="K1241" s="28"/>
      <c r="N1241" s="28"/>
      <c r="Q1241" s="28"/>
      <c r="T1241" s="28"/>
      <c r="W1241" s="28"/>
      <c r="Z1241" s="28"/>
      <c r="AC1241" s="28"/>
      <c r="AF1241" s="28"/>
      <c r="AI1241" s="28"/>
      <c r="AL1241" s="28"/>
      <c r="AO1241" s="28"/>
      <c r="AR1241" s="28"/>
      <c r="AU1241" s="28"/>
      <c r="AX1241" s="28"/>
      <c r="BA1241" s="28"/>
      <c r="BD1241" s="28"/>
      <c r="BG1241" s="28"/>
      <c r="BJ1241" s="28"/>
      <c r="BM1241" s="28"/>
      <c r="BP1241" s="28"/>
      <c r="BS1241" s="28"/>
      <c r="BV1241" s="28"/>
      <c r="BY1241" s="28"/>
      <c r="CB1241" s="28"/>
      <c r="CE1241" s="28"/>
      <c r="CH1241" s="28"/>
      <c r="CK1241" s="28"/>
      <c r="CN1241" s="28"/>
      <c r="CQ1241" s="28"/>
      <c r="CT1241" s="28"/>
      <c r="CW1241" s="28"/>
      <c r="CZ1241" s="28"/>
      <c r="DC1241" s="28"/>
      <c r="DF1241" s="28"/>
      <c r="DI1241" s="28"/>
      <c r="DL1241" s="28"/>
      <c r="DO1241" s="28"/>
      <c r="DR1241" s="28"/>
      <c r="DU1241" s="28"/>
      <c r="DX1241" s="28"/>
      <c r="EA1241" s="28"/>
      <c r="ED1241" s="28"/>
      <c r="EG1241" s="28"/>
      <c r="EJ1241" s="28"/>
      <c r="EM1241" s="28"/>
      <c r="EP1241" s="28"/>
      <c r="ES1241" s="28"/>
      <c r="EV1241" s="28"/>
      <c r="EY1241" s="28"/>
      <c r="FB1241" s="28"/>
      <c r="FE1241" s="28"/>
      <c r="FH1241" s="28"/>
      <c r="FK1241" s="28"/>
      <c r="FN1241" s="28"/>
      <c r="FQ1241" s="28"/>
      <c r="FT1241" s="28"/>
      <c r="FW1241" s="28"/>
      <c r="FZ1241" s="28"/>
      <c r="GC1241" s="28"/>
    </row>
    <row r="1242" spans="1:185" s="25" customFormat="1" x14ac:dyDescent="0.3">
      <c r="A1242" s="27"/>
      <c r="B1242" s="28"/>
      <c r="C1242" s="27"/>
      <c r="D1242" s="26"/>
      <c r="E1242" s="28"/>
      <c r="H1242" s="28"/>
      <c r="K1242" s="28"/>
      <c r="N1242" s="28"/>
      <c r="Q1242" s="28"/>
      <c r="T1242" s="28"/>
      <c r="W1242" s="28"/>
      <c r="Z1242" s="28"/>
      <c r="AC1242" s="28"/>
      <c r="AF1242" s="28"/>
      <c r="AI1242" s="28"/>
      <c r="AL1242" s="28"/>
      <c r="AO1242" s="28"/>
      <c r="AR1242" s="28"/>
      <c r="AU1242" s="28"/>
      <c r="AX1242" s="28"/>
      <c r="BA1242" s="28"/>
      <c r="BD1242" s="28"/>
      <c r="BG1242" s="28"/>
      <c r="BJ1242" s="28"/>
      <c r="BM1242" s="28"/>
      <c r="BP1242" s="28"/>
      <c r="BS1242" s="28"/>
      <c r="BV1242" s="28"/>
      <c r="BY1242" s="28"/>
      <c r="CB1242" s="28"/>
      <c r="CE1242" s="28"/>
      <c r="CH1242" s="28"/>
      <c r="CK1242" s="28"/>
      <c r="CN1242" s="28"/>
      <c r="CQ1242" s="28"/>
      <c r="CT1242" s="28"/>
      <c r="CW1242" s="28"/>
      <c r="CZ1242" s="28"/>
      <c r="DC1242" s="28"/>
      <c r="DF1242" s="28"/>
      <c r="DI1242" s="28"/>
      <c r="DL1242" s="28"/>
      <c r="DO1242" s="28"/>
      <c r="DR1242" s="28"/>
      <c r="DU1242" s="28"/>
      <c r="DX1242" s="28"/>
      <c r="EA1242" s="28"/>
      <c r="ED1242" s="28"/>
      <c r="EG1242" s="28"/>
      <c r="EJ1242" s="28"/>
      <c r="EM1242" s="28"/>
      <c r="EP1242" s="28"/>
      <c r="ES1242" s="28"/>
      <c r="EV1242" s="28"/>
      <c r="EY1242" s="28"/>
      <c r="FB1242" s="28"/>
      <c r="FE1242" s="28"/>
      <c r="FH1242" s="28"/>
      <c r="FK1242" s="28"/>
      <c r="FN1242" s="28"/>
      <c r="FQ1242" s="28"/>
      <c r="FT1242" s="28"/>
      <c r="FW1242" s="28"/>
      <c r="FZ1242" s="28"/>
      <c r="GC1242" s="28"/>
    </row>
    <row r="1243" spans="1:185" s="25" customFormat="1" x14ac:dyDescent="0.3">
      <c r="A1243" s="27"/>
      <c r="B1243" s="28"/>
      <c r="C1243" s="27"/>
      <c r="D1243" s="26"/>
      <c r="E1243" s="28"/>
      <c r="H1243" s="28"/>
      <c r="K1243" s="28"/>
      <c r="N1243" s="28"/>
      <c r="Q1243" s="28"/>
      <c r="T1243" s="28"/>
      <c r="W1243" s="28"/>
      <c r="Z1243" s="28"/>
      <c r="AC1243" s="28"/>
      <c r="AF1243" s="28"/>
      <c r="AI1243" s="28"/>
      <c r="AL1243" s="28"/>
      <c r="AO1243" s="28"/>
      <c r="AR1243" s="28"/>
      <c r="AU1243" s="28"/>
      <c r="AX1243" s="28"/>
      <c r="BA1243" s="28"/>
      <c r="BD1243" s="28"/>
      <c r="BG1243" s="28"/>
      <c r="BJ1243" s="28"/>
      <c r="BM1243" s="28"/>
      <c r="BP1243" s="28"/>
      <c r="BS1243" s="28"/>
      <c r="BV1243" s="28"/>
      <c r="BY1243" s="28"/>
      <c r="CB1243" s="28"/>
      <c r="CE1243" s="28"/>
      <c r="CH1243" s="28"/>
      <c r="CK1243" s="28"/>
      <c r="CN1243" s="28"/>
      <c r="CQ1243" s="28"/>
      <c r="CT1243" s="28"/>
      <c r="CW1243" s="28"/>
      <c r="CZ1243" s="28"/>
      <c r="DC1243" s="28"/>
      <c r="DF1243" s="28"/>
      <c r="DI1243" s="28"/>
      <c r="DL1243" s="28"/>
      <c r="DO1243" s="28"/>
      <c r="DR1243" s="28"/>
      <c r="DU1243" s="28"/>
      <c r="DX1243" s="28"/>
      <c r="EA1243" s="28"/>
      <c r="ED1243" s="28"/>
      <c r="EG1243" s="28"/>
      <c r="EJ1243" s="28"/>
      <c r="EM1243" s="28"/>
      <c r="EP1243" s="28"/>
      <c r="ES1243" s="28"/>
      <c r="EV1243" s="28"/>
      <c r="EY1243" s="28"/>
      <c r="FB1243" s="28"/>
      <c r="FE1243" s="28"/>
      <c r="FH1243" s="28"/>
      <c r="FK1243" s="28"/>
      <c r="FN1243" s="28"/>
      <c r="FQ1243" s="28"/>
      <c r="FT1243" s="28"/>
      <c r="FW1243" s="28"/>
      <c r="FZ1243" s="28"/>
      <c r="GC1243" s="28"/>
    </row>
    <row r="1244" spans="1:185" s="25" customFormat="1" x14ac:dyDescent="0.3">
      <c r="A1244" s="27"/>
      <c r="B1244" s="28"/>
      <c r="C1244" s="27"/>
      <c r="D1244" s="26"/>
      <c r="E1244" s="28"/>
      <c r="H1244" s="28"/>
      <c r="K1244" s="28"/>
      <c r="N1244" s="28"/>
      <c r="Q1244" s="28"/>
      <c r="T1244" s="28"/>
      <c r="W1244" s="28"/>
      <c r="Z1244" s="28"/>
      <c r="AC1244" s="28"/>
      <c r="AF1244" s="28"/>
      <c r="AI1244" s="28"/>
      <c r="AL1244" s="28"/>
      <c r="AO1244" s="28"/>
      <c r="AR1244" s="28"/>
      <c r="AU1244" s="28"/>
      <c r="AX1244" s="28"/>
      <c r="BA1244" s="28"/>
      <c r="BD1244" s="28"/>
      <c r="BG1244" s="28"/>
      <c r="BJ1244" s="28"/>
      <c r="BM1244" s="28"/>
      <c r="BP1244" s="28"/>
      <c r="BS1244" s="28"/>
      <c r="BV1244" s="28"/>
      <c r="BY1244" s="28"/>
      <c r="CB1244" s="28"/>
      <c r="CE1244" s="28"/>
      <c r="CH1244" s="28"/>
      <c r="CK1244" s="28"/>
      <c r="CN1244" s="28"/>
      <c r="CQ1244" s="28"/>
      <c r="CT1244" s="28"/>
      <c r="CW1244" s="28"/>
      <c r="CZ1244" s="28"/>
      <c r="DC1244" s="28"/>
      <c r="DF1244" s="28"/>
      <c r="DI1244" s="28"/>
      <c r="DL1244" s="28"/>
      <c r="DO1244" s="28"/>
      <c r="DR1244" s="28"/>
      <c r="DU1244" s="28"/>
      <c r="DX1244" s="28"/>
      <c r="EA1244" s="28"/>
      <c r="ED1244" s="28"/>
      <c r="EG1244" s="28"/>
      <c r="EJ1244" s="28"/>
      <c r="EM1244" s="28"/>
      <c r="EP1244" s="28"/>
      <c r="ES1244" s="28"/>
      <c r="EV1244" s="28"/>
      <c r="EY1244" s="28"/>
      <c r="FB1244" s="28"/>
      <c r="FE1244" s="28"/>
      <c r="FH1244" s="28"/>
      <c r="FK1244" s="28"/>
      <c r="FN1244" s="28"/>
      <c r="FQ1244" s="28"/>
      <c r="FT1244" s="28"/>
      <c r="FW1244" s="28"/>
      <c r="FZ1244" s="28"/>
      <c r="GC1244" s="28"/>
    </row>
    <row r="1245" spans="1:185" s="25" customFormat="1" x14ac:dyDescent="0.3">
      <c r="A1245" s="27"/>
      <c r="B1245" s="28"/>
      <c r="C1245" s="27"/>
      <c r="D1245" s="26"/>
      <c r="E1245" s="28"/>
      <c r="H1245" s="28"/>
      <c r="K1245" s="28"/>
      <c r="N1245" s="28"/>
      <c r="Q1245" s="28"/>
      <c r="T1245" s="28"/>
      <c r="W1245" s="28"/>
      <c r="Z1245" s="28"/>
      <c r="AC1245" s="28"/>
      <c r="AF1245" s="28"/>
      <c r="AI1245" s="28"/>
      <c r="AL1245" s="28"/>
      <c r="AO1245" s="28"/>
      <c r="AR1245" s="28"/>
      <c r="AU1245" s="28"/>
      <c r="AX1245" s="28"/>
      <c r="BA1245" s="28"/>
      <c r="BD1245" s="28"/>
      <c r="BG1245" s="28"/>
      <c r="BJ1245" s="28"/>
      <c r="BM1245" s="28"/>
      <c r="BP1245" s="28"/>
      <c r="BS1245" s="28"/>
      <c r="BV1245" s="28"/>
      <c r="BY1245" s="28"/>
      <c r="CB1245" s="28"/>
      <c r="CE1245" s="28"/>
      <c r="CH1245" s="28"/>
      <c r="CK1245" s="28"/>
      <c r="CN1245" s="28"/>
      <c r="CQ1245" s="28"/>
      <c r="CT1245" s="28"/>
      <c r="CW1245" s="28"/>
      <c r="CZ1245" s="28"/>
      <c r="DC1245" s="28"/>
      <c r="DF1245" s="28"/>
      <c r="DI1245" s="28"/>
      <c r="DL1245" s="28"/>
      <c r="DO1245" s="28"/>
      <c r="DR1245" s="28"/>
      <c r="DU1245" s="28"/>
      <c r="DX1245" s="28"/>
      <c r="EA1245" s="28"/>
      <c r="ED1245" s="28"/>
      <c r="EG1245" s="28"/>
      <c r="EJ1245" s="28"/>
      <c r="EM1245" s="28"/>
      <c r="EP1245" s="28"/>
      <c r="ES1245" s="28"/>
      <c r="EV1245" s="28"/>
      <c r="EY1245" s="28"/>
      <c r="FB1245" s="28"/>
      <c r="FE1245" s="28"/>
      <c r="FH1245" s="28"/>
      <c r="FK1245" s="28"/>
      <c r="FN1245" s="28"/>
      <c r="FQ1245" s="28"/>
      <c r="FT1245" s="28"/>
      <c r="FW1245" s="28"/>
      <c r="FZ1245" s="28"/>
      <c r="GC1245" s="28"/>
    </row>
    <row r="1246" spans="1:185" s="25" customFormat="1" x14ac:dyDescent="0.3">
      <c r="A1246" s="27"/>
      <c r="B1246" s="28"/>
      <c r="C1246" s="27"/>
      <c r="D1246" s="26"/>
      <c r="E1246" s="28"/>
      <c r="H1246" s="28"/>
      <c r="K1246" s="28"/>
      <c r="N1246" s="28"/>
      <c r="Q1246" s="28"/>
      <c r="T1246" s="28"/>
      <c r="W1246" s="28"/>
      <c r="Z1246" s="28"/>
      <c r="AC1246" s="28"/>
      <c r="AF1246" s="28"/>
      <c r="AI1246" s="28"/>
      <c r="AL1246" s="28"/>
      <c r="AO1246" s="28"/>
      <c r="AR1246" s="28"/>
      <c r="AU1246" s="28"/>
      <c r="AX1246" s="28"/>
      <c r="BA1246" s="28"/>
      <c r="BD1246" s="28"/>
      <c r="BG1246" s="28"/>
      <c r="BJ1246" s="28"/>
      <c r="BM1246" s="28"/>
      <c r="BP1246" s="28"/>
      <c r="BS1246" s="28"/>
      <c r="BV1246" s="28"/>
      <c r="BY1246" s="28"/>
      <c r="CB1246" s="28"/>
      <c r="CE1246" s="28"/>
      <c r="CH1246" s="28"/>
      <c r="CK1246" s="28"/>
      <c r="CN1246" s="28"/>
      <c r="CQ1246" s="28"/>
      <c r="CT1246" s="28"/>
      <c r="CW1246" s="28"/>
      <c r="CZ1246" s="28"/>
      <c r="DC1246" s="28"/>
      <c r="DF1246" s="28"/>
      <c r="DI1246" s="28"/>
      <c r="DL1246" s="28"/>
      <c r="DO1246" s="28"/>
      <c r="DR1246" s="28"/>
      <c r="DU1246" s="28"/>
      <c r="DX1246" s="28"/>
      <c r="EA1246" s="28"/>
      <c r="ED1246" s="28"/>
      <c r="EG1246" s="28"/>
      <c r="EJ1246" s="28"/>
      <c r="EM1246" s="28"/>
      <c r="EP1246" s="28"/>
      <c r="ES1246" s="28"/>
      <c r="EV1246" s="28"/>
      <c r="EY1246" s="28"/>
      <c r="FB1246" s="28"/>
      <c r="FE1246" s="28"/>
      <c r="FH1246" s="28"/>
      <c r="FK1246" s="28"/>
      <c r="FN1246" s="28"/>
      <c r="FQ1246" s="28"/>
      <c r="FT1246" s="28"/>
      <c r="FW1246" s="28"/>
      <c r="FZ1246" s="28"/>
      <c r="GC1246" s="28"/>
    </row>
    <row r="1247" spans="1:185" s="25" customFormat="1" x14ac:dyDescent="0.3">
      <c r="A1247" s="27"/>
      <c r="B1247" s="28"/>
      <c r="C1247" s="27"/>
      <c r="D1247" s="26"/>
      <c r="E1247" s="28"/>
      <c r="H1247" s="28"/>
      <c r="K1247" s="28"/>
      <c r="N1247" s="28"/>
      <c r="Q1247" s="28"/>
      <c r="T1247" s="28"/>
      <c r="W1247" s="28"/>
      <c r="Z1247" s="28"/>
      <c r="AC1247" s="28"/>
      <c r="AF1247" s="28"/>
      <c r="AI1247" s="28"/>
      <c r="AL1247" s="28"/>
      <c r="AO1247" s="28"/>
      <c r="AR1247" s="28"/>
      <c r="AU1247" s="28"/>
      <c r="AX1247" s="28"/>
      <c r="BA1247" s="28"/>
      <c r="BD1247" s="28"/>
      <c r="BG1247" s="28"/>
      <c r="BJ1247" s="28"/>
      <c r="BM1247" s="28"/>
      <c r="BP1247" s="28"/>
      <c r="BS1247" s="28"/>
      <c r="BV1247" s="28"/>
      <c r="BY1247" s="28"/>
      <c r="CB1247" s="28"/>
      <c r="CE1247" s="28"/>
      <c r="CH1247" s="28"/>
      <c r="CK1247" s="28"/>
      <c r="CN1247" s="28"/>
      <c r="CQ1247" s="28"/>
      <c r="CT1247" s="28"/>
      <c r="CW1247" s="28"/>
      <c r="CZ1247" s="28"/>
      <c r="DC1247" s="28"/>
      <c r="DF1247" s="28"/>
      <c r="DI1247" s="28"/>
      <c r="DL1247" s="28"/>
      <c r="DO1247" s="28"/>
      <c r="DR1247" s="28"/>
      <c r="DU1247" s="28"/>
      <c r="DX1247" s="28"/>
      <c r="EA1247" s="28"/>
      <c r="ED1247" s="28"/>
      <c r="EG1247" s="28"/>
      <c r="EJ1247" s="28"/>
      <c r="EM1247" s="28"/>
      <c r="EP1247" s="28"/>
      <c r="ES1247" s="28"/>
      <c r="EV1247" s="28"/>
      <c r="EY1247" s="28"/>
      <c r="FB1247" s="28"/>
      <c r="FE1247" s="28"/>
      <c r="FH1247" s="28"/>
      <c r="FK1247" s="28"/>
      <c r="FN1247" s="28"/>
      <c r="FQ1247" s="28"/>
      <c r="FT1247" s="28"/>
      <c r="FW1247" s="28"/>
      <c r="FZ1247" s="28"/>
      <c r="GC1247" s="28"/>
    </row>
    <row r="1248" spans="1:185" s="25" customFormat="1" x14ac:dyDescent="0.3">
      <c r="A1248" s="27"/>
      <c r="B1248" s="28"/>
      <c r="C1248" s="27"/>
      <c r="D1248" s="26"/>
      <c r="E1248" s="28"/>
      <c r="H1248" s="28"/>
      <c r="K1248" s="28"/>
      <c r="N1248" s="28"/>
      <c r="Q1248" s="28"/>
      <c r="T1248" s="28"/>
      <c r="W1248" s="28"/>
      <c r="Z1248" s="28"/>
      <c r="AC1248" s="28"/>
      <c r="AF1248" s="28"/>
      <c r="AI1248" s="28"/>
      <c r="AL1248" s="28"/>
      <c r="AO1248" s="28"/>
      <c r="AR1248" s="28"/>
      <c r="AU1248" s="28"/>
      <c r="AX1248" s="28"/>
      <c r="BA1248" s="28"/>
      <c r="BD1248" s="28"/>
      <c r="BG1248" s="28"/>
      <c r="BJ1248" s="28"/>
      <c r="BM1248" s="28"/>
      <c r="BP1248" s="28"/>
      <c r="BS1248" s="28"/>
      <c r="BV1248" s="28"/>
      <c r="BY1248" s="28"/>
      <c r="CB1248" s="28"/>
      <c r="CE1248" s="28"/>
      <c r="CH1248" s="28"/>
      <c r="CK1248" s="28"/>
      <c r="CN1248" s="28"/>
      <c r="CQ1248" s="28"/>
      <c r="CT1248" s="28"/>
      <c r="CW1248" s="28"/>
      <c r="CZ1248" s="28"/>
      <c r="DC1248" s="28"/>
      <c r="DF1248" s="28"/>
      <c r="DI1248" s="28"/>
      <c r="DL1248" s="28"/>
      <c r="DO1248" s="28"/>
      <c r="DR1248" s="28"/>
      <c r="DU1248" s="28"/>
      <c r="DX1248" s="28"/>
      <c r="EA1248" s="28"/>
      <c r="ED1248" s="28"/>
      <c r="EG1248" s="28"/>
      <c r="EJ1248" s="28"/>
      <c r="EM1248" s="28"/>
      <c r="EP1248" s="28"/>
      <c r="ES1248" s="28"/>
      <c r="EV1248" s="28"/>
      <c r="EY1248" s="28"/>
      <c r="FB1248" s="28"/>
      <c r="FE1248" s="28"/>
      <c r="FH1248" s="28"/>
      <c r="FK1248" s="28"/>
      <c r="FN1248" s="28"/>
      <c r="FQ1248" s="28"/>
      <c r="FT1248" s="28"/>
      <c r="FW1248" s="28"/>
      <c r="FZ1248" s="28"/>
      <c r="GC1248" s="28"/>
    </row>
    <row r="1249" spans="1:185" s="25" customFormat="1" x14ac:dyDescent="0.3">
      <c r="A1249" s="27"/>
      <c r="B1249" s="28"/>
      <c r="C1249" s="27"/>
      <c r="D1249" s="26"/>
      <c r="E1249" s="28"/>
      <c r="H1249" s="28"/>
      <c r="K1249" s="28"/>
      <c r="N1249" s="28"/>
      <c r="Q1249" s="28"/>
      <c r="T1249" s="28"/>
      <c r="W1249" s="28"/>
      <c r="Z1249" s="28"/>
      <c r="AC1249" s="28"/>
      <c r="AF1249" s="28"/>
      <c r="AI1249" s="28"/>
      <c r="AL1249" s="28"/>
      <c r="AO1249" s="28"/>
      <c r="AR1249" s="28"/>
      <c r="AU1249" s="28"/>
      <c r="AX1249" s="28"/>
      <c r="BA1249" s="28"/>
      <c r="BD1249" s="28"/>
      <c r="BG1249" s="28"/>
      <c r="BJ1249" s="28"/>
      <c r="BM1249" s="28"/>
      <c r="BP1249" s="28"/>
      <c r="BS1249" s="28"/>
      <c r="BV1249" s="28"/>
      <c r="BY1249" s="28"/>
      <c r="CB1249" s="28"/>
      <c r="CE1249" s="28"/>
      <c r="CH1249" s="28"/>
      <c r="CK1249" s="28"/>
      <c r="CN1249" s="28"/>
      <c r="CQ1249" s="28"/>
      <c r="CT1249" s="28"/>
      <c r="CW1249" s="28"/>
      <c r="CZ1249" s="28"/>
      <c r="DC1249" s="28"/>
      <c r="DF1249" s="28"/>
      <c r="DI1249" s="28"/>
      <c r="DL1249" s="28"/>
      <c r="DO1249" s="28"/>
      <c r="DR1249" s="28"/>
      <c r="DU1249" s="28"/>
      <c r="DX1249" s="28"/>
      <c r="EA1249" s="28"/>
      <c r="ED1249" s="28"/>
      <c r="EG1249" s="28"/>
      <c r="EJ1249" s="28"/>
      <c r="EM1249" s="28"/>
      <c r="EP1249" s="28"/>
      <c r="ES1249" s="28"/>
      <c r="EV1249" s="28"/>
      <c r="EY1249" s="28"/>
      <c r="FB1249" s="28"/>
      <c r="FE1249" s="28"/>
      <c r="FH1249" s="28"/>
      <c r="FK1249" s="28"/>
      <c r="FN1249" s="28"/>
      <c r="FQ1249" s="28"/>
      <c r="FT1249" s="28"/>
      <c r="FW1249" s="28"/>
      <c r="FZ1249" s="28"/>
      <c r="GC1249" s="28"/>
    </row>
    <row r="1250" spans="1:185" s="25" customFormat="1" x14ac:dyDescent="0.3">
      <c r="A1250" s="27"/>
      <c r="B1250" s="28"/>
      <c r="C1250" s="27"/>
      <c r="D1250" s="26"/>
      <c r="E1250" s="28"/>
      <c r="H1250" s="28"/>
      <c r="K1250" s="28"/>
      <c r="N1250" s="28"/>
      <c r="Q1250" s="28"/>
      <c r="T1250" s="28"/>
      <c r="W1250" s="28"/>
      <c r="Z1250" s="28"/>
      <c r="AC1250" s="28"/>
      <c r="AF1250" s="28"/>
      <c r="AI1250" s="28"/>
      <c r="AL1250" s="28"/>
      <c r="AO1250" s="28"/>
      <c r="AR1250" s="28"/>
      <c r="AU1250" s="28"/>
      <c r="AX1250" s="28"/>
      <c r="BA1250" s="28"/>
      <c r="BD1250" s="28"/>
      <c r="BG1250" s="28"/>
      <c r="BJ1250" s="28"/>
      <c r="BM1250" s="28"/>
      <c r="BP1250" s="28"/>
      <c r="BS1250" s="28"/>
      <c r="BV1250" s="28"/>
      <c r="BY1250" s="28"/>
      <c r="CB1250" s="28"/>
      <c r="CE1250" s="28"/>
      <c r="CH1250" s="28"/>
      <c r="CK1250" s="28"/>
      <c r="CN1250" s="28"/>
      <c r="CQ1250" s="28"/>
      <c r="CT1250" s="28"/>
      <c r="CW1250" s="28"/>
      <c r="CZ1250" s="28"/>
      <c r="DC1250" s="28"/>
      <c r="DF1250" s="28"/>
      <c r="DI1250" s="28"/>
      <c r="DL1250" s="28"/>
      <c r="DO1250" s="28"/>
      <c r="DR1250" s="28"/>
      <c r="DU1250" s="28"/>
      <c r="DX1250" s="28"/>
      <c r="EA1250" s="28"/>
      <c r="ED1250" s="28"/>
      <c r="EG1250" s="28"/>
      <c r="EJ1250" s="28"/>
      <c r="EM1250" s="28"/>
      <c r="EP1250" s="28"/>
      <c r="ES1250" s="28"/>
      <c r="EV1250" s="28"/>
      <c r="EY1250" s="28"/>
      <c r="FB1250" s="28"/>
      <c r="FE1250" s="28"/>
      <c r="FH1250" s="28"/>
      <c r="FK1250" s="28"/>
      <c r="FN1250" s="28"/>
      <c r="FQ1250" s="28"/>
      <c r="FT1250" s="28"/>
      <c r="FW1250" s="28"/>
      <c r="FZ1250" s="28"/>
      <c r="GC1250" s="28"/>
    </row>
    <row r="1251" spans="1:185" s="25" customFormat="1" x14ac:dyDescent="0.3">
      <c r="A1251" s="27"/>
      <c r="B1251" s="28"/>
      <c r="C1251" s="27"/>
      <c r="D1251" s="26"/>
      <c r="E1251" s="28"/>
      <c r="H1251" s="28"/>
      <c r="K1251" s="28"/>
      <c r="N1251" s="28"/>
      <c r="Q1251" s="28"/>
      <c r="T1251" s="28"/>
      <c r="W1251" s="28"/>
      <c r="Z1251" s="28"/>
      <c r="AC1251" s="28"/>
      <c r="AF1251" s="28"/>
      <c r="AI1251" s="28"/>
      <c r="AL1251" s="28"/>
      <c r="AO1251" s="28"/>
      <c r="AR1251" s="28"/>
      <c r="AU1251" s="28"/>
      <c r="AX1251" s="28"/>
      <c r="BA1251" s="28"/>
      <c r="BD1251" s="28"/>
      <c r="BG1251" s="28"/>
      <c r="BJ1251" s="28"/>
      <c r="BM1251" s="28"/>
      <c r="BP1251" s="28"/>
      <c r="BS1251" s="28"/>
      <c r="BV1251" s="28"/>
      <c r="BY1251" s="28"/>
      <c r="CB1251" s="28"/>
      <c r="CE1251" s="28"/>
      <c r="CH1251" s="28"/>
      <c r="CK1251" s="28"/>
      <c r="CN1251" s="28"/>
      <c r="CQ1251" s="28"/>
      <c r="CT1251" s="28"/>
      <c r="CW1251" s="28"/>
      <c r="CZ1251" s="28"/>
      <c r="DC1251" s="28"/>
      <c r="DF1251" s="28"/>
      <c r="DI1251" s="28"/>
      <c r="DL1251" s="28"/>
      <c r="DO1251" s="28"/>
      <c r="DR1251" s="28"/>
      <c r="DU1251" s="28"/>
      <c r="DX1251" s="28"/>
      <c r="EA1251" s="28"/>
      <c r="ED1251" s="28"/>
      <c r="EG1251" s="28"/>
      <c r="EJ1251" s="28"/>
      <c r="EM1251" s="28"/>
      <c r="EP1251" s="28"/>
      <c r="ES1251" s="28"/>
      <c r="EV1251" s="28"/>
      <c r="EY1251" s="28"/>
      <c r="FB1251" s="28"/>
      <c r="FE1251" s="28"/>
      <c r="FH1251" s="28"/>
      <c r="FK1251" s="28"/>
      <c r="FN1251" s="28"/>
      <c r="FQ1251" s="28"/>
      <c r="FT1251" s="28"/>
      <c r="FW1251" s="28"/>
      <c r="FZ1251" s="28"/>
      <c r="GC1251" s="28"/>
    </row>
    <row r="1252" spans="1:185" s="25" customFormat="1" x14ac:dyDescent="0.3">
      <c r="A1252" s="27"/>
      <c r="B1252" s="28"/>
      <c r="C1252" s="27"/>
      <c r="D1252" s="26"/>
      <c r="E1252" s="28"/>
      <c r="H1252" s="28"/>
      <c r="K1252" s="28"/>
      <c r="N1252" s="28"/>
      <c r="Q1252" s="28"/>
      <c r="T1252" s="28"/>
      <c r="W1252" s="28"/>
      <c r="Z1252" s="28"/>
      <c r="AC1252" s="28"/>
      <c r="AF1252" s="28"/>
      <c r="AI1252" s="28"/>
      <c r="AL1252" s="28"/>
      <c r="AO1252" s="28"/>
      <c r="AR1252" s="28"/>
      <c r="AU1252" s="28"/>
      <c r="AX1252" s="28"/>
      <c r="BA1252" s="28"/>
      <c r="BD1252" s="28"/>
      <c r="BG1252" s="28"/>
      <c r="BJ1252" s="28"/>
      <c r="BM1252" s="28"/>
      <c r="BP1252" s="28"/>
      <c r="BS1252" s="28"/>
      <c r="BV1252" s="28"/>
      <c r="BY1252" s="28"/>
      <c r="CB1252" s="28"/>
      <c r="CE1252" s="28"/>
      <c r="CH1252" s="28"/>
      <c r="CK1252" s="28"/>
      <c r="CN1252" s="28"/>
      <c r="CQ1252" s="28"/>
      <c r="CT1252" s="28"/>
      <c r="CW1252" s="28"/>
      <c r="CZ1252" s="28"/>
      <c r="DC1252" s="28"/>
      <c r="DF1252" s="28"/>
      <c r="DI1252" s="28"/>
      <c r="DL1252" s="28"/>
      <c r="DO1252" s="28"/>
      <c r="DR1252" s="28"/>
      <c r="DU1252" s="28"/>
      <c r="DX1252" s="28"/>
      <c r="EA1252" s="28"/>
      <c r="ED1252" s="28"/>
      <c r="EG1252" s="28"/>
      <c r="EJ1252" s="28"/>
      <c r="EM1252" s="28"/>
      <c r="EP1252" s="28"/>
      <c r="ES1252" s="28"/>
      <c r="EV1252" s="28"/>
      <c r="EY1252" s="28"/>
      <c r="FB1252" s="28"/>
      <c r="FE1252" s="28"/>
      <c r="FH1252" s="28"/>
      <c r="FK1252" s="28"/>
      <c r="FN1252" s="28"/>
      <c r="FQ1252" s="28"/>
      <c r="FT1252" s="28"/>
      <c r="FW1252" s="28"/>
      <c r="FZ1252" s="28"/>
      <c r="GC1252" s="28"/>
    </row>
    <row r="1253" spans="1:185" s="25" customFormat="1" x14ac:dyDescent="0.3">
      <c r="A1253" s="27"/>
      <c r="B1253" s="28"/>
      <c r="C1253" s="27"/>
      <c r="D1253" s="26"/>
      <c r="E1253" s="28"/>
      <c r="H1253" s="28"/>
      <c r="K1253" s="28"/>
      <c r="N1253" s="28"/>
      <c r="Q1253" s="28"/>
      <c r="T1253" s="28"/>
      <c r="W1253" s="28"/>
      <c r="Z1253" s="28"/>
      <c r="AC1253" s="28"/>
      <c r="AF1253" s="28"/>
      <c r="AI1253" s="28"/>
      <c r="AL1253" s="28"/>
      <c r="AO1253" s="28"/>
      <c r="AR1253" s="28"/>
      <c r="AU1253" s="28"/>
      <c r="AX1253" s="28"/>
      <c r="BA1253" s="28"/>
      <c r="BD1253" s="28"/>
      <c r="BG1253" s="28"/>
      <c r="BJ1253" s="28"/>
      <c r="BM1253" s="28"/>
      <c r="BP1253" s="28"/>
      <c r="BS1253" s="28"/>
      <c r="BV1253" s="28"/>
      <c r="BY1253" s="28"/>
      <c r="CB1253" s="28"/>
      <c r="CE1253" s="28"/>
      <c r="CH1253" s="28"/>
      <c r="CK1253" s="28"/>
      <c r="CN1253" s="28"/>
      <c r="CQ1253" s="28"/>
      <c r="CT1253" s="28"/>
      <c r="CW1253" s="28"/>
      <c r="CZ1253" s="28"/>
      <c r="DC1253" s="28"/>
      <c r="DF1253" s="28"/>
      <c r="DI1253" s="28"/>
      <c r="DL1253" s="28"/>
      <c r="DO1253" s="28"/>
      <c r="DR1253" s="28"/>
      <c r="DU1253" s="28"/>
      <c r="DX1253" s="28"/>
      <c r="EA1253" s="28"/>
      <c r="ED1253" s="28"/>
      <c r="EG1253" s="28"/>
      <c r="EJ1253" s="28"/>
      <c r="EM1253" s="28"/>
      <c r="EP1253" s="28"/>
      <c r="ES1253" s="28"/>
      <c r="EV1253" s="28"/>
      <c r="EY1253" s="28"/>
      <c r="FB1253" s="28"/>
      <c r="FE1253" s="28"/>
      <c r="FH1253" s="28"/>
      <c r="FK1253" s="28"/>
      <c r="FN1253" s="28"/>
      <c r="FQ1253" s="28"/>
      <c r="FT1253" s="28"/>
      <c r="FW1253" s="28"/>
      <c r="FZ1253" s="28"/>
      <c r="GC1253" s="28"/>
    </row>
    <row r="1254" spans="1:185" s="25" customFormat="1" x14ac:dyDescent="0.3">
      <c r="A1254" s="27"/>
      <c r="B1254" s="28"/>
      <c r="C1254" s="27"/>
      <c r="D1254" s="26"/>
      <c r="E1254" s="28"/>
      <c r="H1254" s="28"/>
      <c r="K1254" s="28"/>
      <c r="N1254" s="28"/>
      <c r="Q1254" s="28"/>
      <c r="T1254" s="28"/>
      <c r="W1254" s="28"/>
      <c r="Z1254" s="28"/>
      <c r="AC1254" s="28"/>
      <c r="AF1254" s="28"/>
      <c r="AI1254" s="28"/>
      <c r="AL1254" s="28"/>
      <c r="AO1254" s="28"/>
      <c r="AR1254" s="28"/>
      <c r="AU1254" s="28"/>
      <c r="AX1254" s="28"/>
      <c r="BA1254" s="28"/>
      <c r="BD1254" s="28"/>
      <c r="BG1254" s="28"/>
      <c r="BJ1254" s="28"/>
      <c r="BM1254" s="28"/>
      <c r="BP1254" s="28"/>
      <c r="BS1254" s="28"/>
      <c r="BV1254" s="28"/>
      <c r="BY1254" s="28"/>
      <c r="CB1254" s="28"/>
      <c r="CE1254" s="28"/>
      <c r="CH1254" s="28"/>
      <c r="CK1254" s="28"/>
      <c r="CN1254" s="28"/>
      <c r="CQ1254" s="28"/>
      <c r="CT1254" s="28"/>
      <c r="CW1254" s="28"/>
      <c r="CZ1254" s="28"/>
      <c r="DC1254" s="28"/>
      <c r="DF1254" s="28"/>
      <c r="DI1254" s="28"/>
      <c r="DL1254" s="28"/>
      <c r="DO1254" s="28"/>
      <c r="DR1254" s="28"/>
      <c r="DU1254" s="28"/>
      <c r="DX1254" s="28"/>
      <c r="EA1254" s="28"/>
      <c r="ED1254" s="28"/>
      <c r="EG1254" s="28"/>
      <c r="EJ1254" s="28"/>
      <c r="EM1254" s="28"/>
      <c r="EP1254" s="28"/>
      <c r="ES1254" s="28"/>
      <c r="EV1254" s="28"/>
      <c r="EY1254" s="28"/>
      <c r="FB1254" s="28"/>
      <c r="FE1254" s="28"/>
      <c r="FH1254" s="28"/>
      <c r="FK1254" s="28"/>
      <c r="FN1254" s="28"/>
      <c r="FQ1254" s="28"/>
      <c r="FT1254" s="28"/>
      <c r="FW1254" s="28"/>
      <c r="FZ1254" s="28"/>
      <c r="GC1254" s="28"/>
    </row>
    <row r="1255" spans="1:185" s="25" customFormat="1" x14ac:dyDescent="0.3">
      <c r="A1255" s="27"/>
      <c r="B1255" s="28"/>
      <c r="C1255" s="27"/>
      <c r="D1255" s="26"/>
      <c r="E1255" s="28"/>
      <c r="H1255" s="28"/>
      <c r="K1255" s="28"/>
      <c r="N1255" s="28"/>
      <c r="Q1255" s="28"/>
      <c r="T1255" s="28"/>
      <c r="W1255" s="28"/>
      <c r="Z1255" s="28"/>
      <c r="AC1255" s="28"/>
      <c r="AF1255" s="28"/>
      <c r="AI1255" s="28"/>
      <c r="AL1255" s="28"/>
      <c r="AO1255" s="28"/>
      <c r="AR1255" s="28"/>
      <c r="AU1255" s="28"/>
      <c r="AX1255" s="28"/>
      <c r="BA1255" s="28"/>
      <c r="BD1255" s="28"/>
      <c r="BG1255" s="28"/>
      <c r="BJ1255" s="28"/>
      <c r="BM1255" s="28"/>
      <c r="BP1255" s="28"/>
      <c r="BS1255" s="28"/>
      <c r="BV1255" s="28"/>
      <c r="BY1255" s="28"/>
      <c r="CB1255" s="28"/>
      <c r="CE1255" s="28"/>
      <c r="CH1255" s="28"/>
      <c r="CK1255" s="28"/>
      <c r="CN1255" s="28"/>
      <c r="CQ1255" s="28"/>
      <c r="CT1255" s="28"/>
      <c r="CW1255" s="28"/>
      <c r="CZ1255" s="28"/>
      <c r="DC1255" s="28"/>
      <c r="DF1255" s="28"/>
      <c r="DI1255" s="28"/>
      <c r="DL1255" s="28"/>
      <c r="DO1255" s="28"/>
      <c r="DR1255" s="28"/>
      <c r="DU1255" s="28"/>
      <c r="DX1255" s="28"/>
      <c r="EA1255" s="28"/>
      <c r="ED1255" s="28"/>
      <c r="EG1255" s="28"/>
      <c r="EJ1255" s="28"/>
      <c r="EM1255" s="28"/>
      <c r="EP1255" s="28"/>
      <c r="ES1255" s="28"/>
      <c r="EV1255" s="28"/>
      <c r="EY1255" s="28"/>
      <c r="FB1255" s="28"/>
      <c r="FE1255" s="28"/>
      <c r="FH1255" s="28"/>
      <c r="FK1255" s="28"/>
      <c r="FN1255" s="28"/>
      <c r="FQ1255" s="28"/>
      <c r="FT1255" s="28"/>
      <c r="FW1255" s="28"/>
      <c r="FZ1255" s="28"/>
      <c r="GC1255" s="28"/>
    </row>
    <row r="1256" spans="1:185" s="25" customFormat="1" x14ac:dyDescent="0.3">
      <c r="A1256" s="27"/>
      <c r="B1256" s="28"/>
      <c r="C1256" s="27"/>
      <c r="D1256" s="26"/>
      <c r="E1256" s="28"/>
      <c r="H1256" s="28"/>
      <c r="K1256" s="28"/>
      <c r="N1256" s="28"/>
      <c r="Q1256" s="28"/>
      <c r="T1256" s="28"/>
      <c r="W1256" s="28"/>
      <c r="Z1256" s="28"/>
      <c r="AC1256" s="28"/>
      <c r="AF1256" s="28"/>
      <c r="AI1256" s="28"/>
      <c r="AL1256" s="28"/>
      <c r="AO1256" s="28"/>
      <c r="AR1256" s="28"/>
      <c r="AU1256" s="28"/>
      <c r="AX1256" s="28"/>
      <c r="BA1256" s="28"/>
      <c r="BD1256" s="28"/>
      <c r="BG1256" s="28"/>
      <c r="BJ1256" s="28"/>
      <c r="BM1256" s="28"/>
      <c r="BP1256" s="28"/>
      <c r="BS1256" s="28"/>
      <c r="BV1256" s="28"/>
      <c r="BY1256" s="28"/>
      <c r="CB1256" s="28"/>
      <c r="CE1256" s="28"/>
      <c r="CH1256" s="28"/>
      <c r="CK1256" s="28"/>
      <c r="CN1256" s="28"/>
      <c r="CQ1256" s="28"/>
      <c r="CT1256" s="28"/>
      <c r="CW1256" s="28"/>
      <c r="CZ1256" s="28"/>
      <c r="DC1256" s="28"/>
      <c r="DF1256" s="28"/>
      <c r="DI1256" s="28"/>
      <c r="DL1256" s="28"/>
      <c r="DO1256" s="28"/>
      <c r="DR1256" s="28"/>
      <c r="DU1256" s="28"/>
      <c r="DX1256" s="28"/>
      <c r="EA1256" s="28"/>
      <c r="ED1256" s="28"/>
      <c r="EG1256" s="28"/>
      <c r="EJ1256" s="28"/>
      <c r="EM1256" s="28"/>
      <c r="EP1256" s="28"/>
      <c r="ES1256" s="28"/>
      <c r="EV1256" s="28"/>
      <c r="EY1256" s="28"/>
      <c r="FB1256" s="28"/>
      <c r="FE1256" s="28"/>
      <c r="FH1256" s="28"/>
      <c r="FK1256" s="28"/>
      <c r="FN1256" s="28"/>
      <c r="FQ1256" s="28"/>
      <c r="FT1256" s="28"/>
      <c r="FW1256" s="28"/>
      <c r="FZ1256" s="28"/>
      <c r="GC1256" s="28"/>
    </row>
    <row r="1257" spans="1:185" s="25" customFormat="1" x14ac:dyDescent="0.3">
      <c r="A1257" s="27"/>
      <c r="B1257" s="28"/>
      <c r="C1257" s="27"/>
      <c r="D1257" s="26"/>
      <c r="E1257" s="28"/>
      <c r="H1257" s="28"/>
      <c r="K1257" s="28"/>
      <c r="N1257" s="28"/>
      <c r="Q1257" s="28"/>
      <c r="T1257" s="28"/>
      <c r="W1257" s="28"/>
      <c r="Z1257" s="28"/>
      <c r="AC1257" s="28"/>
      <c r="AF1257" s="28"/>
      <c r="AI1257" s="28"/>
      <c r="AL1257" s="28"/>
      <c r="AO1257" s="28"/>
      <c r="AR1257" s="28"/>
      <c r="AU1257" s="28"/>
      <c r="AX1257" s="28"/>
      <c r="BA1257" s="28"/>
      <c r="BD1257" s="28"/>
      <c r="BG1257" s="28"/>
      <c r="BJ1257" s="28"/>
      <c r="BM1257" s="28"/>
      <c r="BP1257" s="28"/>
      <c r="BS1257" s="28"/>
      <c r="BV1257" s="28"/>
      <c r="BY1257" s="28"/>
      <c r="CB1257" s="28"/>
      <c r="CE1257" s="28"/>
      <c r="CH1257" s="28"/>
      <c r="CK1257" s="28"/>
      <c r="CN1257" s="28"/>
      <c r="CQ1257" s="28"/>
      <c r="CT1257" s="28"/>
      <c r="CW1257" s="28"/>
      <c r="CZ1257" s="28"/>
      <c r="DC1257" s="28"/>
      <c r="DF1257" s="28"/>
      <c r="DI1257" s="28"/>
      <c r="DL1257" s="28"/>
      <c r="DO1257" s="28"/>
      <c r="DR1257" s="28"/>
      <c r="DU1257" s="28"/>
      <c r="DX1257" s="28"/>
      <c r="EA1257" s="28"/>
      <c r="ED1257" s="28"/>
      <c r="EG1257" s="28"/>
      <c r="EJ1257" s="28"/>
      <c r="EM1257" s="28"/>
      <c r="EP1257" s="28"/>
      <c r="ES1257" s="28"/>
      <c r="EV1257" s="28"/>
      <c r="EY1257" s="28"/>
      <c r="FB1257" s="28"/>
      <c r="FE1257" s="28"/>
      <c r="FH1257" s="28"/>
      <c r="FK1257" s="28"/>
      <c r="FN1257" s="28"/>
      <c r="FQ1257" s="28"/>
      <c r="FT1257" s="28"/>
      <c r="FW1257" s="28"/>
      <c r="FZ1257" s="28"/>
      <c r="GC1257" s="28"/>
    </row>
    <row r="1258" spans="1:185" s="25" customFormat="1" x14ac:dyDescent="0.3">
      <c r="A1258" s="27"/>
      <c r="B1258" s="28"/>
      <c r="C1258" s="27"/>
      <c r="D1258" s="26"/>
      <c r="E1258" s="28"/>
      <c r="H1258" s="28"/>
      <c r="K1258" s="28"/>
      <c r="N1258" s="28"/>
      <c r="Q1258" s="28"/>
      <c r="T1258" s="28"/>
      <c r="W1258" s="28"/>
      <c r="Z1258" s="28"/>
      <c r="AC1258" s="28"/>
      <c r="AF1258" s="28"/>
      <c r="AI1258" s="28"/>
      <c r="AL1258" s="28"/>
      <c r="AO1258" s="28"/>
      <c r="AR1258" s="28"/>
      <c r="AU1258" s="28"/>
      <c r="AX1258" s="28"/>
      <c r="BA1258" s="28"/>
      <c r="BD1258" s="28"/>
      <c r="BG1258" s="28"/>
      <c r="BJ1258" s="28"/>
      <c r="BM1258" s="28"/>
      <c r="BP1258" s="28"/>
      <c r="BS1258" s="28"/>
      <c r="BV1258" s="28"/>
      <c r="BY1258" s="28"/>
      <c r="CB1258" s="28"/>
      <c r="CE1258" s="28"/>
      <c r="CH1258" s="28"/>
      <c r="CK1258" s="28"/>
      <c r="CN1258" s="28"/>
      <c r="CQ1258" s="28"/>
      <c r="CT1258" s="28"/>
      <c r="CW1258" s="28"/>
      <c r="CZ1258" s="28"/>
      <c r="DC1258" s="28"/>
      <c r="DF1258" s="28"/>
      <c r="DI1258" s="28"/>
      <c r="DL1258" s="28"/>
      <c r="DO1258" s="28"/>
      <c r="DR1258" s="28"/>
      <c r="DU1258" s="28"/>
      <c r="DX1258" s="28"/>
      <c r="EA1258" s="28"/>
      <c r="ED1258" s="28"/>
      <c r="EG1258" s="28"/>
      <c r="EJ1258" s="28"/>
      <c r="EM1258" s="28"/>
      <c r="EP1258" s="28"/>
      <c r="ES1258" s="28"/>
      <c r="EV1258" s="28"/>
      <c r="EY1258" s="28"/>
      <c r="FB1258" s="28"/>
      <c r="FE1258" s="28"/>
      <c r="FH1258" s="28"/>
      <c r="FK1258" s="28"/>
      <c r="FN1258" s="28"/>
      <c r="FQ1258" s="28"/>
      <c r="FT1258" s="28"/>
      <c r="FW1258" s="28"/>
      <c r="FZ1258" s="28"/>
      <c r="GC1258" s="28"/>
    </row>
    <row r="1259" spans="1:185" s="25" customFormat="1" x14ac:dyDescent="0.3">
      <c r="A1259" s="27"/>
      <c r="B1259" s="28"/>
      <c r="C1259" s="27"/>
      <c r="D1259" s="26"/>
      <c r="E1259" s="28"/>
      <c r="H1259" s="28"/>
      <c r="K1259" s="28"/>
      <c r="N1259" s="28"/>
      <c r="Q1259" s="28"/>
      <c r="T1259" s="28"/>
      <c r="W1259" s="28"/>
      <c r="Z1259" s="28"/>
      <c r="AC1259" s="28"/>
      <c r="AF1259" s="28"/>
      <c r="AI1259" s="28"/>
      <c r="AL1259" s="28"/>
      <c r="AO1259" s="28"/>
      <c r="AR1259" s="28"/>
      <c r="AU1259" s="28"/>
      <c r="AX1259" s="28"/>
      <c r="BA1259" s="28"/>
      <c r="BD1259" s="28"/>
      <c r="BG1259" s="28"/>
      <c r="BJ1259" s="28"/>
      <c r="BM1259" s="28"/>
      <c r="BP1259" s="28"/>
      <c r="BS1259" s="28"/>
      <c r="BV1259" s="28"/>
      <c r="BY1259" s="28"/>
      <c r="CB1259" s="28"/>
      <c r="CE1259" s="28"/>
      <c r="CH1259" s="28"/>
      <c r="CK1259" s="28"/>
      <c r="CN1259" s="28"/>
      <c r="CQ1259" s="28"/>
      <c r="CT1259" s="28"/>
      <c r="CW1259" s="28"/>
      <c r="CZ1259" s="28"/>
      <c r="DC1259" s="28"/>
      <c r="DF1259" s="28"/>
      <c r="DI1259" s="28"/>
      <c r="DL1259" s="28"/>
      <c r="DO1259" s="28"/>
      <c r="DR1259" s="28"/>
      <c r="DU1259" s="28"/>
      <c r="DX1259" s="28"/>
      <c r="EA1259" s="28"/>
      <c r="ED1259" s="28"/>
      <c r="EG1259" s="28"/>
      <c r="EJ1259" s="28"/>
      <c r="EM1259" s="28"/>
      <c r="EP1259" s="28"/>
      <c r="ES1259" s="28"/>
      <c r="EV1259" s="28"/>
      <c r="EY1259" s="28"/>
      <c r="FB1259" s="28"/>
      <c r="FE1259" s="28"/>
      <c r="FH1259" s="28"/>
      <c r="FK1259" s="28"/>
      <c r="FN1259" s="28"/>
      <c r="FQ1259" s="28"/>
      <c r="FT1259" s="28"/>
      <c r="FW1259" s="28"/>
      <c r="FZ1259" s="28"/>
      <c r="GC1259" s="28"/>
    </row>
    <row r="1260" spans="1:185" s="25" customFormat="1" x14ac:dyDescent="0.3">
      <c r="A1260" s="27"/>
      <c r="B1260" s="28"/>
      <c r="C1260" s="27"/>
      <c r="D1260" s="26"/>
      <c r="E1260" s="28"/>
      <c r="H1260" s="28"/>
      <c r="K1260" s="28"/>
      <c r="N1260" s="28"/>
      <c r="Q1260" s="28"/>
      <c r="T1260" s="28"/>
      <c r="W1260" s="28"/>
      <c r="Z1260" s="28"/>
      <c r="AC1260" s="28"/>
      <c r="AF1260" s="28"/>
      <c r="AI1260" s="28"/>
      <c r="AL1260" s="28"/>
      <c r="AO1260" s="28"/>
      <c r="AR1260" s="28"/>
      <c r="AU1260" s="28"/>
      <c r="AX1260" s="28"/>
      <c r="BA1260" s="28"/>
      <c r="BD1260" s="28"/>
      <c r="BG1260" s="28"/>
      <c r="BJ1260" s="28"/>
      <c r="BM1260" s="28"/>
      <c r="BP1260" s="28"/>
      <c r="BS1260" s="28"/>
      <c r="BV1260" s="28"/>
      <c r="BY1260" s="28"/>
      <c r="CB1260" s="28"/>
      <c r="CE1260" s="28"/>
      <c r="CH1260" s="28"/>
      <c r="CK1260" s="28"/>
      <c r="CN1260" s="28"/>
      <c r="CQ1260" s="28"/>
      <c r="CT1260" s="28"/>
      <c r="CW1260" s="28"/>
      <c r="CZ1260" s="28"/>
      <c r="DC1260" s="28"/>
      <c r="DF1260" s="28"/>
      <c r="DI1260" s="28"/>
      <c r="DL1260" s="28"/>
      <c r="DO1260" s="28"/>
      <c r="DR1260" s="28"/>
      <c r="DU1260" s="28"/>
      <c r="DX1260" s="28"/>
      <c r="EA1260" s="28"/>
      <c r="ED1260" s="28"/>
      <c r="EG1260" s="28"/>
      <c r="EJ1260" s="28"/>
      <c r="EM1260" s="28"/>
      <c r="EP1260" s="28"/>
      <c r="ES1260" s="28"/>
      <c r="EV1260" s="28"/>
      <c r="EY1260" s="28"/>
      <c r="FB1260" s="28"/>
      <c r="FE1260" s="28"/>
      <c r="FH1260" s="28"/>
      <c r="FK1260" s="28"/>
      <c r="FN1260" s="28"/>
      <c r="FQ1260" s="28"/>
      <c r="FT1260" s="28"/>
      <c r="FW1260" s="28"/>
      <c r="FZ1260" s="28"/>
      <c r="GC1260" s="28"/>
    </row>
    <row r="1261" spans="1:185" s="25" customFormat="1" x14ac:dyDescent="0.3">
      <c r="A1261" s="27"/>
      <c r="B1261" s="28"/>
      <c r="C1261" s="27"/>
      <c r="D1261" s="26"/>
      <c r="E1261" s="28"/>
      <c r="H1261" s="28"/>
      <c r="K1261" s="28"/>
      <c r="N1261" s="28"/>
      <c r="Q1261" s="28"/>
      <c r="T1261" s="28"/>
      <c r="W1261" s="28"/>
      <c r="Z1261" s="28"/>
      <c r="AC1261" s="28"/>
      <c r="AF1261" s="28"/>
      <c r="AI1261" s="28"/>
      <c r="AL1261" s="28"/>
      <c r="AO1261" s="28"/>
      <c r="AR1261" s="28"/>
      <c r="AU1261" s="28"/>
      <c r="AX1261" s="28"/>
      <c r="BA1261" s="28"/>
      <c r="BD1261" s="28"/>
      <c r="BG1261" s="28"/>
      <c r="BJ1261" s="28"/>
      <c r="BM1261" s="28"/>
      <c r="BP1261" s="28"/>
      <c r="BS1261" s="28"/>
      <c r="BV1261" s="28"/>
      <c r="BY1261" s="28"/>
      <c r="CB1261" s="28"/>
      <c r="CE1261" s="28"/>
      <c r="CH1261" s="28"/>
      <c r="CK1261" s="28"/>
      <c r="CN1261" s="28"/>
      <c r="CQ1261" s="28"/>
      <c r="CT1261" s="28"/>
      <c r="CW1261" s="28"/>
      <c r="CZ1261" s="28"/>
      <c r="DC1261" s="28"/>
      <c r="DF1261" s="28"/>
      <c r="DI1261" s="28"/>
      <c r="DL1261" s="28"/>
      <c r="DO1261" s="28"/>
      <c r="DR1261" s="28"/>
      <c r="DU1261" s="28"/>
      <c r="DX1261" s="28"/>
      <c r="EA1261" s="28"/>
      <c r="ED1261" s="28"/>
      <c r="EG1261" s="28"/>
      <c r="EJ1261" s="28"/>
      <c r="EM1261" s="28"/>
      <c r="EP1261" s="28"/>
      <c r="ES1261" s="28"/>
      <c r="EV1261" s="28"/>
      <c r="EY1261" s="28"/>
      <c r="FB1261" s="28"/>
      <c r="FE1261" s="28"/>
      <c r="FH1261" s="28"/>
      <c r="FK1261" s="28"/>
      <c r="FN1261" s="28"/>
      <c r="FQ1261" s="28"/>
      <c r="FT1261" s="28"/>
      <c r="FW1261" s="28"/>
      <c r="FZ1261" s="28"/>
      <c r="GC1261" s="28"/>
    </row>
    <row r="1262" spans="1:185" s="25" customFormat="1" x14ac:dyDescent="0.3">
      <c r="A1262" s="27"/>
      <c r="B1262" s="28"/>
      <c r="C1262" s="27"/>
      <c r="D1262" s="26"/>
      <c r="E1262" s="28"/>
      <c r="H1262" s="28"/>
      <c r="K1262" s="28"/>
      <c r="N1262" s="28"/>
      <c r="Q1262" s="28"/>
      <c r="T1262" s="28"/>
      <c r="W1262" s="28"/>
      <c r="Z1262" s="28"/>
      <c r="AC1262" s="28"/>
      <c r="AF1262" s="28"/>
      <c r="AI1262" s="28"/>
      <c r="AL1262" s="28"/>
      <c r="AO1262" s="28"/>
      <c r="AR1262" s="28"/>
      <c r="AU1262" s="28"/>
      <c r="AX1262" s="28"/>
      <c r="BA1262" s="28"/>
      <c r="BD1262" s="28"/>
      <c r="BG1262" s="28"/>
      <c r="BJ1262" s="28"/>
      <c r="BM1262" s="28"/>
      <c r="BP1262" s="28"/>
      <c r="BS1262" s="28"/>
      <c r="BV1262" s="28"/>
      <c r="BY1262" s="28"/>
      <c r="CB1262" s="28"/>
      <c r="CE1262" s="28"/>
      <c r="CH1262" s="28"/>
      <c r="CK1262" s="28"/>
      <c r="CN1262" s="28"/>
      <c r="CQ1262" s="28"/>
      <c r="CT1262" s="28"/>
      <c r="CW1262" s="28"/>
      <c r="CZ1262" s="28"/>
      <c r="DC1262" s="28"/>
      <c r="DF1262" s="28"/>
      <c r="DI1262" s="28"/>
      <c r="DL1262" s="28"/>
      <c r="DO1262" s="28"/>
      <c r="DR1262" s="28"/>
      <c r="DU1262" s="28"/>
      <c r="DX1262" s="28"/>
      <c r="EA1262" s="28"/>
      <c r="ED1262" s="28"/>
      <c r="EG1262" s="28"/>
      <c r="EJ1262" s="28"/>
      <c r="EM1262" s="28"/>
      <c r="EP1262" s="28"/>
      <c r="ES1262" s="28"/>
      <c r="EV1262" s="28"/>
      <c r="EY1262" s="28"/>
      <c r="FB1262" s="28"/>
      <c r="FE1262" s="28"/>
      <c r="FH1262" s="28"/>
      <c r="FK1262" s="28"/>
      <c r="FN1262" s="28"/>
      <c r="FQ1262" s="28"/>
      <c r="FT1262" s="28"/>
      <c r="FW1262" s="28"/>
      <c r="FZ1262" s="28"/>
      <c r="GC1262" s="28"/>
    </row>
    <row r="1263" spans="1:185" s="25" customFormat="1" x14ac:dyDescent="0.3">
      <c r="A1263" s="27"/>
      <c r="B1263" s="28"/>
      <c r="C1263" s="27"/>
      <c r="D1263" s="26"/>
      <c r="E1263" s="28"/>
      <c r="H1263" s="28"/>
      <c r="K1263" s="28"/>
      <c r="N1263" s="28"/>
      <c r="Q1263" s="28"/>
      <c r="T1263" s="28"/>
      <c r="W1263" s="28"/>
      <c r="Z1263" s="28"/>
      <c r="AC1263" s="28"/>
      <c r="AF1263" s="28"/>
      <c r="AI1263" s="28"/>
      <c r="AL1263" s="28"/>
      <c r="AO1263" s="28"/>
      <c r="AR1263" s="28"/>
      <c r="AU1263" s="28"/>
      <c r="AX1263" s="28"/>
      <c r="BA1263" s="28"/>
      <c r="BD1263" s="28"/>
      <c r="BG1263" s="28"/>
      <c r="BJ1263" s="28"/>
      <c r="BM1263" s="28"/>
      <c r="BP1263" s="28"/>
      <c r="BS1263" s="28"/>
      <c r="BV1263" s="28"/>
      <c r="BY1263" s="28"/>
      <c r="CB1263" s="28"/>
      <c r="CE1263" s="28"/>
      <c r="CH1263" s="28"/>
      <c r="CK1263" s="28"/>
      <c r="CN1263" s="28"/>
      <c r="CQ1263" s="28"/>
      <c r="CT1263" s="28"/>
      <c r="CW1263" s="28"/>
      <c r="CZ1263" s="28"/>
      <c r="DC1263" s="28"/>
      <c r="DF1263" s="28"/>
      <c r="DI1263" s="28"/>
      <c r="DL1263" s="28"/>
      <c r="DO1263" s="28"/>
      <c r="DR1263" s="28"/>
      <c r="DU1263" s="28"/>
      <c r="DX1263" s="28"/>
      <c r="EA1263" s="28"/>
      <c r="ED1263" s="28"/>
      <c r="EG1263" s="28"/>
      <c r="EJ1263" s="28"/>
      <c r="EM1263" s="28"/>
      <c r="EP1263" s="28"/>
      <c r="ES1263" s="28"/>
      <c r="EV1263" s="28"/>
      <c r="EY1263" s="28"/>
      <c r="FB1263" s="28"/>
      <c r="FE1263" s="28"/>
      <c r="FH1263" s="28"/>
      <c r="FK1263" s="28"/>
      <c r="FN1263" s="28"/>
      <c r="FQ1263" s="28"/>
      <c r="FT1263" s="28"/>
      <c r="FW1263" s="28"/>
      <c r="FZ1263" s="28"/>
      <c r="GC1263" s="28"/>
    </row>
    <row r="1264" spans="1:185" s="25" customFormat="1" x14ac:dyDescent="0.3">
      <c r="A1264" s="27"/>
      <c r="B1264" s="28"/>
      <c r="C1264" s="27"/>
      <c r="D1264" s="26"/>
      <c r="E1264" s="28"/>
      <c r="H1264" s="28"/>
      <c r="K1264" s="28"/>
      <c r="N1264" s="28"/>
      <c r="Q1264" s="28"/>
      <c r="T1264" s="28"/>
      <c r="W1264" s="28"/>
      <c r="Z1264" s="28"/>
      <c r="AC1264" s="28"/>
      <c r="AF1264" s="28"/>
      <c r="AI1264" s="28"/>
      <c r="AL1264" s="28"/>
      <c r="AO1264" s="28"/>
      <c r="AR1264" s="28"/>
      <c r="AU1264" s="28"/>
      <c r="AX1264" s="28"/>
      <c r="BA1264" s="28"/>
      <c r="BD1264" s="28"/>
      <c r="BG1264" s="28"/>
      <c r="BJ1264" s="28"/>
      <c r="BM1264" s="28"/>
      <c r="BP1264" s="28"/>
      <c r="BS1264" s="28"/>
      <c r="BV1264" s="28"/>
      <c r="BY1264" s="28"/>
      <c r="CB1264" s="28"/>
      <c r="CE1264" s="28"/>
      <c r="CH1264" s="28"/>
      <c r="CK1264" s="28"/>
      <c r="CN1264" s="28"/>
      <c r="CQ1264" s="28"/>
      <c r="CT1264" s="28"/>
      <c r="CW1264" s="28"/>
      <c r="CZ1264" s="28"/>
      <c r="DC1264" s="28"/>
      <c r="DF1264" s="28"/>
      <c r="DI1264" s="28"/>
      <c r="DL1264" s="28"/>
      <c r="DO1264" s="28"/>
      <c r="DR1264" s="28"/>
      <c r="DU1264" s="28"/>
      <c r="DX1264" s="28"/>
      <c r="EA1264" s="28"/>
      <c r="ED1264" s="28"/>
      <c r="EG1264" s="28"/>
      <c r="EJ1264" s="28"/>
      <c r="EM1264" s="28"/>
      <c r="EP1264" s="28"/>
      <c r="ES1264" s="28"/>
      <c r="EV1264" s="28"/>
      <c r="EY1264" s="28"/>
      <c r="FB1264" s="28"/>
      <c r="FE1264" s="28"/>
      <c r="FH1264" s="28"/>
      <c r="FK1264" s="28"/>
      <c r="FN1264" s="28"/>
      <c r="FQ1264" s="28"/>
      <c r="FT1264" s="28"/>
      <c r="FW1264" s="28"/>
      <c r="FZ1264" s="28"/>
      <c r="GC1264" s="28"/>
    </row>
    <row r="1265" spans="1:185" s="25" customFormat="1" x14ac:dyDescent="0.3">
      <c r="A1265" s="27"/>
      <c r="B1265" s="28"/>
      <c r="C1265" s="27"/>
      <c r="D1265" s="26"/>
      <c r="E1265" s="28"/>
      <c r="H1265" s="28"/>
      <c r="K1265" s="28"/>
      <c r="N1265" s="28"/>
      <c r="Q1265" s="28"/>
      <c r="T1265" s="28"/>
      <c r="W1265" s="28"/>
      <c r="Z1265" s="28"/>
      <c r="AC1265" s="28"/>
      <c r="AF1265" s="28"/>
      <c r="AI1265" s="28"/>
      <c r="AL1265" s="28"/>
      <c r="AO1265" s="28"/>
      <c r="AR1265" s="28"/>
      <c r="AU1265" s="28"/>
      <c r="AX1265" s="28"/>
      <c r="BA1265" s="28"/>
      <c r="BD1265" s="28"/>
      <c r="BG1265" s="28"/>
      <c r="BJ1265" s="28"/>
      <c r="BM1265" s="28"/>
      <c r="BP1265" s="28"/>
      <c r="BS1265" s="28"/>
      <c r="BV1265" s="28"/>
      <c r="BY1265" s="28"/>
      <c r="CB1265" s="28"/>
      <c r="CE1265" s="28"/>
      <c r="CH1265" s="28"/>
      <c r="CK1265" s="28"/>
      <c r="CN1265" s="28"/>
      <c r="CQ1265" s="28"/>
      <c r="CT1265" s="28"/>
      <c r="CW1265" s="28"/>
      <c r="CZ1265" s="28"/>
      <c r="DC1265" s="28"/>
      <c r="DF1265" s="28"/>
      <c r="DI1265" s="28"/>
      <c r="DL1265" s="28"/>
      <c r="DO1265" s="28"/>
      <c r="DR1265" s="28"/>
      <c r="DU1265" s="28"/>
      <c r="DX1265" s="28"/>
      <c r="EA1265" s="28"/>
      <c r="ED1265" s="28"/>
      <c r="EG1265" s="28"/>
      <c r="EJ1265" s="28"/>
      <c r="EM1265" s="28"/>
      <c r="EP1265" s="28"/>
      <c r="ES1265" s="28"/>
      <c r="EV1265" s="28"/>
      <c r="EY1265" s="28"/>
      <c r="FB1265" s="28"/>
      <c r="FE1265" s="28"/>
      <c r="FH1265" s="28"/>
      <c r="FK1265" s="28"/>
      <c r="FN1265" s="28"/>
      <c r="FQ1265" s="28"/>
      <c r="FT1265" s="28"/>
      <c r="FW1265" s="28"/>
      <c r="FZ1265" s="28"/>
      <c r="GC1265" s="28"/>
    </row>
    <row r="1266" spans="1:185" s="25" customFormat="1" x14ac:dyDescent="0.3">
      <c r="A1266" s="27"/>
      <c r="B1266" s="28"/>
      <c r="C1266" s="27"/>
      <c r="D1266" s="26"/>
      <c r="E1266" s="28"/>
      <c r="H1266" s="28"/>
      <c r="K1266" s="28"/>
      <c r="N1266" s="28"/>
      <c r="Q1266" s="28"/>
      <c r="T1266" s="28"/>
      <c r="W1266" s="28"/>
      <c r="Z1266" s="28"/>
      <c r="AC1266" s="28"/>
      <c r="AF1266" s="28"/>
      <c r="AI1266" s="28"/>
      <c r="AL1266" s="28"/>
      <c r="AO1266" s="28"/>
      <c r="AR1266" s="28"/>
      <c r="AU1266" s="28"/>
      <c r="AX1266" s="28"/>
      <c r="BA1266" s="28"/>
      <c r="BD1266" s="28"/>
      <c r="BG1266" s="28"/>
      <c r="BJ1266" s="28"/>
      <c r="BM1266" s="28"/>
      <c r="BP1266" s="28"/>
      <c r="BS1266" s="28"/>
      <c r="BV1266" s="28"/>
      <c r="BY1266" s="28"/>
      <c r="CB1266" s="28"/>
      <c r="CE1266" s="28"/>
      <c r="CH1266" s="28"/>
      <c r="CK1266" s="28"/>
      <c r="CN1266" s="28"/>
      <c r="CQ1266" s="28"/>
      <c r="CT1266" s="28"/>
      <c r="CW1266" s="28"/>
      <c r="CZ1266" s="28"/>
      <c r="DC1266" s="28"/>
      <c r="DF1266" s="28"/>
      <c r="DI1266" s="28"/>
      <c r="DL1266" s="28"/>
      <c r="DO1266" s="28"/>
      <c r="DR1266" s="28"/>
      <c r="DU1266" s="28"/>
      <c r="DX1266" s="28"/>
      <c r="EA1266" s="28"/>
      <c r="ED1266" s="28"/>
      <c r="EG1266" s="28"/>
      <c r="EJ1266" s="28"/>
      <c r="EM1266" s="28"/>
      <c r="EP1266" s="28"/>
      <c r="ES1266" s="28"/>
      <c r="EV1266" s="28"/>
      <c r="EY1266" s="28"/>
      <c r="FB1266" s="28"/>
      <c r="FE1266" s="28"/>
      <c r="FH1266" s="28"/>
      <c r="FK1266" s="28"/>
      <c r="FN1266" s="28"/>
      <c r="FQ1266" s="28"/>
      <c r="FT1266" s="28"/>
      <c r="FW1266" s="28"/>
      <c r="FZ1266" s="28"/>
      <c r="GC1266" s="28"/>
    </row>
    <row r="1267" spans="1:185" s="25" customFormat="1" x14ac:dyDescent="0.3">
      <c r="A1267" s="27"/>
      <c r="B1267" s="28"/>
      <c r="C1267" s="27"/>
      <c r="D1267" s="26"/>
      <c r="E1267" s="28"/>
      <c r="H1267" s="28"/>
      <c r="K1267" s="28"/>
      <c r="N1267" s="28"/>
      <c r="Q1267" s="28"/>
      <c r="T1267" s="28"/>
      <c r="W1267" s="28"/>
      <c r="Z1267" s="28"/>
      <c r="AC1267" s="28"/>
      <c r="AF1267" s="28"/>
      <c r="AI1267" s="28"/>
      <c r="AL1267" s="28"/>
      <c r="AO1267" s="28"/>
      <c r="AR1267" s="28"/>
      <c r="AU1267" s="28"/>
      <c r="AX1267" s="28"/>
      <c r="BA1267" s="28"/>
      <c r="BD1267" s="28"/>
      <c r="BG1267" s="28"/>
      <c r="BJ1267" s="28"/>
      <c r="BM1267" s="28"/>
      <c r="BP1267" s="28"/>
      <c r="BS1267" s="28"/>
      <c r="BV1267" s="28"/>
      <c r="BY1267" s="28"/>
      <c r="CB1267" s="28"/>
      <c r="CE1267" s="28"/>
      <c r="CH1267" s="28"/>
      <c r="CK1267" s="28"/>
      <c r="CN1267" s="28"/>
      <c r="CQ1267" s="28"/>
      <c r="CT1267" s="28"/>
      <c r="CW1267" s="28"/>
      <c r="CZ1267" s="28"/>
      <c r="DC1267" s="28"/>
      <c r="DF1267" s="28"/>
      <c r="DI1267" s="28"/>
      <c r="DL1267" s="28"/>
      <c r="DO1267" s="28"/>
      <c r="DR1267" s="28"/>
      <c r="DU1267" s="28"/>
      <c r="DX1267" s="28"/>
      <c r="EA1267" s="28"/>
      <c r="ED1267" s="28"/>
      <c r="EG1267" s="28"/>
      <c r="EJ1267" s="28"/>
      <c r="EM1267" s="28"/>
      <c r="EP1267" s="28"/>
      <c r="ES1267" s="28"/>
      <c r="EV1267" s="28"/>
      <c r="EY1267" s="28"/>
      <c r="FB1267" s="28"/>
      <c r="FE1267" s="28"/>
      <c r="FH1267" s="28"/>
      <c r="FK1267" s="28"/>
      <c r="FN1267" s="28"/>
      <c r="FQ1267" s="28"/>
      <c r="FT1267" s="28"/>
      <c r="FW1267" s="28"/>
      <c r="FZ1267" s="28"/>
      <c r="GC1267" s="28"/>
    </row>
    <row r="1268" spans="1:185" s="25" customFormat="1" x14ac:dyDescent="0.3">
      <c r="A1268" s="27"/>
      <c r="B1268" s="28"/>
      <c r="C1268" s="27"/>
      <c r="D1268" s="26"/>
      <c r="E1268" s="28"/>
      <c r="H1268" s="28"/>
      <c r="K1268" s="28"/>
      <c r="N1268" s="28"/>
      <c r="Q1268" s="28"/>
      <c r="T1268" s="28"/>
      <c r="W1268" s="28"/>
      <c r="Z1268" s="28"/>
      <c r="AC1268" s="28"/>
      <c r="AF1268" s="28"/>
      <c r="AI1268" s="28"/>
      <c r="AL1268" s="28"/>
      <c r="AO1268" s="28"/>
      <c r="AR1268" s="28"/>
      <c r="AU1268" s="28"/>
      <c r="AX1268" s="28"/>
      <c r="BA1268" s="28"/>
      <c r="BD1268" s="28"/>
      <c r="BG1268" s="28"/>
      <c r="BJ1268" s="28"/>
      <c r="BM1268" s="28"/>
      <c r="BP1268" s="28"/>
      <c r="BS1268" s="28"/>
      <c r="BV1268" s="28"/>
      <c r="BY1268" s="28"/>
      <c r="CB1268" s="28"/>
      <c r="CE1268" s="28"/>
      <c r="CH1268" s="28"/>
      <c r="CK1268" s="28"/>
      <c r="CN1268" s="28"/>
      <c r="CQ1268" s="28"/>
      <c r="CT1268" s="28"/>
      <c r="CW1268" s="28"/>
      <c r="CZ1268" s="28"/>
      <c r="DC1268" s="28"/>
      <c r="DF1268" s="28"/>
      <c r="DI1268" s="28"/>
      <c r="DL1268" s="28"/>
      <c r="DO1268" s="28"/>
      <c r="DR1268" s="28"/>
      <c r="DU1268" s="28"/>
      <c r="DX1268" s="28"/>
      <c r="EA1268" s="28"/>
      <c r="ED1268" s="28"/>
      <c r="EG1268" s="28"/>
      <c r="EJ1268" s="28"/>
      <c r="EM1268" s="28"/>
      <c r="EP1268" s="28"/>
      <c r="ES1268" s="28"/>
      <c r="EV1268" s="28"/>
      <c r="EY1268" s="28"/>
      <c r="FB1268" s="28"/>
      <c r="FE1268" s="28"/>
      <c r="FH1268" s="28"/>
      <c r="FK1268" s="28"/>
      <c r="FN1268" s="28"/>
      <c r="FQ1268" s="28"/>
      <c r="FT1268" s="28"/>
      <c r="FW1268" s="28"/>
      <c r="FZ1268" s="28"/>
      <c r="GC1268" s="28"/>
    </row>
    <row r="1269" spans="1:185" s="25" customFormat="1" x14ac:dyDescent="0.3">
      <c r="A1269" s="27"/>
      <c r="B1269" s="28"/>
      <c r="C1269" s="27"/>
      <c r="D1269" s="26"/>
      <c r="E1269" s="28"/>
      <c r="H1269" s="28"/>
      <c r="K1269" s="28"/>
      <c r="N1269" s="28"/>
      <c r="Q1269" s="28"/>
      <c r="T1269" s="28"/>
      <c r="W1269" s="28"/>
      <c r="Z1269" s="28"/>
      <c r="AC1269" s="28"/>
      <c r="AF1269" s="28"/>
      <c r="AI1269" s="28"/>
      <c r="AL1269" s="28"/>
      <c r="AO1269" s="28"/>
      <c r="AR1269" s="28"/>
      <c r="AU1269" s="28"/>
      <c r="AX1269" s="28"/>
      <c r="BA1269" s="28"/>
      <c r="BD1269" s="28"/>
      <c r="BG1269" s="28"/>
      <c r="BJ1269" s="28"/>
      <c r="BM1269" s="28"/>
      <c r="BP1269" s="28"/>
      <c r="BS1269" s="28"/>
      <c r="BV1269" s="28"/>
      <c r="BY1269" s="28"/>
      <c r="CB1269" s="28"/>
      <c r="CE1269" s="28"/>
      <c r="CH1269" s="28"/>
      <c r="CK1269" s="28"/>
      <c r="CN1269" s="28"/>
      <c r="CQ1269" s="28"/>
      <c r="CT1269" s="28"/>
      <c r="CW1269" s="28"/>
      <c r="CZ1269" s="28"/>
      <c r="DC1269" s="28"/>
      <c r="DF1269" s="28"/>
      <c r="DI1269" s="28"/>
      <c r="DL1269" s="28"/>
      <c r="DO1269" s="28"/>
      <c r="DR1269" s="28"/>
      <c r="DU1269" s="28"/>
      <c r="DX1269" s="28"/>
      <c r="EA1269" s="28"/>
      <c r="ED1269" s="28"/>
      <c r="EG1269" s="28"/>
      <c r="EJ1269" s="28"/>
      <c r="EM1269" s="28"/>
      <c r="EP1269" s="28"/>
      <c r="ES1269" s="28"/>
      <c r="EV1269" s="28"/>
      <c r="EY1269" s="28"/>
      <c r="FB1269" s="28"/>
      <c r="FE1269" s="28"/>
      <c r="FH1269" s="28"/>
      <c r="FK1269" s="28"/>
      <c r="FN1269" s="28"/>
      <c r="FQ1269" s="28"/>
      <c r="FT1269" s="28"/>
      <c r="FW1269" s="28"/>
      <c r="FZ1269" s="28"/>
      <c r="GC1269" s="28"/>
    </row>
    <row r="1270" spans="1:185" s="25" customFormat="1" x14ac:dyDescent="0.3">
      <c r="A1270" s="27"/>
      <c r="B1270" s="28"/>
      <c r="C1270" s="27"/>
      <c r="D1270" s="26"/>
      <c r="E1270" s="28"/>
      <c r="H1270" s="28"/>
      <c r="K1270" s="28"/>
      <c r="N1270" s="28"/>
      <c r="Q1270" s="28"/>
      <c r="T1270" s="28"/>
      <c r="W1270" s="28"/>
      <c r="Z1270" s="28"/>
      <c r="AC1270" s="28"/>
      <c r="AF1270" s="28"/>
      <c r="AI1270" s="28"/>
      <c r="AL1270" s="28"/>
      <c r="AO1270" s="28"/>
      <c r="AR1270" s="28"/>
      <c r="AU1270" s="28"/>
      <c r="AX1270" s="28"/>
      <c r="BA1270" s="28"/>
      <c r="BD1270" s="28"/>
      <c r="BG1270" s="28"/>
      <c r="BJ1270" s="28"/>
      <c r="BM1270" s="28"/>
      <c r="BP1270" s="28"/>
      <c r="BS1270" s="28"/>
      <c r="BV1270" s="28"/>
      <c r="BY1270" s="28"/>
      <c r="CB1270" s="28"/>
      <c r="CE1270" s="28"/>
      <c r="CH1270" s="28"/>
      <c r="CK1270" s="28"/>
      <c r="CN1270" s="28"/>
      <c r="CQ1270" s="28"/>
      <c r="CT1270" s="28"/>
      <c r="CW1270" s="28"/>
      <c r="CZ1270" s="28"/>
      <c r="DC1270" s="28"/>
      <c r="DF1270" s="28"/>
      <c r="DI1270" s="28"/>
      <c r="DL1270" s="28"/>
      <c r="DO1270" s="28"/>
      <c r="DR1270" s="28"/>
      <c r="DU1270" s="28"/>
      <c r="DX1270" s="28"/>
      <c r="EA1270" s="28"/>
      <c r="ED1270" s="28"/>
      <c r="EG1270" s="28"/>
      <c r="EJ1270" s="28"/>
      <c r="EM1270" s="28"/>
      <c r="EP1270" s="28"/>
      <c r="ES1270" s="28"/>
      <c r="EV1270" s="28"/>
      <c r="EY1270" s="28"/>
      <c r="FB1270" s="28"/>
      <c r="FE1270" s="28"/>
      <c r="FH1270" s="28"/>
      <c r="FK1270" s="28"/>
      <c r="FN1270" s="28"/>
      <c r="FQ1270" s="28"/>
      <c r="FT1270" s="28"/>
      <c r="FW1270" s="28"/>
      <c r="FZ1270" s="28"/>
      <c r="GC1270" s="28"/>
    </row>
    <row r="1271" spans="1:185" s="25" customFormat="1" x14ac:dyDescent="0.3">
      <c r="A1271" s="27"/>
      <c r="B1271" s="28"/>
      <c r="C1271" s="27"/>
      <c r="D1271" s="26"/>
      <c r="E1271" s="28"/>
      <c r="H1271" s="28"/>
      <c r="K1271" s="28"/>
      <c r="N1271" s="28"/>
      <c r="Q1271" s="28"/>
      <c r="T1271" s="28"/>
      <c r="W1271" s="28"/>
      <c r="Z1271" s="28"/>
      <c r="AC1271" s="28"/>
      <c r="AF1271" s="28"/>
      <c r="AI1271" s="28"/>
      <c r="AL1271" s="28"/>
      <c r="AO1271" s="28"/>
      <c r="AR1271" s="28"/>
      <c r="AU1271" s="28"/>
      <c r="AX1271" s="28"/>
      <c r="BA1271" s="28"/>
      <c r="BD1271" s="28"/>
      <c r="BG1271" s="28"/>
      <c r="BJ1271" s="28"/>
      <c r="BM1271" s="28"/>
      <c r="BP1271" s="28"/>
      <c r="BS1271" s="28"/>
      <c r="BV1271" s="28"/>
      <c r="BY1271" s="28"/>
      <c r="CB1271" s="28"/>
      <c r="CE1271" s="28"/>
      <c r="CH1271" s="28"/>
      <c r="CK1271" s="28"/>
      <c r="CN1271" s="28"/>
      <c r="CQ1271" s="28"/>
      <c r="CT1271" s="28"/>
      <c r="CW1271" s="28"/>
      <c r="CZ1271" s="28"/>
      <c r="DC1271" s="28"/>
      <c r="DF1271" s="28"/>
      <c r="DI1271" s="28"/>
      <c r="DL1271" s="28"/>
      <c r="DO1271" s="28"/>
      <c r="DR1271" s="28"/>
      <c r="DU1271" s="28"/>
      <c r="DX1271" s="28"/>
      <c r="EA1271" s="28"/>
      <c r="ED1271" s="28"/>
      <c r="EG1271" s="28"/>
      <c r="EJ1271" s="28"/>
      <c r="EM1271" s="28"/>
      <c r="EP1271" s="28"/>
      <c r="ES1271" s="28"/>
      <c r="EV1271" s="28"/>
      <c r="EY1271" s="28"/>
      <c r="FB1271" s="28"/>
      <c r="FE1271" s="28"/>
      <c r="FH1271" s="28"/>
      <c r="FK1271" s="28"/>
      <c r="FN1271" s="28"/>
      <c r="FQ1271" s="28"/>
      <c r="FT1271" s="28"/>
      <c r="FW1271" s="28"/>
      <c r="FZ1271" s="28"/>
      <c r="GC1271" s="28"/>
    </row>
    <row r="1272" spans="1:185" s="25" customFormat="1" x14ac:dyDescent="0.3">
      <c r="A1272" s="27"/>
      <c r="B1272" s="28"/>
      <c r="C1272" s="27"/>
      <c r="D1272" s="26"/>
      <c r="E1272" s="28"/>
      <c r="H1272" s="28"/>
      <c r="K1272" s="28"/>
      <c r="N1272" s="28"/>
      <c r="Q1272" s="28"/>
      <c r="T1272" s="28"/>
      <c r="W1272" s="28"/>
      <c r="Z1272" s="28"/>
      <c r="AC1272" s="28"/>
      <c r="AF1272" s="28"/>
      <c r="AI1272" s="28"/>
      <c r="AL1272" s="28"/>
      <c r="AO1272" s="28"/>
      <c r="AR1272" s="28"/>
      <c r="AU1272" s="28"/>
      <c r="AX1272" s="28"/>
      <c r="BA1272" s="28"/>
      <c r="BD1272" s="28"/>
      <c r="BG1272" s="28"/>
      <c r="BJ1272" s="28"/>
      <c r="BM1272" s="28"/>
      <c r="BP1272" s="28"/>
      <c r="BS1272" s="28"/>
      <c r="BV1272" s="28"/>
      <c r="BY1272" s="28"/>
      <c r="CB1272" s="28"/>
      <c r="CE1272" s="28"/>
      <c r="CH1272" s="28"/>
      <c r="CK1272" s="28"/>
      <c r="CN1272" s="28"/>
      <c r="CQ1272" s="28"/>
      <c r="CT1272" s="28"/>
      <c r="CW1272" s="28"/>
      <c r="CZ1272" s="28"/>
      <c r="DC1272" s="28"/>
      <c r="DF1272" s="28"/>
      <c r="DI1272" s="28"/>
      <c r="DL1272" s="28"/>
      <c r="DO1272" s="28"/>
      <c r="DR1272" s="28"/>
      <c r="DU1272" s="28"/>
      <c r="DX1272" s="28"/>
      <c r="EA1272" s="28"/>
      <c r="ED1272" s="28"/>
      <c r="EG1272" s="28"/>
      <c r="EJ1272" s="28"/>
      <c r="EM1272" s="28"/>
      <c r="EP1272" s="28"/>
      <c r="ES1272" s="28"/>
      <c r="EV1272" s="28"/>
      <c r="EY1272" s="28"/>
      <c r="FB1272" s="28"/>
      <c r="FE1272" s="28"/>
      <c r="FH1272" s="28"/>
      <c r="FK1272" s="28"/>
      <c r="FN1272" s="28"/>
      <c r="FQ1272" s="28"/>
      <c r="FT1272" s="28"/>
      <c r="FW1272" s="28"/>
      <c r="FZ1272" s="28"/>
      <c r="GC1272" s="28"/>
    </row>
    <row r="1273" spans="1:185" s="25" customFormat="1" x14ac:dyDescent="0.3">
      <c r="A1273" s="27"/>
      <c r="B1273" s="28"/>
      <c r="C1273" s="27"/>
      <c r="D1273" s="26"/>
      <c r="E1273" s="28"/>
      <c r="H1273" s="28"/>
      <c r="K1273" s="28"/>
      <c r="N1273" s="28"/>
      <c r="Q1273" s="28"/>
      <c r="T1273" s="28"/>
      <c r="W1273" s="28"/>
      <c r="Z1273" s="28"/>
      <c r="AC1273" s="28"/>
      <c r="AF1273" s="28"/>
      <c r="AI1273" s="28"/>
      <c r="AL1273" s="28"/>
      <c r="AO1273" s="28"/>
      <c r="AR1273" s="28"/>
      <c r="AU1273" s="28"/>
      <c r="AX1273" s="28"/>
      <c r="BA1273" s="28"/>
      <c r="BD1273" s="28"/>
      <c r="BG1273" s="28"/>
      <c r="BJ1273" s="28"/>
      <c r="BM1273" s="28"/>
      <c r="BP1273" s="28"/>
      <c r="BS1273" s="28"/>
      <c r="BV1273" s="28"/>
      <c r="BY1273" s="28"/>
      <c r="CB1273" s="28"/>
      <c r="CE1273" s="28"/>
      <c r="CH1273" s="28"/>
      <c r="CK1273" s="28"/>
      <c r="CN1273" s="28"/>
      <c r="CQ1273" s="28"/>
      <c r="CT1273" s="28"/>
      <c r="CW1273" s="28"/>
      <c r="CZ1273" s="28"/>
      <c r="DC1273" s="28"/>
      <c r="DF1273" s="28"/>
      <c r="DI1273" s="28"/>
      <c r="DL1273" s="28"/>
      <c r="DO1273" s="28"/>
      <c r="DR1273" s="28"/>
      <c r="DU1273" s="28"/>
      <c r="DX1273" s="28"/>
      <c r="EA1273" s="28"/>
      <c r="ED1273" s="28"/>
      <c r="EG1273" s="28"/>
      <c r="EJ1273" s="28"/>
      <c r="EM1273" s="28"/>
      <c r="EP1273" s="28"/>
      <c r="ES1273" s="28"/>
      <c r="EV1273" s="28"/>
      <c r="EY1273" s="28"/>
      <c r="FB1273" s="28"/>
      <c r="FE1273" s="28"/>
      <c r="FH1273" s="28"/>
      <c r="FK1273" s="28"/>
      <c r="FN1273" s="28"/>
      <c r="FQ1273" s="28"/>
      <c r="FT1273" s="28"/>
      <c r="FW1273" s="28"/>
      <c r="FZ1273" s="28"/>
      <c r="GC1273" s="28"/>
    </row>
    <row r="1274" spans="1:185" s="25" customFormat="1" x14ac:dyDescent="0.3">
      <c r="A1274" s="27"/>
      <c r="B1274" s="28"/>
      <c r="C1274" s="27"/>
      <c r="D1274" s="26"/>
      <c r="E1274" s="28"/>
      <c r="H1274" s="28"/>
      <c r="K1274" s="28"/>
      <c r="N1274" s="28"/>
      <c r="Q1274" s="28"/>
      <c r="T1274" s="28"/>
      <c r="W1274" s="28"/>
      <c r="Z1274" s="28"/>
      <c r="AC1274" s="28"/>
      <c r="AF1274" s="28"/>
      <c r="AI1274" s="28"/>
      <c r="AL1274" s="28"/>
      <c r="AO1274" s="28"/>
      <c r="AR1274" s="28"/>
      <c r="AU1274" s="28"/>
      <c r="AX1274" s="28"/>
      <c r="BA1274" s="28"/>
      <c r="BD1274" s="28"/>
      <c r="BG1274" s="28"/>
      <c r="BJ1274" s="28"/>
      <c r="BM1274" s="28"/>
      <c r="BP1274" s="28"/>
      <c r="BS1274" s="28"/>
      <c r="BV1274" s="28"/>
      <c r="BY1274" s="28"/>
      <c r="CB1274" s="28"/>
      <c r="CE1274" s="28"/>
      <c r="CH1274" s="28"/>
      <c r="CK1274" s="28"/>
      <c r="CN1274" s="28"/>
      <c r="CQ1274" s="28"/>
      <c r="CT1274" s="28"/>
      <c r="CW1274" s="28"/>
      <c r="CZ1274" s="28"/>
      <c r="DC1274" s="28"/>
      <c r="DF1274" s="28"/>
      <c r="DI1274" s="28"/>
      <c r="DL1274" s="28"/>
      <c r="DO1274" s="28"/>
      <c r="DR1274" s="28"/>
      <c r="DU1274" s="28"/>
      <c r="DX1274" s="28"/>
      <c r="EA1274" s="28"/>
      <c r="ED1274" s="28"/>
      <c r="EG1274" s="28"/>
      <c r="EJ1274" s="28"/>
      <c r="EM1274" s="28"/>
      <c r="EP1274" s="28"/>
      <c r="ES1274" s="28"/>
      <c r="EV1274" s="28"/>
      <c r="EY1274" s="28"/>
      <c r="FB1274" s="28"/>
      <c r="FE1274" s="28"/>
      <c r="FH1274" s="28"/>
      <c r="FK1274" s="28"/>
      <c r="FN1274" s="28"/>
      <c r="FQ1274" s="28"/>
      <c r="FT1274" s="28"/>
      <c r="FW1274" s="28"/>
      <c r="FZ1274" s="28"/>
      <c r="GC1274" s="28"/>
    </row>
    <row r="1275" spans="1:185" s="25" customFormat="1" x14ac:dyDescent="0.3">
      <c r="A1275" s="27"/>
      <c r="B1275" s="28"/>
      <c r="C1275" s="27"/>
      <c r="D1275" s="26"/>
      <c r="E1275" s="28"/>
      <c r="H1275" s="28"/>
      <c r="K1275" s="28"/>
      <c r="N1275" s="28"/>
      <c r="Q1275" s="28"/>
      <c r="T1275" s="28"/>
      <c r="W1275" s="28"/>
      <c r="Z1275" s="28"/>
      <c r="AC1275" s="28"/>
      <c r="AF1275" s="28"/>
      <c r="AI1275" s="28"/>
      <c r="AL1275" s="28"/>
      <c r="AO1275" s="28"/>
      <c r="AR1275" s="28"/>
      <c r="AU1275" s="28"/>
      <c r="AX1275" s="28"/>
      <c r="BA1275" s="28"/>
      <c r="BD1275" s="28"/>
      <c r="BG1275" s="28"/>
      <c r="BJ1275" s="28"/>
      <c r="BM1275" s="28"/>
      <c r="BP1275" s="28"/>
      <c r="BS1275" s="28"/>
      <c r="BV1275" s="28"/>
      <c r="BY1275" s="28"/>
      <c r="CB1275" s="28"/>
      <c r="CE1275" s="28"/>
      <c r="CH1275" s="28"/>
      <c r="CK1275" s="28"/>
      <c r="CN1275" s="28"/>
      <c r="CQ1275" s="28"/>
      <c r="CT1275" s="28"/>
      <c r="CW1275" s="28"/>
      <c r="CZ1275" s="28"/>
      <c r="DC1275" s="28"/>
      <c r="DF1275" s="28"/>
      <c r="DI1275" s="28"/>
      <c r="DL1275" s="28"/>
      <c r="DO1275" s="28"/>
      <c r="DR1275" s="28"/>
      <c r="DU1275" s="28"/>
      <c r="DX1275" s="28"/>
      <c r="EA1275" s="28"/>
      <c r="ED1275" s="28"/>
      <c r="EG1275" s="28"/>
      <c r="EJ1275" s="28"/>
      <c r="EM1275" s="28"/>
      <c r="EP1275" s="28"/>
      <c r="ES1275" s="28"/>
      <c r="EV1275" s="28"/>
      <c r="EY1275" s="28"/>
      <c r="FB1275" s="28"/>
      <c r="FE1275" s="28"/>
      <c r="FH1275" s="28"/>
      <c r="FK1275" s="28"/>
      <c r="FN1275" s="28"/>
      <c r="FQ1275" s="28"/>
      <c r="FT1275" s="28"/>
      <c r="FW1275" s="28"/>
      <c r="FZ1275" s="28"/>
      <c r="GC1275" s="28"/>
    </row>
    <row r="1276" spans="1:185" s="25" customFormat="1" x14ac:dyDescent="0.3">
      <c r="A1276" s="27"/>
      <c r="B1276" s="28"/>
      <c r="C1276" s="27"/>
      <c r="D1276" s="26"/>
      <c r="E1276" s="28"/>
      <c r="H1276" s="28"/>
      <c r="K1276" s="28"/>
      <c r="N1276" s="28"/>
      <c r="Q1276" s="28"/>
      <c r="T1276" s="28"/>
      <c r="W1276" s="28"/>
      <c r="Z1276" s="28"/>
      <c r="AC1276" s="28"/>
      <c r="AF1276" s="28"/>
      <c r="AI1276" s="28"/>
      <c r="AL1276" s="28"/>
      <c r="AO1276" s="28"/>
      <c r="AR1276" s="28"/>
      <c r="AU1276" s="28"/>
      <c r="AX1276" s="28"/>
      <c r="BA1276" s="28"/>
      <c r="BD1276" s="28"/>
      <c r="BG1276" s="28"/>
      <c r="BJ1276" s="28"/>
      <c r="BM1276" s="28"/>
      <c r="BP1276" s="28"/>
      <c r="BS1276" s="28"/>
      <c r="BV1276" s="28"/>
      <c r="BY1276" s="28"/>
      <c r="CB1276" s="28"/>
      <c r="CE1276" s="28"/>
      <c r="CH1276" s="28"/>
      <c r="CK1276" s="28"/>
      <c r="CN1276" s="28"/>
      <c r="CQ1276" s="28"/>
      <c r="CT1276" s="28"/>
      <c r="CW1276" s="28"/>
      <c r="CZ1276" s="28"/>
      <c r="DC1276" s="28"/>
      <c r="DF1276" s="28"/>
      <c r="DI1276" s="28"/>
      <c r="DL1276" s="28"/>
      <c r="DO1276" s="28"/>
      <c r="DR1276" s="28"/>
      <c r="DU1276" s="28"/>
      <c r="DX1276" s="28"/>
      <c r="EA1276" s="28"/>
      <c r="ED1276" s="28"/>
      <c r="EG1276" s="28"/>
      <c r="EJ1276" s="28"/>
      <c r="EM1276" s="28"/>
      <c r="EP1276" s="28"/>
      <c r="ES1276" s="28"/>
      <c r="EV1276" s="28"/>
      <c r="EY1276" s="28"/>
      <c r="FB1276" s="28"/>
      <c r="FE1276" s="28"/>
      <c r="FH1276" s="28"/>
      <c r="FK1276" s="28"/>
      <c r="FN1276" s="28"/>
      <c r="FQ1276" s="28"/>
      <c r="FT1276" s="28"/>
      <c r="FW1276" s="28"/>
      <c r="FZ1276" s="28"/>
      <c r="GC1276" s="28"/>
    </row>
    <row r="1277" spans="1:185" s="25" customFormat="1" x14ac:dyDescent="0.3">
      <c r="A1277" s="27"/>
      <c r="B1277" s="28"/>
      <c r="C1277" s="27"/>
      <c r="D1277" s="26"/>
      <c r="E1277" s="28"/>
      <c r="H1277" s="28"/>
      <c r="K1277" s="28"/>
      <c r="N1277" s="28"/>
      <c r="Q1277" s="28"/>
      <c r="T1277" s="28"/>
      <c r="W1277" s="28"/>
      <c r="Z1277" s="28"/>
      <c r="AC1277" s="28"/>
      <c r="AF1277" s="28"/>
      <c r="AI1277" s="28"/>
      <c r="AL1277" s="28"/>
      <c r="AO1277" s="28"/>
      <c r="AR1277" s="28"/>
      <c r="AU1277" s="28"/>
      <c r="AX1277" s="28"/>
      <c r="BA1277" s="28"/>
      <c r="BD1277" s="28"/>
      <c r="BG1277" s="28"/>
      <c r="BJ1277" s="28"/>
      <c r="BM1277" s="28"/>
      <c r="BP1277" s="28"/>
      <c r="BS1277" s="28"/>
      <c r="BV1277" s="28"/>
      <c r="BY1277" s="28"/>
      <c r="CB1277" s="28"/>
      <c r="CE1277" s="28"/>
      <c r="CH1277" s="28"/>
      <c r="CK1277" s="28"/>
      <c r="CN1277" s="28"/>
      <c r="CQ1277" s="28"/>
      <c r="CT1277" s="28"/>
      <c r="CW1277" s="28"/>
      <c r="CZ1277" s="28"/>
      <c r="DC1277" s="28"/>
      <c r="DF1277" s="28"/>
      <c r="DI1277" s="28"/>
      <c r="DL1277" s="28"/>
      <c r="DO1277" s="28"/>
      <c r="DR1277" s="28"/>
      <c r="DU1277" s="28"/>
      <c r="DX1277" s="28"/>
      <c r="EA1277" s="28"/>
      <c r="ED1277" s="28"/>
      <c r="EG1277" s="28"/>
      <c r="EJ1277" s="28"/>
      <c r="EM1277" s="28"/>
      <c r="EP1277" s="28"/>
      <c r="ES1277" s="28"/>
      <c r="EV1277" s="28"/>
      <c r="EY1277" s="28"/>
      <c r="FB1277" s="28"/>
      <c r="FE1277" s="28"/>
      <c r="FH1277" s="28"/>
      <c r="FK1277" s="28"/>
      <c r="FN1277" s="28"/>
      <c r="FQ1277" s="28"/>
      <c r="FT1277" s="28"/>
      <c r="FW1277" s="28"/>
      <c r="FZ1277" s="28"/>
      <c r="GC1277" s="28"/>
    </row>
    <row r="1278" spans="1:185" s="25" customFormat="1" x14ac:dyDescent="0.3">
      <c r="A1278" s="27"/>
      <c r="B1278" s="28"/>
      <c r="C1278" s="27"/>
      <c r="D1278" s="26"/>
      <c r="E1278" s="28"/>
      <c r="H1278" s="28"/>
      <c r="K1278" s="28"/>
      <c r="N1278" s="28"/>
      <c r="Q1278" s="28"/>
      <c r="T1278" s="28"/>
      <c r="W1278" s="28"/>
      <c r="Z1278" s="28"/>
      <c r="AC1278" s="28"/>
      <c r="AF1278" s="28"/>
      <c r="AI1278" s="28"/>
      <c r="AL1278" s="28"/>
      <c r="AO1278" s="28"/>
      <c r="AR1278" s="28"/>
      <c r="AU1278" s="28"/>
      <c r="AX1278" s="28"/>
      <c r="BA1278" s="28"/>
      <c r="BD1278" s="28"/>
      <c r="BG1278" s="28"/>
      <c r="BJ1278" s="28"/>
      <c r="BM1278" s="28"/>
      <c r="BP1278" s="28"/>
      <c r="BS1278" s="28"/>
      <c r="BV1278" s="28"/>
      <c r="BY1278" s="28"/>
      <c r="CB1278" s="28"/>
      <c r="CE1278" s="28"/>
      <c r="CH1278" s="28"/>
      <c r="CK1278" s="28"/>
      <c r="CN1278" s="28"/>
      <c r="CQ1278" s="28"/>
      <c r="CT1278" s="28"/>
      <c r="CW1278" s="28"/>
      <c r="CZ1278" s="28"/>
      <c r="DC1278" s="28"/>
      <c r="DF1278" s="28"/>
      <c r="DI1278" s="28"/>
      <c r="DL1278" s="28"/>
      <c r="DO1278" s="28"/>
      <c r="DR1278" s="28"/>
      <c r="DU1278" s="28"/>
      <c r="DX1278" s="28"/>
      <c r="EA1278" s="28"/>
      <c r="ED1278" s="28"/>
      <c r="EG1278" s="28"/>
      <c r="EJ1278" s="28"/>
      <c r="EM1278" s="28"/>
      <c r="EP1278" s="28"/>
      <c r="ES1278" s="28"/>
      <c r="EV1278" s="28"/>
      <c r="EY1278" s="28"/>
      <c r="FB1278" s="28"/>
      <c r="FE1278" s="28"/>
      <c r="FH1278" s="28"/>
      <c r="FK1278" s="28"/>
      <c r="FN1278" s="28"/>
      <c r="FQ1278" s="28"/>
      <c r="FT1278" s="28"/>
      <c r="FW1278" s="28"/>
      <c r="FZ1278" s="28"/>
      <c r="GC1278" s="28"/>
    </row>
    <row r="1279" spans="1:185" s="25" customFormat="1" x14ac:dyDescent="0.3">
      <c r="A1279" s="27"/>
      <c r="B1279" s="28"/>
      <c r="C1279" s="27"/>
      <c r="D1279" s="26"/>
      <c r="E1279" s="28"/>
      <c r="H1279" s="28"/>
      <c r="K1279" s="28"/>
      <c r="N1279" s="28"/>
      <c r="Q1279" s="28"/>
      <c r="T1279" s="28"/>
      <c r="W1279" s="28"/>
      <c r="Z1279" s="28"/>
      <c r="AC1279" s="28"/>
      <c r="AF1279" s="28"/>
      <c r="AI1279" s="28"/>
      <c r="AL1279" s="28"/>
      <c r="AO1279" s="28"/>
      <c r="AR1279" s="28"/>
      <c r="AU1279" s="28"/>
      <c r="AX1279" s="28"/>
      <c r="BA1279" s="28"/>
      <c r="BD1279" s="28"/>
      <c r="BG1279" s="28"/>
      <c r="BJ1279" s="28"/>
      <c r="BM1279" s="28"/>
      <c r="BP1279" s="28"/>
      <c r="BS1279" s="28"/>
      <c r="BV1279" s="28"/>
      <c r="BY1279" s="28"/>
      <c r="CB1279" s="28"/>
      <c r="CE1279" s="28"/>
      <c r="CH1279" s="28"/>
      <c r="CK1279" s="28"/>
      <c r="CN1279" s="28"/>
      <c r="CQ1279" s="28"/>
      <c r="CT1279" s="28"/>
      <c r="CW1279" s="28"/>
      <c r="CZ1279" s="28"/>
      <c r="DC1279" s="28"/>
      <c r="DF1279" s="28"/>
      <c r="DI1279" s="28"/>
      <c r="DL1279" s="28"/>
      <c r="DO1279" s="28"/>
      <c r="DR1279" s="28"/>
      <c r="DU1279" s="28"/>
      <c r="DX1279" s="28"/>
      <c r="EA1279" s="28"/>
      <c r="ED1279" s="28"/>
      <c r="EG1279" s="28"/>
      <c r="EJ1279" s="28"/>
      <c r="EM1279" s="28"/>
      <c r="EP1279" s="28"/>
      <c r="ES1279" s="28"/>
      <c r="EV1279" s="28"/>
      <c r="EY1279" s="28"/>
      <c r="FB1279" s="28"/>
      <c r="FE1279" s="28"/>
      <c r="FH1279" s="28"/>
      <c r="FK1279" s="28"/>
      <c r="FN1279" s="28"/>
      <c r="FQ1279" s="28"/>
      <c r="FT1279" s="28"/>
      <c r="FW1279" s="28"/>
      <c r="FZ1279" s="28"/>
      <c r="GC1279" s="28"/>
    </row>
    <row r="1280" spans="1:185" s="25" customFormat="1" x14ac:dyDescent="0.3">
      <c r="A1280" s="27"/>
      <c r="B1280" s="28"/>
      <c r="C1280" s="27"/>
      <c r="D1280" s="26"/>
      <c r="E1280" s="28"/>
      <c r="H1280" s="28"/>
      <c r="K1280" s="28"/>
      <c r="N1280" s="28"/>
      <c r="Q1280" s="28"/>
      <c r="T1280" s="28"/>
      <c r="W1280" s="28"/>
      <c r="Z1280" s="28"/>
      <c r="AC1280" s="28"/>
      <c r="AF1280" s="28"/>
      <c r="AI1280" s="28"/>
      <c r="AL1280" s="28"/>
      <c r="AO1280" s="28"/>
      <c r="AR1280" s="28"/>
      <c r="AU1280" s="28"/>
      <c r="AX1280" s="28"/>
      <c r="BA1280" s="28"/>
      <c r="BD1280" s="28"/>
      <c r="BG1280" s="28"/>
      <c r="BJ1280" s="28"/>
      <c r="BM1280" s="28"/>
      <c r="BP1280" s="28"/>
      <c r="BS1280" s="28"/>
      <c r="BV1280" s="28"/>
      <c r="BY1280" s="28"/>
      <c r="CB1280" s="28"/>
      <c r="CE1280" s="28"/>
      <c r="CH1280" s="28"/>
      <c r="CK1280" s="28"/>
      <c r="CN1280" s="28"/>
      <c r="CQ1280" s="28"/>
      <c r="CT1280" s="28"/>
      <c r="CW1280" s="28"/>
      <c r="CZ1280" s="28"/>
      <c r="DC1280" s="28"/>
      <c r="DF1280" s="28"/>
      <c r="DI1280" s="28"/>
      <c r="DL1280" s="28"/>
      <c r="DO1280" s="28"/>
      <c r="DR1280" s="28"/>
      <c r="DU1280" s="28"/>
      <c r="DX1280" s="28"/>
      <c r="EA1280" s="28"/>
      <c r="ED1280" s="28"/>
      <c r="EG1280" s="28"/>
      <c r="EJ1280" s="28"/>
      <c r="EM1280" s="28"/>
      <c r="EP1280" s="28"/>
      <c r="ES1280" s="28"/>
      <c r="EV1280" s="28"/>
      <c r="EY1280" s="28"/>
      <c r="FB1280" s="28"/>
      <c r="FE1280" s="28"/>
      <c r="FH1280" s="28"/>
      <c r="FK1280" s="28"/>
      <c r="FN1280" s="28"/>
      <c r="FQ1280" s="28"/>
      <c r="FT1280" s="28"/>
      <c r="FW1280" s="28"/>
      <c r="FZ1280" s="28"/>
      <c r="GC1280" s="28"/>
    </row>
    <row r="1281" spans="1:185" s="25" customFormat="1" x14ac:dyDescent="0.3">
      <c r="A1281" s="27"/>
      <c r="B1281" s="28"/>
      <c r="C1281" s="27"/>
      <c r="D1281" s="26"/>
      <c r="E1281" s="28"/>
      <c r="H1281" s="28"/>
      <c r="K1281" s="28"/>
      <c r="N1281" s="28"/>
      <c r="Q1281" s="28"/>
      <c r="T1281" s="28"/>
      <c r="W1281" s="28"/>
      <c r="Z1281" s="28"/>
      <c r="AC1281" s="28"/>
      <c r="AF1281" s="28"/>
      <c r="AI1281" s="28"/>
      <c r="AL1281" s="28"/>
      <c r="AO1281" s="28"/>
      <c r="AR1281" s="28"/>
      <c r="AU1281" s="28"/>
      <c r="AX1281" s="28"/>
      <c r="BA1281" s="28"/>
      <c r="BD1281" s="28"/>
      <c r="BG1281" s="28"/>
      <c r="BJ1281" s="28"/>
      <c r="BM1281" s="28"/>
      <c r="BP1281" s="28"/>
      <c r="BS1281" s="28"/>
      <c r="BV1281" s="28"/>
      <c r="BY1281" s="28"/>
      <c r="CB1281" s="28"/>
      <c r="CE1281" s="28"/>
      <c r="CH1281" s="28"/>
      <c r="CK1281" s="28"/>
      <c r="CN1281" s="28"/>
      <c r="CQ1281" s="28"/>
      <c r="CT1281" s="28"/>
      <c r="CW1281" s="28"/>
      <c r="CZ1281" s="28"/>
      <c r="DC1281" s="28"/>
      <c r="DF1281" s="28"/>
      <c r="DI1281" s="28"/>
      <c r="DL1281" s="28"/>
      <c r="DO1281" s="28"/>
      <c r="DR1281" s="28"/>
      <c r="DU1281" s="28"/>
      <c r="DX1281" s="28"/>
      <c r="EA1281" s="28"/>
      <c r="ED1281" s="28"/>
      <c r="EG1281" s="28"/>
      <c r="EJ1281" s="28"/>
      <c r="EM1281" s="28"/>
      <c r="EP1281" s="28"/>
      <c r="ES1281" s="28"/>
      <c r="EV1281" s="28"/>
      <c r="EY1281" s="28"/>
      <c r="FB1281" s="28"/>
      <c r="FE1281" s="28"/>
      <c r="FH1281" s="28"/>
      <c r="FK1281" s="28"/>
      <c r="FN1281" s="28"/>
      <c r="FQ1281" s="28"/>
      <c r="FT1281" s="28"/>
      <c r="FW1281" s="28"/>
      <c r="FZ1281" s="28"/>
      <c r="GC1281" s="28"/>
    </row>
    <row r="1282" spans="1:185" s="25" customFormat="1" x14ac:dyDescent="0.3">
      <c r="A1282" s="27"/>
      <c r="B1282" s="28"/>
      <c r="C1282" s="27"/>
      <c r="D1282" s="26"/>
      <c r="E1282" s="28"/>
      <c r="H1282" s="28"/>
      <c r="K1282" s="28"/>
      <c r="N1282" s="28"/>
      <c r="Q1282" s="28"/>
      <c r="T1282" s="28"/>
      <c r="W1282" s="28"/>
      <c r="Z1282" s="28"/>
      <c r="AC1282" s="28"/>
      <c r="AF1282" s="28"/>
      <c r="AI1282" s="28"/>
      <c r="AL1282" s="28"/>
      <c r="AO1282" s="28"/>
      <c r="AR1282" s="28"/>
      <c r="AU1282" s="28"/>
      <c r="AX1282" s="28"/>
      <c r="BA1282" s="28"/>
      <c r="BD1282" s="28"/>
      <c r="BG1282" s="28"/>
      <c r="BJ1282" s="28"/>
      <c r="BM1282" s="28"/>
      <c r="BP1282" s="28"/>
      <c r="BS1282" s="28"/>
      <c r="BV1282" s="28"/>
      <c r="BY1282" s="28"/>
      <c r="CB1282" s="28"/>
      <c r="CE1282" s="28"/>
      <c r="CH1282" s="28"/>
      <c r="CK1282" s="28"/>
      <c r="CN1282" s="28"/>
      <c r="CQ1282" s="28"/>
      <c r="CT1282" s="28"/>
      <c r="CW1282" s="28"/>
      <c r="CZ1282" s="28"/>
      <c r="DC1282" s="28"/>
      <c r="DF1282" s="28"/>
      <c r="DI1282" s="28"/>
      <c r="DL1282" s="28"/>
      <c r="DO1282" s="28"/>
      <c r="DR1282" s="28"/>
      <c r="DU1282" s="28"/>
      <c r="DX1282" s="28"/>
      <c r="EA1282" s="28"/>
      <c r="ED1282" s="28"/>
      <c r="EG1282" s="28"/>
      <c r="EJ1282" s="28"/>
      <c r="EM1282" s="28"/>
      <c r="EP1282" s="28"/>
      <c r="ES1282" s="28"/>
      <c r="EV1282" s="28"/>
      <c r="EY1282" s="28"/>
      <c r="FB1282" s="28"/>
      <c r="FE1282" s="28"/>
      <c r="FH1282" s="28"/>
      <c r="FK1282" s="28"/>
      <c r="FN1282" s="28"/>
      <c r="FQ1282" s="28"/>
      <c r="FT1282" s="28"/>
      <c r="FW1282" s="28"/>
      <c r="FZ1282" s="28"/>
      <c r="GC1282" s="28"/>
    </row>
    <row r="1283" spans="1:185" s="25" customFormat="1" x14ac:dyDescent="0.3">
      <c r="A1283" s="27"/>
      <c r="B1283" s="28"/>
      <c r="C1283" s="27"/>
      <c r="D1283" s="26"/>
      <c r="E1283" s="28"/>
      <c r="H1283" s="28"/>
      <c r="K1283" s="28"/>
      <c r="N1283" s="28"/>
      <c r="Q1283" s="28"/>
      <c r="T1283" s="28"/>
      <c r="W1283" s="28"/>
      <c r="Z1283" s="28"/>
      <c r="AC1283" s="28"/>
      <c r="AF1283" s="28"/>
      <c r="AI1283" s="28"/>
      <c r="AL1283" s="28"/>
      <c r="AO1283" s="28"/>
      <c r="AR1283" s="28"/>
      <c r="AU1283" s="28"/>
      <c r="AX1283" s="28"/>
      <c r="BA1283" s="28"/>
      <c r="BD1283" s="28"/>
      <c r="BG1283" s="28"/>
      <c r="BJ1283" s="28"/>
      <c r="BM1283" s="28"/>
      <c r="BP1283" s="28"/>
      <c r="BS1283" s="28"/>
      <c r="BV1283" s="28"/>
      <c r="BY1283" s="28"/>
      <c r="CB1283" s="28"/>
      <c r="CE1283" s="28"/>
      <c r="CH1283" s="28"/>
      <c r="CK1283" s="28"/>
      <c r="CN1283" s="28"/>
      <c r="CQ1283" s="28"/>
      <c r="CT1283" s="28"/>
      <c r="CW1283" s="28"/>
      <c r="CZ1283" s="28"/>
      <c r="DC1283" s="28"/>
      <c r="DF1283" s="28"/>
      <c r="DI1283" s="28"/>
      <c r="DL1283" s="28"/>
      <c r="DO1283" s="28"/>
      <c r="DR1283" s="28"/>
      <c r="DU1283" s="28"/>
      <c r="DX1283" s="28"/>
      <c r="EA1283" s="28"/>
      <c r="ED1283" s="28"/>
      <c r="EG1283" s="28"/>
      <c r="EJ1283" s="28"/>
      <c r="EM1283" s="28"/>
      <c r="EP1283" s="28"/>
      <c r="ES1283" s="28"/>
      <c r="EV1283" s="28"/>
      <c r="EY1283" s="28"/>
      <c r="FB1283" s="28"/>
      <c r="FE1283" s="28"/>
      <c r="FH1283" s="28"/>
      <c r="FK1283" s="28"/>
      <c r="FN1283" s="28"/>
      <c r="FQ1283" s="28"/>
      <c r="FT1283" s="28"/>
      <c r="FW1283" s="28"/>
      <c r="FZ1283" s="28"/>
      <c r="GC1283" s="28"/>
    </row>
    <row r="1284" spans="1:185" s="25" customFormat="1" x14ac:dyDescent="0.3">
      <c r="A1284" s="27"/>
      <c r="B1284" s="28"/>
      <c r="C1284" s="27"/>
      <c r="D1284" s="26"/>
      <c r="E1284" s="28"/>
      <c r="H1284" s="28"/>
      <c r="K1284" s="28"/>
      <c r="N1284" s="28"/>
      <c r="Q1284" s="28"/>
      <c r="T1284" s="28"/>
      <c r="W1284" s="28"/>
      <c r="Z1284" s="28"/>
      <c r="AC1284" s="28"/>
      <c r="AF1284" s="28"/>
      <c r="AI1284" s="28"/>
      <c r="AL1284" s="28"/>
      <c r="AO1284" s="28"/>
      <c r="AR1284" s="28"/>
      <c r="AU1284" s="28"/>
      <c r="AX1284" s="28"/>
      <c r="BA1284" s="28"/>
      <c r="BD1284" s="28"/>
      <c r="BG1284" s="28"/>
      <c r="BJ1284" s="28"/>
      <c r="BM1284" s="28"/>
      <c r="BP1284" s="28"/>
      <c r="BS1284" s="28"/>
      <c r="BV1284" s="28"/>
      <c r="BY1284" s="28"/>
      <c r="CB1284" s="28"/>
      <c r="CE1284" s="28"/>
      <c r="CH1284" s="28"/>
      <c r="CK1284" s="28"/>
      <c r="CN1284" s="28"/>
      <c r="CQ1284" s="28"/>
      <c r="CT1284" s="28"/>
      <c r="CW1284" s="28"/>
      <c r="CZ1284" s="28"/>
      <c r="DC1284" s="28"/>
      <c r="DF1284" s="28"/>
      <c r="DI1284" s="28"/>
      <c r="DL1284" s="28"/>
      <c r="DO1284" s="28"/>
      <c r="DR1284" s="28"/>
      <c r="DU1284" s="28"/>
      <c r="DX1284" s="28"/>
      <c r="EA1284" s="28"/>
      <c r="ED1284" s="28"/>
      <c r="EG1284" s="28"/>
      <c r="EJ1284" s="28"/>
      <c r="EM1284" s="28"/>
      <c r="EP1284" s="28"/>
      <c r="ES1284" s="28"/>
      <c r="EV1284" s="28"/>
      <c r="EY1284" s="28"/>
      <c r="FB1284" s="28"/>
      <c r="FE1284" s="28"/>
      <c r="FH1284" s="28"/>
      <c r="FK1284" s="28"/>
      <c r="FN1284" s="28"/>
      <c r="FQ1284" s="28"/>
      <c r="FT1284" s="28"/>
      <c r="FW1284" s="28"/>
      <c r="FZ1284" s="28"/>
      <c r="GC1284" s="28"/>
    </row>
    <row r="1285" spans="1:185" s="25" customFormat="1" x14ac:dyDescent="0.3">
      <c r="A1285" s="27"/>
      <c r="B1285" s="28"/>
      <c r="C1285" s="27"/>
      <c r="D1285" s="26"/>
      <c r="E1285" s="28"/>
      <c r="H1285" s="28"/>
      <c r="K1285" s="28"/>
      <c r="N1285" s="28"/>
      <c r="Q1285" s="28"/>
      <c r="T1285" s="28"/>
      <c r="W1285" s="28"/>
      <c r="Z1285" s="28"/>
      <c r="AC1285" s="28"/>
      <c r="AF1285" s="28"/>
      <c r="AI1285" s="28"/>
      <c r="AL1285" s="28"/>
      <c r="AO1285" s="28"/>
      <c r="AR1285" s="28"/>
      <c r="AU1285" s="28"/>
      <c r="AX1285" s="28"/>
      <c r="BA1285" s="28"/>
      <c r="BD1285" s="28"/>
      <c r="BG1285" s="28"/>
      <c r="BJ1285" s="28"/>
      <c r="BM1285" s="28"/>
      <c r="BP1285" s="28"/>
      <c r="BS1285" s="28"/>
      <c r="BV1285" s="28"/>
      <c r="BY1285" s="28"/>
      <c r="CB1285" s="28"/>
      <c r="CE1285" s="28"/>
      <c r="CH1285" s="28"/>
      <c r="CK1285" s="28"/>
      <c r="CN1285" s="28"/>
      <c r="CQ1285" s="28"/>
      <c r="CT1285" s="28"/>
      <c r="CW1285" s="28"/>
      <c r="CZ1285" s="28"/>
      <c r="DC1285" s="28"/>
      <c r="DF1285" s="28"/>
      <c r="DI1285" s="28"/>
      <c r="DL1285" s="28"/>
      <c r="DO1285" s="28"/>
      <c r="DR1285" s="28"/>
      <c r="DU1285" s="28"/>
      <c r="DX1285" s="28"/>
      <c r="EA1285" s="28"/>
      <c r="ED1285" s="28"/>
      <c r="EG1285" s="28"/>
      <c r="EJ1285" s="28"/>
      <c r="EM1285" s="28"/>
      <c r="EP1285" s="28"/>
      <c r="ES1285" s="28"/>
      <c r="EV1285" s="28"/>
      <c r="EY1285" s="28"/>
      <c r="FB1285" s="28"/>
      <c r="FE1285" s="28"/>
      <c r="FH1285" s="28"/>
      <c r="FK1285" s="28"/>
      <c r="FN1285" s="28"/>
      <c r="FQ1285" s="28"/>
      <c r="FT1285" s="28"/>
      <c r="FW1285" s="28"/>
      <c r="FZ1285" s="28"/>
      <c r="GC1285" s="28"/>
    </row>
    <row r="1286" spans="1:185" s="25" customFormat="1" x14ac:dyDescent="0.3">
      <c r="A1286" s="27"/>
      <c r="B1286" s="28"/>
      <c r="C1286" s="27"/>
      <c r="D1286" s="26"/>
      <c r="E1286" s="28"/>
      <c r="H1286" s="28"/>
      <c r="K1286" s="28"/>
      <c r="N1286" s="28"/>
      <c r="Q1286" s="28"/>
      <c r="T1286" s="28"/>
      <c r="W1286" s="28"/>
      <c r="Z1286" s="28"/>
      <c r="AC1286" s="28"/>
      <c r="AF1286" s="28"/>
      <c r="AI1286" s="28"/>
      <c r="AL1286" s="28"/>
      <c r="AO1286" s="28"/>
      <c r="AR1286" s="28"/>
      <c r="AU1286" s="28"/>
      <c r="AX1286" s="28"/>
      <c r="BA1286" s="28"/>
      <c r="BD1286" s="28"/>
      <c r="BG1286" s="28"/>
      <c r="BJ1286" s="28"/>
      <c r="BM1286" s="28"/>
      <c r="BP1286" s="28"/>
      <c r="BS1286" s="28"/>
      <c r="BV1286" s="28"/>
      <c r="BY1286" s="28"/>
      <c r="CB1286" s="28"/>
      <c r="CE1286" s="28"/>
      <c r="CH1286" s="28"/>
      <c r="CK1286" s="28"/>
      <c r="CN1286" s="28"/>
      <c r="CQ1286" s="28"/>
      <c r="CT1286" s="28"/>
      <c r="CW1286" s="28"/>
      <c r="CZ1286" s="28"/>
      <c r="DC1286" s="28"/>
      <c r="DF1286" s="28"/>
      <c r="DI1286" s="28"/>
      <c r="DL1286" s="28"/>
      <c r="DO1286" s="28"/>
      <c r="DR1286" s="28"/>
      <c r="DU1286" s="28"/>
      <c r="DX1286" s="28"/>
      <c r="EA1286" s="28"/>
      <c r="ED1286" s="28"/>
      <c r="EG1286" s="28"/>
      <c r="EJ1286" s="28"/>
      <c r="EM1286" s="28"/>
      <c r="EP1286" s="28"/>
      <c r="ES1286" s="28"/>
      <c r="EV1286" s="28"/>
      <c r="EY1286" s="28"/>
      <c r="FB1286" s="28"/>
      <c r="FE1286" s="28"/>
      <c r="FH1286" s="28"/>
      <c r="FK1286" s="28"/>
      <c r="FN1286" s="28"/>
      <c r="FQ1286" s="28"/>
      <c r="FT1286" s="28"/>
      <c r="FW1286" s="28"/>
      <c r="FZ1286" s="28"/>
      <c r="GC1286" s="28"/>
    </row>
    <row r="1287" spans="1:185" s="25" customFormat="1" x14ac:dyDescent="0.3">
      <c r="A1287" s="27"/>
      <c r="B1287" s="28"/>
      <c r="C1287" s="27"/>
      <c r="D1287" s="26"/>
      <c r="E1287" s="28"/>
      <c r="H1287" s="28"/>
      <c r="K1287" s="28"/>
      <c r="N1287" s="28"/>
      <c r="Q1287" s="28"/>
      <c r="T1287" s="28"/>
      <c r="W1287" s="28"/>
      <c r="Z1287" s="28"/>
      <c r="AC1287" s="28"/>
      <c r="AF1287" s="28"/>
      <c r="AI1287" s="28"/>
      <c r="AL1287" s="28"/>
      <c r="AO1287" s="28"/>
      <c r="AR1287" s="28"/>
      <c r="AU1287" s="28"/>
      <c r="AX1287" s="28"/>
      <c r="BA1287" s="28"/>
      <c r="BD1287" s="28"/>
      <c r="BG1287" s="28"/>
      <c r="BJ1287" s="28"/>
      <c r="BM1287" s="28"/>
      <c r="BP1287" s="28"/>
      <c r="BS1287" s="28"/>
      <c r="BV1287" s="28"/>
      <c r="BY1287" s="28"/>
      <c r="CB1287" s="28"/>
      <c r="CE1287" s="28"/>
      <c r="CH1287" s="28"/>
      <c r="CK1287" s="28"/>
      <c r="CN1287" s="28"/>
      <c r="CQ1287" s="28"/>
      <c r="CT1287" s="28"/>
      <c r="CW1287" s="28"/>
      <c r="CZ1287" s="28"/>
      <c r="DC1287" s="28"/>
      <c r="DF1287" s="28"/>
      <c r="DI1287" s="28"/>
      <c r="DL1287" s="28"/>
      <c r="DO1287" s="28"/>
      <c r="DR1287" s="28"/>
      <c r="DU1287" s="28"/>
      <c r="DX1287" s="28"/>
      <c r="EA1287" s="28"/>
      <c r="ED1287" s="28"/>
      <c r="EG1287" s="28"/>
      <c r="EJ1287" s="28"/>
      <c r="EM1287" s="28"/>
      <c r="EP1287" s="28"/>
      <c r="ES1287" s="28"/>
      <c r="EV1287" s="28"/>
      <c r="EY1287" s="28"/>
      <c r="FB1287" s="28"/>
      <c r="FE1287" s="28"/>
      <c r="FH1287" s="28"/>
      <c r="FK1287" s="28"/>
      <c r="FN1287" s="28"/>
      <c r="FQ1287" s="28"/>
      <c r="FT1287" s="28"/>
      <c r="FW1287" s="28"/>
      <c r="FZ1287" s="28"/>
      <c r="GC1287" s="28"/>
    </row>
    <row r="1288" spans="1:185" s="25" customFormat="1" x14ac:dyDescent="0.3">
      <c r="A1288" s="27"/>
      <c r="B1288" s="28"/>
      <c r="C1288" s="27"/>
      <c r="D1288" s="26"/>
      <c r="E1288" s="28"/>
      <c r="H1288" s="28"/>
      <c r="K1288" s="28"/>
      <c r="N1288" s="28"/>
      <c r="Q1288" s="28"/>
      <c r="T1288" s="28"/>
      <c r="W1288" s="28"/>
      <c r="Z1288" s="28"/>
      <c r="AC1288" s="28"/>
      <c r="AF1288" s="28"/>
      <c r="AI1288" s="28"/>
      <c r="AL1288" s="28"/>
      <c r="AO1288" s="28"/>
      <c r="AR1288" s="28"/>
      <c r="AU1288" s="28"/>
      <c r="AX1288" s="28"/>
      <c r="BA1288" s="28"/>
      <c r="BD1288" s="28"/>
      <c r="BG1288" s="28"/>
      <c r="BJ1288" s="28"/>
      <c r="BM1288" s="28"/>
      <c r="BP1288" s="28"/>
      <c r="BS1288" s="28"/>
      <c r="BV1288" s="28"/>
      <c r="BY1288" s="28"/>
      <c r="CB1288" s="28"/>
      <c r="CE1288" s="28"/>
      <c r="CH1288" s="28"/>
      <c r="CK1288" s="28"/>
      <c r="CN1288" s="28"/>
      <c r="CQ1288" s="28"/>
      <c r="CT1288" s="28"/>
      <c r="CW1288" s="28"/>
      <c r="CZ1288" s="28"/>
      <c r="DC1288" s="28"/>
      <c r="DF1288" s="28"/>
      <c r="DI1288" s="28"/>
      <c r="DL1288" s="28"/>
      <c r="DO1288" s="28"/>
      <c r="DR1288" s="28"/>
      <c r="DU1288" s="28"/>
      <c r="DX1288" s="28"/>
      <c r="EA1288" s="28"/>
      <c r="ED1288" s="28"/>
      <c r="EG1288" s="28"/>
      <c r="EJ1288" s="28"/>
      <c r="EM1288" s="28"/>
      <c r="EP1288" s="28"/>
      <c r="ES1288" s="28"/>
      <c r="EV1288" s="28"/>
      <c r="EY1288" s="28"/>
      <c r="FB1288" s="28"/>
      <c r="FE1288" s="28"/>
      <c r="FH1288" s="28"/>
      <c r="FK1288" s="28"/>
      <c r="FN1288" s="28"/>
      <c r="FQ1288" s="28"/>
      <c r="FT1288" s="28"/>
      <c r="FW1288" s="28"/>
      <c r="FZ1288" s="28"/>
      <c r="GC1288" s="28"/>
    </row>
    <row r="1289" spans="1:185" s="25" customFormat="1" x14ac:dyDescent="0.3">
      <c r="A1289" s="27"/>
      <c r="B1289" s="28"/>
      <c r="C1289" s="27"/>
      <c r="D1289" s="26"/>
      <c r="E1289" s="28"/>
      <c r="H1289" s="28"/>
      <c r="K1289" s="28"/>
      <c r="N1289" s="28"/>
      <c r="Q1289" s="28"/>
      <c r="T1289" s="28"/>
      <c r="W1289" s="28"/>
      <c r="Z1289" s="28"/>
      <c r="AC1289" s="28"/>
      <c r="AF1289" s="28"/>
      <c r="AI1289" s="28"/>
      <c r="AL1289" s="28"/>
      <c r="AO1289" s="28"/>
      <c r="AR1289" s="28"/>
      <c r="AU1289" s="28"/>
      <c r="AX1289" s="28"/>
      <c r="BA1289" s="28"/>
      <c r="BD1289" s="28"/>
      <c r="BG1289" s="28"/>
      <c r="BJ1289" s="28"/>
      <c r="BM1289" s="28"/>
      <c r="BP1289" s="28"/>
      <c r="BS1289" s="28"/>
      <c r="BV1289" s="28"/>
      <c r="BY1289" s="28"/>
      <c r="CB1289" s="28"/>
      <c r="CE1289" s="28"/>
      <c r="CH1289" s="28"/>
      <c r="CK1289" s="28"/>
      <c r="CN1289" s="28"/>
      <c r="CQ1289" s="28"/>
      <c r="CT1289" s="28"/>
      <c r="CW1289" s="28"/>
      <c r="CZ1289" s="28"/>
      <c r="DC1289" s="28"/>
      <c r="DF1289" s="28"/>
      <c r="DI1289" s="28"/>
      <c r="DL1289" s="28"/>
      <c r="DO1289" s="28"/>
      <c r="DR1289" s="28"/>
      <c r="DU1289" s="28"/>
      <c r="DX1289" s="28"/>
      <c r="EA1289" s="28"/>
      <c r="ED1289" s="28"/>
      <c r="EG1289" s="28"/>
      <c r="EJ1289" s="28"/>
      <c r="EM1289" s="28"/>
      <c r="EP1289" s="28"/>
      <c r="ES1289" s="28"/>
      <c r="EV1289" s="28"/>
      <c r="EY1289" s="28"/>
      <c r="FB1289" s="28"/>
      <c r="FE1289" s="28"/>
      <c r="FH1289" s="28"/>
      <c r="FK1289" s="28"/>
      <c r="FN1289" s="28"/>
      <c r="FQ1289" s="28"/>
      <c r="FT1289" s="28"/>
      <c r="FW1289" s="28"/>
      <c r="FZ1289" s="28"/>
      <c r="GC1289" s="28"/>
    </row>
    <row r="1290" spans="1:185" s="25" customFormat="1" x14ac:dyDescent="0.3">
      <c r="A1290" s="27"/>
      <c r="B1290" s="28"/>
      <c r="C1290" s="27"/>
      <c r="D1290" s="26"/>
      <c r="E1290" s="28"/>
      <c r="H1290" s="28"/>
      <c r="K1290" s="28"/>
      <c r="N1290" s="28"/>
      <c r="Q1290" s="28"/>
      <c r="T1290" s="28"/>
      <c r="W1290" s="28"/>
      <c r="Z1290" s="28"/>
      <c r="AC1290" s="28"/>
      <c r="AF1290" s="28"/>
      <c r="AI1290" s="28"/>
      <c r="AL1290" s="28"/>
      <c r="AO1290" s="28"/>
      <c r="AR1290" s="28"/>
      <c r="AU1290" s="28"/>
      <c r="AX1290" s="28"/>
      <c r="BA1290" s="28"/>
      <c r="BD1290" s="28"/>
      <c r="BG1290" s="28"/>
      <c r="BJ1290" s="28"/>
      <c r="BM1290" s="28"/>
      <c r="BP1290" s="28"/>
      <c r="BS1290" s="28"/>
      <c r="BV1290" s="28"/>
      <c r="BY1290" s="28"/>
      <c r="CB1290" s="28"/>
      <c r="CE1290" s="28"/>
      <c r="CH1290" s="28"/>
      <c r="CK1290" s="28"/>
      <c r="CN1290" s="28"/>
      <c r="CQ1290" s="28"/>
      <c r="CT1290" s="28"/>
      <c r="CW1290" s="28"/>
      <c r="CZ1290" s="28"/>
      <c r="DC1290" s="28"/>
      <c r="DF1290" s="28"/>
      <c r="DI1290" s="28"/>
      <c r="DL1290" s="28"/>
      <c r="DO1290" s="28"/>
      <c r="DR1290" s="28"/>
      <c r="DU1290" s="28"/>
      <c r="DX1290" s="28"/>
      <c r="EA1290" s="28"/>
      <c r="ED1290" s="28"/>
      <c r="EG1290" s="28"/>
      <c r="EJ1290" s="28"/>
      <c r="EM1290" s="28"/>
      <c r="EP1290" s="28"/>
      <c r="ES1290" s="28"/>
      <c r="EV1290" s="28"/>
      <c r="EY1290" s="28"/>
      <c r="FB1290" s="28"/>
      <c r="FE1290" s="28"/>
      <c r="FH1290" s="28"/>
      <c r="FK1290" s="28"/>
      <c r="FN1290" s="28"/>
      <c r="FQ1290" s="28"/>
      <c r="FT1290" s="28"/>
      <c r="FW1290" s="28"/>
      <c r="FZ1290" s="28"/>
      <c r="GC1290" s="28"/>
    </row>
    <row r="1291" spans="1:185" s="25" customFormat="1" x14ac:dyDescent="0.3">
      <c r="A1291" s="27"/>
      <c r="B1291" s="28"/>
      <c r="C1291" s="27"/>
      <c r="D1291" s="26"/>
      <c r="E1291" s="28"/>
      <c r="H1291" s="28"/>
      <c r="K1291" s="28"/>
      <c r="N1291" s="28"/>
      <c r="Q1291" s="28"/>
      <c r="T1291" s="28"/>
      <c r="W1291" s="28"/>
      <c r="Z1291" s="28"/>
      <c r="AC1291" s="28"/>
      <c r="AF1291" s="28"/>
      <c r="AI1291" s="28"/>
      <c r="AL1291" s="28"/>
      <c r="AO1291" s="28"/>
      <c r="AR1291" s="28"/>
      <c r="AU1291" s="28"/>
      <c r="AX1291" s="28"/>
      <c r="BA1291" s="28"/>
      <c r="BD1291" s="28"/>
      <c r="BG1291" s="28"/>
      <c r="BJ1291" s="28"/>
      <c r="BM1291" s="28"/>
      <c r="BP1291" s="28"/>
      <c r="BS1291" s="28"/>
      <c r="BV1291" s="28"/>
      <c r="BY1291" s="28"/>
      <c r="CB1291" s="28"/>
      <c r="CE1291" s="28"/>
      <c r="CH1291" s="28"/>
      <c r="CK1291" s="28"/>
      <c r="CN1291" s="28"/>
      <c r="CQ1291" s="28"/>
      <c r="CT1291" s="28"/>
      <c r="CW1291" s="28"/>
      <c r="CZ1291" s="28"/>
      <c r="DC1291" s="28"/>
      <c r="DF1291" s="28"/>
      <c r="DI1291" s="28"/>
      <c r="DL1291" s="28"/>
      <c r="DO1291" s="28"/>
      <c r="DR1291" s="28"/>
      <c r="DU1291" s="28"/>
      <c r="DX1291" s="28"/>
      <c r="EA1291" s="28"/>
      <c r="ED1291" s="28"/>
      <c r="EG1291" s="28"/>
      <c r="EJ1291" s="28"/>
      <c r="EM1291" s="28"/>
      <c r="EP1291" s="28"/>
      <c r="ES1291" s="28"/>
      <c r="EV1291" s="28"/>
      <c r="EY1291" s="28"/>
      <c r="FB1291" s="28"/>
      <c r="FE1291" s="28"/>
      <c r="FH1291" s="28"/>
      <c r="FK1291" s="28"/>
      <c r="FN1291" s="28"/>
      <c r="FQ1291" s="28"/>
      <c r="FT1291" s="28"/>
      <c r="FW1291" s="28"/>
      <c r="FZ1291" s="28"/>
      <c r="GC1291" s="28"/>
    </row>
    <row r="1292" spans="1:185" s="25" customFormat="1" x14ac:dyDescent="0.3">
      <c r="A1292" s="27"/>
      <c r="B1292" s="28"/>
      <c r="C1292" s="27"/>
      <c r="D1292" s="26"/>
      <c r="E1292" s="28"/>
      <c r="H1292" s="28"/>
      <c r="K1292" s="28"/>
      <c r="N1292" s="28"/>
      <c r="Q1292" s="28"/>
      <c r="T1292" s="28"/>
      <c r="W1292" s="28"/>
      <c r="Z1292" s="28"/>
      <c r="AC1292" s="28"/>
      <c r="AF1292" s="28"/>
      <c r="AI1292" s="28"/>
      <c r="AL1292" s="28"/>
      <c r="AO1292" s="28"/>
      <c r="AR1292" s="28"/>
      <c r="AU1292" s="28"/>
      <c r="AX1292" s="28"/>
      <c r="BA1292" s="28"/>
      <c r="BD1292" s="28"/>
      <c r="BG1292" s="28"/>
      <c r="BJ1292" s="28"/>
      <c r="BM1292" s="28"/>
      <c r="BP1292" s="28"/>
      <c r="BS1292" s="28"/>
      <c r="BV1292" s="28"/>
      <c r="BY1292" s="28"/>
      <c r="CB1292" s="28"/>
      <c r="CE1292" s="28"/>
      <c r="CH1292" s="28"/>
      <c r="CK1292" s="28"/>
      <c r="CN1292" s="28"/>
      <c r="CQ1292" s="28"/>
      <c r="CT1292" s="28"/>
      <c r="CW1292" s="28"/>
      <c r="CZ1292" s="28"/>
      <c r="DC1292" s="28"/>
      <c r="DF1292" s="28"/>
      <c r="DI1292" s="28"/>
      <c r="DL1292" s="28"/>
      <c r="DO1292" s="28"/>
      <c r="DR1292" s="28"/>
      <c r="DU1292" s="28"/>
      <c r="DX1292" s="28"/>
      <c r="EA1292" s="28"/>
      <c r="ED1292" s="28"/>
      <c r="EG1292" s="28"/>
      <c r="EJ1292" s="28"/>
      <c r="EM1292" s="28"/>
      <c r="EP1292" s="28"/>
      <c r="ES1292" s="28"/>
      <c r="EV1292" s="28"/>
      <c r="EY1292" s="28"/>
      <c r="FB1292" s="28"/>
      <c r="FE1292" s="28"/>
      <c r="FH1292" s="28"/>
      <c r="FK1292" s="28"/>
      <c r="FN1292" s="28"/>
      <c r="FQ1292" s="28"/>
      <c r="FT1292" s="28"/>
      <c r="FW1292" s="28"/>
      <c r="FZ1292" s="28"/>
      <c r="GC1292" s="28"/>
    </row>
    <row r="1293" spans="1:185" s="25" customFormat="1" x14ac:dyDescent="0.3">
      <c r="A1293" s="27"/>
      <c r="B1293" s="28"/>
      <c r="C1293" s="27"/>
      <c r="D1293" s="26"/>
      <c r="E1293" s="28"/>
      <c r="H1293" s="28"/>
      <c r="K1293" s="28"/>
      <c r="N1293" s="28"/>
      <c r="Q1293" s="28"/>
      <c r="T1293" s="28"/>
      <c r="W1293" s="28"/>
      <c r="Z1293" s="28"/>
      <c r="AC1293" s="28"/>
      <c r="AF1293" s="28"/>
      <c r="AI1293" s="28"/>
      <c r="AL1293" s="28"/>
      <c r="AO1293" s="28"/>
      <c r="AR1293" s="28"/>
      <c r="AU1293" s="28"/>
      <c r="AX1293" s="28"/>
      <c r="BA1293" s="28"/>
      <c r="BD1293" s="28"/>
      <c r="BG1293" s="28"/>
      <c r="BJ1293" s="28"/>
      <c r="BM1293" s="28"/>
      <c r="BP1293" s="28"/>
      <c r="BS1293" s="28"/>
      <c r="BV1293" s="28"/>
      <c r="BY1293" s="28"/>
      <c r="CB1293" s="28"/>
      <c r="CE1293" s="28"/>
      <c r="CH1293" s="28"/>
      <c r="CK1293" s="28"/>
      <c r="CN1293" s="28"/>
      <c r="CQ1293" s="28"/>
      <c r="CT1293" s="28"/>
      <c r="CW1293" s="28"/>
      <c r="CZ1293" s="28"/>
      <c r="DC1293" s="28"/>
      <c r="DF1293" s="28"/>
      <c r="DI1293" s="28"/>
      <c r="DL1293" s="28"/>
      <c r="DO1293" s="28"/>
      <c r="DR1293" s="28"/>
      <c r="DU1293" s="28"/>
      <c r="DX1293" s="28"/>
      <c r="EA1293" s="28"/>
      <c r="ED1293" s="28"/>
      <c r="EG1293" s="28"/>
      <c r="EJ1293" s="28"/>
      <c r="EM1293" s="28"/>
      <c r="EP1293" s="28"/>
      <c r="ES1293" s="28"/>
      <c r="EV1293" s="28"/>
      <c r="EY1293" s="28"/>
      <c r="FB1293" s="28"/>
      <c r="FE1293" s="28"/>
      <c r="FH1293" s="28"/>
      <c r="FK1293" s="28"/>
      <c r="FN1293" s="28"/>
      <c r="FQ1293" s="28"/>
      <c r="FT1293" s="28"/>
      <c r="FW1293" s="28"/>
      <c r="FZ1293" s="28"/>
      <c r="GC1293" s="28"/>
    </row>
    <row r="1294" spans="1:185" s="25" customFormat="1" x14ac:dyDescent="0.3">
      <c r="A1294" s="27"/>
      <c r="B1294" s="28"/>
      <c r="C1294" s="27"/>
      <c r="D1294" s="26"/>
      <c r="E1294" s="28"/>
      <c r="H1294" s="28"/>
      <c r="K1294" s="28"/>
      <c r="N1294" s="28"/>
      <c r="Q1294" s="28"/>
      <c r="T1294" s="28"/>
      <c r="W1294" s="28"/>
      <c r="Z1294" s="28"/>
      <c r="AC1294" s="28"/>
      <c r="AF1294" s="28"/>
      <c r="AI1294" s="28"/>
      <c r="AL1294" s="28"/>
      <c r="AO1294" s="28"/>
      <c r="AR1294" s="28"/>
      <c r="AU1294" s="28"/>
      <c r="AX1294" s="28"/>
      <c r="BA1294" s="28"/>
      <c r="BD1294" s="28"/>
      <c r="BG1294" s="28"/>
      <c r="BJ1294" s="28"/>
      <c r="BM1294" s="28"/>
      <c r="BP1294" s="28"/>
      <c r="BS1294" s="28"/>
      <c r="BV1294" s="28"/>
      <c r="BY1294" s="28"/>
      <c r="CB1294" s="28"/>
      <c r="CE1294" s="28"/>
      <c r="CH1294" s="28"/>
      <c r="CK1294" s="28"/>
      <c r="CN1294" s="28"/>
      <c r="CQ1294" s="28"/>
      <c r="CT1294" s="28"/>
      <c r="CW1294" s="28"/>
      <c r="CZ1294" s="28"/>
      <c r="DC1294" s="28"/>
      <c r="DF1294" s="28"/>
      <c r="DI1294" s="28"/>
      <c r="DL1294" s="28"/>
      <c r="DO1294" s="28"/>
      <c r="DR1294" s="28"/>
      <c r="DU1294" s="28"/>
      <c r="DX1294" s="28"/>
      <c r="EA1294" s="28"/>
      <c r="ED1294" s="28"/>
      <c r="EG1294" s="28"/>
      <c r="EJ1294" s="28"/>
      <c r="EM1294" s="28"/>
      <c r="EP1294" s="28"/>
      <c r="ES1294" s="28"/>
      <c r="EV1294" s="28"/>
      <c r="EY1294" s="28"/>
      <c r="FB1294" s="28"/>
      <c r="FE1294" s="28"/>
      <c r="FH1294" s="28"/>
      <c r="FK1294" s="28"/>
      <c r="FN1294" s="28"/>
      <c r="FQ1294" s="28"/>
      <c r="FT1294" s="28"/>
      <c r="FW1294" s="28"/>
      <c r="FZ1294" s="28"/>
      <c r="GC1294" s="28"/>
    </row>
    <row r="1295" spans="1:185" s="25" customFormat="1" x14ac:dyDescent="0.3">
      <c r="A1295" s="27"/>
      <c r="B1295" s="28"/>
      <c r="C1295" s="27"/>
      <c r="D1295" s="26"/>
      <c r="E1295" s="28"/>
      <c r="H1295" s="28"/>
      <c r="K1295" s="28"/>
      <c r="N1295" s="28"/>
      <c r="Q1295" s="28"/>
      <c r="T1295" s="28"/>
      <c r="W1295" s="28"/>
      <c r="Z1295" s="28"/>
      <c r="AC1295" s="28"/>
      <c r="AF1295" s="28"/>
      <c r="AI1295" s="28"/>
      <c r="AL1295" s="28"/>
      <c r="AO1295" s="28"/>
      <c r="AR1295" s="28"/>
      <c r="AU1295" s="28"/>
      <c r="AX1295" s="28"/>
      <c r="BA1295" s="28"/>
      <c r="BD1295" s="28"/>
      <c r="BG1295" s="28"/>
      <c r="BJ1295" s="28"/>
      <c r="BM1295" s="28"/>
      <c r="BP1295" s="28"/>
      <c r="BS1295" s="28"/>
      <c r="BV1295" s="28"/>
      <c r="BY1295" s="28"/>
      <c r="CB1295" s="28"/>
      <c r="CE1295" s="28"/>
      <c r="CH1295" s="28"/>
      <c r="CK1295" s="28"/>
      <c r="CN1295" s="28"/>
      <c r="CQ1295" s="28"/>
      <c r="CT1295" s="28"/>
      <c r="CW1295" s="28"/>
      <c r="CZ1295" s="28"/>
      <c r="DC1295" s="28"/>
      <c r="DF1295" s="28"/>
      <c r="DI1295" s="28"/>
      <c r="DL1295" s="28"/>
      <c r="DO1295" s="28"/>
      <c r="DR1295" s="28"/>
      <c r="DU1295" s="28"/>
      <c r="DX1295" s="28"/>
      <c r="EA1295" s="28"/>
      <c r="ED1295" s="28"/>
      <c r="EG1295" s="28"/>
      <c r="EJ1295" s="28"/>
      <c r="EM1295" s="28"/>
      <c r="EP1295" s="28"/>
      <c r="ES1295" s="28"/>
      <c r="EV1295" s="28"/>
      <c r="EY1295" s="28"/>
      <c r="FB1295" s="28"/>
      <c r="FE1295" s="28"/>
      <c r="FH1295" s="28"/>
      <c r="FK1295" s="28"/>
      <c r="FN1295" s="28"/>
      <c r="FQ1295" s="28"/>
      <c r="FT1295" s="28"/>
      <c r="FW1295" s="28"/>
      <c r="FZ1295" s="28"/>
      <c r="GC1295" s="28"/>
    </row>
    <row r="1296" spans="1:185" s="25" customFormat="1" x14ac:dyDescent="0.3">
      <c r="A1296" s="27"/>
      <c r="B1296" s="28"/>
      <c r="C1296" s="27"/>
      <c r="D1296" s="26"/>
      <c r="E1296" s="28"/>
      <c r="H1296" s="28"/>
      <c r="K1296" s="28"/>
      <c r="N1296" s="28"/>
      <c r="Q1296" s="28"/>
      <c r="T1296" s="28"/>
      <c r="W1296" s="28"/>
      <c r="Z1296" s="28"/>
      <c r="AC1296" s="28"/>
      <c r="AF1296" s="28"/>
      <c r="AI1296" s="28"/>
      <c r="AL1296" s="28"/>
      <c r="AO1296" s="28"/>
      <c r="AR1296" s="28"/>
      <c r="AU1296" s="28"/>
      <c r="AX1296" s="28"/>
      <c r="BA1296" s="28"/>
      <c r="BD1296" s="28"/>
      <c r="BG1296" s="28"/>
      <c r="BJ1296" s="28"/>
      <c r="BM1296" s="28"/>
      <c r="BP1296" s="28"/>
      <c r="BS1296" s="28"/>
      <c r="BV1296" s="28"/>
      <c r="BY1296" s="28"/>
      <c r="CB1296" s="28"/>
      <c r="CE1296" s="28"/>
      <c r="CH1296" s="28"/>
      <c r="CK1296" s="28"/>
      <c r="CN1296" s="28"/>
      <c r="CQ1296" s="28"/>
      <c r="CT1296" s="28"/>
      <c r="CW1296" s="28"/>
      <c r="CZ1296" s="28"/>
      <c r="DC1296" s="28"/>
      <c r="DF1296" s="28"/>
      <c r="DI1296" s="28"/>
      <c r="DL1296" s="28"/>
      <c r="DO1296" s="28"/>
      <c r="DR1296" s="28"/>
      <c r="DU1296" s="28"/>
      <c r="DX1296" s="28"/>
      <c r="EA1296" s="28"/>
      <c r="ED1296" s="28"/>
      <c r="EG1296" s="28"/>
      <c r="EJ1296" s="28"/>
      <c r="EM1296" s="28"/>
      <c r="EP1296" s="28"/>
      <c r="ES1296" s="28"/>
      <c r="EV1296" s="28"/>
      <c r="EY1296" s="28"/>
      <c r="FB1296" s="28"/>
      <c r="FE1296" s="28"/>
      <c r="FH1296" s="28"/>
      <c r="FK1296" s="28"/>
      <c r="FN1296" s="28"/>
      <c r="FQ1296" s="28"/>
      <c r="FT1296" s="28"/>
      <c r="FW1296" s="28"/>
      <c r="FZ1296" s="28"/>
      <c r="GC1296" s="28"/>
    </row>
    <row r="1297" spans="1:185" s="25" customFormat="1" x14ac:dyDescent="0.3">
      <c r="A1297" s="27"/>
      <c r="B1297" s="28"/>
      <c r="C1297" s="27"/>
      <c r="D1297" s="26"/>
      <c r="E1297" s="28"/>
      <c r="H1297" s="28"/>
      <c r="K1297" s="28"/>
      <c r="N1297" s="28"/>
      <c r="Q1297" s="28"/>
      <c r="T1297" s="28"/>
      <c r="W1297" s="28"/>
      <c r="Z1297" s="28"/>
      <c r="AC1297" s="28"/>
      <c r="AF1297" s="28"/>
      <c r="AI1297" s="28"/>
      <c r="AL1297" s="28"/>
      <c r="AO1297" s="28"/>
      <c r="AR1297" s="28"/>
      <c r="AU1297" s="28"/>
      <c r="AX1297" s="28"/>
      <c r="BA1297" s="28"/>
      <c r="BD1297" s="28"/>
      <c r="BG1297" s="28"/>
      <c r="BJ1297" s="28"/>
      <c r="BM1297" s="28"/>
      <c r="BP1297" s="28"/>
      <c r="BS1297" s="28"/>
      <c r="BV1297" s="28"/>
      <c r="BY1297" s="28"/>
      <c r="CB1297" s="28"/>
      <c r="CE1297" s="28"/>
      <c r="CH1297" s="28"/>
      <c r="CK1297" s="28"/>
      <c r="CN1297" s="28"/>
      <c r="CQ1297" s="28"/>
      <c r="CT1297" s="28"/>
      <c r="CW1297" s="28"/>
      <c r="CZ1297" s="28"/>
      <c r="DC1297" s="28"/>
      <c r="DF1297" s="28"/>
      <c r="DI1297" s="28"/>
      <c r="DL1297" s="28"/>
      <c r="DO1297" s="28"/>
      <c r="DR1297" s="28"/>
      <c r="DU1297" s="28"/>
      <c r="DX1297" s="28"/>
      <c r="EA1297" s="28"/>
      <c r="ED1297" s="28"/>
      <c r="EG1297" s="28"/>
      <c r="EJ1297" s="28"/>
      <c r="EM1297" s="28"/>
      <c r="EP1297" s="28"/>
      <c r="ES1297" s="28"/>
      <c r="EV1297" s="28"/>
      <c r="EY1297" s="28"/>
      <c r="FB1297" s="28"/>
      <c r="FE1297" s="28"/>
      <c r="FH1297" s="28"/>
      <c r="FK1297" s="28"/>
      <c r="FN1297" s="28"/>
      <c r="FQ1297" s="28"/>
      <c r="FT1297" s="28"/>
      <c r="FW1297" s="28"/>
      <c r="FZ1297" s="28"/>
      <c r="GC1297" s="28"/>
    </row>
    <row r="1298" spans="1:185" s="25" customFormat="1" x14ac:dyDescent="0.3">
      <c r="A1298" s="27"/>
      <c r="B1298" s="28"/>
      <c r="C1298" s="27"/>
      <c r="D1298" s="26"/>
      <c r="E1298" s="28"/>
      <c r="H1298" s="28"/>
      <c r="K1298" s="28"/>
      <c r="N1298" s="28"/>
      <c r="Q1298" s="28"/>
      <c r="T1298" s="28"/>
      <c r="W1298" s="28"/>
      <c r="Z1298" s="28"/>
      <c r="AC1298" s="28"/>
      <c r="AF1298" s="28"/>
      <c r="AI1298" s="28"/>
      <c r="AL1298" s="28"/>
      <c r="AO1298" s="28"/>
      <c r="AR1298" s="28"/>
      <c r="AU1298" s="28"/>
      <c r="AX1298" s="28"/>
      <c r="BA1298" s="28"/>
      <c r="BD1298" s="28"/>
      <c r="BG1298" s="28"/>
      <c r="BJ1298" s="28"/>
      <c r="BM1298" s="28"/>
      <c r="BP1298" s="28"/>
      <c r="BS1298" s="28"/>
      <c r="BV1298" s="28"/>
      <c r="BY1298" s="28"/>
      <c r="CB1298" s="28"/>
      <c r="CE1298" s="28"/>
      <c r="CH1298" s="28"/>
      <c r="CK1298" s="28"/>
      <c r="CN1298" s="28"/>
      <c r="CQ1298" s="28"/>
      <c r="CT1298" s="28"/>
      <c r="CW1298" s="28"/>
      <c r="CZ1298" s="28"/>
      <c r="DC1298" s="28"/>
      <c r="DF1298" s="28"/>
      <c r="DI1298" s="28"/>
      <c r="DL1298" s="28"/>
      <c r="DO1298" s="28"/>
      <c r="DR1298" s="28"/>
      <c r="DU1298" s="28"/>
      <c r="DX1298" s="28"/>
      <c r="EA1298" s="28"/>
      <c r="ED1298" s="28"/>
      <c r="EG1298" s="28"/>
      <c r="EJ1298" s="28"/>
      <c r="EM1298" s="28"/>
      <c r="EP1298" s="28"/>
      <c r="ES1298" s="28"/>
      <c r="EV1298" s="28"/>
      <c r="EY1298" s="28"/>
      <c r="FB1298" s="28"/>
      <c r="FE1298" s="28"/>
      <c r="FH1298" s="28"/>
      <c r="FK1298" s="28"/>
      <c r="FN1298" s="28"/>
      <c r="FQ1298" s="28"/>
      <c r="FT1298" s="28"/>
      <c r="FW1298" s="28"/>
      <c r="FZ1298" s="28"/>
      <c r="GC1298" s="28"/>
    </row>
    <row r="1299" spans="1:185" s="25" customFormat="1" x14ac:dyDescent="0.3">
      <c r="A1299" s="27"/>
      <c r="B1299" s="28"/>
      <c r="C1299" s="27"/>
      <c r="D1299" s="26"/>
      <c r="E1299" s="28"/>
      <c r="H1299" s="28"/>
      <c r="K1299" s="28"/>
      <c r="N1299" s="28"/>
      <c r="Q1299" s="28"/>
      <c r="T1299" s="28"/>
      <c r="W1299" s="28"/>
      <c r="Z1299" s="28"/>
      <c r="AC1299" s="28"/>
      <c r="AF1299" s="28"/>
      <c r="AI1299" s="28"/>
      <c r="AL1299" s="28"/>
      <c r="AO1299" s="28"/>
      <c r="AR1299" s="28"/>
      <c r="AU1299" s="28"/>
      <c r="AX1299" s="28"/>
      <c r="BA1299" s="28"/>
      <c r="BD1299" s="28"/>
      <c r="BG1299" s="28"/>
      <c r="BJ1299" s="28"/>
      <c r="BM1299" s="28"/>
      <c r="BP1299" s="28"/>
      <c r="BS1299" s="28"/>
      <c r="BV1299" s="28"/>
      <c r="BY1299" s="28"/>
      <c r="CB1299" s="28"/>
      <c r="CE1299" s="28"/>
      <c r="CH1299" s="28"/>
      <c r="CK1299" s="28"/>
      <c r="CN1299" s="28"/>
      <c r="CQ1299" s="28"/>
      <c r="CT1299" s="28"/>
      <c r="CW1299" s="28"/>
      <c r="CZ1299" s="28"/>
      <c r="DC1299" s="28"/>
      <c r="DF1299" s="28"/>
      <c r="DI1299" s="28"/>
      <c r="DL1299" s="28"/>
      <c r="DO1299" s="28"/>
      <c r="DR1299" s="28"/>
      <c r="DU1299" s="28"/>
      <c r="DX1299" s="28"/>
      <c r="EA1299" s="28"/>
      <c r="ED1299" s="28"/>
      <c r="EG1299" s="28"/>
      <c r="EJ1299" s="28"/>
      <c r="EM1299" s="28"/>
      <c r="EP1299" s="28"/>
      <c r="ES1299" s="28"/>
      <c r="EV1299" s="28"/>
      <c r="EY1299" s="28"/>
      <c r="FB1299" s="28"/>
      <c r="FE1299" s="28"/>
      <c r="FH1299" s="28"/>
      <c r="FK1299" s="28"/>
      <c r="FN1299" s="28"/>
      <c r="FQ1299" s="28"/>
      <c r="FT1299" s="28"/>
      <c r="FW1299" s="28"/>
      <c r="FZ1299" s="28"/>
      <c r="GC1299" s="28"/>
    </row>
    <row r="1300" spans="1:185" s="25" customFormat="1" x14ac:dyDescent="0.3">
      <c r="A1300" s="27"/>
      <c r="B1300" s="28"/>
      <c r="C1300" s="27"/>
      <c r="D1300" s="26"/>
      <c r="E1300" s="28"/>
      <c r="H1300" s="28"/>
      <c r="K1300" s="28"/>
      <c r="N1300" s="28"/>
      <c r="Q1300" s="28"/>
      <c r="T1300" s="28"/>
      <c r="W1300" s="28"/>
      <c r="Z1300" s="28"/>
      <c r="AC1300" s="28"/>
      <c r="AF1300" s="28"/>
      <c r="AI1300" s="28"/>
      <c r="AL1300" s="28"/>
      <c r="AO1300" s="28"/>
      <c r="AR1300" s="28"/>
      <c r="AU1300" s="28"/>
      <c r="AX1300" s="28"/>
      <c r="BA1300" s="28"/>
      <c r="BD1300" s="28"/>
      <c r="BG1300" s="28"/>
      <c r="BJ1300" s="28"/>
      <c r="BM1300" s="28"/>
      <c r="BP1300" s="28"/>
      <c r="BS1300" s="28"/>
      <c r="BV1300" s="28"/>
      <c r="BY1300" s="28"/>
      <c r="CB1300" s="28"/>
      <c r="CE1300" s="28"/>
      <c r="CH1300" s="28"/>
      <c r="CK1300" s="28"/>
      <c r="CN1300" s="28"/>
      <c r="CQ1300" s="28"/>
      <c r="CT1300" s="28"/>
      <c r="CW1300" s="28"/>
      <c r="CZ1300" s="28"/>
      <c r="DC1300" s="28"/>
      <c r="DF1300" s="28"/>
      <c r="DI1300" s="28"/>
      <c r="DL1300" s="28"/>
      <c r="DO1300" s="28"/>
      <c r="DR1300" s="28"/>
      <c r="DU1300" s="28"/>
      <c r="DX1300" s="28"/>
      <c r="EA1300" s="28"/>
      <c r="ED1300" s="28"/>
      <c r="EG1300" s="28"/>
      <c r="EJ1300" s="28"/>
      <c r="EM1300" s="28"/>
      <c r="EP1300" s="28"/>
      <c r="ES1300" s="28"/>
      <c r="EV1300" s="28"/>
      <c r="EY1300" s="28"/>
      <c r="FB1300" s="28"/>
      <c r="FE1300" s="28"/>
      <c r="FH1300" s="28"/>
      <c r="FK1300" s="28"/>
      <c r="FN1300" s="28"/>
      <c r="FQ1300" s="28"/>
      <c r="FT1300" s="28"/>
      <c r="FW1300" s="28"/>
      <c r="FZ1300" s="28"/>
      <c r="GC1300" s="28"/>
    </row>
    <row r="1301" spans="1:185" s="25" customFormat="1" x14ac:dyDescent="0.3">
      <c r="A1301" s="27"/>
      <c r="B1301" s="28"/>
      <c r="C1301" s="27"/>
      <c r="D1301" s="26"/>
      <c r="E1301" s="28"/>
      <c r="H1301" s="28"/>
      <c r="K1301" s="28"/>
      <c r="N1301" s="28"/>
      <c r="Q1301" s="28"/>
      <c r="T1301" s="28"/>
      <c r="W1301" s="28"/>
      <c r="Z1301" s="28"/>
      <c r="AC1301" s="28"/>
      <c r="AF1301" s="28"/>
      <c r="AI1301" s="28"/>
      <c r="AL1301" s="28"/>
      <c r="AO1301" s="28"/>
      <c r="AR1301" s="28"/>
      <c r="AU1301" s="28"/>
      <c r="AX1301" s="28"/>
      <c r="BA1301" s="28"/>
      <c r="BD1301" s="28"/>
      <c r="BG1301" s="28"/>
      <c r="BJ1301" s="28"/>
      <c r="BM1301" s="28"/>
      <c r="BP1301" s="28"/>
      <c r="BS1301" s="28"/>
      <c r="BV1301" s="28"/>
      <c r="BY1301" s="28"/>
      <c r="CB1301" s="28"/>
      <c r="CE1301" s="28"/>
      <c r="CH1301" s="28"/>
      <c r="CK1301" s="28"/>
      <c r="CN1301" s="28"/>
      <c r="CQ1301" s="28"/>
      <c r="CT1301" s="28"/>
      <c r="CW1301" s="28"/>
      <c r="CZ1301" s="28"/>
      <c r="DC1301" s="28"/>
      <c r="DF1301" s="28"/>
      <c r="DI1301" s="28"/>
      <c r="DL1301" s="28"/>
      <c r="DO1301" s="28"/>
      <c r="DR1301" s="28"/>
      <c r="DU1301" s="28"/>
      <c r="DX1301" s="28"/>
      <c r="EA1301" s="28"/>
      <c r="ED1301" s="28"/>
      <c r="EG1301" s="28"/>
      <c r="EJ1301" s="28"/>
      <c r="EM1301" s="28"/>
      <c r="EP1301" s="28"/>
      <c r="ES1301" s="28"/>
      <c r="EV1301" s="28"/>
      <c r="EY1301" s="28"/>
      <c r="FB1301" s="28"/>
      <c r="FE1301" s="28"/>
      <c r="FH1301" s="28"/>
      <c r="FK1301" s="28"/>
      <c r="FN1301" s="28"/>
      <c r="FQ1301" s="28"/>
      <c r="FT1301" s="28"/>
      <c r="FW1301" s="28"/>
      <c r="FZ1301" s="28"/>
      <c r="GC1301" s="28"/>
    </row>
    <row r="1302" spans="1:185" s="25" customFormat="1" x14ac:dyDescent="0.3">
      <c r="A1302" s="27"/>
      <c r="B1302" s="28"/>
      <c r="C1302" s="27"/>
      <c r="D1302" s="26"/>
      <c r="E1302" s="28"/>
      <c r="H1302" s="28"/>
      <c r="K1302" s="28"/>
      <c r="N1302" s="28"/>
      <c r="Q1302" s="28"/>
      <c r="T1302" s="28"/>
      <c r="W1302" s="28"/>
      <c r="Z1302" s="28"/>
      <c r="AC1302" s="28"/>
      <c r="AF1302" s="28"/>
      <c r="AI1302" s="28"/>
      <c r="AL1302" s="28"/>
      <c r="AO1302" s="28"/>
      <c r="AR1302" s="28"/>
      <c r="AU1302" s="28"/>
      <c r="AX1302" s="28"/>
      <c r="BA1302" s="28"/>
      <c r="BD1302" s="28"/>
      <c r="BG1302" s="28"/>
      <c r="BJ1302" s="28"/>
      <c r="BM1302" s="28"/>
      <c r="BP1302" s="28"/>
      <c r="BS1302" s="28"/>
      <c r="BV1302" s="28"/>
      <c r="BY1302" s="28"/>
      <c r="CB1302" s="28"/>
      <c r="CE1302" s="28"/>
      <c r="CH1302" s="28"/>
      <c r="CK1302" s="28"/>
      <c r="CN1302" s="28"/>
      <c r="CQ1302" s="28"/>
      <c r="CT1302" s="28"/>
      <c r="CW1302" s="28"/>
      <c r="CZ1302" s="28"/>
      <c r="DC1302" s="28"/>
      <c r="DF1302" s="28"/>
      <c r="DI1302" s="28"/>
      <c r="DL1302" s="28"/>
      <c r="DO1302" s="28"/>
      <c r="DR1302" s="28"/>
      <c r="DU1302" s="28"/>
      <c r="DX1302" s="28"/>
      <c r="EA1302" s="28"/>
      <c r="ED1302" s="28"/>
      <c r="EG1302" s="28"/>
      <c r="EJ1302" s="28"/>
      <c r="EM1302" s="28"/>
      <c r="EP1302" s="28"/>
      <c r="ES1302" s="28"/>
      <c r="EV1302" s="28"/>
      <c r="EY1302" s="28"/>
      <c r="FB1302" s="28"/>
      <c r="FE1302" s="28"/>
      <c r="FH1302" s="28"/>
      <c r="FK1302" s="28"/>
      <c r="FN1302" s="28"/>
      <c r="FQ1302" s="28"/>
      <c r="FT1302" s="28"/>
      <c r="FW1302" s="28"/>
      <c r="FZ1302" s="28"/>
      <c r="GC1302" s="28"/>
    </row>
    <row r="1303" spans="1:185" s="25" customFormat="1" x14ac:dyDescent="0.3">
      <c r="A1303" s="27"/>
      <c r="B1303" s="28"/>
      <c r="C1303" s="27"/>
      <c r="D1303" s="26"/>
      <c r="E1303" s="28"/>
      <c r="H1303" s="28"/>
      <c r="K1303" s="28"/>
      <c r="N1303" s="28"/>
      <c r="Q1303" s="28"/>
      <c r="T1303" s="28"/>
      <c r="W1303" s="28"/>
      <c r="Z1303" s="28"/>
      <c r="AC1303" s="28"/>
      <c r="AF1303" s="28"/>
      <c r="AI1303" s="28"/>
      <c r="AL1303" s="28"/>
      <c r="AO1303" s="28"/>
      <c r="AR1303" s="28"/>
      <c r="AU1303" s="28"/>
      <c r="AX1303" s="28"/>
      <c r="BA1303" s="28"/>
      <c r="BD1303" s="28"/>
      <c r="BG1303" s="28"/>
      <c r="BJ1303" s="28"/>
      <c r="BM1303" s="28"/>
      <c r="BP1303" s="28"/>
      <c r="BS1303" s="28"/>
      <c r="BV1303" s="28"/>
      <c r="BY1303" s="28"/>
      <c r="CB1303" s="28"/>
      <c r="CE1303" s="28"/>
      <c r="CH1303" s="28"/>
      <c r="CK1303" s="28"/>
      <c r="CN1303" s="28"/>
      <c r="CQ1303" s="28"/>
      <c r="CT1303" s="28"/>
      <c r="CW1303" s="28"/>
      <c r="CZ1303" s="28"/>
      <c r="DC1303" s="28"/>
      <c r="DF1303" s="28"/>
      <c r="DI1303" s="28"/>
      <c r="DL1303" s="28"/>
      <c r="DO1303" s="28"/>
      <c r="DR1303" s="28"/>
      <c r="DU1303" s="28"/>
      <c r="DX1303" s="28"/>
      <c r="EA1303" s="28"/>
      <c r="ED1303" s="28"/>
      <c r="EG1303" s="28"/>
      <c r="EJ1303" s="28"/>
      <c r="EM1303" s="28"/>
      <c r="EP1303" s="28"/>
      <c r="ES1303" s="28"/>
      <c r="EV1303" s="28"/>
      <c r="EY1303" s="28"/>
      <c r="FB1303" s="28"/>
      <c r="FE1303" s="28"/>
      <c r="FH1303" s="28"/>
      <c r="FK1303" s="28"/>
      <c r="FN1303" s="28"/>
      <c r="FQ1303" s="28"/>
      <c r="FT1303" s="28"/>
      <c r="FW1303" s="28"/>
      <c r="FZ1303" s="28"/>
      <c r="GC1303" s="28"/>
    </row>
    <row r="1304" spans="1:185" s="25" customFormat="1" x14ac:dyDescent="0.3">
      <c r="A1304" s="27"/>
      <c r="B1304" s="28"/>
      <c r="C1304" s="27"/>
      <c r="D1304" s="26"/>
      <c r="E1304" s="28"/>
      <c r="H1304" s="28"/>
      <c r="K1304" s="28"/>
      <c r="N1304" s="28"/>
      <c r="Q1304" s="28"/>
      <c r="T1304" s="28"/>
      <c r="W1304" s="28"/>
      <c r="Z1304" s="28"/>
      <c r="AC1304" s="28"/>
      <c r="AF1304" s="28"/>
      <c r="AI1304" s="28"/>
      <c r="AL1304" s="28"/>
      <c r="AO1304" s="28"/>
      <c r="AR1304" s="28"/>
      <c r="AU1304" s="28"/>
      <c r="AX1304" s="28"/>
      <c r="BA1304" s="28"/>
      <c r="BD1304" s="28"/>
      <c r="BG1304" s="28"/>
      <c r="BJ1304" s="28"/>
      <c r="BM1304" s="28"/>
      <c r="BP1304" s="28"/>
      <c r="BS1304" s="28"/>
      <c r="BV1304" s="28"/>
      <c r="BY1304" s="28"/>
      <c r="CB1304" s="28"/>
      <c r="CE1304" s="28"/>
      <c r="CH1304" s="28"/>
      <c r="CK1304" s="28"/>
      <c r="CN1304" s="28"/>
      <c r="CQ1304" s="28"/>
      <c r="CT1304" s="28"/>
      <c r="CW1304" s="28"/>
      <c r="CZ1304" s="28"/>
      <c r="DC1304" s="28"/>
      <c r="DF1304" s="28"/>
      <c r="DI1304" s="28"/>
      <c r="DL1304" s="28"/>
      <c r="DO1304" s="28"/>
      <c r="DR1304" s="28"/>
      <c r="DU1304" s="28"/>
      <c r="DX1304" s="28"/>
      <c r="EA1304" s="28"/>
      <c r="ED1304" s="28"/>
      <c r="EG1304" s="28"/>
      <c r="EJ1304" s="28"/>
      <c r="EM1304" s="28"/>
      <c r="EP1304" s="28"/>
      <c r="ES1304" s="28"/>
      <c r="EV1304" s="28"/>
      <c r="EY1304" s="28"/>
      <c r="FB1304" s="28"/>
      <c r="FE1304" s="28"/>
      <c r="FH1304" s="28"/>
      <c r="FK1304" s="28"/>
      <c r="FN1304" s="28"/>
      <c r="FQ1304" s="28"/>
      <c r="FT1304" s="28"/>
      <c r="FW1304" s="28"/>
      <c r="FZ1304" s="28"/>
      <c r="GC1304" s="28"/>
    </row>
    <row r="1305" spans="1:185" s="25" customFormat="1" x14ac:dyDescent="0.3">
      <c r="A1305" s="27"/>
      <c r="B1305" s="28"/>
      <c r="C1305" s="27"/>
      <c r="D1305" s="26"/>
      <c r="E1305" s="28"/>
      <c r="H1305" s="28"/>
      <c r="K1305" s="28"/>
      <c r="N1305" s="28"/>
      <c r="Q1305" s="28"/>
      <c r="T1305" s="28"/>
      <c r="W1305" s="28"/>
      <c r="Z1305" s="28"/>
      <c r="AC1305" s="28"/>
      <c r="AF1305" s="28"/>
      <c r="AI1305" s="28"/>
      <c r="AL1305" s="28"/>
      <c r="AO1305" s="28"/>
      <c r="AR1305" s="28"/>
      <c r="AU1305" s="28"/>
      <c r="AX1305" s="28"/>
      <c r="BA1305" s="28"/>
      <c r="BD1305" s="28"/>
      <c r="BG1305" s="28"/>
      <c r="BJ1305" s="28"/>
      <c r="BM1305" s="28"/>
      <c r="BP1305" s="28"/>
      <c r="BS1305" s="28"/>
      <c r="BV1305" s="28"/>
      <c r="BY1305" s="28"/>
      <c r="CB1305" s="28"/>
      <c r="CE1305" s="28"/>
      <c r="CH1305" s="28"/>
      <c r="CK1305" s="28"/>
      <c r="CN1305" s="28"/>
      <c r="CQ1305" s="28"/>
      <c r="CT1305" s="28"/>
      <c r="CW1305" s="28"/>
      <c r="CZ1305" s="28"/>
      <c r="DC1305" s="28"/>
      <c r="DF1305" s="28"/>
      <c r="DI1305" s="28"/>
      <c r="DL1305" s="28"/>
      <c r="DO1305" s="28"/>
      <c r="DR1305" s="28"/>
      <c r="DU1305" s="28"/>
      <c r="DX1305" s="28"/>
      <c r="EA1305" s="28"/>
      <c r="ED1305" s="28"/>
      <c r="EG1305" s="28"/>
      <c r="EJ1305" s="28"/>
      <c r="EM1305" s="28"/>
      <c r="EP1305" s="28"/>
      <c r="ES1305" s="28"/>
      <c r="EV1305" s="28"/>
      <c r="EY1305" s="28"/>
      <c r="FB1305" s="28"/>
      <c r="FE1305" s="28"/>
      <c r="FH1305" s="28"/>
      <c r="FK1305" s="28"/>
      <c r="FN1305" s="28"/>
      <c r="FQ1305" s="28"/>
      <c r="FT1305" s="28"/>
      <c r="FW1305" s="28"/>
      <c r="FZ1305" s="28"/>
      <c r="GC1305" s="28"/>
    </row>
    <row r="1306" spans="1:185" s="25" customFormat="1" x14ac:dyDescent="0.3">
      <c r="A1306" s="27"/>
      <c r="B1306" s="28"/>
      <c r="C1306" s="27"/>
      <c r="D1306" s="26"/>
      <c r="E1306" s="28"/>
      <c r="H1306" s="28"/>
      <c r="K1306" s="28"/>
      <c r="N1306" s="28"/>
      <c r="Q1306" s="28"/>
      <c r="T1306" s="28"/>
      <c r="W1306" s="28"/>
      <c r="Z1306" s="28"/>
      <c r="AC1306" s="28"/>
      <c r="AF1306" s="28"/>
      <c r="AI1306" s="28"/>
      <c r="AL1306" s="28"/>
      <c r="AO1306" s="28"/>
      <c r="AR1306" s="28"/>
      <c r="AU1306" s="28"/>
      <c r="AX1306" s="28"/>
      <c r="BA1306" s="28"/>
      <c r="BD1306" s="28"/>
      <c r="BG1306" s="28"/>
      <c r="BJ1306" s="28"/>
      <c r="BM1306" s="28"/>
      <c r="BP1306" s="28"/>
      <c r="BS1306" s="28"/>
      <c r="BV1306" s="28"/>
      <c r="BY1306" s="28"/>
      <c r="CB1306" s="28"/>
      <c r="CE1306" s="28"/>
      <c r="CH1306" s="28"/>
      <c r="CK1306" s="28"/>
      <c r="CN1306" s="28"/>
      <c r="CQ1306" s="28"/>
      <c r="CT1306" s="28"/>
      <c r="CW1306" s="28"/>
      <c r="CZ1306" s="28"/>
      <c r="DC1306" s="28"/>
      <c r="DF1306" s="28"/>
      <c r="DI1306" s="28"/>
      <c r="DL1306" s="28"/>
      <c r="DO1306" s="28"/>
      <c r="DR1306" s="28"/>
      <c r="DU1306" s="28"/>
      <c r="DX1306" s="28"/>
      <c r="EA1306" s="28"/>
      <c r="ED1306" s="28"/>
      <c r="EG1306" s="28"/>
      <c r="EJ1306" s="28"/>
      <c r="EM1306" s="28"/>
      <c r="EP1306" s="28"/>
      <c r="ES1306" s="28"/>
      <c r="EV1306" s="28"/>
      <c r="EY1306" s="28"/>
      <c r="FB1306" s="28"/>
      <c r="FE1306" s="28"/>
      <c r="FH1306" s="28"/>
      <c r="FK1306" s="28"/>
      <c r="FN1306" s="28"/>
      <c r="FQ1306" s="28"/>
      <c r="FT1306" s="28"/>
      <c r="FW1306" s="28"/>
      <c r="FZ1306" s="28"/>
      <c r="GC1306" s="28"/>
    </row>
    <row r="1307" spans="1:185" s="25" customFormat="1" x14ac:dyDescent="0.3">
      <c r="A1307" s="27"/>
      <c r="B1307" s="28"/>
      <c r="C1307" s="27"/>
      <c r="D1307" s="26"/>
      <c r="E1307" s="28"/>
      <c r="H1307" s="28"/>
      <c r="K1307" s="28"/>
      <c r="N1307" s="28"/>
      <c r="Q1307" s="28"/>
      <c r="T1307" s="28"/>
      <c r="W1307" s="28"/>
      <c r="Z1307" s="28"/>
      <c r="AC1307" s="28"/>
      <c r="AF1307" s="28"/>
      <c r="AI1307" s="28"/>
      <c r="AL1307" s="28"/>
      <c r="AO1307" s="28"/>
      <c r="AR1307" s="28"/>
      <c r="AU1307" s="28"/>
      <c r="AX1307" s="28"/>
      <c r="BA1307" s="28"/>
      <c r="BD1307" s="28"/>
      <c r="BG1307" s="28"/>
      <c r="BJ1307" s="28"/>
      <c r="BM1307" s="28"/>
      <c r="BP1307" s="28"/>
      <c r="BS1307" s="28"/>
      <c r="BV1307" s="28"/>
      <c r="BY1307" s="28"/>
      <c r="CB1307" s="28"/>
      <c r="CE1307" s="28"/>
      <c r="CH1307" s="28"/>
      <c r="CK1307" s="28"/>
      <c r="CN1307" s="28"/>
      <c r="CQ1307" s="28"/>
      <c r="CT1307" s="28"/>
      <c r="CW1307" s="28"/>
      <c r="CZ1307" s="28"/>
      <c r="DC1307" s="28"/>
      <c r="DF1307" s="28"/>
      <c r="DI1307" s="28"/>
      <c r="DL1307" s="28"/>
      <c r="DO1307" s="28"/>
      <c r="DR1307" s="28"/>
      <c r="DU1307" s="28"/>
      <c r="DX1307" s="28"/>
      <c r="EA1307" s="28"/>
      <c r="ED1307" s="28"/>
      <c r="EG1307" s="28"/>
      <c r="EJ1307" s="28"/>
      <c r="EM1307" s="28"/>
      <c r="EP1307" s="28"/>
      <c r="ES1307" s="28"/>
      <c r="EV1307" s="28"/>
      <c r="EY1307" s="28"/>
      <c r="FB1307" s="28"/>
      <c r="FE1307" s="28"/>
      <c r="FH1307" s="28"/>
      <c r="FK1307" s="28"/>
      <c r="FN1307" s="28"/>
      <c r="FQ1307" s="28"/>
      <c r="FT1307" s="28"/>
      <c r="FW1307" s="28"/>
      <c r="FZ1307" s="28"/>
      <c r="GC1307" s="28"/>
    </row>
    <row r="1308" spans="1:185" s="25" customFormat="1" x14ac:dyDescent="0.3">
      <c r="A1308" s="27"/>
      <c r="B1308" s="28"/>
      <c r="C1308" s="27"/>
      <c r="D1308" s="26"/>
      <c r="E1308" s="28"/>
      <c r="H1308" s="28"/>
      <c r="K1308" s="28"/>
      <c r="N1308" s="28"/>
      <c r="Q1308" s="28"/>
      <c r="T1308" s="28"/>
      <c r="W1308" s="28"/>
      <c r="Z1308" s="28"/>
      <c r="AC1308" s="28"/>
      <c r="AF1308" s="28"/>
      <c r="AI1308" s="28"/>
      <c r="AL1308" s="28"/>
      <c r="AO1308" s="28"/>
      <c r="AR1308" s="28"/>
      <c r="AU1308" s="28"/>
      <c r="AX1308" s="28"/>
      <c r="BA1308" s="28"/>
      <c r="BD1308" s="28"/>
      <c r="BG1308" s="28"/>
      <c r="BJ1308" s="28"/>
      <c r="BM1308" s="28"/>
      <c r="BP1308" s="28"/>
      <c r="BS1308" s="28"/>
      <c r="BV1308" s="28"/>
      <c r="BY1308" s="28"/>
      <c r="CB1308" s="28"/>
      <c r="CE1308" s="28"/>
      <c r="CH1308" s="28"/>
      <c r="CK1308" s="28"/>
      <c r="CN1308" s="28"/>
      <c r="CQ1308" s="28"/>
      <c r="CT1308" s="28"/>
      <c r="CW1308" s="28"/>
      <c r="CZ1308" s="28"/>
      <c r="DC1308" s="28"/>
      <c r="DF1308" s="28"/>
      <c r="DI1308" s="28"/>
      <c r="DL1308" s="28"/>
      <c r="DO1308" s="28"/>
      <c r="DR1308" s="28"/>
      <c r="DU1308" s="28"/>
      <c r="DX1308" s="28"/>
      <c r="EA1308" s="28"/>
      <c r="ED1308" s="28"/>
      <c r="EG1308" s="28"/>
      <c r="EJ1308" s="28"/>
      <c r="EM1308" s="28"/>
      <c r="EP1308" s="28"/>
      <c r="ES1308" s="28"/>
      <c r="EV1308" s="28"/>
      <c r="EY1308" s="28"/>
      <c r="FB1308" s="28"/>
      <c r="FE1308" s="28"/>
      <c r="FH1308" s="28"/>
      <c r="FK1308" s="28"/>
      <c r="FN1308" s="28"/>
      <c r="FQ1308" s="28"/>
      <c r="FT1308" s="28"/>
      <c r="FW1308" s="28"/>
      <c r="FZ1308" s="28"/>
      <c r="GC1308" s="28"/>
    </row>
    <row r="1309" spans="1:185" s="25" customFormat="1" x14ac:dyDescent="0.3">
      <c r="A1309" s="27"/>
      <c r="B1309" s="28"/>
      <c r="C1309" s="27"/>
      <c r="D1309" s="26"/>
      <c r="E1309" s="28"/>
      <c r="H1309" s="28"/>
      <c r="K1309" s="28"/>
      <c r="N1309" s="28"/>
      <c r="Q1309" s="28"/>
      <c r="T1309" s="28"/>
      <c r="W1309" s="28"/>
      <c r="Z1309" s="28"/>
      <c r="AC1309" s="28"/>
      <c r="AF1309" s="28"/>
      <c r="AI1309" s="28"/>
      <c r="AL1309" s="28"/>
      <c r="AO1309" s="28"/>
      <c r="AR1309" s="28"/>
      <c r="AU1309" s="28"/>
      <c r="AX1309" s="28"/>
      <c r="BA1309" s="28"/>
      <c r="BD1309" s="28"/>
      <c r="BG1309" s="28"/>
      <c r="BJ1309" s="28"/>
      <c r="BM1309" s="28"/>
      <c r="BP1309" s="28"/>
      <c r="BS1309" s="28"/>
      <c r="BV1309" s="28"/>
      <c r="BY1309" s="28"/>
      <c r="CB1309" s="28"/>
      <c r="CE1309" s="28"/>
      <c r="CH1309" s="28"/>
      <c r="CK1309" s="28"/>
      <c r="CN1309" s="28"/>
      <c r="CQ1309" s="28"/>
      <c r="CT1309" s="28"/>
      <c r="CW1309" s="28"/>
      <c r="CZ1309" s="28"/>
      <c r="DC1309" s="28"/>
      <c r="DF1309" s="28"/>
      <c r="DI1309" s="28"/>
      <c r="DL1309" s="28"/>
      <c r="DO1309" s="28"/>
      <c r="DR1309" s="28"/>
      <c r="DU1309" s="28"/>
      <c r="DX1309" s="28"/>
      <c r="EA1309" s="28"/>
      <c r="ED1309" s="28"/>
      <c r="EG1309" s="28"/>
      <c r="EJ1309" s="28"/>
      <c r="EM1309" s="28"/>
      <c r="EP1309" s="28"/>
      <c r="ES1309" s="28"/>
      <c r="EV1309" s="28"/>
      <c r="EY1309" s="28"/>
      <c r="FB1309" s="28"/>
      <c r="FE1309" s="28"/>
      <c r="FH1309" s="28"/>
      <c r="FK1309" s="28"/>
      <c r="FN1309" s="28"/>
      <c r="FQ1309" s="28"/>
      <c r="FT1309" s="28"/>
      <c r="FW1309" s="28"/>
      <c r="FZ1309" s="28"/>
      <c r="GC1309" s="28"/>
    </row>
    <row r="1310" spans="1:185" s="25" customFormat="1" x14ac:dyDescent="0.3">
      <c r="A1310" s="27"/>
      <c r="B1310" s="28"/>
      <c r="C1310" s="27"/>
      <c r="D1310" s="26"/>
      <c r="E1310" s="28"/>
      <c r="H1310" s="28"/>
      <c r="K1310" s="28"/>
      <c r="N1310" s="28"/>
      <c r="Q1310" s="28"/>
      <c r="T1310" s="28"/>
      <c r="W1310" s="28"/>
      <c r="Z1310" s="28"/>
      <c r="AC1310" s="28"/>
      <c r="AF1310" s="28"/>
      <c r="AI1310" s="28"/>
      <c r="AL1310" s="28"/>
      <c r="AO1310" s="28"/>
      <c r="AR1310" s="28"/>
      <c r="AU1310" s="28"/>
      <c r="AX1310" s="28"/>
      <c r="BA1310" s="28"/>
      <c r="BD1310" s="28"/>
      <c r="BG1310" s="28"/>
      <c r="BJ1310" s="28"/>
      <c r="BM1310" s="28"/>
      <c r="BP1310" s="28"/>
      <c r="BS1310" s="28"/>
      <c r="BV1310" s="28"/>
      <c r="BY1310" s="28"/>
      <c r="CB1310" s="28"/>
      <c r="CE1310" s="28"/>
      <c r="CH1310" s="28"/>
      <c r="CK1310" s="28"/>
      <c r="CN1310" s="28"/>
      <c r="CQ1310" s="28"/>
      <c r="CT1310" s="28"/>
      <c r="CW1310" s="28"/>
      <c r="CZ1310" s="28"/>
      <c r="DC1310" s="28"/>
      <c r="DF1310" s="28"/>
      <c r="DI1310" s="28"/>
      <c r="DL1310" s="28"/>
      <c r="DO1310" s="28"/>
      <c r="DR1310" s="28"/>
      <c r="DU1310" s="28"/>
      <c r="DX1310" s="28"/>
      <c r="EA1310" s="28"/>
      <c r="ED1310" s="28"/>
      <c r="EG1310" s="28"/>
      <c r="EJ1310" s="28"/>
      <c r="EM1310" s="28"/>
      <c r="EP1310" s="28"/>
      <c r="ES1310" s="28"/>
      <c r="EV1310" s="28"/>
      <c r="EY1310" s="28"/>
      <c r="FB1310" s="28"/>
      <c r="FE1310" s="28"/>
      <c r="FH1310" s="28"/>
      <c r="FK1310" s="28"/>
      <c r="FN1310" s="28"/>
      <c r="FQ1310" s="28"/>
      <c r="FT1310" s="28"/>
      <c r="FW1310" s="28"/>
      <c r="FZ1310" s="28"/>
      <c r="GC1310" s="28"/>
    </row>
    <row r="1311" spans="1:185" s="25" customFormat="1" x14ac:dyDescent="0.3">
      <c r="A1311" s="27"/>
      <c r="B1311" s="28"/>
      <c r="C1311" s="27"/>
      <c r="D1311" s="26"/>
      <c r="E1311" s="28"/>
      <c r="H1311" s="28"/>
      <c r="K1311" s="28"/>
      <c r="N1311" s="28"/>
      <c r="Q1311" s="28"/>
      <c r="T1311" s="28"/>
      <c r="W1311" s="28"/>
      <c r="Z1311" s="28"/>
      <c r="AC1311" s="28"/>
      <c r="AF1311" s="28"/>
      <c r="AI1311" s="28"/>
      <c r="AL1311" s="28"/>
      <c r="AO1311" s="28"/>
      <c r="AR1311" s="28"/>
      <c r="AU1311" s="28"/>
      <c r="AX1311" s="28"/>
      <c r="BA1311" s="28"/>
      <c r="BD1311" s="28"/>
      <c r="BG1311" s="28"/>
      <c r="BJ1311" s="28"/>
      <c r="BM1311" s="28"/>
      <c r="BP1311" s="28"/>
      <c r="BS1311" s="28"/>
      <c r="BV1311" s="28"/>
      <c r="BY1311" s="28"/>
      <c r="CB1311" s="28"/>
      <c r="CE1311" s="28"/>
      <c r="CH1311" s="28"/>
      <c r="CK1311" s="28"/>
      <c r="CN1311" s="28"/>
      <c r="CQ1311" s="28"/>
      <c r="CT1311" s="28"/>
      <c r="CW1311" s="28"/>
      <c r="CZ1311" s="28"/>
      <c r="DC1311" s="28"/>
      <c r="DF1311" s="28"/>
      <c r="DI1311" s="28"/>
      <c r="DL1311" s="28"/>
      <c r="DO1311" s="28"/>
      <c r="DR1311" s="28"/>
      <c r="DU1311" s="28"/>
      <c r="DX1311" s="28"/>
      <c r="EA1311" s="28"/>
      <c r="ED1311" s="28"/>
      <c r="EG1311" s="28"/>
      <c r="EJ1311" s="28"/>
      <c r="EM1311" s="28"/>
      <c r="EP1311" s="28"/>
      <c r="ES1311" s="28"/>
      <c r="EV1311" s="28"/>
      <c r="EY1311" s="28"/>
      <c r="FB1311" s="28"/>
      <c r="FE1311" s="28"/>
      <c r="FH1311" s="28"/>
      <c r="FK1311" s="28"/>
      <c r="FN1311" s="28"/>
      <c r="FQ1311" s="28"/>
      <c r="FT1311" s="28"/>
      <c r="FW1311" s="28"/>
      <c r="FZ1311" s="28"/>
      <c r="GC1311" s="28"/>
    </row>
    <row r="1312" spans="1:185" s="25" customFormat="1" x14ac:dyDescent="0.3">
      <c r="A1312" s="27"/>
      <c r="B1312" s="28"/>
      <c r="C1312" s="27"/>
      <c r="D1312" s="26"/>
      <c r="E1312" s="28"/>
      <c r="H1312" s="28"/>
      <c r="K1312" s="28"/>
      <c r="N1312" s="28"/>
      <c r="Q1312" s="28"/>
      <c r="T1312" s="28"/>
      <c r="W1312" s="28"/>
      <c r="Z1312" s="28"/>
      <c r="AC1312" s="28"/>
      <c r="AF1312" s="28"/>
      <c r="AI1312" s="28"/>
      <c r="AL1312" s="28"/>
      <c r="AO1312" s="28"/>
      <c r="AR1312" s="28"/>
      <c r="AU1312" s="28"/>
      <c r="AX1312" s="28"/>
      <c r="BA1312" s="28"/>
      <c r="BD1312" s="28"/>
      <c r="BG1312" s="28"/>
      <c r="BJ1312" s="28"/>
      <c r="BM1312" s="28"/>
      <c r="BP1312" s="28"/>
      <c r="BS1312" s="28"/>
      <c r="BV1312" s="28"/>
      <c r="BY1312" s="28"/>
      <c r="CB1312" s="28"/>
      <c r="CE1312" s="28"/>
      <c r="CH1312" s="28"/>
      <c r="CK1312" s="28"/>
      <c r="CN1312" s="28"/>
      <c r="CQ1312" s="28"/>
      <c r="CT1312" s="28"/>
      <c r="CW1312" s="28"/>
      <c r="CZ1312" s="28"/>
      <c r="DC1312" s="28"/>
      <c r="DF1312" s="28"/>
      <c r="DI1312" s="28"/>
      <c r="DL1312" s="28"/>
      <c r="DO1312" s="28"/>
      <c r="DR1312" s="28"/>
      <c r="DU1312" s="28"/>
      <c r="DX1312" s="28"/>
      <c r="EA1312" s="28"/>
      <c r="ED1312" s="28"/>
      <c r="EG1312" s="28"/>
      <c r="EJ1312" s="28"/>
      <c r="EM1312" s="28"/>
      <c r="EP1312" s="28"/>
      <c r="ES1312" s="28"/>
      <c r="EV1312" s="28"/>
      <c r="EY1312" s="28"/>
      <c r="FB1312" s="28"/>
      <c r="FE1312" s="28"/>
      <c r="FH1312" s="28"/>
      <c r="FK1312" s="28"/>
      <c r="FN1312" s="28"/>
      <c r="FQ1312" s="28"/>
      <c r="FT1312" s="28"/>
      <c r="FW1312" s="28"/>
      <c r="FZ1312" s="28"/>
      <c r="GC1312" s="28"/>
    </row>
    <row r="1313" spans="1:185" s="25" customFormat="1" x14ac:dyDescent="0.3">
      <c r="A1313" s="27"/>
      <c r="B1313" s="28"/>
      <c r="C1313" s="27"/>
      <c r="D1313" s="26"/>
      <c r="E1313" s="28"/>
      <c r="H1313" s="28"/>
      <c r="K1313" s="28"/>
      <c r="N1313" s="28"/>
      <c r="Q1313" s="28"/>
      <c r="T1313" s="28"/>
      <c r="W1313" s="28"/>
      <c r="Z1313" s="28"/>
      <c r="AC1313" s="28"/>
      <c r="AF1313" s="28"/>
      <c r="AI1313" s="28"/>
      <c r="AL1313" s="28"/>
      <c r="AO1313" s="28"/>
      <c r="AR1313" s="28"/>
      <c r="AU1313" s="28"/>
      <c r="AX1313" s="28"/>
      <c r="BA1313" s="28"/>
      <c r="BD1313" s="28"/>
      <c r="BG1313" s="28"/>
      <c r="BJ1313" s="28"/>
      <c r="BM1313" s="28"/>
      <c r="BP1313" s="28"/>
      <c r="BS1313" s="28"/>
      <c r="BV1313" s="28"/>
      <c r="BY1313" s="28"/>
      <c r="CB1313" s="28"/>
      <c r="CE1313" s="28"/>
      <c r="CH1313" s="28"/>
      <c r="CK1313" s="28"/>
      <c r="CN1313" s="28"/>
      <c r="CQ1313" s="28"/>
      <c r="CT1313" s="28"/>
      <c r="CW1313" s="28"/>
      <c r="CZ1313" s="28"/>
      <c r="DC1313" s="28"/>
      <c r="DF1313" s="28"/>
      <c r="DI1313" s="28"/>
      <c r="DL1313" s="28"/>
      <c r="DO1313" s="28"/>
      <c r="DR1313" s="28"/>
      <c r="DU1313" s="28"/>
      <c r="DX1313" s="28"/>
      <c r="EA1313" s="28"/>
      <c r="ED1313" s="28"/>
      <c r="EG1313" s="28"/>
      <c r="EJ1313" s="28"/>
      <c r="EM1313" s="28"/>
      <c r="EP1313" s="28"/>
      <c r="ES1313" s="28"/>
      <c r="EV1313" s="28"/>
      <c r="EY1313" s="28"/>
      <c r="FB1313" s="28"/>
      <c r="FE1313" s="28"/>
      <c r="FH1313" s="28"/>
      <c r="FK1313" s="28"/>
      <c r="FN1313" s="28"/>
      <c r="FQ1313" s="28"/>
      <c r="FT1313" s="28"/>
      <c r="FW1313" s="28"/>
      <c r="FZ1313" s="28"/>
      <c r="GC1313" s="28"/>
    </row>
    <row r="1314" spans="1:185" s="25" customFormat="1" x14ac:dyDescent="0.3">
      <c r="A1314" s="27"/>
      <c r="B1314" s="28"/>
      <c r="C1314" s="27"/>
      <c r="D1314" s="26"/>
      <c r="E1314" s="28"/>
      <c r="H1314" s="28"/>
      <c r="K1314" s="28"/>
      <c r="N1314" s="28"/>
      <c r="Q1314" s="28"/>
      <c r="T1314" s="28"/>
      <c r="W1314" s="28"/>
      <c r="Z1314" s="28"/>
      <c r="AC1314" s="28"/>
      <c r="AF1314" s="28"/>
      <c r="AI1314" s="28"/>
      <c r="AL1314" s="28"/>
      <c r="AO1314" s="28"/>
      <c r="AR1314" s="28"/>
      <c r="AU1314" s="28"/>
      <c r="AX1314" s="28"/>
      <c r="BA1314" s="28"/>
      <c r="BD1314" s="28"/>
      <c r="BG1314" s="28"/>
      <c r="BJ1314" s="28"/>
      <c r="BM1314" s="28"/>
      <c r="BP1314" s="28"/>
      <c r="BS1314" s="28"/>
      <c r="BV1314" s="28"/>
      <c r="BY1314" s="28"/>
      <c r="CB1314" s="28"/>
      <c r="CE1314" s="28"/>
      <c r="CH1314" s="28"/>
      <c r="CK1314" s="28"/>
      <c r="CN1314" s="28"/>
      <c r="CQ1314" s="28"/>
      <c r="CT1314" s="28"/>
      <c r="CW1314" s="28"/>
      <c r="CZ1314" s="28"/>
      <c r="DC1314" s="28"/>
      <c r="DF1314" s="28"/>
      <c r="DI1314" s="28"/>
      <c r="DL1314" s="28"/>
      <c r="DO1314" s="28"/>
      <c r="DR1314" s="28"/>
      <c r="DU1314" s="28"/>
      <c r="DX1314" s="28"/>
      <c r="EA1314" s="28"/>
      <c r="ED1314" s="28"/>
      <c r="EG1314" s="28"/>
      <c r="EJ1314" s="28"/>
      <c r="EM1314" s="28"/>
      <c r="EP1314" s="28"/>
      <c r="ES1314" s="28"/>
      <c r="EV1314" s="28"/>
      <c r="EY1314" s="28"/>
      <c r="FB1314" s="28"/>
      <c r="FE1314" s="28"/>
      <c r="FH1314" s="28"/>
      <c r="FK1314" s="28"/>
      <c r="FN1314" s="28"/>
      <c r="FQ1314" s="28"/>
      <c r="FT1314" s="28"/>
      <c r="FW1314" s="28"/>
      <c r="FZ1314" s="28"/>
      <c r="GC1314" s="28"/>
    </row>
    <row r="1315" spans="1:185" s="25" customFormat="1" x14ac:dyDescent="0.3">
      <c r="A1315" s="27"/>
      <c r="B1315" s="28"/>
      <c r="C1315" s="27"/>
      <c r="D1315" s="26"/>
      <c r="E1315" s="28"/>
      <c r="H1315" s="28"/>
      <c r="K1315" s="28"/>
      <c r="N1315" s="28"/>
      <c r="Q1315" s="28"/>
      <c r="T1315" s="28"/>
      <c r="W1315" s="28"/>
      <c r="Z1315" s="28"/>
      <c r="AC1315" s="28"/>
      <c r="AF1315" s="28"/>
      <c r="AI1315" s="28"/>
      <c r="AL1315" s="28"/>
      <c r="AO1315" s="28"/>
      <c r="AR1315" s="28"/>
      <c r="AU1315" s="28"/>
      <c r="AX1315" s="28"/>
      <c r="BA1315" s="28"/>
      <c r="BD1315" s="28"/>
      <c r="BG1315" s="28"/>
      <c r="BJ1315" s="28"/>
      <c r="BM1315" s="28"/>
      <c r="BP1315" s="28"/>
      <c r="BS1315" s="28"/>
      <c r="BV1315" s="28"/>
      <c r="BY1315" s="28"/>
      <c r="CB1315" s="28"/>
      <c r="CE1315" s="28"/>
      <c r="CH1315" s="28"/>
      <c r="CK1315" s="28"/>
      <c r="CN1315" s="28"/>
      <c r="CQ1315" s="28"/>
      <c r="CT1315" s="28"/>
      <c r="CW1315" s="28"/>
      <c r="CZ1315" s="28"/>
      <c r="DC1315" s="28"/>
      <c r="DF1315" s="28"/>
      <c r="DI1315" s="28"/>
      <c r="DL1315" s="28"/>
      <c r="DO1315" s="28"/>
      <c r="DR1315" s="28"/>
      <c r="DU1315" s="28"/>
      <c r="DX1315" s="28"/>
      <c r="EA1315" s="28"/>
      <c r="ED1315" s="28"/>
      <c r="EG1315" s="28"/>
      <c r="EJ1315" s="28"/>
      <c r="EM1315" s="28"/>
      <c r="EP1315" s="28"/>
      <c r="ES1315" s="28"/>
      <c r="EV1315" s="28"/>
      <c r="EY1315" s="28"/>
      <c r="FB1315" s="28"/>
      <c r="FE1315" s="28"/>
      <c r="FH1315" s="28"/>
      <c r="FK1315" s="28"/>
      <c r="FN1315" s="28"/>
      <c r="FQ1315" s="28"/>
      <c r="FT1315" s="28"/>
      <c r="FW1315" s="28"/>
      <c r="FZ1315" s="28"/>
      <c r="GC1315" s="28"/>
    </row>
    <row r="1316" spans="1:185" s="25" customFormat="1" x14ac:dyDescent="0.3">
      <c r="A1316" s="27"/>
      <c r="B1316" s="28"/>
      <c r="C1316" s="27"/>
      <c r="D1316" s="26"/>
      <c r="E1316" s="28"/>
      <c r="H1316" s="28"/>
      <c r="K1316" s="28"/>
      <c r="N1316" s="28"/>
      <c r="Q1316" s="28"/>
      <c r="T1316" s="28"/>
      <c r="W1316" s="28"/>
      <c r="Z1316" s="28"/>
      <c r="AC1316" s="28"/>
      <c r="AF1316" s="28"/>
      <c r="AI1316" s="28"/>
      <c r="AL1316" s="28"/>
      <c r="AO1316" s="28"/>
      <c r="AR1316" s="28"/>
      <c r="AU1316" s="28"/>
      <c r="AX1316" s="28"/>
      <c r="BA1316" s="28"/>
      <c r="BD1316" s="28"/>
      <c r="BG1316" s="28"/>
      <c r="BJ1316" s="28"/>
      <c r="BM1316" s="28"/>
      <c r="BP1316" s="28"/>
      <c r="BS1316" s="28"/>
      <c r="BV1316" s="28"/>
      <c r="BY1316" s="28"/>
      <c r="CB1316" s="28"/>
      <c r="CE1316" s="28"/>
      <c r="CH1316" s="28"/>
      <c r="CK1316" s="28"/>
      <c r="CN1316" s="28"/>
      <c r="CQ1316" s="28"/>
      <c r="CT1316" s="28"/>
      <c r="CW1316" s="28"/>
      <c r="CZ1316" s="28"/>
      <c r="DC1316" s="28"/>
      <c r="DF1316" s="28"/>
      <c r="DI1316" s="28"/>
      <c r="DL1316" s="28"/>
      <c r="DO1316" s="28"/>
      <c r="DR1316" s="28"/>
      <c r="DU1316" s="28"/>
      <c r="DX1316" s="28"/>
      <c r="EA1316" s="28"/>
      <c r="ED1316" s="28"/>
      <c r="EG1316" s="28"/>
      <c r="EJ1316" s="28"/>
      <c r="EM1316" s="28"/>
      <c r="EP1316" s="28"/>
      <c r="ES1316" s="28"/>
      <c r="EV1316" s="28"/>
      <c r="EY1316" s="28"/>
      <c r="FB1316" s="28"/>
      <c r="FE1316" s="28"/>
      <c r="FH1316" s="28"/>
      <c r="FK1316" s="28"/>
      <c r="FN1316" s="28"/>
      <c r="FQ1316" s="28"/>
      <c r="FT1316" s="28"/>
      <c r="FW1316" s="28"/>
      <c r="FZ1316" s="28"/>
      <c r="GC1316" s="28"/>
    </row>
    <row r="1317" spans="1:185" s="25" customFormat="1" x14ac:dyDescent="0.3">
      <c r="A1317" s="27"/>
      <c r="B1317" s="28"/>
      <c r="C1317" s="27"/>
      <c r="D1317" s="26"/>
      <c r="E1317" s="28"/>
      <c r="H1317" s="28"/>
      <c r="K1317" s="28"/>
      <c r="N1317" s="28"/>
      <c r="Q1317" s="28"/>
      <c r="T1317" s="28"/>
      <c r="W1317" s="28"/>
      <c r="Z1317" s="28"/>
      <c r="AC1317" s="28"/>
      <c r="AF1317" s="28"/>
      <c r="AI1317" s="28"/>
      <c r="AL1317" s="28"/>
      <c r="AO1317" s="28"/>
      <c r="AR1317" s="28"/>
      <c r="AU1317" s="28"/>
      <c r="AX1317" s="28"/>
      <c r="BA1317" s="28"/>
      <c r="BD1317" s="28"/>
      <c r="BG1317" s="28"/>
      <c r="BJ1317" s="28"/>
      <c r="BM1317" s="28"/>
      <c r="BP1317" s="28"/>
      <c r="BS1317" s="28"/>
      <c r="BV1317" s="28"/>
      <c r="BY1317" s="28"/>
      <c r="CB1317" s="28"/>
      <c r="CE1317" s="28"/>
      <c r="CH1317" s="28"/>
      <c r="CK1317" s="28"/>
      <c r="CN1317" s="28"/>
      <c r="CQ1317" s="28"/>
      <c r="CT1317" s="28"/>
      <c r="CW1317" s="28"/>
      <c r="CZ1317" s="28"/>
      <c r="DC1317" s="28"/>
      <c r="DF1317" s="28"/>
      <c r="DI1317" s="28"/>
      <c r="DL1317" s="28"/>
      <c r="DO1317" s="28"/>
      <c r="DR1317" s="28"/>
      <c r="DU1317" s="28"/>
      <c r="DX1317" s="28"/>
      <c r="EA1317" s="28"/>
      <c r="ED1317" s="28"/>
      <c r="EG1317" s="28"/>
      <c r="EJ1317" s="28"/>
      <c r="EM1317" s="28"/>
      <c r="EP1317" s="28"/>
      <c r="ES1317" s="28"/>
      <c r="EV1317" s="28"/>
      <c r="EY1317" s="28"/>
      <c r="FB1317" s="28"/>
      <c r="FE1317" s="28"/>
      <c r="FH1317" s="28"/>
      <c r="FK1317" s="28"/>
      <c r="FN1317" s="28"/>
      <c r="FQ1317" s="28"/>
      <c r="FT1317" s="28"/>
      <c r="FW1317" s="28"/>
      <c r="FZ1317" s="28"/>
      <c r="GC1317" s="28"/>
    </row>
    <row r="1318" spans="1:185" s="25" customFormat="1" x14ac:dyDescent="0.3">
      <c r="A1318" s="27"/>
      <c r="B1318" s="28"/>
      <c r="C1318" s="27"/>
      <c r="D1318" s="26"/>
      <c r="E1318" s="28"/>
      <c r="H1318" s="28"/>
      <c r="K1318" s="28"/>
      <c r="N1318" s="28"/>
      <c r="Q1318" s="28"/>
      <c r="T1318" s="28"/>
      <c r="W1318" s="28"/>
      <c r="Z1318" s="28"/>
      <c r="AC1318" s="28"/>
      <c r="AF1318" s="28"/>
      <c r="AI1318" s="28"/>
      <c r="AL1318" s="28"/>
      <c r="AO1318" s="28"/>
      <c r="AR1318" s="28"/>
      <c r="AU1318" s="28"/>
      <c r="AX1318" s="28"/>
      <c r="BA1318" s="28"/>
      <c r="BD1318" s="28"/>
      <c r="BG1318" s="28"/>
      <c r="BJ1318" s="28"/>
      <c r="BM1318" s="28"/>
      <c r="BP1318" s="28"/>
      <c r="BS1318" s="28"/>
      <c r="BV1318" s="28"/>
      <c r="BY1318" s="28"/>
      <c r="CB1318" s="28"/>
      <c r="CE1318" s="28"/>
      <c r="CH1318" s="28"/>
      <c r="CK1318" s="28"/>
      <c r="CN1318" s="28"/>
      <c r="CQ1318" s="28"/>
      <c r="CT1318" s="28"/>
      <c r="CW1318" s="28"/>
      <c r="CZ1318" s="28"/>
      <c r="DC1318" s="28"/>
      <c r="DF1318" s="28"/>
      <c r="DI1318" s="28"/>
      <c r="DL1318" s="28"/>
      <c r="DO1318" s="28"/>
      <c r="DR1318" s="28"/>
      <c r="DU1318" s="28"/>
      <c r="DX1318" s="28"/>
      <c r="EA1318" s="28"/>
      <c r="ED1318" s="28"/>
      <c r="EG1318" s="28"/>
      <c r="EJ1318" s="28"/>
      <c r="EM1318" s="28"/>
      <c r="EP1318" s="28"/>
      <c r="ES1318" s="28"/>
      <c r="EV1318" s="28"/>
      <c r="EY1318" s="28"/>
      <c r="FB1318" s="28"/>
      <c r="FE1318" s="28"/>
      <c r="FH1318" s="28"/>
      <c r="FK1318" s="28"/>
      <c r="FN1318" s="28"/>
      <c r="FQ1318" s="28"/>
      <c r="FT1318" s="28"/>
      <c r="FW1318" s="28"/>
      <c r="FZ1318" s="28"/>
      <c r="GC1318" s="28"/>
    </row>
    <row r="1319" spans="1:185" s="25" customFormat="1" x14ac:dyDescent="0.3">
      <c r="A1319" s="27"/>
      <c r="B1319" s="28"/>
      <c r="C1319" s="27"/>
      <c r="D1319" s="26"/>
      <c r="E1319" s="28"/>
      <c r="H1319" s="28"/>
      <c r="K1319" s="28"/>
      <c r="N1319" s="28"/>
      <c r="Q1319" s="28"/>
      <c r="T1319" s="28"/>
      <c r="W1319" s="28"/>
      <c r="Z1319" s="28"/>
      <c r="AC1319" s="28"/>
      <c r="AF1319" s="28"/>
      <c r="AI1319" s="28"/>
      <c r="AL1319" s="28"/>
      <c r="AO1319" s="28"/>
      <c r="AR1319" s="28"/>
      <c r="AU1319" s="28"/>
      <c r="AX1319" s="28"/>
      <c r="BA1319" s="28"/>
      <c r="BD1319" s="28"/>
      <c r="BG1319" s="28"/>
      <c r="BJ1319" s="28"/>
      <c r="BM1319" s="28"/>
      <c r="BP1319" s="28"/>
      <c r="BS1319" s="28"/>
      <c r="BV1319" s="28"/>
      <c r="BY1319" s="28"/>
      <c r="CB1319" s="28"/>
      <c r="CE1319" s="28"/>
      <c r="CH1319" s="28"/>
      <c r="CK1319" s="28"/>
      <c r="CN1319" s="28"/>
      <c r="CQ1319" s="28"/>
      <c r="CT1319" s="28"/>
      <c r="CW1319" s="28"/>
      <c r="CZ1319" s="28"/>
      <c r="DC1319" s="28"/>
      <c r="DF1319" s="28"/>
      <c r="DI1319" s="28"/>
      <c r="DL1319" s="28"/>
      <c r="DO1319" s="28"/>
      <c r="DR1319" s="28"/>
      <c r="DU1319" s="28"/>
      <c r="DX1319" s="28"/>
      <c r="EA1319" s="28"/>
      <c r="ED1319" s="28"/>
      <c r="EG1319" s="28"/>
      <c r="EJ1319" s="28"/>
      <c r="EM1319" s="28"/>
      <c r="EP1319" s="28"/>
      <c r="ES1319" s="28"/>
      <c r="EV1319" s="28"/>
      <c r="EY1319" s="28"/>
      <c r="FB1319" s="28"/>
      <c r="FE1319" s="28"/>
      <c r="FH1319" s="28"/>
      <c r="FK1319" s="28"/>
      <c r="FN1319" s="28"/>
      <c r="FQ1319" s="28"/>
      <c r="FT1319" s="28"/>
      <c r="FW1319" s="28"/>
      <c r="FZ1319" s="28"/>
      <c r="GC1319" s="28"/>
    </row>
    <row r="1320" spans="1:185" s="25" customFormat="1" x14ac:dyDescent="0.3">
      <c r="A1320" s="27"/>
      <c r="B1320" s="28"/>
      <c r="C1320" s="27"/>
      <c r="D1320" s="26"/>
      <c r="E1320" s="28"/>
      <c r="H1320" s="28"/>
      <c r="K1320" s="28"/>
      <c r="N1320" s="28"/>
      <c r="Q1320" s="28"/>
      <c r="T1320" s="28"/>
      <c r="W1320" s="28"/>
      <c r="Z1320" s="28"/>
      <c r="AC1320" s="28"/>
      <c r="AF1320" s="28"/>
      <c r="AI1320" s="28"/>
      <c r="AL1320" s="28"/>
      <c r="AO1320" s="28"/>
      <c r="AR1320" s="28"/>
      <c r="AU1320" s="28"/>
      <c r="AX1320" s="28"/>
      <c r="BA1320" s="28"/>
      <c r="BD1320" s="28"/>
      <c r="BG1320" s="28"/>
      <c r="BJ1320" s="28"/>
      <c r="BM1320" s="28"/>
      <c r="BP1320" s="28"/>
      <c r="BS1320" s="28"/>
      <c r="BV1320" s="28"/>
      <c r="BY1320" s="28"/>
      <c r="CB1320" s="28"/>
      <c r="CE1320" s="28"/>
      <c r="CH1320" s="28"/>
      <c r="CK1320" s="28"/>
      <c r="CN1320" s="28"/>
      <c r="CQ1320" s="28"/>
      <c r="CT1320" s="28"/>
      <c r="CW1320" s="28"/>
      <c r="CZ1320" s="28"/>
      <c r="DC1320" s="28"/>
      <c r="DF1320" s="28"/>
      <c r="DI1320" s="28"/>
      <c r="DL1320" s="28"/>
      <c r="DO1320" s="28"/>
      <c r="DR1320" s="28"/>
      <c r="DU1320" s="28"/>
      <c r="DX1320" s="28"/>
      <c r="EA1320" s="28"/>
      <c r="ED1320" s="28"/>
      <c r="EG1320" s="28"/>
      <c r="EJ1320" s="28"/>
      <c r="EM1320" s="28"/>
      <c r="EP1320" s="28"/>
      <c r="ES1320" s="28"/>
      <c r="EV1320" s="28"/>
      <c r="EY1320" s="28"/>
      <c r="FB1320" s="28"/>
      <c r="FE1320" s="28"/>
      <c r="FH1320" s="28"/>
      <c r="FK1320" s="28"/>
      <c r="FN1320" s="28"/>
      <c r="FQ1320" s="28"/>
      <c r="FT1320" s="28"/>
      <c r="FW1320" s="28"/>
      <c r="FZ1320" s="28"/>
      <c r="GC1320" s="28"/>
    </row>
    <row r="1321" spans="1:185" s="25" customFormat="1" x14ac:dyDescent="0.3">
      <c r="A1321" s="27"/>
      <c r="B1321" s="28"/>
      <c r="C1321" s="27"/>
      <c r="D1321" s="26"/>
      <c r="E1321" s="28"/>
      <c r="H1321" s="28"/>
      <c r="K1321" s="28"/>
      <c r="N1321" s="28"/>
      <c r="Q1321" s="28"/>
      <c r="T1321" s="28"/>
      <c r="W1321" s="28"/>
      <c r="Z1321" s="28"/>
      <c r="AC1321" s="28"/>
      <c r="AF1321" s="28"/>
      <c r="AI1321" s="28"/>
      <c r="AL1321" s="28"/>
      <c r="AO1321" s="28"/>
      <c r="AR1321" s="28"/>
      <c r="AU1321" s="28"/>
      <c r="AX1321" s="28"/>
      <c r="BA1321" s="28"/>
      <c r="BD1321" s="28"/>
      <c r="BG1321" s="28"/>
      <c r="BJ1321" s="28"/>
      <c r="BM1321" s="28"/>
      <c r="BP1321" s="28"/>
      <c r="BS1321" s="28"/>
      <c r="BV1321" s="28"/>
      <c r="BY1321" s="28"/>
      <c r="CB1321" s="28"/>
      <c r="CE1321" s="28"/>
      <c r="CH1321" s="28"/>
      <c r="CK1321" s="28"/>
      <c r="CN1321" s="28"/>
      <c r="CQ1321" s="28"/>
      <c r="CT1321" s="28"/>
      <c r="CW1321" s="28"/>
      <c r="CZ1321" s="28"/>
      <c r="DC1321" s="28"/>
      <c r="DF1321" s="28"/>
      <c r="DI1321" s="28"/>
      <c r="DL1321" s="28"/>
      <c r="DO1321" s="28"/>
      <c r="DR1321" s="28"/>
      <c r="DU1321" s="28"/>
      <c r="DX1321" s="28"/>
      <c r="EA1321" s="28"/>
      <c r="ED1321" s="28"/>
      <c r="EG1321" s="28"/>
      <c r="EJ1321" s="28"/>
      <c r="EM1321" s="28"/>
      <c r="EP1321" s="28"/>
      <c r="ES1321" s="28"/>
      <c r="EV1321" s="28"/>
      <c r="EY1321" s="28"/>
      <c r="FB1321" s="28"/>
      <c r="FE1321" s="28"/>
      <c r="FH1321" s="28"/>
      <c r="FK1321" s="28"/>
      <c r="FN1321" s="28"/>
      <c r="FQ1321" s="28"/>
      <c r="FT1321" s="28"/>
      <c r="FW1321" s="28"/>
      <c r="FZ1321" s="28"/>
      <c r="GC1321" s="28"/>
    </row>
    <row r="1322" spans="1:185" s="25" customFormat="1" x14ac:dyDescent="0.3">
      <c r="A1322" s="27"/>
      <c r="B1322" s="28"/>
      <c r="C1322" s="27"/>
      <c r="D1322" s="26"/>
      <c r="E1322" s="28"/>
      <c r="H1322" s="28"/>
      <c r="K1322" s="28"/>
      <c r="N1322" s="28"/>
      <c r="Q1322" s="28"/>
      <c r="T1322" s="28"/>
      <c r="W1322" s="28"/>
      <c r="Z1322" s="28"/>
      <c r="AC1322" s="28"/>
      <c r="AF1322" s="28"/>
      <c r="AI1322" s="28"/>
      <c r="AL1322" s="28"/>
      <c r="AO1322" s="28"/>
      <c r="AR1322" s="28"/>
      <c r="AU1322" s="28"/>
      <c r="AX1322" s="28"/>
      <c r="BA1322" s="28"/>
      <c r="BD1322" s="28"/>
      <c r="BG1322" s="28"/>
      <c r="BJ1322" s="28"/>
      <c r="BM1322" s="28"/>
      <c r="BP1322" s="28"/>
      <c r="BS1322" s="28"/>
      <c r="BV1322" s="28"/>
      <c r="BY1322" s="28"/>
      <c r="CB1322" s="28"/>
      <c r="CE1322" s="28"/>
      <c r="CH1322" s="28"/>
      <c r="CK1322" s="28"/>
      <c r="CN1322" s="28"/>
      <c r="CQ1322" s="28"/>
      <c r="CT1322" s="28"/>
      <c r="CW1322" s="28"/>
      <c r="CZ1322" s="28"/>
      <c r="DC1322" s="28"/>
      <c r="DF1322" s="28"/>
      <c r="DI1322" s="28"/>
      <c r="DL1322" s="28"/>
      <c r="DO1322" s="28"/>
      <c r="DR1322" s="28"/>
      <c r="DU1322" s="28"/>
      <c r="DX1322" s="28"/>
      <c r="EA1322" s="28"/>
      <c r="ED1322" s="28"/>
      <c r="EG1322" s="28"/>
      <c r="EJ1322" s="28"/>
      <c r="EM1322" s="28"/>
      <c r="EP1322" s="28"/>
      <c r="ES1322" s="28"/>
      <c r="EV1322" s="28"/>
      <c r="EY1322" s="28"/>
      <c r="FB1322" s="28"/>
      <c r="FE1322" s="28"/>
      <c r="FH1322" s="28"/>
      <c r="FK1322" s="28"/>
      <c r="FN1322" s="28"/>
      <c r="FQ1322" s="28"/>
      <c r="FT1322" s="28"/>
      <c r="FW1322" s="28"/>
      <c r="FZ1322" s="28"/>
      <c r="GC1322" s="28"/>
    </row>
    <row r="1323" spans="1:185" s="25" customFormat="1" x14ac:dyDescent="0.3">
      <c r="A1323" s="27"/>
      <c r="B1323" s="28"/>
      <c r="C1323" s="27"/>
      <c r="D1323" s="26"/>
      <c r="E1323" s="28"/>
      <c r="H1323" s="28"/>
      <c r="K1323" s="28"/>
      <c r="N1323" s="28"/>
      <c r="Q1323" s="28"/>
      <c r="T1323" s="28"/>
      <c r="W1323" s="28"/>
      <c r="Z1323" s="28"/>
      <c r="AC1323" s="28"/>
      <c r="AF1323" s="28"/>
      <c r="AI1323" s="28"/>
      <c r="AL1323" s="28"/>
      <c r="AO1323" s="28"/>
      <c r="AR1323" s="28"/>
      <c r="AU1323" s="28"/>
      <c r="AX1323" s="28"/>
      <c r="BA1323" s="28"/>
      <c r="BD1323" s="28"/>
      <c r="BG1323" s="28"/>
      <c r="BJ1323" s="28"/>
      <c r="BM1323" s="28"/>
      <c r="BP1323" s="28"/>
      <c r="BS1323" s="28"/>
      <c r="BV1323" s="28"/>
      <c r="BY1323" s="28"/>
      <c r="CB1323" s="28"/>
      <c r="CE1323" s="28"/>
      <c r="CH1323" s="28"/>
      <c r="CK1323" s="28"/>
      <c r="CN1323" s="28"/>
      <c r="CQ1323" s="28"/>
      <c r="CT1323" s="28"/>
      <c r="CW1323" s="28"/>
      <c r="CZ1323" s="28"/>
      <c r="DC1323" s="28"/>
      <c r="DF1323" s="28"/>
      <c r="DI1323" s="28"/>
      <c r="DL1323" s="28"/>
      <c r="DO1323" s="28"/>
      <c r="DR1323" s="28"/>
      <c r="DU1323" s="28"/>
      <c r="DX1323" s="28"/>
      <c r="EA1323" s="28"/>
      <c r="ED1323" s="28"/>
      <c r="EG1323" s="28"/>
      <c r="EJ1323" s="28"/>
      <c r="EM1323" s="28"/>
      <c r="EP1323" s="28"/>
      <c r="ES1323" s="28"/>
      <c r="EV1323" s="28"/>
      <c r="EY1323" s="28"/>
      <c r="FB1323" s="28"/>
      <c r="FE1323" s="28"/>
      <c r="FH1323" s="28"/>
      <c r="FK1323" s="28"/>
      <c r="FN1323" s="28"/>
      <c r="FQ1323" s="28"/>
      <c r="FT1323" s="28"/>
      <c r="FW1323" s="28"/>
      <c r="FZ1323" s="28"/>
      <c r="GC1323" s="28"/>
    </row>
    <row r="1324" spans="1:185" s="25" customFormat="1" x14ac:dyDescent="0.3">
      <c r="A1324" s="27"/>
      <c r="B1324" s="28"/>
      <c r="C1324" s="27"/>
      <c r="D1324" s="26"/>
      <c r="E1324" s="28"/>
      <c r="H1324" s="28"/>
      <c r="K1324" s="28"/>
      <c r="N1324" s="28"/>
      <c r="Q1324" s="28"/>
      <c r="T1324" s="28"/>
      <c r="W1324" s="28"/>
      <c r="Z1324" s="28"/>
      <c r="AC1324" s="28"/>
      <c r="AF1324" s="28"/>
      <c r="AI1324" s="28"/>
      <c r="AL1324" s="28"/>
      <c r="AO1324" s="28"/>
      <c r="AR1324" s="28"/>
      <c r="AU1324" s="28"/>
      <c r="AX1324" s="28"/>
      <c r="BA1324" s="28"/>
      <c r="BD1324" s="28"/>
      <c r="BG1324" s="28"/>
      <c r="BJ1324" s="28"/>
      <c r="BM1324" s="28"/>
      <c r="BP1324" s="28"/>
      <c r="BS1324" s="28"/>
      <c r="BV1324" s="28"/>
      <c r="BY1324" s="28"/>
      <c r="CB1324" s="28"/>
      <c r="CE1324" s="28"/>
      <c r="CH1324" s="28"/>
      <c r="CK1324" s="28"/>
      <c r="CN1324" s="28"/>
      <c r="CQ1324" s="28"/>
      <c r="CT1324" s="28"/>
      <c r="CW1324" s="28"/>
      <c r="CZ1324" s="28"/>
      <c r="DC1324" s="28"/>
      <c r="DF1324" s="28"/>
      <c r="DI1324" s="28"/>
      <c r="DL1324" s="28"/>
      <c r="DO1324" s="28"/>
      <c r="DR1324" s="28"/>
      <c r="DU1324" s="28"/>
      <c r="DX1324" s="28"/>
      <c r="EA1324" s="28"/>
      <c r="ED1324" s="28"/>
      <c r="EG1324" s="28"/>
      <c r="EJ1324" s="28"/>
      <c r="EM1324" s="28"/>
      <c r="EP1324" s="28"/>
      <c r="ES1324" s="28"/>
      <c r="EV1324" s="28"/>
      <c r="EY1324" s="28"/>
      <c r="FB1324" s="28"/>
      <c r="FE1324" s="28"/>
      <c r="FH1324" s="28"/>
      <c r="FK1324" s="28"/>
      <c r="FN1324" s="28"/>
      <c r="FQ1324" s="28"/>
      <c r="FT1324" s="28"/>
      <c r="FW1324" s="28"/>
      <c r="FZ1324" s="28"/>
      <c r="GC1324" s="28"/>
    </row>
    <row r="1325" spans="1:185" s="25" customFormat="1" x14ac:dyDescent="0.3">
      <c r="A1325" s="27"/>
      <c r="B1325" s="28"/>
      <c r="C1325" s="27"/>
      <c r="D1325" s="26"/>
      <c r="E1325" s="28"/>
      <c r="H1325" s="28"/>
      <c r="K1325" s="28"/>
      <c r="N1325" s="28"/>
      <c r="Q1325" s="28"/>
      <c r="T1325" s="28"/>
      <c r="W1325" s="28"/>
      <c r="Z1325" s="28"/>
      <c r="AC1325" s="28"/>
      <c r="AF1325" s="28"/>
      <c r="AI1325" s="28"/>
      <c r="AL1325" s="28"/>
      <c r="AO1325" s="28"/>
      <c r="AR1325" s="28"/>
      <c r="AU1325" s="28"/>
      <c r="AX1325" s="28"/>
      <c r="BA1325" s="28"/>
      <c r="BD1325" s="28"/>
      <c r="BG1325" s="28"/>
      <c r="BJ1325" s="28"/>
      <c r="BM1325" s="28"/>
      <c r="BP1325" s="28"/>
      <c r="BS1325" s="28"/>
      <c r="BV1325" s="28"/>
      <c r="BY1325" s="28"/>
      <c r="CB1325" s="28"/>
      <c r="CE1325" s="28"/>
      <c r="CH1325" s="28"/>
      <c r="CK1325" s="28"/>
      <c r="CN1325" s="28"/>
      <c r="CQ1325" s="28"/>
      <c r="CT1325" s="28"/>
      <c r="CW1325" s="28"/>
      <c r="CZ1325" s="28"/>
      <c r="DC1325" s="28"/>
      <c r="DF1325" s="28"/>
      <c r="DI1325" s="28"/>
      <c r="DL1325" s="28"/>
      <c r="DO1325" s="28"/>
      <c r="DR1325" s="28"/>
      <c r="DU1325" s="28"/>
      <c r="DX1325" s="28"/>
      <c r="EA1325" s="28"/>
      <c r="ED1325" s="28"/>
      <c r="EG1325" s="28"/>
      <c r="EJ1325" s="28"/>
      <c r="EM1325" s="28"/>
      <c r="EP1325" s="28"/>
      <c r="ES1325" s="28"/>
      <c r="EV1325" s="28"/>
      <c r="EY1325" s="28"/>
      <c r="FB1325" s="28"/>
      <c r="FE1325" s="28"/>
      <c r="FH1325" s="28"/>
      <c r="FK1325" s="28"/>
      <c r="FN1325" s="28"/>
      <c r="FQ1325" s="28"/>
      <c r="FT1325" s="28"/>
      <c r="FW1325" s="28"/>
      <c r="FZ1325" s="28"/>
      <c r="GC1325" s="28"/>
    </row>
    <row r="1326" spans="1:185" s="25" customFormat="1" x14ac:dyDescent="0.3">
      <c r="A1326" s="27"/>
      <c r="B1326" s="28"/>
      <c r="C1326" s="27"/>
      <c r="D1326" s="26"/>
      <c r="E1326" s="28"/>
      <c r="H1326" s="28"/>
      <c r="K1326" s="28"/>
      <c r="N1326" s="28"/>
      <c r="Q1326" s="28"/>
      <c r="T1326" s="28"/>
      <c r="W1326" s="28"/>
      <c r="Z1326" s="28"/>
      <c r="AC1326" s="28"/>
      <c r="AF1326" s="28"/>
      <c r="AI1326" s="28"/>
      <c r="AL1326" s="28"/>
      <c r="AO1326" s="28"/>
      <c r="AR1326" s="28"/>
      <c r="AU1326" s="28"/>
      <c r="AX1326" s="28"/>
      <c r="BA1326" s="28"/>
      <c r="BD1326" s="28"/>
      <c r="BG1326" s="28"/>
      <c r="BJ1326" s="28"/>
      <c r="BM1326" s="28"/>
      <c r="BP1326" s="28"/>
      <c r="BS1326" s="28"/>
      <c r="BV1326" s="28"/>
      <c r="BY1326" s="28"/>
      <c r="CB1326" s="28"/>
      <c r="CE1326" s="28"/>
      <c r="CH1326" s="28"/>
      <c r="CK1326" s="28"/>
      <c r="CN1326" s="28"/>
      <c r="CQ1326" s="28"/>
      <c r="CT1326" s="28"/>
      <c r="CW1326" s="28"/>
      <c r="CZ1326" s="28"/>
      <c r="DC1326" s="28"/>
      <c r="DF1326" s="28"/>
      <c r="DI1326" s="28"/>
      <c r="DL1326" s="28"/>
      <c r="DO1326" s="28"/>
      <c r="DR1326" s="28"/>
      <c r="DU1326" s="28"/>
      <c r="DX1326" s="28"/>
      <c r="EA1326" s="28"/>
      <c r="ED1326" s="28"/>
      <c r="EG1326" s="28"/>
      <c r="EJ1326" s="28"/>
      <c r="EM1326" s="28"/>
      <c r="EP1326" s="28"/>
      <c r="ES1326" s="28"/>
      <c r="EV1326" s="28"/>
      <c r="EY1326" s="28"/>
      <c r="FB1326" s="28"/>
      <c r="FE1326" s="28"/>
      <c r="FH1326" s="28"/>
      <c r="FK1326" s="28"/>
      <c r="FN1326" s="28"/>
      <c r="FQ1326" s="28"/>
      <c r="FT1326" s="28"/>
      <c r="FW1326" s="28"/>
      <c r="FZ1326" s="28"/>
      <c r="GC1326" s="28"/>
    </row>
    <row r="1327" spans="1:185" s="25" customFormat="1" x14ac:dyDescent="0.3">
      <c r="A1327" s="27"/>
      <c r="B1327" s="28"/>
      <c r="C1327" s="27"/>
      <c r="D1327" s="26"/>
      <c r="E1327" s="28"/>
      <c r="H1327" s="28"/>
      <c r="K1327" s="28"/>
      <c r="N1327" s="28"/>
      <c r="Q1327" s="28"/>
      <c r="T1327" s="28"/>
      <c r="W1327" s="28"/>
      <c r="Z1327" s="28"/>
      <c r="AC1327" s="28"/>
      <c r="AF1327" s="28"/>
      <c r="AI1327" s="28"/>
      <c r="AL1327" s="28"/>
      <c r="AO1327" s="28"/>
      <c r="AR1327" s="28"/>
      <c r="AU1327" s="28"/>
      <c r="AX1327" s="28"/>
      <c r="BA1327" s="28"/>
      <c r="BD1327" s="28"/>
      <c r="BG1327" s="28"/>
      <c r="BJ1327" s="28"/>
      <c r="BM1327" s="28"/>
      <c r="BP1327" s="28"/>
      <c r="BS1327" s="28"/>
      <c r="BV1327" s="28"/>
      <c r="BY1327" s="28"/>
      <c r="CB1327" s="28"/>
      <c r="CE1327" s="28"/>
      <c r="CH1327" s="28"/>
      <c r="CK1327" s="28"/>
      <c r="CN1327" s="28"/>
      <c r="CQ1327" s="28"/>
      <c r="CT1327" s="28"/>
      <c r="CW1327" s="28"/>
      <c r="CZ1327" s="28"/>
      <c r="DC1327" s="28"/>
      <c r="DF1327" s="28"/>
      <c r="DI1327" s="28"/>
      <c r="DL1327" s="28"/>
      <c r="DO1327" s="28"/>
      <c r="DR1327" s="28"/>
      <c r="DU1327" s="28"/>
      <c r="DX1327" s="28"/>
      <c r="EA1327" s="28"/>
      <c r="ED1327" s="28"/>
      <c r="EG1327" s="28"/>
      <c r="EJ1327" s="28"/>
      <c r="EM1327" s="28"/>
      <c r="EP1327" s="28"/>
      <c r="ES1327" s="28"/>
      <c r="EV1327" s="28"/>
      <c r="EY1327" s="28"/>
      <c r="FB1327" s="28"/>
      <c r="FE1327" s="28"/>
      <c r="FH1327" s="28"/>
      <c r="FK1327" s="28"/>
      <c r="FN1327" s="28"/>
      <c r="FQ1327" s="28"/>
      <c r="FT1327" s="28"/>
      <c r="FW1327" s="28"/>
      <c r="FZ1327" s="28"/>
      <c r="GC1327" s="28"/>
    </row>
    <row r="1328" spans="1:185" s="25" customFormat="1" x14ac:dyDescent="0.3">
      <c r="A1328" s="27"/>
      <c r="B1328" s="28"/>
      <c r="C1328" s="27"/>
      <c r="D1328" s="26"/>
      <c r="E1328" s="28"/>
      <c r="H1328" s="28"/>
      <c r="K1328" s="28"/>
      <c r="N1328" s="28"/>
      <c r="Q1328" s="28"/>
      <c r="T1328" s="28"/>
      <c r="W1328" s="28"/>
      <c r="Z1328" s="28"/>
      <c r="AC1328" s="28"/>
      <c r="AF1328" s="28"/>
      <c r="AI1328" s="28"/>
      <c r="AL1328" s="28"/>
      <c r="AO1328" s="28"/>
      <c r="AR1328" s="28"/>
      <c r="AU1328" s="28"/>
      <c r="AX1328" s="28"/>
      <c r="BA1328" s="28"/>
      <c r="BD1328" s="28"/>
      <c r="BG1328" s="28"/>
      <c r="BJ1328" s="28"/>
      <c r="BM1328" s="28"/>
      <c r="BP1328" s="28"/>
      <c r="BS1328" s="28"/>
      <c r="BV1328" s="28"/>
      <c r="BY1328" s="28"/>
      <c r="CB1328" s="28"/>
      <c r="CE1328" s="28"/>
      <c r="CH1328" s="28"/>
      <c r="CK1328" s="28"/>
      <c r="CN1328" s="28"/>
      <c r="CQ1328" s="28"/>
      <c r="CT1328" s="28"/>
      <c r="CW1328" s="28"/>
      <c r="CZ1328" s="28"/>
      <c r="DC1328" s="28"/>
      <c r="DF1328" s="28"/>
      <c r="DI1328" s="28"/>
      <c r="DL1328" s="28"/>
      <c r="DO1328" s="28"/>
      <c r="DR1328" s="28"/>
      <c r="DU1328" s="28"/>
      <c r="DX1328" s="28"/>
      <c r="EA1328" s="28"/>
      <c r="ED1328" s="28"/>
      <c r="EG1328" s="28"/>
      <c r="EJ1328" s="28"/>
      <c r="EM1328" s="28"/>
      <c r="EP1328" s="28"/>
      <c r="ES1328" s="28"/>
      <c r="EV1328" s="28"/>
      <c r="EY1328" s="28"/>
      <c r="FB1328" s="28"/>
      <c r="FE1328" s="28"/>
      <c r="FH1328" s="28"/>
      <c r="FK1328" s="28"/>
      <c r="FN1328" s="28"/>
      <c r="FQ1328" s="28"/>
      <c r="FT1328" s="28"/>
      <c r="FW1328" s="28"/>
      <c r="FZ1328" s="28"/>
      <c r="GC1328" s="28"/>
    </row>
    <row r="1329" spans="1:185" s="25" customFormat="1" x14ac:dyDescent="0.3">
      <c r="A1329" s="27"/>
      <c r="B1329" s="28"/>
      <c r="C1329" s="27"/>
      <c r="D1329" s="26"/>
      <c r="E1329" s="28"/>
      <c r="H1329" s="28"/>
      <c r="K1329" s="28"/>
      <c r="N1329" s="28"/>
      <c r="Q1329" s="28"/>
      <c r="T1329" s="28"/>
      <c r="W1329" s="28"/>
      <c r="Z1329" s="28"/>
      <c r="AC1329" s="28"/>
      <c r="AF1329" s="28"/>
      <c r="AI1329" s="28"/>
      <c r="AL1329" s="28"/>
      <c r="AO1329" s="28"/>
      <c r="AR1329" s="28"/>
      <c r="AU1329" s="28"/>
      <c r="AX1329" s="28"/>
      <c r="BA1329" s="28"/>
      <c r="BD1329" s="28"/>
      <c r="BG1329" s="28"/>
      <c r="BJ1329" s="28"/>
      <c r="BM1329" s="28"/>
      <c r="BP1329" s="28"/>
      <c r="BS1329" s="28"/>
      <c r="BV1329" s="28"/>
      <c r="BY1329" s="28"/>
      <c r="CB1329" s="28"/>
      <c r="CE1329" s="28"/>
      <c r="CH1329" s="28"/>
      <c r="CK1329" s="28"/>
      <c r="CN1329" s="28"/>
      <c r="CQ1329" s="28"/>
      <c r="CT1329" s="28"/>
      <c r="CW1329" s="28"/>
      <c r="CZ1329" s="28"/>
      <c r="DC1329" s="28"/>
      <c r="DF1329" s="28"/>
      <c r="DI1329" s="28"/>
      <c r="DL1329" s="28"/>
      <c r="DO1329" s="28"/>
      <c r="DR1329" s="28"/>
      <c r="DU1329" s="28"/>
      <c r="DX1329" s="28"/>
      <c r="EA1329" s="28"/>
      <c r="ED1329" s="28"/>
      <c r="EG1329" s="28"/>
      <c r="EJ1329" s="28"/>
      <c r="EM1329" s="28"/>
      <c r="EP1329" s="28"/>
      <c r="ES1329" s="28"/>
      <c r="EV1329" s="28"/>
      <c r="EY1329" s="28"/>
      <c r="FB1329" s="28"/>
      <c r="FE1329" s="28"/>
      <c r="FH1329" s="28"/>
      <c r="FK1329" s="28"/>
      <c r="FN1329" s="28"/>
      <c r="FQ1329" s="28"/>
      <c r="FT1329" s="28"/>
      <c r="FW1329" s="28"/>
      <c r="FZ1329" s="28"/>
      <c r="GC1329" s="28"/>
    </row>
    <row r="1330" spans="1:185" s="25" customFormat="1" x14ac:dyDescent="0.3">
      <c r="A1330" s="27"/>
      <c r="B1330" s="28"/>
      <c r="C1330" s="27"/>
      <c r="D1330" s="26"/>
      <c r="E1330" s="28"/>
      <c r="H1330" s="28"/>
      <c r="K1330" s="28"/>
      <c r="N1330" s="28"/>
      <c r="Q1330" s="28"/>
      <c r="T1330" s="28"/>
      <c r="W1330" s="28"/>
      <c r="Z1330" s="28"/>
      <c r="AC1330" s="28"/>
      <c r="AF1330" s="28"/>
      <c r="AI1330" s="28"/>
      <c r="AL1330" s="28"/>
      <c r="AO1330" s="28"/>
      <c r="AR1330" s="28"/>
      <c r="AU1330" s="28"/>
      <c r="AX1330" s="28"/>
      <c r="BA1330" s="28"/>
      <c r="BD1330" s="28"/>
      <c r="BG1330" s="28"/>
      <c r="BJ1330" s="28"/>
      <c r="BM1330" s="28"/>
      <c r="BP1330" s="28"/>
      <c r="BS1330" s="28"/>
      <c r="BV1330" s="28"/>
      <c r="BY1330" s="28"/>
      <c r="CB1330" s="28"/>
      <c r="CE1330" s="28"/>
      <c r="CH1330" s="28"/>
      <c r="CK1330" s="28"/>
      <c r="CN1330" s="28"/>
      <c r="CQ1330" s="28"/>
      <c r="CT1330" s="28"/>
      <c r="CW1330" s="28"/>
      <c r="CZ1330" s="28"/>
      <c r="DC1330" s="28"/>
      <c r="DF1330" s="28"/>
      <c r="DI1330" s="28"/>
      <c r="DL1330" s="28"/>
      <c r="DO1330" s="28"/>
      <c r="DR1330" s="28"/>
      <c r="DU1330" s="28"/>
      <c r="DX1330" s="28"/>
      <c r="EA1330" s="28"/>
      <c r="ED1330" s="28"/>
      <c r="EG1330" s="28"/>
      <c r="EJ1330" s="28"/>
      <c r="EM1330" s="28"/>
      <c r="EP1330" s="28"/>
      <c r="ES1330" s="28"/>
      <c r="EV1330" s="28"/>
      <c r="EY1330" s="28"/>
      <c r="FB1330" s="28"/>
      <c r="FE1330" s="28"/>
      <c r="FH1330" s="28"/>
      <c r="FK1330" s="28"/>
      <c r="FN1330" s="28"/>
      <c r="FQ1330" s="28"/>
      <c r="FT1330" s="28"/>
      <c r="FW1330" s="28"/>
      <c r="FZ1330" s="28"/>
      <c r="GC1330" s="28"/>
    </row>
    <row r="1331" spans="1:185" s="25" customFormat="1" x14ac:dyDescent="0.3">
      <c r="A1331" s="27"/>
      <c r="B1331" s="28"/>
      <c r="C1331" s="27"/>
      <c r="D1331" s="26"/>
      <c r="E1331" s="28"/>
      <c r="H1331" s="28"/>
      <c r="K1331" s="28"/>
      <c r="N1331" s="28"/>
      <c r="Q1331" s="28"/>
      <c r="T1331" s="28"/>
      <c r="W1331" s="28"/>
      <c r="Z1331" s="28"/>
      <c r="AC1331" s="28"/>
      <c r="AF1331" s="28"/>
      <c r="AI1331" s="28"/>
      <c r="AL1331" s="28"/>
      <c r="AO1331" s="28"/>
      <c r="AR1331" s="28"/>
      <c r="AU1331" s="28"/>
      <c r="AX1331" s="28"/>
      <c r="BA1331" s="28"/>
      <c r="BD1331" s="28"/>
      <c r="BG1331" s="28"/>
      <c r="BJ1331" s="28"/>
      <c r="BM1331" s="28"/>
      <c r="BP1331" s="28"/>
      <c r="BS1331" s="28"/>
      <c r="BV1331" s="28"/>
      <c r="BY1331" s="28"/>
      <c r="CB1331" s="28"/>
      <c r="CE1331" s="28"/>
      <c r="CH1331" s="28"/>
      <c r="CK1331" s="28"/>
      <c r="CN1331" s="28"/>
      <c r="CQ1331" s="28"/>
      <c r="CT1331" s="28"/>
      <c r="CW1331" s="28"/>
      <c r="CZ1331" s="28"/>
      <c r="DC1331" s="28"/>
      <c r="DF1331" s="28"/>
      <c r="DI1331" s="28"/>
      <c r="DL1331" s="28"/>
      <c r="DO1331" s="28"/>
      <c r="DR1331" s="28"/>
      <c r="DU1331" s="28"/>
      <c r="DX1331" s="28"/>
      <c r="EA1331" s="28"/>
      <c r="ED1331" s="28"/>
      <c r="EG1331" s="28"/>
      <c r="EJ1331" s="28"/>
      <c r="EM1331" s="28"/>
      <c r="EP1331" s="28"/>
      <c r="ES1331" s="28"/>
      <c r="EV1331" s="28"/>
      <c r="EY1331" s="28"/>
      <c r="FB1331" s="28"/>
      <c r="FE1331" s="28"/>
      <c r="FH1331" s="28"/>
      <c r="FK1331" s="28"/>
      <c r="FN1331" s="28"/>
      <c r="FQ1331" s="28"/>
      <c r="FT1331" s="28"/>
      <c r="FW1331" s="28"/>
      <c r="FZ1331" s="28"/>
      <c r="GC1331" s="28"/>
    </row>
    <row r="1332" spans="1:185" s="25" customFormat="1" x14ac:dyDescent="0.3">
      <c r="A1332" s="27"/>
      <c r="B1332" s="28"/>
      <c r="C1332" s="27"/>
      <c r="D1332" s="26"/>
      <c r="E1332" s="28"/>
      <c r="H1332" s="28"/>
      <c r="K1332" s="28"/>
      <c r="N1332" s="28"/>
      <c r="Q1332" s="28"/>
      <c r="T1332" s="28"/>
      <c r="W1332" s="28"/>
      <c r="Z1332" s="28"/>
      <c r="AC1332" s="28"/>
      <c r="AF1332" s="28"/>
      <c r="AI1332" s="28"/>
      <c r="AL1332" s="28"/>
      <c r="AO1332" s="28"/>
      <c r="AR1332" s="28"/>
      <c r="AU1332" s="28"/>
      <c r="AX1332" s="28"/>
      <c r="BA1332" s="28"/>
      <c r="BD1332" s="28"/>
      <c r="BG1332" s="28"/>
      <c r="BJ1332" s="28"/>
      <c r="BM1332" s="28"/>
      <c r="BP1332" s="28"/>
      <c r="BS1332" s="28"/>
      <c r="BV1332" s="28"/>
      <c r="BY1332" s="28"/>
      <c r="CB1332" s="28"/>
      <c r="CE1332" s="28"/>
      <c r="CH1332" s="28"/>
      <c r="CK1332" s="28"/>
      <c r="CN1332" s="28"/>
      <c r="CQ1332" s="28"/>
      <c r="CT1332" s="28"/>
      <c r="CW1332" s="28"/>
      <c r="CZ1332" s="28"/>
      <c r="DC1332" s="28"/>
      <c r="DF1332" s="28"/>
      <c r="DI1332" s="28"/>
      <c r="DL1332" s="28"/>
      <c r="DO1332" s="28"/>
      <c r="DR1332" s="28"/>
      <c r="DU1332" s="28"/>
      <c r="DX1332" s="28"/>
      <c r="EA1332" s="28"/>
      <c r="ED1332" s="28"/>
      <c r="EG1332" s="28"/>
      <c r="EJ1332" s="28"/>
      <c r="EM1332" s="28"/>
      <c r="EP1332" s="28"/>
      <c r="ES1332" s="28"/>
      <c r="EV1332" s="28"/>
      <c r="EY1332" s="28"/>
      <c r="FB1332" s="28"/>
      <c r="FE1332" s="28"/>
      <c r="FH1332" s="28"/>
      <c r="FK1332" s="28"/>
      <c r="FN1332" s="28"/>
      <c r="FQ1332" s="28"/>
      <c r="FT1332" s="28"/>
      <c r="FW1332" s="28"/>
      <c r="FZ1332" s="28"/>
      <c r="GC1332" s="28"/>
    </row>
    <row r="1333" spans="1:185" s="25" customFormat="1" x14ac:dyDescent="0.3">
      <c r="A1333" s="27"/>
      <c r="B1333" s="28"/>
      <c r="C1333" s="27"/>
      <c r="D1333" s="26"/>
      <c r="E1333" s="28"/>
      <c r="H1333" s="28"/>
      <c r="K1333" s="28"/>
      <c r="N1333" s="28"/>
      <c r="Q1333" s="28"/>
      <c r="T1333" s="28"/>
      <c r="W1333" s="28"/>
      <c r="Z1333" s="28"/>
      <c r="AC1333" s="28"/>
      <c r="AF1333" s="28"/>
      <c r="AI1333" s="28"/>
      <c r="AL1333" s="28"/>
      <c r="AO1333" s="28"/>
      <c r="AR1333" s="28"/>
      <c r="AU1333" s="28"/>
      <c r="AX1333" s="28"/>
      <c r="BA1333" s="28"/>
      <c r="BD1333" s="28"/>
      <c r="BG1333" s="28"/>
      <c r="BJ1333" s="28"/>
      <c r="BM1333" s="28"/>
      <c r="BP1333" s="28"/>
      <c r="BS1333" s="28"/>
      <c r="BV1333" s="28"/>
      <c r="BY1333" s="28"/>
      <c r="CB1333" s="28"/>
      <c r="CE1333" s="28"/>
      <c r="CH1333" s="28"/>
      <c r="CK1333" s="28"/>
      <c r="CN1333" s="28"/>
      <c r="CQ1333" s="28"/>
      <c r="CT1333" s="28"/>
      <c r="CW1333" s="28"/>
      <c r="CZ1333" s="28"/>
      <c r="DC1333" s="28"/>
      <c r="DF1333" s="28"/>
      <c r="DI1333" s="28"/>
      <c r="DL1333" s="28"/>
      <c r="DO1333" s="28"/>
      <c r="DR1333" s="28"/>
      <c r="DU1333" s="28"/>
      <c r="DX1333" s="28"/>
      <c r="EA1333" s="28"/>
      <c r="ED1333" s="28"/>
      <c r="EG1333" s="28"/>
      <c r="EJ1333" s="28"/>
      <c r="EM1333" s="28"/>
      <c r="EP1333" s="28"/>
      <c r="ES1333" s="28"/>
      <c r="EV1333" s="28"/>
      <c r="EY1333" s="28"/>
      <c r="FB1333" s="28"/>
      <c r="FE1333" s="28"/>
      <c r="FH1333" s="28"/>
      <c r="FK1333" s="28"/>
      <c r="FN1333" s="28"/>
      <c r="FQ1333" s="28"/>
      <c r="FT1333" s="28"/>
      <c r="FW1333" s="28"/>
      <c r="FZ1333" s="28"/>
      <c r="GC1333" s="28"/>
    </row>
    <row r="1334" spans="1:185" s="25" customFormat="1" x14ac:dyDescent="0.3">
      <c r="A1334" s="27"/>
      <c r="B1334" s="28"/>
      <c r="C1334" s="27"/>
      <c r="D1334" s="26"/>
      <c r="E1334" s="28"/>
      <c r="H1334" s="28"/>
      <c r="K1334" s="28"/>
      <c r="N1334" s="28"/>
      <c r="Q1334" s="28"/>
      <c r="T1334" s="28"/>
      <c r="W1334" s="28"/>
      <c r="Z1334" s="28"/>
      <c r="AC1334" s="28"/>
      <c r="AF1334" s="28"/>
      <c r="AI1334" s="28"/>
      <c r="AL1334" s="28"/>
      <c r="AO1334" s="28"/>
      <c r="AR1334" s="28"/>
      <c r="AU1334" s="28"/>
      <c r="AX1334" s="28"/>
      <c r="BA1334" s="28"/>
      <c r="BD1334" s="28"/>
      <c r="BG1334" s="28"/>
      <c r="BJ1334" s="28"/>
      <c r="BM1334" s="28"/>
      <c r="BP1334" s="28"/>
      <c r="BS1334" s="28"/>
      <c r="BV1334" s="28"/>
      <c r="BY1334" s="28"/>
      <c r="CB1334" s="28"/>
      <c r="CE1334" s="28"/>
      <c r="CH1334" s="28"/>
      <c r="CK1334" s="28"/>
      <c r="CN1334" s="28"/>
      <c r="CQ1334" s="28"/>
      <c r="CT1334" s="28"/>
      <c r="CW1334" s="28"/>
      <c r="CZ1334" s="28"/>
      <c r="DC1334" s="28"/>
      <c r="DF1334" s="28"/>
      <c r="DI1334" s="28"/>
      <c r="DL1334" s="28"/>
      <c r="DO1334" s="28"/>
      <c r="DR1334" s="28"/>
      <c r="DU1334" s="28"/>
      <c r="DX1334" s="28"/>
      <c r="EA1334" s="28"/>
      <c r="ED1334" s="28"/>
      <c r="EG1334" s="28"/>
      <c r="EJ1334" s="28"/>
      <c r="EM1334" s="28"/>
      <c r="EP1334" s="28"/>
      <c r="ES1334" s="28"/>
      <c r="EV1334" s="28"/>
      <c r="EY1334" s="28"/>
      <c r="FB1334" s="28"/>
      <c r="FE1334" s="28"/>
      <c r="FH1334" s="28"/>
      <c r="FK1334" s="28"/>
      <c r="FN1334" s="28"/>
      <c r="FQ1334" s="28"/>
      <c r="FT1334" s="28"/>
      <c r="FW1334" s="28"/>
      <c r="FZ1334" s="28"/>
      <c r="GC1334" s="28"/>
    </row>
    <row r="1335" spans="1:185" s="25" customFormat="1" x14ac:dyDescent="0.3">
      <c r="A1335" s="27"/>
      <c r="B1335" s="28"/>
      <c r="C1335" s="27"/>
      <c r="D1335" s="26"/>
      <c r="E1335" s="28"/>
      <c r="H1335" s="28"/>
      <c r="K1335" s="28"/>
      <c r="N1335" s="28"/>
      <c r="Q1335" s="28"/>
      <c r="T1335" s="28"/>
      <c r="W1335" s="28"/>
      <c r="Z1335" s="28"/>
      <c r="AC1335" s="28"/>
      <c r="AF1335" s="28"/>
      <c r="AI1335" s="28"/>
      <c r="AL1335" s="28"/>
      <c r="AO1335" s="28"/>
      <c r="AR1335" s="28"/>
      <c r="AU1335" s="28"/>
      <c r="AX1335" s="28"/>
      <c r="BA1335" s="28"/>
      <c r="BD1335" s="28"/>
      <c r="BG1335" s="28"/>
      <c r="BJ1335" s="28"/>
      <c r="BM1335" s="28"/>
      <c r="BP1335" s="28"/>
      <c r="BS1335" s="28"/>
      <c r="BV1335" s="28"/>
      <c r="BY1335" s="28"/>
      <c r="CB1335" s="28"/>
      <c r="CE1335" s="28"/>
      <c r="CH1335" s="28"/>
      <c r="CK1335" s="28"/>
      <c r="CN1335" s="28"/>
      <c r="CQ1335" s="28"/>
      <c r="CT1335" s="28"/>
      <c r="CW1335" s="28"/>
      <c r="CZ1335" s="28"/>
      <c r="DC1335" s="28"/>
      <c r="DF1335" s="28"/>
      <c r="DI1335" s="28"/>
      <c r="DL1335" s="28"/>
      <c r="DO1335" s="28"/>
      <c r="DR1335" s="28"/>
      <c r="DU1335" s="28"/>
      <c r="DX1335" s="28"/>
      <c r="EA1335" s="28"/>
      <c r="ED1335" s="28"/>
      <c r="EG1335" s="28"/>
      <c r="EJ1335" s="28"/>
      <c r="EM1335" s="28"/>
      <c r="EP1335" s="28"/>
      <c r="ES1335" s="28"/>
      <c r="EV1335" s="28"/>
      <c r="EY1335" s="28"/>
      <c r="FB1335" s="28"/>
      <c r="FE1335" s="28"/>
      <c r="FH1335" s="28"/>
      <c r="FK1335" s="28"/>
      <c r="FN1335" s="28"/>
      <c r="FQ1335" s="28"/>
      <c r="FT1335" s="28"/>
      <c r="FW1335" s="28"/>
      <c r="FZ1335" s="28"/>
      <c r="GC1335" s="28"/>
    </row>
    <row r="1336" spans="1:185" s="25" customFormat="1" x14ac:dyDescent="0.3">
      <c r="A1336" s="27"/>
      <c r="B1336" s="28"/>
      <c r="C1336" s="27"/>
      <c r="D1336" s="26"/>
      <c r="E1336" s="28"/>
      <c r="H1336" s="28"/>
      <c r="K1336" s="28"/>
      <c r="N1336" s="28"/>
      <c r="Q1336" s="28"/>
      <c r="T1336" s="28"/>
      <c r="W1336" s="28"/>
      <c r="Z1336" s="28"/>
      <c r="AC1336" s="28"/>
      <c r="AF1336" s="28"/>
      <c r="AI1336" s="28"/>
      <c r="AL1336" s="28"/>
      <c r="AO1336" s="28"/>
      <c r="AR1336" s="28"/>
      <c r="AU1336" s="28"/>
      <c r="AX1336" s="28"/>
      <c r="BA1336" s="28"/>
      <c r="BD1336" s="28"/>
      <c r="BG1336" s="28"/>
      <c r="BJ1336" s="28"/>
      <c r="BM1336" s="28"/>
      <c r="BP1336" s="28"/>
      <c r="BS1336" s="28"/>
      <c r="BV1336" s="28"/>
      <c r="BY1336" s="28"/>
      <c r="CB1336" s="28"/>
      <c r="CE1336" s="28"/>
      <c r="CH1336" s="28"/>
      <c r="CK1336" s="28"/>
      <c r="CN1336" s="28"/>
      <c r="CQ1336" s="28"/>
      <c r="CT1336" s="28"/>
      <c r="CW1336" s="28"/>
      <c r="CZ1336" s="28"/>
      <c r="DC1336" s="28"/>
      <c r="DF1336" s="28"/>
      <c r="DI1336" s="28"/>
      <c r="DL1336" s="28"/>
      <c r="DO1336" s="28"/>
      <c r="DR1336" s="28"/>
      <c r="DU1336" s="28"/>
      <c r="DX1336" s="28"/>
      <c r="EA1336" s="28"/>
      <c r="ED1336" s="28"/>
      <c r="EG1336" s="28"/>
      <c r="EJ1336" s="28"/>
      <c r="EM1336" s="28"/>
      <c r="EP1336" s="28"/>
      <c r="ES1336" s="28"/>
      <c r="EV1336" s="28"/>
      <c r="EY1336" s="28"/>
      <c r="FB1336" s="28"/>
      <c r="FE1336" s="28"/>
      <c r="FH1336" s="28"/>
      <c r="FK1336" s="28"/>
      <c r="FN1336" s="28"/>
      <c r="FQ1336" s="28"/>
      <c r="FT1336" s="28"/>
      <c r="FW1336" s="28"/>
      <c r="FZ1336" s="28"/>
      <c r="GC1336" s="28"/>
    </row>
    <row r="1337" spans="1:185" s="25" customFormat="1" x14ac:dyDescent="0.3">
      <c r="A1337" s="27"/>
      <c r="B1337" s="28"/>
      <c r="C1337" s="27"/>
      <c r="D1337" s="26"/>
      <c r="E1337" s="28"/>
      <c r="H1337" s="28"/>
      <c r="K1337" s="28"/>
      <c r="N1337" s="28"/>
      <c r="Q1337" s="28"/>
      <c r="T1337" s="28"/>
      <c r="W1337" s="28"/>
      <c r="Z1337" s="28"/>
      <c r="AC1337" s="28"/>
      <c r="AF1337" s="28"/>
      <c r="AI1337" s="28"/>
      <c r="AL1337" s="28"/>
      <c r="AO1337" s="28"/>
      <c r="AR1337" s="28"/>
      <c r="AU1337" s="28"/>
      <c r="AX1337" s="28"/>
      <c r="BA1337" s="28"/>
      <c r="BD1337" s="28"/>
      <c r="BG1337" s="28"/>
      <c r="BJ1337" s="28"/>
      <c r="BM1337" s="28"/>
      <c r="BP1337" s="28"/>
      <c r="BS1337" s="28"/>
      <c r="BV1337" s="28"/>
      <c r="BY1337" s="28"/>
      <c r="CB1337" s="28"/>
      <c r="CE1337" s="28"/>
      <c r="CH1337" s="28"/>
      <c r="CK1337" s="28"/>
      <c r="CN1337" s="28"/>
      <c r="CQ1337" s="28"/>
      <c r="CT1337" s="28"/>
      <c r="CW1337" s="28"/>
      <c r="CZ1337" s="28"/>
      <c r="DC1337" s="28"/>
      <c r="DF1337" s="28"/>
      <c r="DI1337" s="28"/>
      <c r="DL1337" s="28"/>
      <c r="DO1337" s="28"/>
      <c r="DR1337" s="28"/>
      <c r="DU1337" s="28"/>
      <c r="DX1337" s="28"/>
      <c r="EA1337" s="28"/>
      <c r="ED1337" s="28"/>
      <c r="EG1337" s="28"/>
      <c r="EJ1337" s="28"/>
      <c r="EM1337" s="28"/>
      <c r="EP1337" s="28"/>
      <c r="ES1337" s="28"/>
      <c r="EV1337" s="28"/>
      <c r="EY1337" s="28"/>
      <c r="FB1337" s="28"/>
      <c r="FE1337" s="28"/>
      <c r="FH1337" s="28"/>
      <c r="FK1337" s="28"/>
      <c r="FN1337" s="28"/>
      <c r="FQ1337" s="28"/>
      <c r="FT1337" s="28"/>
      <c r="FW1337" s="28"/>
      <c r="FZ1337" s="28"/>
      <c r="GC1337" s="28"/>
    </row>
    <row r="1338" spans="1:185" s="25" customFormat="1" x14ac:dyDescent="0.3">
      <c r="A1338" s="27"/>
      <c r="B1338" s="28"/>
      <c r="C1338" s="27"/>
      <c r="D1338" s="26"/>
      <c r="E1338" s="28"/>
      <c r="H1338" s="28"/>
      <c r="K1338" s="28"/>
      <c r="N1338" s="28"/>
      <c r="Q1338" s="28"/>
      <c r="T1338" s="28"/>
      <c r="W1338" s="28"/>
      <c r="Z1338" s="28"/>
      <c r="AC1338" s="28"/>
      <c r="AF1338" s="28"/>
      <c r="AI1338" s="28"/>
      <c r="AL1338" s="28"/>
      <c r="AO1338" s="28"/>
      <c r="AR1338" s="28"/>
      <c r="AU1338" s="28"/>
      <c r="AX1338" s="28"/>
      <c r="BA1338" s="28"/>
      <c r="BD1338" s="28"/>
      <c r="BG1338" s="28"/>
      <c r="BJ1338" s="28"/>
      <c r="BM1338" s="28"/>
      <c r="BP1338" s="28"/>
      <c r="BS1338" s="28"/>
      <c r="BV1338" s="28"/>
      <c r="BY1338" s="28"/>
      <c r="CB1338" s="28"/>
      <c r="CE1338" s="28"/>
      <c r="CH1338" s="28"/>
      <c r="CK1338" s="28"/>
      <c r="CN1338" s="28"/>
      <c r="CQ1338" s="28"/>
      <c r="CT1338" s="28"/>
      <c r="CW1338" s="28"/>
      <c r="CZ1338" s="28"/>
      <c r="DC1338" s="28"/>
      <c r="DF1338" s="28"/>
      <c r="DI1338" s="28"/>
      <c r="DL1338" s="28"/>
      <c r="DO1338" s="28"/>
      <c r="DR1338" s="28"/>
      <c r="DU1338" s="28"/>
      <c r="DX1338" s="28"/>
      <c r="EA1338" s="28"/>
      <c r="ED1338" s="28"/>
      <c r="EG1338" s="28"/>
      <c r="EJ1338" s="28"/>
      <c r="EM1338" s="28"/>
      <c r="EP1338" s="28"/>
      <c r="ES1338" s="28"/>
      <c r="EV1338" s="28"/>
      <c r="EY1338" s="28"/>
      <c r="FB1338" s="28"/>
      <c r="FE1338" s="28"/>
      <c r="FH1338" s="28"/>
      <c r="FK1338" s="28"/>
      <c r="FN1338" s="28"/>
      <c r="FQ1338" s="28"/>
      <c r="FT1338" s="28"/>
      <c r="FW1338" s="28"/>
      <c r="FZ1338" s="28"/>
      <c r="GC1338" s="28"/>
    </row>
    <row r="1339" spans="1:185" s="25" customFormat="1" x14ac:dyDescent="0.3">
      <c r="A1339" s="27"/>
      <c r="B1339" s="28"/>
      <c r="C1339" s="27"/>
      <c r="D1339" s="26"/>
      <c r="E1339" s="28"/>
      <c r="H1339" s="28"/>
      <c r="K1339" s="28"/>
      <c r="N1339" s="28"/>
      <c r="Q1339" s="28"/>
      <c r="T1339" s="28"/>
      <c r="W1339" s="28"/>
      <c r="Z1339" s="28"/>
      <c r="AC1339" s="28"/>
      <c r="AF1339" s="28"/>
      <c r="AI1339" s="28"/>
      <c r="AL1339" s="28"/>
      <c r="AO1339" s="28"/>
      <c r="AR1339" s="28"/>
      <c r="AU1339" s="28"/>
      <c r="AX1339" s="28"/>
      <c r="BA1339" s="28"/>
      <c r="BD1339" s="28"/>
      <c r="BG1339" s="28"/>
      <c r="BJ1339" s="28"/>
      <c r="BM1339" s="28"/>
      <c r="BP1339" s="28"/>
      <c r="BS1339" s="28"/>
      <c r="BV1339" s="28"/>
      <c r="BY1339" s="28"/>
      <c r="CB1339" s="28"/>
      <c r="CE1339" s="28"/>
      <c r="CH1339" s="28"/>
      <c r="CK1339" s="28"/>
      <c r="CN1339" s="28"/>
      <c r="CQ1339" s="28"/>
      <c r="CT1339" s="28"/>
      <c r="CW1339" s="28"/>
      <c r="CZ1339" s="28"/>
      <c r="DC1339" s="28"/>
      <c r="DF1339" s="28"/>
      <c r="DI1339" s="28"/>
      <c r="DL1339" s="28"/>
      <c r="DO1339" s="28"/>
      <c r="DR1339" s="28"/>
      <c r="DU1339" s="28"/>
      <c r="DX1339" s="28"/>
      <c r="EA1339" s="28"/>
      <c r="ED1339" s="28"/>
      <c r="EG1339" s="28"/>
      <c r="EJ1339" s="28"/>
      <c r="EM1339" s="28"/>
      <c r="EP1339" s="28"/>
      <c r="ES1339" s="28"/>
      <c r="EV1339" s="28"/>
      <c r="EY1339" s="28"/>
      <c r="FB1339" s="28"/>
      <c r="FE1339" s="28"/>
      <c r="FH1339" s="28"/>
      <c r="FK1339" s="28"/>
      <c r="FN1339" s="28"/>
      <c r="FQ1339" s="28"/>
      <c r="FT1339" s="28"/>
      <c r="FW1339" s="28"/>
      <c r="FZ1339" s="28"/>
      <c r="GC1339" s="28"/>
    </row>
    <row r="1340" spans="1:185" s="25" customFormat="1" x14ac:dyDescent="0.3">
      <c r="A1340" s="27"/>
      <c r="B1340" s="28"/>
      <c r="C1340" s="27"/>
      <c r="D1340" s="26"/>
      <c r="E1340" s="28"/>
      <c r="H1340" s="28"/>
      <c r="K1340" s="28"/>
      <c r="N1340" s="28"/>
      <c r="Q1340" s="28"/>
      <c r="T1340" s="28"/>
      <c r="W1340" s="28"/>
      <c r="Z1340" s="28"/>
      <c r="AC1340" s="28"/>
      <c r="AF1340" s="28"/>
      <c r="AI1340" s="28"/>
      <c r="AL1340" s="28"/>
      <c r="AO1340" s="28"/>
      <c r="AR1340" s="28"/>
      <c r="AU1340" s="28"/>
      <c r="AX1340" s="28"/>
      <c r="BA1340" s="28"/>
      <c r="BD1340" s="28"/>
      <c r="BG1340" s="28"/>
      <c r="BJ1340" s="28"/>
      <c r="BM1340" s="28"/>
      <c r="BP1340" s="28"/>
      <c r="BS1340" s="28"/>
      <c r="BV1340" s="28"/>
      <c r="BY1340" s="28"/>
      <c r="CB1340" s="28"/>
      <c r="CE1340" s="28"/>
      <c r="CH1340" s="28"/>
      <c r="CK1340" s="28"/>
      <c r="CN1340" s="28"/>
      <c r="CQ1340" s="28"/>
      <c r="CT1340" s="28"/>
      <c r="CW1340" s="28"/>
      <c r="CZ1340" s="28"/>
      <c r="DC1340" s="28"/>
      <c r="DF1340" s="28"/>
      <c r="DI1340" s="28"/>
      <c r="DL1340" s="28"/>
      <c r="DO1340" s="28"/>
      <c r="DR1340" s="28"/>
      <c r="DU1340" s="28"/>
      <c r="DX1340" s="28"/>
      <c r="EA1340" s="28"/>
      <c r="ED1340" s="28"/>
      <c r="EG1340" s="28"/>
      <c r="EJ1340" s="28"/>
      <c r="EM1340" s="28"/>
      <c r="EP1340" s="28"/>
      <c r="ES1340" s="28"/>
      <c r="EV1340" s="28"/>
      <c r="EY1340" s="28"/>
      <c r="FB1340" s="28"/>
      <c r="FE1340" s="28"/>
      <c r="FH1340" s="28"/>
      <c r="FK1340" s="28"/>
      <c r="FN1340" s="28"/>
      <c r="FQ1340" s="28"/>
      <c r="FT1340" s="28"/>
      <c r="FW1340" s="28"/>
      <c r="FZ1340" s="28"/>
      <c r="GC1340" s="28"/>
    </row>
    <row r="1341" spans="1:185" s="25" customFormat="1" x14ac:dyDescent="0.3">
      <c r="A1341" s="27"/>
      <c r="B1341" s="28"/>
      <c r="C1341" s="27"/>
      <c r="D1341" s="26"/>
      <c r="E1341" s="28"/>
      <c r="H1341" s="28"/>
      <c r="K1341" s="28"/>
      <c r="N1341" s="28"/>
      <c r="Q1341" s="28"/>
      <c r="T1341" s="28"/>
      <c r="W1341" s="28"/>
      <c r="Z1341" s="28"/>
      <c r="AC1341" s="28"/>
      <c r="AF1341" s="28"/>
      <c r="AI1341" s="28"/>
      <c r="AL1341" s="28"/>
      <c r="AO1341" s="28"/>
      <c r="AR1341" s="28"/>
      <c r="AU1341" s="28"/>
      <c r="AX1341" s="28"/>
      <c r="BA1341" s="28"/>
      <c r="BD1341" s="28"/>
      <c r="BG1341" s="28"/>
      <c r="BJ1341" s="28"/>
      <c r="BM1341" s="28"/>
      <c r="BP1341" s="28"/>
      <c r="BS1341" s="28"/>
      <c r="BV1341" s="28"/>
      <c r="BY1341" s="28"/>
      <c r="CB1341" s="28"/>
      <c r="CE1341" s="28"/>
      <c r="CH1341" s="28"/>
      <c r="CK1341" s="28"/>
      <c r="CN1341" s="28"/>
      <c r="CQ1341" s="28"/>
      <c r="CT1341" s="28"/>
      <c r="CW1341" s="28"/>
      <c r="CZ1341" s="28"/>
      <c r="DC1341" s="28"/>
      <c r="DF1341" s="28"/>
      <c r="DI1341" s="28"/>
      <c r="DL1341" s="28"/>
      <c r="DO1341" s="28"/>
      <c r="DR1341" s="28"/>
      <c r="DU1341" s="28"/>
      <c r="DX1341" s="28"/>
      <c r="EA1341" s="28"/>
      <c r="ED1341" s="28"/>
      <c r="EG1341" s="28"/>
      <c r="EJ1341" s="28"/>
      <c r="EM1341" s="28"/>
      <c r="EP1341" s="28"/>
      <c r="ES1341" s="28"/>
      <c r="EV1341" s="28"/>
      <c r="EY1341" s="28"/>
      <c r="FB1341" s="28"/>
      <c r="FE1341" s="28"/>
      <c r="FH1341" s="28"/>
      <c r="FK1341" s="28"/>
      <c r="FN1341" s="28"/>
      <c r="FQ1341" s="28"/>
      <c r="FT1341" s="28"/>
      <c r="FW1341" s="28"/>
      <c r="FZ1341" s="28"/>
      <c r="GC1341" s="28"/>
    </row>
    <row r="1342" spans="1:185" s="25" customFormat="1" x14ac:dyDescent="0.3">
      <c r="A1342" s="27"/>
      <c r="B1342" s="28"/>
      <c r="C1342" s="27"/>
      <c r="D1342" s="26"/>
      <c r="E1342" s="28"/>
      <c r="H1342" s="28"/>
      <c r="K1342" s="28"/>
      <c r="N1342" s="28"/>
      <c r="Q1342" s="28"/>
      <c r="T1342" s="28"/>
      <c r="W1342" s="28"/>
      <c r="Z1342" s="28"/>
      <c r="AC1342" s="28"/>
      <c r="AF1342" s="28"/>
      <c r="AI1342" s="28"/>
      <c r="AL1342" s="28"/>
      <c r="AO1342" s="28"/>
      <c r="AR1342" s="28"/>
      <c r="AU1342" s="28"/>
      <c r="AX1342" s="28"/>
      <c r="BA1342" s="28"/>
      <c r="BD1342" s="28"/>
      <c r="BG1342" s="28"/>
      <c r="BJ1342" s="28"/>
      <c r="BM1342" s="28"/>
      <c r="BP1342" s="28"/>
      <c r="BS1342" s="28"/>
      <c r="BV1342" s="28"/>
      <c r="BY1342" s="28"/>
      <c r="CB1342" s="28"/>
      <c r="CE1342" s="28"/>
      <c r="CH1342" s="28"/>
      <c r="CK1342" s="28"/>
      <c r="CN1342" s="28"/>
      <c r="CQ1342" s="28"/>
      <c r="CT1342" s="28"/>
      <c r="CW1342" s="28"/>
      <c r="CZ1342" s="28"/>
      <c r="DC1342" s="28"/>
      <c r="DF1342" s="28"/>
      <c r="DI1342" s="28"/>
      <c r="DL1342" s="28"/>
      <c r="DO1342" s="28"/>
      <c r="DR1342" s="28"/>
      <c r="DU1342" s="28"/>
      <c r="DX1342" s="28"/>
      <c r="EA1342" s="28"/>
      <c r="ED1342" s="28"/>
      <c r="EG1342" s="28"/>
      <c r="EJ1342" s="28"/>
      <c r="EM1342" s="28"/>
      <c r="EP1342" s="28"/>
      <c r="ES1342" s="28"/>
      <c r="EV1342" s="28"/>
      <c r="EY1342" s="28"/>
      <c r="FB1342" s="28"/>
      <c r="FE1342" s="28"/>
      <c r="FH1342" s="28"/>
      <c r="FK1342" s="28"/>
      <c r="FN1342" s="28"/>
      <c r="FQ1342" s="28"/>
      <c r="FT1342" s="28"/>
      <c r="FW1342" s="28"/>
      <c r="FZ1342" s="28"/>
      <c r="GC1342" s="28"/>
    </row>
    <row r="1343" spans="1:185" s="25" customFormat="1" x14ac:dyDescent="0.3">
      <c r="A1343" s="27"/>
      <c r="B1343" s="28"/>
      <c r="C1343" s="27"/>
      <c r="D1343" s="26"/>
      <c r="E1343" s="28"/>
      <c r="H1343" s="28"/>
      <c r="K1343" s="28"/>
      <c r="N1343" s="28"/>
      <c r="Q1343" s="28"/>
      <c r="T1343" s="28"/>
      <c r="W1343" s="28"/>
      <c r="Z1343" s="28"/>
      <c r="AC1343" s="28"/>
      <c r="AF1343" s="28"/>
      <c r="AI1343" s="28"/>
      <c r="AL1343" s="28"/>
      <c r="AO1343" s="28"/>
      <c r="AR1343" s="28"/>
      <c r="AU1343" s="28"/>
      <c r="AX1343" s="28"/>
      <c r="BA1343" s="28"/>
      <c r="BD1343" s="28"/>
      <c r="BG1343" s="28"/>
      <c r="BJ1343" s="28"/>
      <c r="BM1343" s="28"/>
      <c r="BP1343" s="28"/>
      <c r="BS1343" s="28"/>
      <c r="BV1343" s="28"/>
      <c r="BY1343" s="28"/>
      <c r="CB1343" s="28"/>
      <c r="CE1343" s="28"/>
      <c r="CH1343" s="28"/>
      <c r="CK1343" s="28"/>
      <c r="CN1343" s="28"/>
      <c r="CQ1343" s="28"/>
      <c r="CT1343" s="28"/>
      <c r="CW1343" s="28"/>
      <c r="CZ1343" s="28"/>
      <c r="DC1343" s="28"/>
      <c r="DF1343" s="28"/>
      <c r="DI1343" s="28"/>
      <c r="DL1343" s="28"/>
      <c r="DO1343" s="28"/>
      <c r="DR1343" s="28"/>
      <c r="DU1343" s="28"/>
      <c r="DX1343" s="28"/>
      <c r="EA1343" s="28"/>
      <c r="ED1343" s="28"/>
      <c r="EG1343" s="28"/>
      <c r="EJ1343" s="28"/>
      <c r="EM1343" s="28"/>
      <c r="EP1343" s="28"/>
      <c r="ES1343" s="28"/>
      <c r="EV1343" s="28"/>
      <c r="EY1343" s="28"/>
      <c r="FB1343" s="28"/>
      <c r="FE1343" s="28"/>
      <c r="FH1343" s="28"/>
      <c r="FK1343" s="28"/>
      <c r="FN1343" s="28"/>
      <c r="FQ1343" s="28"/>
      <c r="FT1343" s="28"/>
      <c r="FW1343" s="28"/>
      <c r="FZ1343" s="28"/>
      <c r="GC1343" s="28"/>
    </row>
    <row r="1344" spans="1:185" s="25" customFormat="1" x14ac:dyDescent="0.3">
      <c r="A1344" s="27"/>
      <c r="B1344" s="28"/>
      <c r="C1344" s="27"/>
      <c r="D1344" s="26"/>
      <c r="E1344" s="28"/>
      <c r="H1344" s="28"/>
      <c r="K1344" s="28"/>
      <c r="N1344" s="28"/>
      <c r="Q1344" s="28"/>
      <c r="T1344" s="28"/>
      <c r="W1344" s="28"/>
      <c r="Z1344" s="28"/>
      <c r="AC1344" s="28"/>
      <c r="AF1344" s="28"/>
      <c r="AI1344" s="28"/>
      <c r="AL1344" s="28"/>
      <c r="AO1344" s="28"/>
      <c r="AR1344" s="28"/>
      <c r="AU1344" s="28"/>
      <c r="AX1344" s="28"/>
      <c r="BA1344" s="28"/>
      <c r="BD1344" s="28"/>
      <c r="BG1344" s="28"/>
      <c r="BJ1344" s="28"/>
      <c r="BM1344" s="28"/>
      <c r="BP1344" s="28"/>
      <c r="BS1344" s="28"/>
      <c r="BV1344" s="28"/>
      <c r="BY1344" s="28"/>
      <c r="CB1344" s="28"/>
      <c r="CE1344" s="28"/>
      <c r="CH1344" s="28"/>
      <c r="CK1344" s="28"/>
      <c r="CN1344" s="28"/>
      <c r="CQ1344" s="28"/>
      <c r="CT1344" s="28"/>
      <c r="CW1344" s="28"/>
      <c r="CZ1344" s="28"/>
      <c r="DC1344" s="28"/>
      <c r="DF1344" s="28"/>
      <c r="DI1344" s="28"/>
      <c r="DL1344" s="28"/>
      <c r="DO1344" s="28"/>
      <c r="DR1344" s="28"/>
      <c r="DU1344" s="28"/>
      <c r="DX1344" s="28"/>
      <c r="EA1344" s="28"/>
      <c r="ED1344" s="28"/>
      <c r="EG1344" s="28"/>
      <c r="EJ1344" s="28"/>
      <c r="EM1344" s="28"/>
      <c r="EP1344" s="28"/>
      <c r="ES1344" s="28"/>
      <c r="EV1344" s="28"/>
      <c r="EY1344" s="28"/>
      <c r="FB1344" s="28"/>
      <c r="FE1344" s="28"/>
      <c r="FH1344" s="28"/>
      <c r="FK1344" s="28"/>
      <c r="FN1344" s="28"/>
      <c r="FQ1344" s="28"/>
      <c r="FT1344" s="28"/>
      <c r="FW1344" s="28"/>
      <c r="FZ1344" s="28"/>
      <c r="GC1344" s="28"/>
    </row>
    <row r="1345" spans="1:185" s="25" customFormat="1" x14ac:dyDescent="0.3">
      <c r="A1345" s="27"/>
      <c r="B1345" s="28"/>
      <c r="C1345" s="27"/>
      <c r="D1345" s="26"/>
      <c r="E1345" s="28"/>
      <c r="H1345" s="28"/>
      <c r="K1345" s="28"/>
      <c r="N1345" s="28"/>
      <c r="Q1345" s="28"/>
      <c r="T1345" s="28"/>
      <c r="W1345" s="28"/>
      <c r="Z1345" s="28"/>
      <c r="AC1345" s="28"/>
      <c r="AF1345" s="28"/>
      <c r="AI1345" s="28"/>
      <c r="AL1345" s="28"/>
      <c r="AO1345" s="28"/>
      <c r="AR1345" s="28"/>
      <c r="AU1345" s="28"/>
      <c r="AX1345" s="28"/>
      <c r="BA1345" s="28"/>
      <c r="BD1345" s="28"/>
      <c r="BG1345" s="28"/>
      <c r="BJ1345" s="28"/>
      <c r="BM1345" s="28"/>
      <c r="BP1345" s="28"/>
      <c r="BS1345" s="28"/>
      <c r="BV1345" s="28"/>
      <c r="BY1345" s="28"/>
      <c r="CB1345" s="28"/>
      <c r="CE1345" s="28"/>
      <c r="CH1345" s="28"/>
      <c r="CK1345" s="28"/>
      <c r="CN1345" s="28"/>
      <c r="CQ1345" s="28"/>
      <c r="CT1345" s="28"/>
      <c r="CW1345" s="28"/>
      <c r="CZ1345" s="28"/>
      <c r="DC1345" s="28"/>
      <c r="DF1345" s="28"/>
      <c r="DI1345" s="28"/>
      <c r="DL1345" s="28"/>
      <c r="DO1345" s="28"/>
      <c r="DR1345" s="28"/>
      <c r="DU1345" s="28"/>
      <c r="DX1345" s="28"/>
      <c r="EA1345" s="28"/>
      <c r="ED1345" s="28"/>
      <c r="EG1345" s="28"/>
      <c r="EJ1345" s="28"/>
      <c r="EM1345" s="28"/>
      <c r="EP1345" s="28"/>
      <c r="ES1345" s="28"/>
      <c r="EV1345" s="28"/>
      <c r="EY1345" s="28"/>
      <c r="FB1345" s="28"/>
      <c r="FE1345" s="28"/>
      <c r="FH1345" s="28"/>
      <c r="FK1345" s="28"/>
      <c r="FN1345" s="28"/>
      <c r="FQ1345" s="28"/>
      <c r="FT1345" s="28"/>
      <c r="FW1345" s="28"/>
      <c r="FZ1345" s="28"/>
      <c r="GC1345" s="28"/>
    </row>
    <row r="1346" spans="1:185" s="25" customFormat="1" x14ac:dyDescent="0.3">
      <c r="A1346" s="27"/>
      <c r="B1346" s="28"/>
      <c r="C1346" s="27"/>
      <c r="D1346" s="26"/>
      <c r="E1346" s="28"/>
      <c r="H1346" s="28"/>
      <c r="K1346" s="28"/>
      <c r="N1346" s="28"/>
      <c r="Q1346" s="28"/>
      <c r="T1346" s="28"/>
      <c r="W1346" s="28"/>
      <c r="Z1346" s="28"/>
      <c r="AC1346" s="28"/>
      <c r="AF1346" s="28"/>
      <c r="AI1346" s="28"/>
      <c r="AL1346" s="28"/>
      <c r="AO1346" s="28"/>
      <c r="AR1346" s="28"/>
      <c r="AU1346" s="28"/>
      <c r="AX1346" s="28"/>
      <c r="BA1346" s="28"/>
      <c r="BD1346" s="28"/>
      <c r="BG1346" s="28"/>
      <c r="BJ1346" s="28"/>
      <c r="BM1346" s="28"/>
      <c r="BP1346" s="28"/>
      <c r="BS1346" s="28"/>
      <c r="BV1346" s="28"/>
      <c r="BY1346" s="28"/>
      <c r="CB1346" s="28"/>
      <c r="CE1346" s="28"/>
      <c r="CH1346" s="28"/>
      <c r="CK1346" s="28"/>
      <c r="CN1346" s="28"/>
      <c r="CQ1346" s="28"/>
      <c r="CT1346" s="28"/>
      <c r="CW1346" s="28"/>
      <c r="CZ1346" s="28"/>
      <c r="DC1346" s="28"/>
      <c r="DF1346" s="28"/>
      <c r="DI1346" s="28"/>
      <c r="DL1346" s="28"/>
      <c r="DO1346" s="28"/>
      <c r="DR1346" s="28"/>
      <c r="DU1346" s="28"/>
      <c r="DX1346" s="28"/>
      <c r="EA1346" s="28"/>
      <c r="ED1346" s="28"/>
      <c r="EG1346" s="28"/>
      <c r="EJ1346" s="28"/>
      <c r="EM1346" s="28"/>
      <c r="EP1346" s="28"/>
      <c r="ES1346" s="28"/>
      <c r="EV1346" s="28"/>
      <c r="EY1346" s="28"/>
      <c r="FB1346" s="28"/>
      <c r="FE1346" s="28"/>
      <c r="FH1346" s="28"/>
      <c r="FK1346" s="28"/>
      <c r="FN1346" s="28"/>
      <c r="FQ1346" s="28"/>
      <c r="FT1346" s="28"/>
      <c r="FW1346" s="28"/>
      <c r="FZ1346" s="28"/>
      <c r="GC1346" s="28"/>
    </row>
    <row r="1347" spans="1:185" s="25" customFormat="1" x14ac:dyDescent="0.3">
      <c r="A1347" s="27"/>
      <c r="B1347" s="28"/>
      <c r="C1347" s="27"/>
      <c r="D1347" s="26"/>
      <c r="E1347" s="28"/>
      <c r="H1347" s="28"/>
      <c r="K1347" s="28"/>
      <c r="N1347" s="28"/>
      <c r="Q1347" s="28"/>
      <c r="T1347" s="28"/>
      <c r="W1347" s="28"/>
      <c r="Z1347" s="28"/>
      <c r="AC1347" s="28"/>
      <c r="AF1347" s="28"/>
      <c r="AI1347" s="28"/>
      <c r="AL1347" s="28"/>
      <c r="AO1347" s="28"/>
      <c r="AR1347" s="28"/>
      <c r="AU1347" s="28"/>
      <c r="AX1347" s="28"/>
      <c r="BA1347" s="28"/>
      <c r="BD1347" s="28"/>
      <c r="BG1347" s="28"/>
      <c r="BJ1347" s="28"/>
      <c r="BM1347" s="28"/>
      <c r="BP1347" s="28"/>
      <c r="BS1347" s="28"/>
      <c r="BV1347" s="28"/>
      <c r="BY1347" s="28"/>
      <c r="CB1347" s="28"/>
      <c r="CE1347" s="28"/>
      <c r="CH1347" s="28"/>
      <c r="CK1347" s="28"/>
      <c r="CN1347" s="28"/>
      <c r="CQ1347" s="28"/>
      <c r="CT1347" s="28"/>
      <c r="CW1347" s="28"/>
      <c r="CZ1347" s="28"/>
      <c r="DC1347" s="28"/>
      <c r="DF1347" s="28"/>
      <c r="DI1347" s="28"/>
      <c r="DL1347" s="28"/>
      <c r="DO1347" s="28"/>
      <c r="DR1347" s="28"/>
      <c r="DU1347" s="28"/>
      <c r="DX1347" s="28"/>
      <c r="EA1347" s="28"/>
      <c r="ED1347" s="28"/>
      <c r="EG1347" s="28"/>
      <c r="EJ1347" s="28"/>
      <c r="EM1347" s="28"/>
      <c r="EP1347" s="28"/>
      <c r="ES1347" s="28"/>
      <c r="EV1347" s="28"/>
      <c r="EY1347" s="28"/>
      <c r="FB1347" s="28"/>
      <c r="FE1347" s="28"/>
      <c r="FH1347" s="28"/>
      <c r="FK1347" s="28"/>
      <c r="FN1347" s="28"/>
      <c r="FQ1347" s="28"/>
      <c r="FT1347" s="28"/>
      <c r="FW1347" s="28"/>
      <c r="FZ1347" s="28"/>
      <c r="GC1347" s="28"/>
    </row>
    <row r="1348" spans="1:185" s="25" customFormat="1" x14ac:dyDescent="0.3">
      <c r="A1348" s="27"/>
      <c r="B1348" s="28"/>
      <c r="C1348" s="27"/>
      <c r="D1348" s="26"/>
      <c r="E1348" s="28"/>
      <c r="H1348" s="28"/>
      <c r="K1348" s="28"/>
      <c r="N1348" s="28"/>
      <c r="Q1348" s="28"/>
      <c r="T1348" s="28"/>
      <c r="W1348" s="28"/>
      <c r="Z1348" s="28"/>
      <c r="AC1348" s="28"/>
      <c r="AF1348" s="28"/>
      <c r="AI1348" s="28"/>
      <c r="AL1348" s="28"/>
      <c r="AO1348" s="28"/>
      <c r="AR1348" s="28"/>
      <c r="AU1348" s="28"/>
      <c r="AX1348" s="28"/>
      <c r="BA1348" s="28"/>
      <c r="BD1348" s="28"/>
      <c r="BG1348" s="28"/>
      <c r="BJ1348" s="28"/>
      <c r="BM1348" s="28"/>
      <c r="BP1348" s="28"/>
      <c r="BS1348" s="28"/>
      <c r="BV1348" s="28"/>
      <c r="BY1348" s="28"/>
      <c r="CB1348" s="28"/>
      <c r="CE1348" s="28"/>
      <c r="CH1348" s="28"/>
      <c r="CK1348" s="28"/>
      <c r="CN1348" s="28"/>
      <c r="CQ1348" s="28"/>
      <c r="CT1348" s="28"/>
      <c r="CW1348" s="28"/>
      <c r="CZ1348" s="28"/>
      <c r="DC1348" s="28"/>
      <c r="DF1348" s="28"/>
      <c r="DI1348" s="28"/>
      <c r="DL1348" s="28"/>
      <c r="DO1348" s="28"/>
      <c r="DR1348" s="28"/>
      <c r="DU1348" s="28"/>
      <c r="DX1348" s="28"/>
      <c r="EA1348" s="28"/>
      <c r="ED1348" s="28"/>
      <c r="EG1348" s="28"/>
      <c r="EJ1348" s="28"/>
      <c r="EM1348" s="28"/>
      <c r="EP1348" s="28"/>
      <c r="ES1348" s="28"/>
      <c r="EV1348" s="28"/>
      <c r="EY1348" s="28"/>
      <c r="FB1348" s="28"/>
      <c r="FE1348" s="28"/>
      <c r="FH1348" s="28"/>
      <c r="FK1348" s="28"/>
      <c r="FN1348" s="28"/>
      <c r="FQ1348" s="28"/>
      <c r="FT1348" s="28"/>
      <c r="FW1348" s="28"/>
      <c r="FZ1348" s="28"/>
      <c r="GC1348" s="28"/>
    </row>
    <row r="1349" spans="1:185" s="25" customFormat="1" x14ac:dyDescent="0.3">
      <c r="A1349" s="27"/>
      <c r="B1349" s="28"/>
      <c r="C1349" s="27"/>
      <c r="D1349" s="26"/>
      <c r="E1349" s="28"/>
      <c r="H1349" s="28"/>
      <c r="K1349" s="28"/>
      <c r="N1349" s="28"/>
      <c r="Q1349" s="28"/>
      <c r="T1349" s="28"/>
      <c r="W1349" s="28"/>
      <c r="Z1349" s="28"/>
      <c r="AC1349" s="28"/>
      <c r="AF1349" s="28"/>
      <c r="AI1349" s="28"/>
      <c r="AL1349" s="28"/>
      <c r="AO1349" s="28"/>
      <c r="AR1349" s="28"/>
      <c r="AU1349" s="28"/>
      <c r="AX1349" s="28"/>
      <c r="BA1349" s="28"/>
      <c r="BD1349" s="28"/>
      <c r="BG1349" s="28"/>
      <c r="BJ1349" s="28"/>
      <c r="BM1349" s="28"/>
      <c r="BP1349" s="28"/>
      <c r="BS1349" s="28"/>
      <c r="BV1349" s="28"/>
      <c r="BY1349" s="28"/>
      <c r="CB1349" s="28"/>
      <c r="CE1349" s="28"/>
      <c r="CH1349" s="28"/>
      <c r="CK1349" s="28"/>
      <c r="CN1349" s="28"/>
      <c r="CQ1349" s="28"/>
      <c r="CT1349" s="28"/>
      <c r="CW1349" s="28"/>
      <c r="CZ1349" s="28"/>
      <c r="DC1349" s="28"/>
      <c r="DF1349" s="28"/>
      <c r="DI1349" s="28"/>
      <c r="DL1349" s="28"/>
      <c r="DO1349" s="28"/>
      <c r="DR1349" s="28"/>
      <c r="DU1349" s="28"/>
      <c r="DX1349" s="28"/>
      <c r="EA1349" s="28"/>
      <c r="ED1349" s="28"/>
      <c r="EG1349" s="28"/>
      <c r="EJ1349" s="28"/>
      <c r="EM1349" s="28"/>
      <c r="EP1349" s="28"/>
      <c r="ES1349" s="28"/>
      <c r="EV1349" s="28"/>
      <c r="EY1349" s="28"/>
      <c r="FB1349" s="28"/>
      <c r="FE1349" s="28"/>
      <c r="FH1349" s="28"/>
      <c r="FK1349" s="28"/>
      <c r="FN1349" s="28"/>
      <c r="FQ1349" s="28"/>
      <c r="FT1349" s="28"/>
      <c r="FW1349" s="28"/>
      <c r="FZ1349" s="28"/>
      <c r="GC1349" s="28"/>
    </row>
    <row r="1350" spans="1:185" s="25" customFormat="1" x14ac:dyDescent="0.3">
      <c r="A1350" s="27"/>
      <c r="B1350" s="28"/>
      <c r="C1350" s="27"/>
      <c r="D1350" s="26"/>
      <c r="E1350" s="28"/>
      <c r="H1350" s="28"/>
      <c r="K1350" s="28"/>
      <c r="N1350" s="28"/>
      <c r="Q1350" s="28"/>
      <c r="T1350" s="28"/>
      <c r="W1350" s="28"/>
      <c r="Z1350" s="28"/>
      <c r="AC1350" s="28"/>
      <c r="AF1350" s="28"/>
      <c r="AI1350" s="28"/>
      <c r="AL1350" s="28"/>
      <c r="AO1350" s="28"/>
      <c r="AR1350" s="28"/>
      <c r="AU1350" s="28"/>
      <c r="AX1350" s="28"/>
      <c r="BA1350" s="28"/>
      <c r="BD1350" s="28"/>
      <c r="BG1350" s="28"/>
      <c r="BJ1350" s="28"/>
      <c r="BM1350" s="28"/>
      <c r="BP1350" s="28"/>
      <c r="BS1350" s="28"/>
      <c r="BV1350" s="28"/>
      <c r="BY1350" s="28"/>
      <c r="CB1350" s="28"/>
      <c r="CE1350" s="28"/>
      <c r="CH1350" s="28"/>
      <c r="CK1350" s="28"/>
      <c r="CN1350" s="28"/>
      <c r="CQ1350" s="28"/>
      <c r="CT1350" s="28"/>
      <c r="CW1350" s="28"/>
      <c r="CZ1350" s="28"/>
      <c r="DC1350" s="28"/>
      <c r="DF1350" s="28"/>
      <c r="DI1350" s="28"/>
      <c r="DL1350" s="28"/>
      <c r="DO1350" s="28"/>
      <c r="DR1350" s="28"/>
      <c r="DU1350" s="28"/>
      <c r="DX1350" s="28"/>
      <c r="EA1350" s="28"/>
      <c r="ED1350" s="28"/>
      <c r="EG1350" s="28"/>
      <c r="EJ1350" s="28"/>
      <c r="EM1350" s="28"/>
      <c r="EP1350" s="28"/>
      <c r="ES1350" s="28"/>
      <c r="EV1350" s="28"/>
      <c r="EY1350" s="28"/>
      <c r="FB1350" s="28"/>
      <c r="FE1350" s="28"/>
      <c r="FH1350" s="28"/>
      <c r="FK1350" s="28"/>
      <c r="FN1350" s="28"/>
      <c r="FQ1350" s="28"/>
      <c r="FT1350" s="28"/>
      <c r="FW1350" s="28"/>
      <c r="FZ1350" s="28"/>
      <c r="GC1350" s="28"/>
    </row>
    <row r="1351" spans="1:185" s="25" customFormat="1" x14ac:dyDescent="0.3">
      <c r="A1351" s="27"/>
      <c r="B1351" s="28"/>
      <c r="C1351" s="27"/>
      <c r="D1351" s="26"/>
      <c r="E1351" s="28"/>
      <c r="H1351" s="28"/>
      <c r="K1351" s="28"/>
      <c r="N1351" s="28"/>
      <c r="Q1351" s="28"/>
      <c r="T1351" s="28"/>
      <c r="W1351" s="28"/>
      <c r="Z1351" s="28"/>
      <c r="AC1351" s="28"/>
      <c r="AF1351" s="28"/>
      <c r="AI1351" s="28"/>
      <c r="AL1351" s="28"/>
      <c r="AO1351" s="28"/>
      <c r="AR1351" s="28"/>
      <c r="AU1351" s="28"/>
      <c r="AX1351" s="28"/>
      <c r="BA1351" s="28"/>
      <c r="BD1351" s="28"/>
      <c r="BG1351" s="28"/>
      <c r="BJ1351" s="28"/>
      <c r="BM1351" s="28"/>
      <c r="BP1351" s="28"/>
      <c r="BS1351" s="28"/>
      <c r="BV1351" s="28"/>
      <c r="BY1351" s="28"/>
      <c r="CB1351" s="28"/>
      <c r="CE1351" s="28"/>
      <c r="CH1351" s="28"/>
      <c r="CK1351" s="28"/>
      <c r="CN1351" s="28"/>
      <c r="CQ1351" s="28"/>
      <c r="CT1351" s="28"/>
      <c r="CW1351" s="28"/>
      <c r="CZ1351" s="28"/>
      <c r="DC1351" s="28"/>
      <c r="DF1351" s="28"/>
      <c r="DI1351" s="28"/>
      <c r="DL1351" s="28"/>
      <c r="DO1351" s="28"/>
      <c r="DR1351" s="28"/>
      <c r="DU1351" s="28"/>
      <c r="DX1351" s="28"/>
      <c r="EA1351" s="28"/>
      <c r="ED1351" s="28"/>
      <c r="EG1351" s="28"/>
      <c r="EJ1351" s="28"/>
      <c r="EM1351" s="28"/>
      <c r="EP1351" s="28"/>
      <c r="ES1351" s="28"/>
      <c r="EV1351" s="28"/>
      <c r="EY1351" s="28"/>
      <c r="FB1351" s="28"/>
      <c r="FE1351" s="28"/>
      <c r="FH1351" s="28"/>
      <c r="FK1351" s="28"/>
      <c r="FN1351" s="28"/>
      <c r="FQ1351" s="28"/>
      <c r="FT1351" s="28"/>
      <c r="FW1351" s="28"/>
      <c r="FZ1351" s="28"/>
      <c r="GC1351" s="28"/>
    </row>
    <row r="1352" spans="1:185" s="25" customFormat="1" x14ac:dyDescent="0.3">
      <c r="A1352" s="27"/>
      <c r="B1352" s="28"/>
      <c r="C1352" s="27"/>
      <c r="D1352" s="26"/>
      <c r="E1352" s="28"/>
      <c r="H1352" s="28"/>
      <c r="K1352" s="28"/>
      <c r="N1352" s="28"/>
      <c r="Q1352" s="28"/>
      <c r="T1352" s="28"/>
      <c r="W1352" s="28"/>
      <c r="Z1352" s="28"/>
      <c r="AC1352" s="28"/>
      <c r="AF1352" s="28"/>
      <c r="AI1352" s="28"/>
      <c r="AL1352" s="28"/>
      <c r="AO1352" s="28"/>
      <c r="AR1352" s="28"/>
      <c r="AU1352" s="28"/>
      <c r="AX1352" s="28"/>
      <c r="BA1352" s="28"/>
      <c r="BD1352" s="28"/>
      <c r="BG1352" s="28"/>
      <c r="BJ1352" s="28"/>
      <c r="BM1352" s="28"/>
      <c r="BP1352" s="28"/>
      <c r="BS1352" s="28"/>
      <c r="BV1352" s="28"/>
      <c r="BY1352" s="28"/>
      <c r="CB1352" s="28"/>
      <c r="CE1352" s="28"/>
      <c r="CH1352" s="28"/>
      <c r="CK1352" s="28"/>
      <c r="CN1352" s="28"/>
      <c r="CQ1352" s="28"/>
      <c r="CT1352" s="28"/>
      <c r="CW1352" s="28"/>
      <c r="CZ1352" s="28"/>
      <c r="DC1352" s="28"/>
      <c r="DF1352" s="28"/>
      <c r="DI1352" s="28"/>
      <c r="DL1352" s="28"/>
      <c r="DO1352" s="28"/>
      <c r="DR1352" s="28"/>
      <c r="DU1352" s="28"/>
      <c r="DX1352" s="28"/>
      <c r="EA1352" s="28"/>
      <c r="ED1352" s="28"/>
      <c r="EG1352" s="28"/>
      <c r="EJ1352" s="28"/>
      <c r="EM1352" s="28"/>
      <c r="EP1352" s="28"/>
      <c r="ES1352" s="28"/>
      <c r="EV1352" s="28"/>
      <c r="EY1352" s="28"/>
      <c r="FB1352" s="28"/>
      <c r="FE1352" s="28"/>
      <c r="FH1352" s="28"/>
      <c r="FK1352" s="28"/>
      <c r="FN1352" s="28"/>
      <c r="FQ1352" s="28"/>
      <c r="FT1352" s="28"/>
      <c r="FW1352" s="28"/>
      <c r="FZ1352" s="28"/>
      <c r="GC1352" s="28"/>
    </row>
    <row r="1353" spans="1:185" s="25" customFormat="1" x14ac:dyDescent="0.3">
      <c r="A1353" s="27"/>
      <c r="B1353" s="28"/>
      <c r="C1353" s="27"/>
      <c r="D1353" s="26"/>
      <c r="E1353" s="28"/>
      <c r="H1353" s="28"/>
      <c r="K1353" s="28"/>
      <c r="N1353" s="28"/>
      <c r="Q1353" s="28"/>
      <c r="T1353" s="28"/>
      <c r="W1353" s="28"/>
      <c r="Z1353" s="28"/>
      <c r="AC1353" s="28"/>
      <c r="AF1353" s="28"/>
      <c r="AI1353" s="28"/>
      <c r="AL1353" s="28"/>
      <c r="AO1353" s="28"/>
      <c r="AR1353" s="28"/>
      <c r="AU1353" s="28"/>
      <c r="AX1353" s="28"/>
      <c r="BA1353" s="28"/>
      <c r="BD1353" s="28"/>
      <c r="BG1353" s="28"/>
      <c r="BJ1353" s="28"/>
      <c r="BM1353" s="28"/>
      <c r="BP1353" s="28"/>
      <c r="BS1353" s="28"/>
      <c r="BV1353" s="28"/>
      <c r="BY1353" s="28"/>
      <c r="CB1353" s="28"/>
      <c r="CE1353" s="28"/>
      <c r="CH1353" s="28"/>
      <c r="CK1353" s="28"/>
      <c r="CN1353" s="28"/>
      <c r="CQ1353" s="28"/>
      <c r="CT1353" s="28"/>
      <c r="CW1353" s="28"/>
      <c r="CZ1353" s="28"/>
      <c r="DC1353" s="28"/>
      <c r="DF1353" s="28"/>
      <c r="DI1353" s="28"/>
      <c r="DL1353" s="28"/>
      <c r="DO1353" s="28"/>
      <c r="DR1353" s="28"/>
      <c r="DU1353" s="28"/>
      <c r="DX1353" s="28"/>
      <c r="EA1353" s="28"/>
      <c r="ED1353" s="28"/>
      <c r="EG1353" s="28"/>
      <c r="EJ1353" s="28"/>
      <c r="EM1353" s="28"/>
      <c r="EP1353" s="28"/>
      <c r="ES1353" s="28"/>
      <c r="EV1353" s="28"/>
      <c r="EY1353" s="28"/>
      <c r="FB1353" s="28"/>
      <c r="FE1353" s="28"/>
      <c r="FH1353" s="28"/>
      <c r="FK1353" s="28"/>
      <c r="FN1353" s="28"/>
      <c r="FQ1353" s="28"/>
      <c r="FT1353" s="28"/>
      <c r="FW1353" s="28"/>
      <c r="FZ1353" s="28"/>
      <c r="GC1353" s="28"/>
    </row>
    <row r="1354" spans="1:185" s="25" customFormat="1" x14ac:dyDescent="0.3">
      <c r="A1354" s="27"/>
      <c r="B1354" s="28"/>
      <c r="C1354" s="27"/>
      <c r="D1354" s="26"/>
      <c r="E1354" s="28"/>
      <c r="H1354" s="28"/>
      <c r="K1354" s="28"/>
      <c r="N1354" s="28"/>
      <c r="Q1354" s="28"/>
      <c r="T1354" s="28"/>
      <c r="W1354" s="28"/>
      <c r="Z1354" s="28"/>
      <c r="AC1354" s="28"/>
      <c r="AF1354" s="28"/>
      <c r="AI1354" s="28"/>
      <c r="AL1354" s="28"/>
      <c r="AO1354" s="28"/>
      <c r="AR1354" s="28"/>
      <c r="AU1354" s="28"/>
      <c r="AX1354" s="28"/>
      <c r="BA1354" s="28"/>
      <c r="BD1354" s="28"/>
      <c r="BG1354" s="28"/>
      <c r="BJ1354" s="28"/>
      <c r="BM1354" s="28"/>
      <c r="BP1354" s="28"/>
      <c r="BS1354" s="28"/>
      <c r="BV1354" s="28"/>
      <c r="BY1354" s="28"/>
      <c r="CB1354" s="28"/>
      <c r="CE1354" s="28"/>
      <c r="CH1354" s="28"/>
      <c r="CK1354" s="28"/>
      <c r="CN1354" s="28"/>
      <c r="CQ1354" s="28"/>
      <c r="CT1354" s="28"/>
      <c r="CW1354" s="28"/>
      <c r="CZ1354" s="28"/>
      <c r="DC1354" s="28"/>
      <c r="DF1354" s="28"/>
      <c r="DI1354" s="28"/>
      <c r="DL1354" s="28"/>
      <c r="DO1354" s="28"/>
      <c r="DR1354" s="28"/>
      <c r="DU1354" s="28"/>
      <c r="DX1354" s="28"/>
      <c r="EA1354" s="28"/>
      <c r="ED1354" s="28"/>
      <c r="EG1354" s="28"/>
      <c r="EJ1354" s="28"/>
      <c r="EM1354" s="28"/>
      <c r="EP1354" s="28"/>
      <c r="ES1354" s="28"/>
      <c r="EV1354" s="28"/>
      <c r="EY1354" s="28"/>
      <c r="FB1354" s="28"/>
      <c r="FE1354" s="28"/>
      <c r="FH1354" s="28"/>
      <c r="FK1354" s="28"/>
      <c r="FN1354" s="28"/>
      <c r="FQ1354" s="28"/>
      <c r="FT1354" s="28"/>
      <c r="FW1354" s="28"/>
      <c r="FZ1354" s="28"/>
      <c r="GC1354" s="28"/>
    </row>
    <row r="1355" spans="1:185" s="25" customFormat="1" x14ac:dyDescent="0.3">
      <c r="A1355" s="27"/>
      <c r="B1355" s="28"/>
      <c r="C1355" s="27"/>
      <c r="D1355" s="26"/>
      <c r="E1355" s="28"/>
      <c r="H1355" s="28"/>
      <c r="K1355" s="28"/>
      <c r="N1355" s="28"/>
      <c r="Q1355" s="28"/>
      <c r="T1355" s="28"/>
      <c r="W1355" s="28"/>
      <c r="Z1355" s="28"/>
      <c r="AC1355" s="28"/>
      <c r="AF1355" s="28"/>
      <c r="AI1355" s="28"/>
      <c r="AL1355" s="28"/>
      <c r="AO1355" s="28"/>
      <c r="AR1355" s="28"/>
      <c r="AU1355" s="28"/>
      <c r="AX1355" s="28"/>
      <c r="BA1355" s="28"/>
      <c r="BD1355" s="28"/>
      <c r="BG1355" s="28"/>
      <c r="BJ1355" s="28"/>
      <c r="BM1355" s="28"/>
      <c r="BP1355" s="28"/>
      <c r="BS1355" s="28"/>
      <c r="BV1355" s="28"/>
      <c r="BY1355" s="28"/>
      <c r="CB1355" s="28"/>
      <c r="CE1355" s="28"/>
      <c r="CH1355" s="28"/>
      <c r="CK1355" s="28"/>
      <c r="CN1355" s="28"/>
      <c r="CQ1355" s="28"/>
      <c r="CT1355" s="28"/>
      <c r="CW1355" s="28"/>
      <c r="CZ1355" s="28"/>
      <c r="DC1355" s="28"/>
      <c r="DF1355" s="28"/>
      <c r="DI1355" s="28"/>
      <c r="DL1355" s="28"/>
      <c r="DO1355" s="28"/>
      <c r="DR1355" s="28"/>
      <c r="DU1355" s="28"/>
      <c r="DX1355" s="28"/>
      <c r="EA1355" s="28"/>
      <c r="ED1355" s="28"/>
      <c r="EG1355" s="28"/>
      <c r="EJ1355" s="28"/>
      <c r="EM1355" s="28"/>
      <c r="EP1355" s="28"/>
      <c r="ES1355" s="28"/>
      <c r="EV1355" s="28"/>
      <c r="EY1355" s="28"/>
      <c r="FB1355" s="28"/>
      <c r="FE1355" s="28"/>
      <c r="FH1355" s="28"/>
      <c r="FK1355" s="28"/>
      <c r="FN1355" s="28"/>
      <c r="FQ1355" s="28"/>
      <c r="FT1355" s="28"/>
      <c r="FW1355" s="28"/>
      <c r="FZ1355" s="28"/>
      <c r="GC1355" s="28"/>
    </row>
    <row r="1356" spans="1:185" s="25" customFormat="1" x14ac:dyDescent="0.3">
      <c r="A1356" s="27"/>
      <c r="B1356" s="28"/>
      <c r="C1356" s="27"/>
      <c r="D1356" s="26"/>
      <c r="E1356" s="28"/>
      <c r="H1356" s="28"/>
      <c r="K1356" s="28"/>
      <c r="N1356" s="28"/>
      <c r="Q1356" s="28"/>
      <c r="T1356" s="28"/>
      <c r="W1356" s="28"/>
      <c r="Z1356" s="28"/>
      <c r="AC1356" s="28"/>
      <c r="AF1356" s="28"/>
      <c r="AI1356" s="28"/>
      <c r="AL1356" s="28"/>
      <c r="AO1356" s="28"/>
      <c r="AR1356" s="28"/>
      <c r="AU1356" s="28"/>
      <c r="AX1356" s="28"/>
      <c r="BA1356" s="28"/>
      <c r="BD1356" s="28"/>
      <c r="BG1356" s="28"/>
      <c r="BJ1356" s="28"/>
      <c r="BM1356" s="28"/>
      <c r="BP1356" s="28"/>
      <c r="BS1356" s="28"/>
      <c r="BV1356" s="28"/>
      <c r="BY1356" s="28"/>
      <c r="CB1356" s="28"/>
      <c r="CE1356" s="28"/>
      <c r="CH1356" s="28"/>
      <c r="CK1356" s="28"/>
      <c r="CN1356" s="28"/>
      <c r="CQ1356" s="28"/>
      <c r="CT1356" s="28"/>
      <c r="CW1356" s="28"/>
      <c r="CZ1356" s="28"/>
      <c r="DC1356" s="28"/>
      <c r="DF1356" s="28"/>
      <c r="DI1356" s="28"/>
      <c r="DL1356" s="28"/>
      <c r="DO1356" s="28"/>
      <c r="DR1356" s="28"/>
      <c r="DU1356" s="28"/>
      <c r="DX1356" s="28"/>
      <c r="EA1356" s="28"/>
      <c r="ED1356" s="28"/>
      <c r="EG1356" s="28"/>
      <c r="EJ1356" s="28"/>
      <c r="EM1356" s="28"/>
      <c r="EP1356" s="28"/>
      <c r="ES1356" s="28"/>
      <c r="EV1356" s="28"/>
      <c r="EY1356" s="28"/>
      <c r="FB1356" s="28"/>
      <c r="FE1356" s="28"/>
      <c r="FH1356" s="28"/>
      <c r="FK1356" s="28"/>
      <c r="FN1356" s="28"/>
      <c r="FQ1356" s="28"/>
      <c r="FT1356" s="28"/>
      <c r="FW1356" s="28"/>
      <c r="FZ1356" s="28"/>
      <c r="GC1356" s="28"/>
    </row>
    <row r="1357" spans="1:185" s="25" customFormat="1" x14ac:dyDescent="0.3">
      <c r="A1357" s="27"/>
      <c r="B1357" s="28"/>
      <c r="C1357" s="27"/>
      <c r="D1357" s="26"/>
      <c r="E1357" s="28"/>
      <c r="H1357" s="28"/>
      <c r="K1357" s="28"/>
      <c r="N1357" s="28"/>
      <c r="Q1357" s="28"/>
      <c r="T1357" s="28"/>
      <c r="W1357" s="28"/>
      <c r="Z1357" s="28"/>
      <c r="AC1357" s="28"/>
      <c r="AF1357" s="28"/>
      <c r="AI1357" s="28"/>
      <c r="AL1357" s="28"/>
      <c r="AO1357" s="28"/>
      <c r="AR1357" s="28"/>
      <c r="AU1357" s="28"/>
      <c r="AX1357" s="28"/>
      <c r="BA1357" s="28"/>
      <c r="BD1357" s="28"/>
      <c r="BG1357" s="28"/>
      <c r="BJ1357" s="28"/>
      <c r="BM1357" s="28"/>
      <c r="BP1357" s="28"/>
      <c r="BS1357" s="28"/>
      <c r="BV1357" s="28"/>
      <c r="BY1357" s="28"/>
      <c r="CB1357" s="28"/>
      <c r="CE1357" s="28"/>
      <c r="CH1357" s="28"/>
      <c r="CK1357" s="28"/>
      <c r="CN1357" s="28"/>
      <c r="CQ1357" s="28"/>
      <c r="CT1357" s="28"/>
      <c r="CW1357" s="28"/>
      <c r="CZ1357" s="28"/>
      <c r="DC1357" s="28"/>
      <c r="DF1357" s="28"/>
      <c r="DI1357" s="28"/>
      <c r="DL1357" s="28"/>
      <c r="DO1357" s="28"/>
      <c r="DR1357" s="28"/>
      <c r="DU1357" s="28"/>
      <c r="DX1357" s="28"/>
      <c r="EA1357" s="28"/>
      <c r="ED1357" s="28"/>
      <c r="EG1357" s="28"/>
      <c r="EJ1357" s="28"/>
      <c r="EM1357" s="28"/>
      <c r="EP1357" s="28"/>
      <c r="ES1357" s="28"/>
      <c r="EV1357" s="28"/>
      <c r="EY1357" s="28"/>
      <c r="FB1357" s="28"/>
      <c r="FE1357" s="28"/>
      <c r="FH1357" s="28"/>
      <c r="FK1357" s="28"/>
      <c r="FN1357" s="28"/>
      <c r="FQ1357" s="28"/>
      <c r="FT1357" s="28"/>
      <c r="FW1357" s="28"/>
      <c r="FZ1357" s="28"/>
      <c r="GC1357" s="28"/>
    </row>
    <row r="1358" spans="1:185" s="25" customFormat="1" x14ac:dyDescent="0.3">
      <c r="A1358" s="27"/>
      <c r="B1358" s="28"/>
      <c r="C1358" s="27"/>
      <c r="D1358" s="26"/>
      <c r="E1358" s="28"/>
      <c r="H1358" s="28"/>
      <c r="K1358" s="28"/>
      <c r="N1358" s="28"/>
      <c r="Q1358" s="28"/>
      <c r="T1358" s="28"/>
      <c r="W1358" s="28"/>
      <c r="Z1358" s="28"/>
      <c r="AC1358" s="28"/>
      <c r="AF1358" s="28"/>
      <c r="AI1358" s="28"/>
      <c r="AL1358" s="28"/>
      <c r="AO1358" s="28"/>
      <c r="AR1358" s="28"/>
      <c r="AU1358" s="28"/>
      <c r="AX1358" s="28"/>
      <c r="BA1358" s="28"/>
      <c r="BD1358" s="28"/>
      <c r="BG1358" s="28"/>
      <c r="BJ1358" s="28"/>
      <c r="BM1358" s="28"/>
      <c r="BP1358" s="28"/>
      <c r="BS1358" s="28"/>
      <c r="BV1358" s="28"/>
      <c r="BY1358" s="28"/>
      <c r="CB1358" s="28"/>
      <c r="CE1358" s="28"/>
      <c r="CH1358" s="28"/>
      <c r="CK1358" s="28"/>
      <c r="CN1358" s="28"/>
      <c r="CQ1358" s="28"/>
      <c r="CT1358" s="28"/>
      <c r="CW1358" s="28"/>
      <c r="CZ1358" s="28"/>
      <c r="DC1358" s="28"/>
      <c r="DF1358" s="28"/>
      <c r="DI1358" s="28"/>
      <c r="DL1358" s="28"/>
      <c r="DO1358" s="28"/>
      <c r="DR1358" s="28"/>
      <c r="DU1358" s="28"/>
      <c r="DX1358" s="28"/>
      <c r="EA1358" s="28"/>
      <c r="ED1358" s="28"/>
      <c r="EG1358" s="28"/>
      <c r="EJ1358" s="28"/>
      <c r="EM1358" s="28"/>
      <c r="EP1358" s="28"/>
      <c r="ES1358" s="28"/>
      <c r="EV1358" s="28"/>
      <c r="EY1358" s="28"/>
      <c r="FB1358" s="28"/>
      <c r="FE1358" s="28"/>
      <c r="FH1358" s="28"/>
      <c r="FK1358" s="28"/>
      <c r="FN1358" s="28"/>
      <c r="FQ1358" s="28"/>
      <c r="FT1358" s="28"/>
      <c r="FW1358" s="28"/>
      <c r="FZ1358" s="28"/>
      <c r="GC1358" s="28"/>
    </row>
    <row r="1359" spans="1:185" s="25" customFormat="1" x14ac:dyDescent="0.3">
      <c r="A1359" s="27"/>
      <c r="B1359" s="28"/>
      <c r="C1359" s="27"/>
      <c r="D1359" s="26"/>
      <c r="E1359" s="28"/>
      <c r="H1359" s="28"/>
      <c r="K1359" s="28"/>
      <c r="N1359" s="28"/>
      <c r="Q1359" s="28"/>
      <c r="T1359" s="28"/>
      <c r="W1359" s="28"/>
      <c r="Z1359" s="28"/>
      <c r="AC1359" s="28"/>
      <c r="AF1359" s="28"/>
      <c r="AI1359" s="28"/>
      <c r="AL1359" s="28"/>
      <c r="AO1359" s="28"/>
      <c r="AR1359" s="28"/>
      <c r="AU1359" s="28"/>
      <c r="AX1359" s="28"/>
      <c r="BA1359" s="28"/>
      <c r="BD1359" s="28"/>
      <c r="BG1359" s="28"/>
      <c r="BJ1359" s="28"/>
      <c r="BM1359" s="28"/>
      <c r="BP1359" s="28"/>
      <c r="BS1359" s="28"/>
      <c r="BV1359" s="28"/>
      <c r="BY1359" s="28"/>
      <c r="CB1359" s="28"/>
      <c r="CE1359" s="28"/>
      <c r="CH1359" s="28"/>
      <c r="CK1359" s="28"/>
      <c r="CN1359" s="28"/>
      <c r="CQ1359" s="28"/>
      <c r="CT1359" s="28"/>
      <c r="CW1359" s="28"/>
      <c r="CZ1359" s="28"/>
      <c r="DC1359" s="28"/>
      <c r="DF1359" s="28"/>
      <c r="DI1359" s="28"/>
      <c r="DL1359" s="28"/>
      <c r="DO1359" s="28"/>
      <c r="DR1359" s="28"/>
      <c r="DU1359" s="28"/>
      <c r="DX1359" s="28"/>
      <c r="EA1359" s="28"/>
      <c r="ED1359" s="28"/>
      <c r="EG1359" s="28"/>
      <c r="EJ1359" s="28"/>
      <c r="EM1359" s="28"/>
      <c r="EP1359" s="28"/>
      <c r="ES1359" s="28"/>
      <c r="EV1359" s="28"/>
      <c r="EY1359" s="28"/>
      <c r="FB1359" s="28"/>
      <c r="FE1359" s="28"/>
      <c r="FH1359" s="28"/>
      <c r="FK1359" s="28"/>
      <c r="FN1359" s="28"/>
      <c r="FQ1359" s="28"/>
      <c r="FT1359" s="28"/>
      <c r="FW1359" s="28"/>
      <c r="FZ1359" s="28"/>
      <c r="GC1359" s="28"/>
    </row>
    <row r="1360" spans="1:185" s="25" customFormat="1" x14ac:dyDescent="0.3">
      <c r="A1360" s="27"/>
      <c r="B1360" s="28"/>
      <c r="C1360" s="27"/>
      <c r="D1360" s="26"/>
      <c r="E1360" s="28"/>
      <c r="H1360" s="28"/>
      <c r="K1360" s="28"/>
      <c r="N1360" s="28"/>
      <c r="Q1360" s="28"/>
      <c r="T1360" s="28"/>
      <c r="W1360" s="28"/>
      <c r="Z1360" s="28"/>
      <c r="AC1360" s="28"/>
      <c r="AF1360" s="28"/>
      <c r="AI1360" s="28"/>
      <c r="AL1360" s="28"/>
      <c r="AO1360" s="28"/>
      <c r="AR1360" s="28"/>
      <c r="AU1360" s="28"/>
      <c r="AX1360" s="28"/>
      <c r="BA1360" s="28"/>
      <c r="BD1360" s="28"/>
      <c r="BG1360" s="28"/>
      <c r="BJ1360" s="28"/>
      <c r="BM1360" s="28"/>
      <c r="BP1360" s="28"/>
      <c r="BS1360" s="28"/>
      <c r="BV1360" s="28"/>
      <c r="BY1360" s="28"/>
      <c r="CB1360" s="28"/>
      <c r="CE1360" s="28"/>
      <c r="CH1360" s="28"/>
      <c r="CK1360" s="28"/>
      <c r="CN1360" s="28"/>
      <c r="CQ1360" s="28"/>
      <c r="CT1360" s="28"/>
      <c r="CW1360" s="28"/>
      <c r="CZ1360" s="28"/>
      <c r="DC1360" s="28"/>
      <c r="DF1360" s="28"/>
      <c r="DI1360" s="28"/>
      <c r="DL1360" s="28"/>
      <c r="DO1360" s="28"/>
      <c r="DR1360" s="28"/>
      <c r="DU1360" s="28"/>
      <c r="DX1360" s="28"/>
      <c r="EA1360" s="28"/>
      <c r="ED1360" s="28"/>
      <c r="EG1360" s="28"/>
      <c r="EJ1360" s="28"/>
      <c r="EM1360" s="28"/>
      <c r="EP1360" s="28"/>
      <c r="ES1360" s="28"/>
      <c r="EV1360" s="28"/>
      <c r="EY1360" s="28"/>
      <c r="FB1360" s="28"/>
      <c r="FE1360" s="28"/>
      <c r="FH1360" s="28"/>
      <c r="FK1360" s="28"/>
      <c r="FN1360" s="28"/>
      <c r="FQ1360" s="28"/>
      <c r="FT1360" s="28"/>
      <c r="FW1360" s="28"/>
      <c r="FZ1360" s="28"/>
      <c r="GC1360" s="28"/>
    </row>
    <row r="1361" spans="1:185" s="25" customFormat="1" x14ac:dyDescent="0.3">
      <c r="A1361" s="27"/>
      <c r="B1361" s="28"/>
      <c r="C1361" s="27"/>
      <c r="D1361" s="26"/>
      <c r="E1361" s="28"/>
      <c r="H1361" s="28"/>
      <c r="K1361" s="28"/>
      <c r="N1361" s="28"/>
      <c r="Q1361" s="28"/>
      <c r="T1361" s="28"/>
      <c r="W1361" s="28"/>
      <c r="Z1361" s="28"/>
      <c r="AC1361" s="28"/>
      <c r="AF1361" s="28"/>
      <c r="AI1361" s="28"/>
      <c r="AL1361" s="28"/>
      <c r="AO1361" s="28"/>
      <c r="AR1361" s="28"/>
      <c r="AU1361" s="28"/>
      <c r="AX1361" s="28"/>
      <c r="BA1361" s="28"/>
      <c r="BD1361" s="28"/>
      <c r="BG1361" s="28"/>
      <c r="BJ1361" s="28"/>
      <c r="BM1361" s="28"/>
      <c r="BP1361" s="28"/>
      <c r="BS1361" s="28"/>
      <c r="BV1361" s="28"/>
      <c r="BY1361" s="28"/>
      <c r="CB1361" s="28"/>
      <c r="CE1361" s="28"/>
      <c r="CH1361" s="28"/>
      <c r="CK1361" s="28"/>
      <c r="CN1361" s="28"/>
      <c r="CQ1361" s="28"/>
      <c r="CT1361" s="28"/>
      <c r="CW1361" s="28"/>
      <c r="CZ1361" s="28"/>
      <c r="DC1361" s="28"/>
      <c r="DF1361" s="28"/>
      <c r="DI1361" s="28"/>
      <c r="DL1361" s="28"/>
      <c r="DO1361" s="28"/>
      <c r="DR1361" s="28"/>
      <c r="DU1361" s="28"/>
      <c r="DX1361" s="28"/>
      <c r="EA1361" s="28"/>
      <c r="ED1361" s="28"/>
      <c r="EG1361" s="28"/>
      <c r="EJ1361" s="28"/>
      <c r="EM1361" s="28"/>
      <c r="EP1361" s="28"/>
      <c r="ES1361" s="28"/>
      <c r="EV1361" s="28"/>
      <c r="EY1361" s="28"/>
      <c r="FB1361" s="28"/>
      <c r="FE1361" s="28"/>
      <c r="FH1361" s="28"/>
      <c r="FK1361" s="28"/>
      <c r="FN1361" s="28"/>
      <c r="FQ1361" s="28"/>
      <c r="FT1361" s="28"/>
      <c r="FW1361" s="28"/>
      <c r="FZ1361" s="28"/>
      <c r="GC1361" s="28"/>
    </row>
    <row r="1362" spans="1:185" s="25" customFormat="1" x14ac:dyDescent="0.3">
      <c r="A1362" s="27"/>
      <c r="B1362" s="28"/>
      <c r="C1362" s="27"/>
      <c r="D1362" s="26"/>
      <c r="E1362" s="28"/>
      <c r="H1362" s="28"/>
      <c r="K1362" s="28"/>
      <c r="N1362" s="28"/>
      <c r="Q1362" s="28"/>
      <c r="T1362" s="28"/>
      <c r="W1362" s="28"/>
      <c r="Z1362" s="28"/>
      <c r="AC1362" s="28"/>
      <c r="AF1362" s="28"/>
      <c r="AI1362" s="28"/>
      <c r="AL1362" s="28"/>
      <c r="AO1362" s="28"/>
      <c r="AR1362" s="28"/>
      <c r="AU1362" s="28"/>
      <c r="AX1362" s="28"/>
      <c r="BA1362" s="28"/>
      <c r="BD1362" s="28"/>
      <c r="BG1362" s="28"/>
      <c r="BJ1362" s="28"/>
      <c r="BM1362" s="28"/>
      <c r="BP1362" s="28"/>
      <c r="BS1362" s="28"/>
      <c r="BV1362" s="28"/>
      <c r="BY1362" s="28"/>
      <c r="CB1362" s="28"/>
      <c r="CE1362" s="28"/>
      <c r="CH1362" s="28"/>
      <c r="CK1362" s="28"/>
      <c r="CN1362" s="28"/>
      <c r="CQ1362" s="28"/>
      <c r="CT1362" s="28"/>
      <c r="CW1362" s="28"/>
      <c r="CZ1362" s="28"/>
      <c r="DC1362" s="28"/>
      <c r="DF1362" s="28"/>
      <c r="DI1362" s="28"/>
      <c r="DL1362" s="28"/>
      <c r="DO1362" s="28"/>
      <c r="DR1362" s="28"/>
      <c r="DU1362" s="28"/>
      <c r="DX1362" s="28"/>
      <c r="EA1362" s="28"/>
      <c r="ED1362" s="28"/>
      <c r="EG1362" s="28"/>
      <c r="EJ1362" s="28"/>
      <c r="EM1362" s="28"/>
      <c r="EP1362" s="28"/>
      <c r="ES1362" s="28"/>
      <c r="EV1362" s="28"/>
      <c r="EY1362" s="28"/>
      <c r="FB1362" s="28"/>
      <c r="FE1362" s="28"/>
      <c r="FH1362" s="28"/>
      <c r="FK1362" s="28"/>
      <c r="FN1362" s="28"/>
      <c r="FQ1362" s="28"/>
      <c r="FT1362" s="28"/>
      <c r="FW1362" s="28"/>
      <c r="FZ1362" s="28"/>
      <c r="GC1362" s="28"/>
    </row>
    <row r="1363" spans="1:185" s="25" customFormat="1" x14ac:dyDescent="0.3">
      <c r="A1363" s="27"/>
      <c r="B1363" s="28"/>
      <c r="C1363" s="27"/>
      <c r="D1363" s="26"/>
      <c r="E1363" s="28"/>
      <c r="H1363" s="28"/>
      <c r="K1363" s="28"/>
      <c r="N1363" s="28"/>
      <c r="Q1363" s="28"/>
      <c r="T1363" s="28"/>
      <c r="W1363" s="28"/>
      <c r="Z1363" s="28"/>
      <c r="AC1363" s="28"/>
      <c r="AF1363" s="28"/>
      <c r="AI1363" s="28"/>
      <c r="AL1363" s="28"/>
      <c r="AO1363" s="28"/>
      <c r="AR1363" s="28"/>
      <c r="AU1363" s="28"/>
      <c r="AX1363" s="28"/>
      <c r="BA1363" s="28"/>
      <c r="BD1363" s="28"/>
      <c r="BG1363" s="28"/>
      <c r="BJ1363" s="28"/>
      <c r="BM1363" s="28"/>
      <c r="BP1363" s="28"/>
      <c r="BS1363" s="28"/>
      <c r="BV1363" s="28"/>
      <c r="BY1363" s="28"/>
      <c r="CB1363" s="28"/>
      <c r="CE1363" s="28"/>
      <c r="CH1363" s="28"/>
      <c r="CK1363" s="28"/>
      <c r="CN1363" s="28"/>
      <c r="CQ1363" s="28"/>
      <c r="CT1363" s="28"/>
      <c r="CW1363" s="28"/>
      <c r="CZ1363" s="28"/>
      <c r="DC1363" s="28"/>
      <c r="DF1363" s="28"/>
      <c r="DI1363" s="28"/>
      <c r="DL1363" s="28"/>
      <c r="DO1363" s="28"/>
      <c r="DR1363" s="28"/>
      <c r="DU1363" s="28"/>
      <c r="DX1363" s="28"/>
      <c r="EA1363" s="28"/>
      <c r="ED1363" s="28"/>
      <c r="EG1363" s="28"/>
      <c r="EJ1363" s="28"/>
      <c r="EM1363" s="28"/>
      <c r="EP1363" s="28"/>
      <c r="ES1363" s="28"/>
      <c r="EV1363" s="28"/>
      <c r="EY1363" s="28"/>
      <c r="FB1363" s="28"/>
      <c r="FE1363" s="28"/>
      <c r="FH1363" s="28"/>
      <c r="FK1363" s="28"/>
      <c r="FN1363" s="28"/>
      <c r="FQ1363" s="28"/>
      <c r="FT1363" s="28"/>
      <c r="FW1363" s="28"/>
      <c r="FZ1363" s="28"/>
      <c r="GC1363" s="28"/>
    </row>
    <row r="1364" spans="1:185" s="25" customFormat="1" x14ac:dyDescent="0.3">
      <c r="A1364" s="27"/>
      <c r="B1364" s="28"/>
      <c r="C1364" s="27"/>
      <c r="D1364" s="26"/>
      <c r="E1364" s="28"/>
      <c r="H1364" s="28"/>
      <c r="K1364" s="28"/>
      <c r="N1364" s="28"/>
      <c r="Q1364" s="28"/>
      <c r="T1364" s="28"/>
      <c r="W1364" s="28"/>
      <c r="Z1364" s="28"/>
      <c r="AC1364" s="28"/>
      <c r="AF1364" s="28"/>
      <c r="AI1364" s="28"/>
      <c r="AL1364" s="28"/>
      <c r="AO1364" s="28"/>
      <c r="AR1364" s="28"/>
      <c r="AU1364" s="28"/>
      <c r="AX1364" s="28"/>
      <c r="BA1364" s="28"/>
      <c r="BD1364" s="28"/>
      <c r="BG1364" s="28"/>
      <c r="BJ1364" s="28"/>
      <c r="BM1364" s="28"/>
      <c r="BP1364" s="28"/>
      <c r="BS1364" s="28"/>
      <c r="BV1364" s="28"/>
      <c r="BY1364" s="28"/>
      <c r="CB1364" s="28"/>
      <c r="CE1364" s="28"/>
      <c r="CH1364" s="28"/>
      <c r="CK1364" s="28"/>
      <c r="CN1364" s="28"/>
      <c r="CQ1364" s="28"/>
      <c r="CT1364" s="28"/>
      <c r="CW1364" s="28"/>
      <c r="CZ1364" s="28"/>
      <c r="DC1364" s="28"/>
      <c r="DF1364" s="28"/>
      <c r="DI1364" s="28"/>
      <c r="DL1364" s="28"/>
      <c r="DO1364" s="28"/>
      <c r="DR1364" s="28"/>
      <c r="DU1364" s="28"/>
      <c r="DX1364" s="28"/>
      <c r="EA1364" s="28"/>
      <c r="ED1364" s="28"/>
      <c r="EG1364" s="28"/>
      <c r="EJ1364" s="28"/>
      <c r="EM1364" s="28"/>
      <c r="EP1364" s="28"/>
      <c r="ES1364" s="28"/>
      <c r="EV1364" s="28"/>
      <c r="EY1364" s="28"/>
      <c r="FB1364" s="28"/>
      <c r="FE1364" s="28"/>
      <c r="FH1364" s="28"/>
      <c r="FK1364" s="28"/>
      <c r="FN1364" s="28"/>
      <c r="FQ1364" s="28"/>
      <c r="FT1364" s="28"/>
      <c r="FW1364" s="28"/>
      <c r="FZ1364" s="28"/>
      <c r="GC1364" s="28"/>
    </row>
    <row r="1365" spans="1:185" s="25" customFormat="1" x14ac:dyDescent="0.3">
      <c r="A1365" s="27"/>
      <c r="B1365" s="28"/>
      <c r="C1365" s="27"/>
      <c r="D1365" s="26"/>
      <c r="E1365" s="28"/>
      <c r="H1365" s="28"/>
      <c r="K1365" s="28"/>
      <c r="N1365" s="28"/>
      <c r="Q1365" s="28"/>
      <c r="T1365" s="28"/>
      <c r="W1365" s="28"/>
      <c r="Z1365" s="28"/>
      <c r="AC1365" s="28"/>
      <c r="AF1365" s="28"/>
      <c r="AI1365" s="28"/>
      <c r="AL1365" s="28"/>
      <c r="AO1365" s="28"/>
      <c r="AR1365" s="28"/>
      <c r="AU1365" s="28"/>
      <c r="AX1365" s="28"/>
      <c r="BA1365" s="28"/>
      <c r="BD1365" s="28"/>
      <c r="BG1365" s="28"/>
      <c r="BJ1365" s="28"/>
      <c r="BM1365" s="28"/>
      <c r="BP1365" s="28"/>
      <c r="BS1365" s="28"/>
      <c r="BV1365" s="28"/>
      <c r="BY1365" s="28"/>
      <c r="CB1365" s="28"/>
      <c r="CE1365" s="28"/>
      <c r="CH1365" s="28"/>
      <c r="CK1365" s="28"/>
      <c r="CN1365" s="28"/>
      <c r="CQ1365" s="28"/>
      <c r="CT1365" s="28"/>
      <c r="CW1365" s="28"/>
      <c r="CZ1365" s="28"/>
      <c r="DC1365" s="28"/>
      <c r="DF1365" s="28"/>
      <c r="DI1365" s="28"/>
      <c r="DL1365" s="28"/>
      <c r="DO1365" s="28"/>
      <c r="DR1365" s="28"/>
      <c r="DU1365" s="28"/>
      <c r="DX1365" s="28"/>
      <c r="EA1365" s="28"/>
      <c r="ED1365" s="28"/>
      <c r="EG1365" s="28"/>
      <c r="EJ1365" s="28"/>
      <c r="EM1365" s="28"/>
      <c r="EP1365" s="28"/>
      <c r="ES1365" s="28"/>
      <c r="EV1365" s="28"/>
      <c r="EY1365" s="28"/>
      <c r="FB1365" s="28"/>
      <c r="FE1365" s="28"/>
      <c r="FH1365" s="28"/>
      <c r="FK1365" s="28"/>
      <c r="FN1365" s="28"/>
      <c r="FQ1365" s="28"/>
      <c r="FT1365" s="28"/>
      <c r="FW1365" s="28"/>
      <c r="FZ1365" s="28"/>
      <c r="GC1365" s="28"/>
    </row>
    <row r="1366" spans="1:185" s="25" customFormat="1" x14ac:dyDescent="0.3">
      <c r="A1366" s="27"/>
      <c r="B1366" s="28"/>
      <c r="C1366" s="27"/>
      <c r="D1366" s="26"/>
      <c r="E1366" s="28"/>
      <c r="H1366" s="28"/>
      <c r="K1366" s="28"/>
      <c r="N1366" s="28"/>
      <c r="Q1366" s="28"/>
      <c r="T1366" s="28"/>
      <c r="W1366" s="28"/>
      <c r="Z1366" s="28"/>
      <c r="AC1366" s="28"/>
      <c r="AF1366" s="28"/>
      <c r="AI1366" s="28"/>
      <c r="AL1366" s="28"/>
      <c r="AO1366" s="28"/>
      <c r="AR1366" s="28"/>
      <c r="AU1366" s="28"/>
      <c r="AX1366" s="28"/>
      <c r="BA1366" s="28"/>
      <c r="BD1366" s="28"/>
      <c r="BG1366" s="28"/>
      <c r="BJ1366" s="28"/>
      <c r="BM1366" s="28"/>
      <c r="BP1366" s="28"/>
      <c r="BS1366" s="28"/>
      <c r="BV1366" s="28"/>
      <c r="BY1366" s="28"/>
      <c r="CB1366" s="28"/>
      <c r="CE1366" s="28"/>
      <c r="CH1366" s="28"/>
      <c r="CK1366" s="28"/>
      <c r="CN1366" s="28"/>
      <c r="CQ1366" s="28"/>
      <c r="CT1366" s="28"/>
      <c r="CW1366" s="28"/>
      <c r="CZ1366" s="28"/>
      <c r="DC1366" s="28"/>
      <c r="DF1366" s="28"/>
      <c r="DI1366" s="28"/>
      <c r="DL1366" s="28"/>
      <c r="DO1366" s="28"/>
      <c r="DR1366" s="28"/>
      <c r="DU1366" s="28"/>
      <c r="DX1366" s="28"/>
      <c r="EA1366" s="28"/>
      <c r="ED1366" s="28"/>
      <c r="EG1366" s="28"/>
      <c r="EJ1366" s="28"/>
      <c r="EM1366" s="28"/>
      <c r="EP1366" s="28"/>
      <c r="ES1366" s="28"/>
      <c r="EV1366" s="28"/>
      <c r="EY1366" s="28"/>
      <c r="FB1366" s="28"/>
      <c r="FE1366" s="28"/>
      <c r="FH1366" s="28"/>
      <c r="FK1366" s="28"/>
      <c r="FN1366" s="28"/>
      <c r="FQ1366" s="28"/>
      <c r="FT1366" s="28"/>
      <c r="FW1366" s="28"/>
      <c r="FZ1366" s="28"/>
      <c r="GC1366" s="28"/>
    </row>
    <row r="1367" spans="1:185" s="25" customFormat="1" x14ac:dyDescent="0.3">
      <c r="A1367" s="27"/>
      <c r="B1367" s="28"/>
      <c r="C1367" s="27"/>
      <c r="D1367" s="26"/>
      <c r="E1367" s="28"/>
      <c r="H1367" s="28"/>
      <c r="K1367" s="28"/>
      <c r="N1367" s="28"/>
      <c r="Q1367" s="28"/>
      <c r="T1367" s="28"/>
      <c r="W1367" s="28"/>
      <c r="Z1367" s="28"/>
      <c r="AC1367" s="28"/>
      <c r="AF1367" s="28"/>
      <c r="AI1367" s="28"/>
      <c r="AL1367" s="28"/>
      <c r="AO1367" s="28"/>
      <c r="AR1367" s="28"/>
      <c r="AU1367" s="28"/>
      <c r="AX1367" s="28"/>
      <c r="BA1367" s="28"/>
      <c r="BD1367" s="28"/>
      <c r="BG1367" s="28"/>
      <c r="BJ1367" s="28"/>
      <c r="BM1367" s="28"/>
      <c r="BP1367" s="28"/>
      <c r="BS1367" s="28"/>
      <c r="BV1367" s="28"/>
      <c r="BY1367" s="28"/>
      <c r="CB1367" s="28"/>
      <c r="CE1367" s="28"/>
      <c r="CH1367" s="28"/>
      <c r="CK1367" s="28"/>
      <c r="CN1367" s="28"/>
      <c r="CQ1367" s="28"/>
      <c r="CT1367" s="28"/>
      <c r="CW1367" s="28"/>
      <c r="CZ1367" s="28"/>
      <c r="DC1367" s="28"/>
      <c r="DF1367" s="28"/>
      <c r="DI1367" s="28"/>
      <c r="DL1367" s="28"/>
      <c r="DO1367" s="28"/>
      <c r="DR1367" s="28"/>
      <c r="DU1367" s="28"/>
      <c r="DX1367" s="28"/>
      <c r="EA1367" s="28"/>
      <c r="ED1367" s="28"/>
      <c r="EG1367" s="28"/>
      <c r="EJ1367" s="28"/>
      <c r="EM1367" s="28"/>
      <c r="EP1367" s="28"/>
      <c r="ES1367" s="28"/>
      <c r="EV1367" s="28"/>
      <c r="EY1367" s="28"/>
      <c r="FB1367" s="28"/>
      <c r="FE1367" s="28"/>
      <c r="FH1367" s="28"/>
      <c r="FK1367" s="28"/>
      <c r="FN1367" s="28"/>
      <c r="FQ1367" s="28"/>
      <c r="FT1367" s="28"/>
      <c r="FW1367" s="28"/>
      <c r="FZ1367" s="28"/>
      <c r="GC1367" s="28"/>
    </row>
    <row r="1368" spans="1:185" s="25" customFormat="1" x14ac:dyDescent="0.3">
      <c r="A1368" s="27"/>
      <c r="B1368" s="28"/>
      <c r="C1368" s="27"/>
      <c r="D1368" s="26"/>
      <c r="E1368" s="28"/>
      <c r="H1368" s="28"/>
      <c r="K1368" s="28"/>
      <c r="N1368" s="28"/>
      <c r="Q1368" s="28"/>
      <c r="T1368" s="28"/>
      <c r="W1368" s="28"/>
      <c r="Z1368" s="28"/>
      <c r="AC1368" s="28"/>
      <c r="AF1368" s="28"/>
      <c r="AI1368" s="28"/>
      <c r="AL1368" s="28"/>
      <c r="AO1368" s="28"/>
      <c r="AR1368" s="28"/>
      <c r="AU1368" s="28"/>
      <c r="AX1368" s="28"/>
      <c r="BA1368" s="28"/>
      <c r="BD1368" s="28"/>
      <c r="BG1368" s="28"/>
      <c r="BJ1368" s="28"/>
      <c r="BM1368" s="28"/>
      <c r="BP1368" s="28"/>
      <c r="BS1368" s="28"/>
      <c r="BV1368" s="28"/>
      <c r="BY1368" s="28"/>
      <c r="CB1368" s="28"/>
      <c r="CE1368" s="28"/>
      <c r="CH1368" s="28"/>
      <c r="CK1368" s="28"/>
      <c r="CN1368" s="28"/>
      <c r="CQ1368" s="28"/>
      <c r="CT1368" s="28"/>
      <c r="CW1368" s="28"/>
      <c r="CZ1368" s="28"/>
      <c r="DC1368" s="28"/>
      <c r="DF1368" s="28"/>
      <c r="DI1368" s="28"/>
      <c r="DL1368" s="28"/>
      <c r="DO1368" s="28"/>
      <c r="DR1368" s="28"/>
      <c r="DU1368" s="28"/>
      <c r="DX1368" s="28"/>
      <c r="EA1368" s="28"/>
      <c r="ED1368" s="28"/>
      <c r="EG1368" s="28"/>
      <c r="EJ1368" s="28"/>
      <c r="EM1368" s="28"/>
      <c r="EP1368" s="28"/>
      <c r="ES1368" s="28"/>
      <c r="EV1368" s="28"/>
      <c r="EY1368" s="28"/>
      <c r="FB1368" s="28"/>
      <c r="FE1368" s="28"/>
      <c r="FH1368" s="28"/>
      <c r="FK1368" s="28"/>
      <c r="FN1368" s="28"/>
      <c r="FQ1368" s="28"/>
      <c r="FT1368" s="28"/>
      <c r="FW1368" s="28"/>
      <c r="FZ1368" s="28"/>
      <c r="GC1368" s="28"/>
    </row>
    <row r="1369" spans="1:185" s="25" customFormat="1" x14ac:dyDescent="0.3">
      <c r="A1369" s="27"/>
      <c r="B1369" s="28"/>
      <c r="C1369" s="27"/>
      <c r="D1369" s="26"/>
      <c r="E1369" s="28"/>
      <c r="H1369" s="28"/>
      <c r="K1369" s="28"/>
      <c r="N1369" s="28"/>
      <c r="Q1369" s="28"/>
      <c r="T1369" s="28"/>
      <c r="W1369" s="28"/>
      <c r="Z1369" s="28"/>
      <c r="AC1369" s="28"/>
      <c r="AF1369" s="28"/>
      <c r="AI1369" s="28"/>
      <c r="AL1369" s="28"/>
      <c r="AO1369" s="28"/>
      <c r="AR1369" s="28"/>
      <c r="AU1369" s="28"/>
      <c r="AX1369" s="28"/>
      <c r="BA1369" s="28"/>
      <c r="BD1369" s="28"/>
      <c r="BG1369" s="28"/>
      <c r="BJ1369" s="28"/>
      <c r="BM1369" s="28"/>
      <c r="BP1369" s="28"/>
      <c r="BS1369" s="28"/>
      <c r="BV1369" s="28"/>
      <c r="BY1369" s="28"/>
      <c r="CB1369" s="28"/>
      <c r="CE1369" s="28"/>
      <c r="CH1369" s="28"/>
      <c r="CK1369" s="28"/>
      <c r="CN1369" s="28"/>
      <c r="CQ1369" s="28"/>
      <c r="CT1369" s="28"/>
      <c r="CW1369" s="28"/>
      <c r="CZ1369" s="28"/>
      <c r="DC1369" s="28"/>
      <c r="DF1369" s="28"/>
      <c r="DI1369" s="28"/>
      <c r="DL1369" s="28"/>
      <c r="DO1369" s="28"/>
      <c r="DR1369" s="28"/>
      <c r="DU1369" s="28"/>
      <c r="DX1369" s="28"/>
      <c r="EA1369" s="28"/>
      <c r="ED1369" s="28"/>
      <c r="EG1369" s="28"/>
      <c r="EJ1369" s="28"/>
      <c r="EM1369" s="28"/>
      <c r="EP1369" s="28"/>
      <c r="ES1369" s="28"/>
      <c r="EV1369" s="28"/>
      <c r="EY1369" s="28"/>
      <c r="FB1369" s="28"/>
      <c r="FE1369" s="28"/>
      <c r="FH1369" s="28"/>
      <c r="FK1369" s="28"/>
      <c r="FN1369" s="28"/>
      <c r="FQ1369" s="28"/>
      <c r="FT1369" s="28"/>
      <c r="FW1369" s="28"/>
      <c r="FZ1369" s="28"/>
      <c r="GC1369" s="28"/>
    </row>
    <row r="1370" spans="1:185" s="25" customFormat="1" x14ac:dyDescent="0.3">
      <c r="A1370" s="27"/>
      <c r="B1370" s="28"/>
      <c r="C1370" s="27"/>
      <c r="D1370" s="26"/>
      <c r="E1370" s="28"/>
      <c r="H1370" s="28"/>
      <c r="K1370" s="28"/>
      <c r="N1370" s="28"/>
      <c r="Q1370" s="28"/>
      <c r="T1370" s="28"/>
      <c r="W1370" s="28"/>
      <c r="Z1370" s="28"/>
      <c r="AC1370" s="28"/>
      <c r="AF1370" s="28"/>
      <c r="AI1370" s="28"/>
      <c r="AL1370" s="28"/>
      <c r="AO1370" s="28"/>
      <c r="AR1370" s="28"/>
      <c r="AU1370" s="28"/>
      <c r="AX1370" s="28"/>
      <c r="BA1370" s="28"/>
      <c r="BD1370" s="28"/>
      <c r="BG1370" s="28"/>
      <c r="BJ1370" s="28"/>
      <c r="BM1370" s="28"/>
      <c r="BP1370" s="28"/>
      <c r="BS1370" s="28"/>
      <c r="BV1370" s="28"/>
      <c r="BY1370" s="28"/>
      <c r="CB1370" s="28"/>
      <c r="CE1370" s="28"/>
      <c r="CH1370" s="28"/>
      <c r="CK1370" s="28"/>
      <c r="CN1370" s="28"/>
      <c r="CQ1370" s="28"/>
      <c r="CT1370" s="28"/>
      <c r="CW1370" s="28"/>
      <c r="CZ1370" s="28"/>
      <c r="DC1370" s="28"/>
      <c r="DF1370" s="28"/>
      <c r="DI1370" s="28"/>
      <c r="DL1370" s="28"/>
      <c r="DO1370" s="28"/>
      <c r="DR1370" s="28"/>
      <c r="DU1370" s="28"/>
      <c r="DX1370" s="28"/>
      <c r="EA1370" s="28"/>
      <c r="ED1370" s="28"/>
      <c r="EG1370" s="28"/>
      <c r="EJ1370" s="28"/>
      <c r="EM1370" s="28"/>
      <c r="EP1370" s="28"/>
      <c r="ES1370" s="28"/>
      <c r="EV1370" s="28"/>
      <c r="EY1370" s="28"/>
      <c r="FB1370" s="28"/>
      <c r="FE1370" s="28"/>
      <c r="FH1370" s="28"/>
      <c r="FK1370" s="28"/>
      <c r="FN1370" s="28"/>
      <c r="FQ1370" s="28"/>
      <c r="FT1370" s="28"/>
      <c r="FW1370" s="28"/>
      <c r="FZ1370" s="28"/>
      <c r="GC1370" s="28"/>
    </row>
    <row r="1371" spans="1:185" s="25" customFormat="1" x14ac:dyDescent="0.3">
      <c r="A1371" s="27"/>
      <c r="B1371" s="28"/>
      <c r="C1371" s="27"/>
      <c r="D1371" s="26"/>
      <c r="E1371" s="28"/>
      <c r="H1371" s="28"/>
      <c r="K1371" s="28"/>
      <c r="N1371" s="28"/>
      <c r="Q1371" s="28"/>
      <c r="T1371" s="28"/>
      <c r="W1371" s="28"/>
      <c r="Z1371" s="28"/>
      <c r="AC1371" s="28"/>
      <c r="AF1371" s="28"/>
      <c r="AI1371" s="28"/>
      <c r="AL1371" s="28"/>
      <c r="AO1371" s="28"/>
      <c r="AR1371" s="28"/>
      <c r="AU1371" s="28"/>
      <c r="AX1371" s="28"/>
      <c r="BA1371" s="28"/>
      <c r="BD1371" s="28"/>
      <c r="BG1371" s="28"/>
      <c r="BJ1371" s="28"/>
      <c r="BM1371" s="28"/>
      <c r="BP1371" s="28"/>
      <c r="BS1371" s="28"/>
      <c r="BV1371" s="28"/>
      <c r="BY1371" s="28"/>
      <c r="CB1371" s="28"/>
      <c r="CE1371" s="28"/>
      <c r="CH1371" s="28"/>
      <c r="CK1371" s="28"/>
      <c r="CN1371" s="28"/>
      <c r="CQ1371" s="28"/>
      <c r="CT1371" s="28"/>
      <c r="CW1371" s="28"/>
      <c r="CZ1371" s="28"/>
      <c r="DC1371" s="28"/>
      <c r="DF1371" s="28"/>
      <c r="DI1371" s="28"/>
      <c r="DL1371" s="28"/>
      <c r="DO1371" s="28"/>
      <c r="DR1371" s="28"/>
      <c r="DU1371" s="28"/>
      <c r="DX1371" s="28"/>
      <c r="EA1371" s="28"/>
      <c r="ED1371" s="28"/>
      <c r="EG1371" s="28"/>
      <c r="EJ1371" s="28"/>
      <c r="EM1371" s="28"/>
      <c r="EP1371" s="28"/>
      <c r="ES1371" s="28"/>
      <c r="EV1371" s="28"/>
      <c r="EY1371" s="28"/>
      <c r="FB1371" s="28"/>
      <c r="FE1371" s="28"/>
      <c r="FH1371" s="28"/>
      <c r="FK1371" s="28"/>
      <c r="FN1371" s="28"/>
      <c r="FQ1371" s="28"/>
      <c r="FT1371" s="28"/>
      <c r="FW1371" s="28"/>
      <c r="FZ1371" s="28"/>
      <c r="GC1371" s="28"/>
    </row>
    <row r="1372" spans="1:185" s="25" customFormat="1" x14ac:dyDescent="0.3">
      <c r="A1372" s="27"/>
      <c r="B1372" s="28"/>
      <c r="C1372" s="27"/>
      <c r="D1372" s="26"/>
      <c r="E1372" s="28"/>
      <c r="H1372" s="28"/>
      <c r="K1372" s="28"/>
      <c r="N1372" s="28"/>
      <c r="Q1372" s="28"/>
      <c r="T1372" s="28"/>
      <c r="W1372" s="28"/>
      <c r="Z1372" s="28"/>
      <c r="AC1372" s="28"/>
      <c r="AF1372" s="28"/>
      <c r="AI1372" s="28"/>
      <c r="AL1372" s="28"/>
      <c r="AO1372" s="28"/>
      <c r="AR1372" s="28"/>
      <c r="AU1372" s="28"/>
      <c r="AX1372" s="28"/>
      <c r="BA1372" s="28"/>
      <c r="BD1372" s="28"/>
      <c r="BG1372" s="28"/>
      <c r="BJ1372" s="28"/>
      <c r="BM1372" s="28"/>
      <c r="BP1372" s="28"/>
      <c r="BS1372" s="28"/>
      <c r="BV1372" s="28"/>
      <c r="BY1372" s="28"/>
      <c r="CB1372" s="28"/>
      <c r="CE1372" s="28"/>
      <c r="CH1372" s="28"/>
      <c r="CK1372" s="28"/>
      <c r="CN1372" s="28"/>
      <c r="CQ1372" s="28"/>
      <c r="CT1372" s="28"/>
      <c r="CW1372" s="28"/>
      <c r="CZ1372" s="28"/>
      <c r="DC1372" s="28"/>
      <c r="DF1372" s="28"/>
      <c r="DI1372" s="28"/>
      <c r="DL1372" s="28"/>
      <c r="DO1372" s="28"/>
      <c r="DR1372" s="28"/>
      <c r="DU1372" s="28"/>
      <c r="DX1372" s="28"/>
      <c r="EA1372" s="28"/>
      <c r="ED1372" s="28"/>
      <c r="EG1372" s="28"/>
      <c r="EJ1372" s="28"/>
      <c r="EM1372" s="28"/>
      <c r="EP1372" s="28"/>
      <c r="ES1372" s="28"/>
      <c r="EV1372" s="28"/>
      <c r="EY1372" s="28"/>
      <c r="FB1372" s="28"/>
      <c r="FE1372" s="28"/>
      <c r="FH1372" s="28"/>
      <c r="FK1372" s="28"/>
      <c r="FN1372" s="28"/>
      <c r="FQ1372" s="28"/>
      <c r="FT1372" s="28"/>
      <c r="FW1372" s="28"/>
      <c r="FZ1372" s="28"/>
      <c r="GC1372" s="28"/>
    </row>
    <row r="1373" spans="1:185" s="25" customFormat="1" x14ac:dyDescent="0.3">
      <c r="A1373" s="27"/>
      <c r="B1373" s="28"/>
      <c r="C1373" s="27"/>
      <c r="D1373" s="26"/>
      <c r="E1373" s="28"/>
      <c r="H1373" s="28"/>
      <c r="K1373" s="28"/>
      <c r="N1373" s="28"/>
      <c r="Q1373" s="28"/>
      <c r="T1373" s="28"/>
      <c r="W1373" s="28"/>
      <c r="Z1373" s="28"/>
      <c r="AC1373" s="28"/>
      <c r="AF1373" s="28"/>
      <c r="AI1373" s="28"/>
      <c r="AL1373" s="28"/>
      <c r="AO1373" s="28"/>
      <c r="AR1373" s="28"/>
      <c r="AU1373" s="28"/>
      <c r="AX1373" s="28"/>
      <c r="BA1373" s="28"/>
      <c r="BD1373" s="28"/>
      <c r="BG1373" s="28"/>
      <c r="BJ1373" s="28"/>
      <c r="BM1373" s="28"/>
      <c r="BP1373" s="28"/>
      <c r="BS1373" s="28"/>
      <c r="BV1373" s="28"/>
      <c r="BY1373" s="28"/>
      <c r="CB1373" s="28"/>
      <c r="CE1373" s="28"/>
      <c r="CH1373" s="28"/>
      <c r="CK1373" s="28"/>
      <c r="CN1373" s="28"/>
      <c r="CQ1373" s="28"/>
      <c r="CT1373" s="28"/>
      <c r="CW1373" s="28"/>
      <c r="CZ1373" s="28"/>
      <c r="DC1373" s="28"/>
      <c r="DF1373" s="28"/>
      <c r="DI1373" s="28"/>
      <c r="DL1373" s="28"/>
      <c r="DO1373" s="28"/>
      <c r="DR1373" s="28"/>
      <c r="DU1373" s="28"/>
      <c r="DX1373" s="28"/>
      <c r="EA1373" s="28"/>
      <c r="ED1373" s="28"/>
      <c r="EG1373" s="28"/>
      <c r="EJ1373" s="28"/>
      <c r="EM1373" s="28"/>
      <c r="EP1373" s="28"/>
      <c r="ES1373" s="28"/>
      <c r="EV1373" s="28"/>
      <c r="EY1373" s="28"/>
      <c r="FB1373" s="28"/>
      <c r="FE1373" s="28"/>
      <c r="FH1373" s="28"/>
      <c r="FK1373" s="28"/>
      <c r="FN1373" s="28"/>
      <c r="FQ1373" s="28"/>
      <c r="FT1373" s="28"/>
      <c r="FW1373" s="28"/>
      <c r="FZ1373" s="28"/>
      <c r="GC1373" s="28"/>
    </row>
    <row r="1374" spans="1:185" s="25" customFormat="1" x14ac:dyDescent="0.3">
      <c r="A1374" s="27"/>
      <c r="B1374" s="28"/>
      <c r="C1374" s="27"/>
      <c r="D1374" s="26"/>
      <c r="E1374" s="28"/>
      <c r="H1374" s="28"/>
      <c r="K1374" s="28"/>
      <c r="N1374" s="28"/>
      <c r="Q1374" s="28"/>
      <c r="T1374" s="28"/>
      <c r="W1374" s="28"/>
      <c r="Z1374" s="28"/>
      <c r="AC1374" s="28"/>
      <c r="AF1374" s="28"/>
      <c r="AI1374" s="28"/>
      <c r="AL1374" s="28"/>
      <c r="AO1374" s="28"/>
      <c r="AR1374" s="28"/>
      <c r="AU1374" s="28"/>
      <c r="AX1374" s="28"/>
      <c r="BA1374" s="28"/>
      <c r="BD1374" s="28"/>
      <c r="BG1374" s="28"/>
      <c r="BJ1374" s="28"/>
      <c r="BM1374" s="28"/>
      <c r="BP1374" s="28"/>
      <c r="BS1374" s="28"/>
      <c r="BV1374" s="28"/>
      <c r="BY1374" s="28"/>
      <c r="CB1374" s="28"/>
      <c r="CE1374" s="28"/>
      <c r="CH1374" s="28"/>
      <c r="CK1374" s="28"/>
      <c r="CN1374" s="28"/>
      <c r="CQ1374" s="28"/>
      <c r="CT1374" s="28"/>
      <c r="CW1374" s="28"/>
      <c r="CZ1374" s="28"/>
      <c r="DC1374" s="28"/>
      <c r="DF1374" s="28"/>
      <c r="DI1374" s="28"/>
      <c r="DL1374" s="28"/>
      <c r="DO1374" s="28"/>
      <c r="DR1374" s="28"/>
      <c r="DU1374" s="28"/>
      <c r="DX1374" s="28"/>
      <c r="EA1374" s="28"/>
      <c r="ED1374" s="28"/>
      <c r="EG1374" s="28"/>
      <c r="EJ1374" s="28"/>
      <c r="EM1374" s="28"/>
      <c r="EP1374" s="28"/>
      <c r="ES1374" s="28"/>
      <c r="EV1374" s="28"/>
      <c r="EY1374" s="28"/>
      <c r="FB1374" s="28"/>
      <c r="FE1374" s="28"/>
      <c r="FH1374" s="28"/>
      <c r="FK1374" s="28"/>
      <c r="FN1374" s="28"/>
      <c r="FQ1374" s="28"/>
      <c r="FT1374" s="28"/>
      <c r="FW1374" s="28"/>
      <c r="FZ1374" s="28"/>
      <c r="GC1374" s="28"/>
    </row>
    <row r="1375" spans="1:185" s="25" customFormat="1" x14ac:dyDescent="0.3">
      <c r="A1375" s="27"/>
      <c r="B1375" s="28"/>
      <c r="C1375" s="27"/>
      <c r="D1375" s="26"/>
      <c r="E1375" s="28"/>
      <c r="H1375" s="28"/>
      <c r="K1375" s="28"/>
      <c r="N1375" s="28"/>
      <c r="Q1375" s="28"/>
      <c r="T1375" s="28"/>
      <c r="W1375" s="28"/>
      <c r="Z1375" s="28"/>
      <c r="AC1375" s="28"/>
      <c r="AF1375" s="28"/>
      <c r="AI1375" s="28"/>
      <c r="AL1375" s="28"/>
      <c r="AO1375" s="28"/>
      <c r="AR1375" s="28"/>
      <c r="AU1375" s="28"/>
      <c r="AX1375" s="28"/>
      <c r="BA1375" s="28"/>
      <c r="BD1375" s="28"/>
      <c r="BG1375" s="28"/>
      <c r="BJ1375" s="28"/>
      <c r="BM1375" s="28"/>
      <c r="BP1375" s="28"/>
      <c r="BS1375" s="28"/>
      <c r="BV1375" s="28"/>
      <c r="BY1375" s="28"/>
      <c r="CB1375" s="28"/>
      <c r="CE1375" s="28"/>
      <c r="CH1375" s="28"/>
      <c r="CK1375" s="28"/>
      <c r="CN1375" s="28"/>
      <c r="CQ1375" s="28"/>
      <c r="CT1375" s="28"/>
      <c r="CW1375" s="28"/>
      <c r="CZ1375" s="28"/>
      <c r="DC1375" s="28"/>
      <c r="DF1375" s="28"/>
      <c r="DI1375" s="28"/>
      <c r="DL1375" s="28"/>
      <c r="DO1375" s="28"/>
      <c r="DR1375" s="28"/>
      <c r="DU1375" s="28"/>
      <c r="DX1375" s="28"/>
      <c r="EA1375" s="28"/>
      <c r="ED1375" s="28"/>
      <c r="EG1375" s="28"/>
      <c r="EJ1375" s="28"/>
      <c r="EM1375" s="28"/>
      <c r="EP1375" s="28"/>
      <c r="ES1375" s="28"/>
      <c r="EV1375" s="28"/>
      <c r="EY1375" s="28"/>
      <c r="FB1375" s="28"/>
      <c r="FE1375" s="28"/>
      <c r="FH1375" s="28"/>
      <c r="FK1375" s="28"/>
      <c r="FN1375" s="28"/>
      <c r="FQ1375" s="28"/>
      <c r="FT1375" s="28"/>
      <c r="FW1375" s="28"/>
      <c r="FZ1375" s="28"/>
      <c r="GC1375" s="28"/>
    </row>
    <row r="1376" spans="1:185" s="25" customFormat="1" x14ac:dyDescent="0.3">
      <c r="A1376" s="27"/>
      <c r="B1376" s="28"/>
      <c r="C1376" s="27"/>
      <c r="D1376" s="26"/>
      <c r="E1376" s="28"/>
      <c r="H1376" s="28"/>
      <c r="K1376" s="28"/>
      <c r="N1376" s="28"/>
      <c r="Q1376" s="28"/>
      <c r="T1376" s="28"/>
      <c r="W1376" s="28"/>
      <c r="Z1376" s="28"/>
      <c r="AC1376" s="28"/>
      <c r="AF1376" s="28"/>
      <c r="AI1376" s="28"/>
      <c r="AL1376" s="28"/>
      <c r="AO1376" s="28"/>
      <c r="AR1376" s="28"/>
      <c r="AU1376" s="28"/>
      <c r="AX1376" s="28"/>
      <c r="BA1376" s="28"/>
      <c r="BD1376" s="28"/>
      <c r="BG1376" s="28"/>
      <c r="BJ1376" s="28"/>
      <c r="BM1376" s="28"/>
      <c r="BP1376" s="28"/>
      <c r="BS1376" s="28"/>
      <c r="BV1376" s="28"/>
      <c r="BY1376" s="28"/>
      <c r="CB1376" s="28"/>
      <c r="CE1376" s="28"/>
      <c r="CH1376" s="28"/>
      <c r="CK1376" s="28"/>
      <c r="CN1376" s="28"/>
      <c r="CQ1376" s="28"/>
      <c r="CT1376" s="28"/>
      <c r="CW1376" s="28"/>
      <c r="CZ1376" s="28"/>
      <c r="DC1376" s="28"/>
      <c r="DF1376" s="28"/>
      <c r="DI1376" s="28"/>
      <c r="DL1376" s="28"/>
      <c r="DO1376" s="28"/>
      <c r="DR1376" s="28"/>
      <c r="DU1376" s="28"/>
      <c r="DX1376" s="28"/>
      <c r="EA1376" s="28"/>
      <c r="ED1376" s="28"/>
      <c r="EG1376" s="28"/>
      <c r="EJ1376" s="28"/>
      <c r="EM1376" s="28"/>
      <c r="EP1376" s="28"/>
      <c r="ES1376" s="28"/>
      <c r="EV1376" s="28"/>
      <c r="EY1376" s="28"/>
      <c r="FB1376" s="28"/>
      <c r="FE1376" s="28"/>
      <c r="FH1376" s="28"/>
      <c r="FK1376" s="28"/>
      <c r="FN1376" s="28"/>
      <c r="FQ1376" s="28"/>
      <c r="FT1376" s="28"/>
      <c r="FW1376" s="28"/>
      <c r="FZ1376" s="28"/>
      <c r="GC1376" s="28"/>
    </row>
    <row r="1377" spans="1:185" s="25" customFormat="1" x14ac:dyDescent="0.3">
      <c r="A1377" s="27"/>
      <c r="B1377" s="28"/>
      <c r="C1377" s="27"/>
      <c r="D1377" s="26"/>
      <c r="E1377" s="28"/>
      <c r="H1377" s="28"/>
      <c r="K1377" s="28"/>
      <c r="N1377" s="28"/>
      <c r="Q1377" s="28"/>
      <c r="T1377" s="28"/>
      <c r="W1377" s="28"/>
      <c r="Z1377" s="28"/>
      <c r="AC1377" s="28"/>
      <c r="AF1377" s="28"/>
      <c r="AI1377" s="28"/>
      <c r="AL1377" s="28"/>
      <c r="AO1377" s="28"/>
      <c r="AR1377" s="28"/>
      <c r="AU1377" s="28"/>
      <c r="AX1377" s="28"/>
      <c r="BA1377" s="28"/>
      <c r="BD1377" s="28"/>
      <c r="BG1377" s="28"/>
      <c r="BJ1377" s="28"/>
      <c r="BM1377" s="28"/>
      <c r="BP1377" s="28"/>
      <c r="BS1377" s="28"/>
      <c r="BV1377" s="28"/>
      <c r="BY1377" s="28"/>
      <c r="CB1377" s="28"/>
      <c r="CE1377" s="28"/>
      <c r="CH1377" s="28"/>
      <c r="CK1377" s="28"/>
      <c r="CN1377" s="28"/>
      <c r="CQ1377" s="28"/>
      <c r="CT1377" s="28"/>
      <c r="CW1377" s="28"/>
      <c r="CZ1377" s="28"/>
      <c r="DC1377" s="28"/>
      <c r="DF1377" s="28"/>
      <c r="DI1377" s="28"/>
      <c r="DL1377" s="28"/>
      <c r="DO1377" s="28"/>
      <c r="DR1377" s="28"/>
      <c r="DU1377" s="28"/>
      <c r="DX1377" s="28"/>
      <c r="EA1377" s="28"/>
      <c r="ED1377" s="28"/>
      <c r="EG1377" s="28"/>
      <c r="EJ1377" s="28"/>
      <c r="EM1377" s="28"/>
      <c r="EP1377" s="28"/>
      <c r="ES1377" s="28"/>
      <c r="EV1377" s="28"/>
      <c r="EY1377" s="28"/>
      <c r="FB1377" s="28"/>
      <c r="FE1377" s="28"/>
      <c r="FH1377" s="28"/>
      <c r="FK1377" s="28"/>
      <c r="FN1377" s="28"/>
      <c r="FQ1377" s="28"/>
      <c r="FT1377" s="28"/>
      <c r="FW1377" s="28"/>
      <c r="FZ1377" s="28"/>
      <c r="GC1377" s="28"/>
    </row>
    <row r="1378" spans="1:185" s="25" customFormat="1" x14ac:dyDescent="0.3">
      <c r="A1378" s="27"/>
      <c r="B1378" s="28"/>
      <c r="C1378" s="27"/>
      <c r="D1378" s="26"/>
      <c r="E1378" s="28"/>
      <c r="H1378" s="28"/>
      <c r="K1378" s="28"/>
      <c r="N1378" s="28"/>
      <c r="Q1378" s="28"/>
      <c r="T1378" s="28"/>
      <c r="W1378" s="28"/>
      <c r="Z1378" s="28"/>
      <c r="AC1378" s="28"/>
      <c r="AF1378" s="28"/>
      <c r="AI1378" s="28"/>
      <c r="AL1378" s="28"/>
      <c r="AO1378" s="28"/>
      <c r="AR1378" s="28"/>
      <c r="AU1378" s="28"/>
      <c r="AX1378" s="28"/>
      <c r="BA1378" s="28"/>
      <c r="BD1378" s="28"/>
      <c r="BG1378" s="28"/>
      <c r="BJ1378" s="28"/>
      <c r="BM1378" s="28"/>
      <c r="BP1378" s="28"/>
      <c r="BS1378" s="28"/>
      <c r="BV1378" s="28"/>
      <c r="BY1378" s="28"/>
      <c r="CB1378" s="28"/>
      <c r="CE1378" s="28"/>
      <c r="CH1378" s="28"/>
      <c r="CK1378" s="28"/>
      <c r="CN1378" s="28"/>
      <c r="CQ1378" s="28"/>
      <c r="CT1378" s="28"/>
      <c r="CW1378" s="28"/>
      <c r="CZ1378" s="28"/>
      <c r="DC1378" s="28"/>
      <c r="DF1378" s="28"/>
      <c r="DI1378" s="28"/>
      <c r="DL1378" s="28"/>
      <c r="DO1378" s="28"/>
      <c r="DR1378" s="28"/>
      <c r="DU1378" s="28"/>
      <c r="DX1378" s="28"/>
      <c r="EA1378" s="28"/>
      <c r="ED1378" s="28"/>
      <c r="EG1378" s="28"/>
      <c r="EJ1378" s="28"/>
      <c r="EM1378" s="28"/>
      <c r="EP1378" s="28"/>
      <c r="ES1378" s="28"/>
      <c r="EV1378" s="28"/>
      <c r="EY1378" s="28"/>
      <c r="FB1378" s="28"/>
      <c r="FE1378" s="28"/>
      <c r="FH1378" s="28"/>
      <c r="FK1378" s="28"/>
      <c r="FN1378" s="28"/>
      <c r="FQ1378" s="28"/>
      <c r="FT1378" s="28"/>
      <c r="FW1378" s="28"/>
      <c r="FZ1378" s="28"/>
      <c r="GC1378" s="28"/>
    </row>
    <row r="1379" spans="1:185" s="25" customFormat="1" x14ac:dyDescent="0.3">
      <c r="A1379" s="27"/>
      <c r="B1379" s="28"/>
      <c r="C1379" s="27"/>
      <c r="D1379" s="26"/>
      <c r="E1379" s="28"/>
      <c r="H1379" s="28"/>
      <c r="K1379" s="28"/>
      <c r="N1379" s="28"/>
      <c r="Q1379" s="28"/>
      <c r="T1379" s="28"/>
      <c r="W1379" s="28"/>
      <c r="Z1379" s="28"/>
      <c r="AC1379" s="28"/>
      <c r="AF1379" s="28"/>
      <c r="AI1379" s="28"/>
      <c r="AL1379" s="28"/>
      <c r="AO1379" s="28"/>
      <c r="AR1379" s="28"/>
      <c r="AU1379" s="28"/>
      <c r="AX1379" s="28"/>
      <c r="BA1379" s="28"/>
      <c r="BD1379" s="28"/>
      <c r="BG1379" s="28"/>
      <c r="BJ1379" s="28"/>
      <c r="BM1379" s="28"/>
      <c r="BP1379" s="28"/>
      <c r="BS1379" s="28"/>
      <c r="BV1379" s="28"/>
      <c r="BY1379" s="28"/>
      <c r="CB1379" s="28"/>
      <c r="CE1379" s="28"/>
      <c r="CH1379" s="28"/>
      <c r="CK1379" s="28"/>
      <c r="CN1379" s="28"/>
      <c r="CQ1379" s="28"/>
      <c r="CT1379" s="28"/>
      <c r="CW1379" s="28"/>
      <c r="CZ1379" s="28"/>
      <c r="DC1379" s="28"/>
      <c r="DF1379" s="28"/>
      <c r="DI1379" s="28"/>
      <c r="DL1379" s="28"/>
      <c r="DO1379" s="28"/>
      <c r="DR1379" s="28"/>
      <c r="DU1379" s="28"/>
      <c r="DX1379" s="28"/>
      <c r="EA1379" s="28"/>
      <c r="ED1379" s="28"/>
      <c r="EG1379" s="28"/>
      <c r="EJ1379" s="28"/>
      <c r="EM1379" s="28"/>
      <c r="EP1379" s="28"/>
      <c r="ES1379" s="28"/>
      <c r="EV1379" s="28"/>
      <c r="EY1379" s="28"/>
      <c r="FB1379" s="28"/>
      <c r="FE1379" s="28"/>
      <c r="FH1379" s="28"/>
      <c r="FK1379" s="28"/>
      <c r="FN1379" s="28"/>
      <c r="FQ1379" s="28"/>
      <c r="FT1379" s="28"/>
      <c r="FW1379" s="28"/>
      <c r="FZ1379" s="28"/>
      <c r="GC1379" s="28"/>
    </row>
    <row r="1380" spans="1:185" s="25" customFormat="1" x14ac:dyDescent="0.3">
      <c r="A1380" s="27"/>
      <c r="B1380" s="28"/>
      <c r="C1380" s="27"/>
      <c r="D1380" s="26"/>
      <c r="E1380" s="28"/>
      <c r="H1380" s="28"/>
      <c r="K1380" s="28"/>
      <c r="N1380" s="28"/>
      <c r="Q1380" s="28"/>
      <c r="T1380" s="28"/>
      <c r="W1380" s="28"/>
      <c r="Z1380" s="28"/>
      <c r="AC1380" s="28"/>
      <c r="AF1380" s="28"/>
      <c r="AI1380" s="28"/>
      <c r="AL1380" s="28"/>
      <c r="AO1380" s="28"/>
      <c r="AR1380" s="28"/>
      <c r="AU1380" s="28"/>
      <c r="AX1380" s="28"/>
      <c r="BA1380" s="28"/>
      <c r="BD1380" s="28"/>
      <c r="BG1380" s="28"/>
      <c r="BJ1380" s="28"/>
      <c r="BM1380" s="28"/>
      <c r="BP1380" s="28"/>
      <c r="BS1380" s="28"/>
      <c r="BV1380" s="28"/>
      <c r="BY1380" s="28"/>
      <c r="CB1380" s="28"/>
      <c r="CE1380" s="28"/>
      <c r="CH1380" s="28"/>
      <c r="CK1380" s="28"/>
      <c r="CN1380" s="28"/>
      <c r="CQ1380" s="28"/>
      <c r="CT1380" s="28"/>
      <c r="CW1380" s="28"/>
      <c r="CZ1380" s="28"/>
      <c r="DC1380" s="28"/>
      <c r="DF1380" s="28"/>
      <c r="DI1380" s="28"/>
      <c r="DL1380" s="28"/>
      <c r="DO1380" s="28"/>
      <c r="DR1380" s="28"/>
      <c r="DU1380" s="28"/>
      <c r="DX1380" s="28"/>
      <c r="EA1380" s="28"/>
      <c r="ED1380" s="28"/>
      <c r="EG1380" s="28"/>
      <c r="EJ1380" s="28"/>
      <c r="EM1380" s="28"/>
      <c r="EP1380" s="28"/>
      <c r="ES1380" s="28"/>
      <c r="EV1380" s="28"/>
      <c r="EY1380" s="28"/>
      <c r="FB1380" s="28"/>
      <c r="FE1380" s="28"/>
      <c r="FH1380" s="28"/>
      <c r="FK1380" s="28"/>
      <c r="FN1380" s="28"/>
      <c r="FQ1380" s="28"/>
      <c r="FT1380" s="28"/>
      <c r="FW1380" s="28"/>
      <c r="FZ1380" s="28"/>
      <c r="GC1380" s="28"/>
    </row>
    <row r="1381" spans="1:185" s="25" customFormat="1" x14ac:dyDescent="0.3">
      <c r="A1381" s="27"/>
      <c r="B1381" s="28"/>
      <c r="C1381" s="27"/>
      <c r="D1381" s="26"/>
      <c r="E1381" s="28"/>
      <c r="H1381" s="28"/>
      <c r="K1381" s="28"/>
      <c r="N1381" s="28"/>
      <c r="Q1381" s="28"/>
      <c r="T1381" s="28"/>
      <c r="W1381" s="28"/>
      <c r="Z1381" s="28"/>
      <c r="AC1381" s="28"/>
      <c r="AF1381" s="28"/>
      <c r="AI1381" s="28"/>
      <c r="AL1381" s="28"/>
      <c r="AO1381" s="28"/>
      <c r="AR1381" s="28"/>
      <c r="AU1381" s="28"/>
      <c r="AX1381" s="28"/>
      <c r="BA1381" s="28"/>
      <c r="BD1381" s="28"/>
      <c r="BG1381" s="28"/>
      <c r="BJ1381" s="28"/>
      <c r="BM1381" s="28"/>
      <c r="BP1381" s="28"/>
      <c r="BS1381" s="28"/>
      <c r="BV1381" s="28"/>
      <c r="BY1381" s="28"/>
      <c r="CB1381" s="28"/>
      <c r="CE1381" s="28"/>
      <c r="CH1381" s="28"/>
      <c r="CK1381" s="28"/>
      <c r="CN1381" s="28"/>
      <c r="CQ1381" s="28"/>
      <c r="CT1381" s="28"/>
      <c r="CW1381" s="28"/>
      <c r="CZ1381" s="28"/>
      <c r="DC1381" s="28"/>
      <c r="DF1381" s="28"/>
      <c r="DI1381" s="28"/>
      <c r="DL1381" s="28"/>
      <c r="DO1381" s="28"/>
      <c r="DR1381" s="28"/>
      <c r="DU1381" s="28"/>
      <c r="DX1381" s="28"/>
      <c r="EA1381" s="28"/>
      <c r="ED1381" s="28"/>
      <c r="EG1381" s="28"/>
      <c r="EJ1381" s="28"/>
      <c r="EM1381" s="28"/>
      <c r="EP1381" s="28"/>
      <c r="ES1381" s="28"/>
      <c r="EV1381" s="28"/>
      <c r="EY1381" s="28"/>
      <c r="FB1381" s="28"/>
      <c r="FE1381" s="28"/>
      <c r="FH1381" s="28"/>
      <c r="FK1381" s="28"/>
      <c r="FN1381" s="28"/>
      <c r="FQ1381" s="28"/>
      <c r="FT1381" s="28"/>
      <c r="FW1381" s="28"/>
      <c r="FZ1381" s="28"/>
      <c r="GC1381" s="28"/>
    </row>
    <row r="1382" spans="1:185" s="25" customFormat="1" x14ac:dyDescent="0.3">
      <c r="A1382" s="27"/>
      <c r="B1382" s="28"/>
      <c r="C1382" s="27"/>
      <c r="D1382" s="26"/>
      <c r="E1382" s="28"/>
      <c r="H1382" s="28"/>
      <c r="K1382" s="28"/>
      <c r="N1382" s="28"/>
      <c r="Q1382" s="28"/>
      <c r="T1382" s="28"/>
      <c r="W1382" s="28"/>
      <c r="Z1382" s="28"/>
      <c r="AC1382" s="28"/>
      <c r="AF1382" s="28"/>
      <c r="AI1382" s="28"/>
      <c r="AL1382" s="28"/>
      <c r="AO1382" s="28"/>
      <c r="AR1382" s="28"/>
      <c r="AU1382" s="28"/>
      <c r="AX1382" s="28"/>
      <c r="BA1382" s="28"/>
      <c r="BD1382" s="28"/>
      <c r="BG1382" s="28"/>
      <c r="BJ1382" s="28"/>
      <c r="BM1382" s="28"/>
      <c r="BP1382" s="28"/>
      <c r="BS1382" s="28"/>
      <c r="BV1382" s="28"/>
      <c r="BY1382" s="28"/>
      <c r="CB1382" s="28"/>
      <c r="CE1382" s="28"/>
      <c r="CH1382" s="28"/>
      <c r="CK1382" s="28"/>
      <c r="CN1382" s="28"/>
      <c r="CQ1382" s="28"/>
      <c r="CT1382" s="28"/>
      <c r="CW1382" s="28"/>
      <c r="CZ1382" s="28"/>
      <c r="DC1382" s="28"/>
      <c r="DF1382" s="28"/>
      <c r="DI1382" s="28"/>
      <c r="DL1382" s="28"/>
      <c r="DO1382" s="28"/>
      <c r="DR1382" s="28"/>
      <c r="DU1382" s="28"/>
      <c r="DX1382" s="28"/>
      <c r="EA1382" s="28"/>
      <c r="ED1382" s="28"/>
      <c r="EG1382" s="28"/>
      <c r="EJ1382" s="28"/>
      <c r="EM1382" s="28"/>
      <c r="EP1382" s="28"/>
      <c r="ES1382" s="28"/>
      <c r="EV1382" s="28"/>
      <c r="EY1382" s="28"/>
      <c r="FB1382" s="28"/>
      <c r="FE1382" s="28"/>
      <c r="FH1382" s="28"/>
      <c r="FK1382" s="28"/>
      <c r="FN1382" s="28"/>
      <c r="FQ1382" s="28"/>
      <c r="FT1382" s="28"/>
      <c r="FW1382" s="28"/>
      <c r="FZ1382" s="28"/>
      <c r="GC1382" s="28"/>
    </row>
    <row r="1383" spans="1:185" s="25" customFormat="1" x14ac:dyDescent="0.3">
      <c r="A1383" s="27"/>
      <c r="B1383" s="28"/>
      <c r="C1383" s="27"/>
      <c r="D1383" s="26"/>
      <c r="E1383" s="28"/>
      <c r="H1383" s="28"/>
      <c r="K1383" s="28"/>
      <c r="N1383" s="28"/>
      <c r="Q1383" s="28"/>
      <c r="T1383" s="28"/>
      <c r="W1383" s="28"/>
      <c r="Z1383" s="28"/>
      <c r="AC1383" s="28"/>
      <c r="AF1383" s="28"/>
      <c r="AI1383" s="28"/>
      <c r="AL1383" s="28"/>
      <c r="AO1383" s="28"/>
      <c r="AR1383" s="28"/>
      <c r="AU1383" s="28"/>
      <c r="AX1383" s="28"/>
      <c r="BA1383" s="28"/>
      <c r="BD1383" s="28"/>
      <c r="BG1383" s="28"/>
      <c r="BJ1383" s="28"/>
      <c r="BM1383" s="28"/>
      <c r="BP1383" s="28"/>
      <c r="BS1383" s="28"/>
      <c r="BV1383" s="28"/>
      <c r="BY1383" s="28"/>
      <c r="CB1383" s="28"/>
      <c r="CE1383" s="28"/>
      <c r="CH1383" s="28"/>
      <c r="CK1383" s="28"/>
      <c r="CN1383" s="28"/>
      <c r="CQ1383" s="28"/>
      <c r="CT1383" s="28"/>
      <c r="CW1383" s="28"/>
      <c r="CZ1383" s="28"/>
      <c r="DC1383" s="28"/>
      <c r="DF1383" s="28"/>
      <c r="DI1383" s="28"/>
      <c r="DL1383" s="28"/>
      <c r="DO1383" s="28"/>
      <c r="DR1383" s="28"/>
      <c r="DU1383" s="28"/>
      <c r="DX1383" s="28"/>
      <c r="EA1383" s="28"/>
      <c r="ED1383" s="28"/>
      <c r="EG1383" s="28"/>
      <c r="EJ1383" s="28"/>
      <c r="EM1383" s="28"/>
      <c r="EP1383" s="28"/>
      <c r="ES1383" s="28"/>
      <c r="EV1383" s="28"/>
      <c r="EY1383" s="28"/>
      <c r="FB1383" s="28"/>
      <c r="FE1383" s="28"/>
      <c r="FH1383" s="28"/>
      <c r="FK1383" s="28"/>
      <c r="FN1383" s="28"/>
      <c r="FQ1383" s="28"/>
      <c r="FT1383" s="28"/>
      <c r="FW1383" s="28"/>
      <c r="FZ1383" s="28"/>
      <c r="GC1383" s="28"/>
    </row>
    <row r="1384" spans="1:185" s="25" customFormat="1" x14ac:dyDescent="0.3">
      <c r="A1384" s="27"/>
      <c r="B1384" s="28"/>
      <c r="C1384" s="27"/>
      <c r="D1384" s="26"/>
      <c r="E1384" s="28"/>
      <c r="H1384" s="28"/>
      <c r="K1384" s="28"/>
      <c r="N1384" s="28"/>
      <c r="Q1384" s="28"/>
      <c r="T1384" s="28"/>
      <c r="W1384" s="28"/>
      <c r="Z1384" s="28"/>
      <c r="AC1384" s="28"/>
      <c r="AF1384" s="28"/>
      <c r="AI1384" s="28"/>
      <c r="AL1384" s="28"/>
      <c r="AO1384" s="28"/>
      <c r="AR1384" s="28"/>
      <c r="AU1384" s="28"/>
      <c r="AX1384" s="28"/>
      <c r="BA1384" s="28"/>
      <c r="BD1384" s="28"/>
      <c r="BG1384" s="28"/>
      <c r="BJ1384" s="28"/>
      <c r="BM1384" s="28"/>
      <c r="BP1384" s="28"/>
      <c r="BS1384" s="28"/>
      <c r="BV1384" s="28"/>
      <c r="BY1384" s="28"/>
      <c r="CB1384" s="28"/>
      <c r="CE1384" s="28"/>
      <c r="CH1384" s="28"/>
      <c r="CK1384" s="28"/>
      <c r="CN1384" s="28"/>
      <c r="CQ1384" s="28"/>
      <c r="CT1384" s="28"/>
      <c r="CW1384" s="28"/>
      <c r="CZ1384" s="28"/>
      <c r="DC1384" s="28"/>
      <c r="DF1384" s="28"/>
      <c r="DI1384" s="28"/>
      <c r="DL1384" s="28"/>
      <c r="DO1384" s="28"/>
      <c r="DR1384" s="28"/>
      <c r="DU1384" s="28"/>
      <c r="DX1384" s="28"/>
      <c r="EA1384" s="28"/>
      <c r="ED1384" s="28"/>
      <c r="EG1384" s="28"/>
      <c r="EJ1384" s="28"/>
      <c r="EM1384" s="28"/>
      <c r="EP1384" s="28"/>
      <c r="ES1384" s="28"/>
      <c r="EV1384" s="28"/>
      <c r="EY1384" s="28"/>
      <c r="FB1384" s="28"/>
      <c r="FE1384" s="28"/>
      <c r="FH1384" s="28"/>
      <c r="FK1384" s="28"/>
      <c r="FN1384" s="28"/>
      <c r="FQ1384" s="28"/>
      <c r="FT1384" s="28"/>
      <c r="FW1384" s="28"/>
      <c r="FZ1384" s="28"/>
      <c r="GC1384" s="28"/>
    </row>
    <row r="1385" spans="1:185" s="25" customFormat="1" x14ac:dyDescent="0.3">
      <c r="A1385" s="27"/>
      <c r="B1385" s="28"/>
      <c r="C1385" s="27"/>
      <c r="D1385" s="26"/>
      <c r="E1385" s="28"/>
      <c r="H1385" s="28"/>
      <c r="K1385" s="28"/>
      <c r="N1385" s="28"/>
      <c r="Q1385" s="28"/>
      <c r="T1385" s="28"/>
      <c r="W1385" s="28"/>
      <c r="Z1385" s="28"/>
      <c r="AC1385" s="28"/>
      <c r="AF1385" s="28"/>
      <c r="AI1385" s="28"/>
      <c r="AL1385" s="28"/>
      <c r="AO1385" s="28"/>
      <c r="AR1385" s="28"/>
      <c r="AU1385" s="28"/>
      <c r="AX1385" s="28"/>
      <c r="BA1385" s="28"/>
      <c r="BD1385" s="28"/>
      <c r="BG1385" s="28"/>
      <c r="BJ1385" s="28"/>
      <c r="BM1385" s="28"/>
      <c r="BP1385" s="28"/>
      <c r="BS1385" s="28"/>
      <c r="BV1385" s="28"/>
      <c r="BY1385" s="28"/>
      <c r="CB1385" s="28"/>
      <c r="CE1385" s="28"/>
      <c r="CH1385" s="28"/>
      <c r="CK1385" s="28"/>
      <c r="CN1385" s="28"/>
      <c r="CQ1385" s="28"/>
      <c r="CT1385" s="28"/>
      <c r="CW1385" s="28"/>
      <c r="CZ1385" s="28"/>
      <c r="DC1385" s="28"/>
      <c r="DF1385" s="28"/>
      <c r="DI1385" s="28"/>
      <c r="DL1385" s="28"/>
      <c r="DO1385" s="28"/>
      <c r="DR1385" s="28"/>
      <c r="DU1385" s="28"/>
      <c r="DX1385" s="28"/>
      <c r="EA1385" s="28"/>
      <c r="ED1385" s="28"/>
      <c r="EG1385" s="28"/>
      <c r="EJ1385" s="28"/>
      <c r="EM1385" s="28"/>
      <c r="EP1385" s="28"/>
      <c r="ES1385" s="28"/>
      <c r="EV1385" s="28"/>
      <c r="EY1385" s="28"/>
      <c r="FB1385" s="28"/>
      <c r="FE1385" s="28"/>
      <c r="FH1385" s="28"/>
      <c r="FK1385" s="28"/>
      <c r="FN1385" s="28"/>
      <c r="FQ1385" s="28"/>
      <c r="FT1385" s="28"/>
      <c r="FW1385" s="28"/>
      <c r="FZ1385" s="28"/>
      <c r="GC1385" s="28"/>
    </row>
    <row r="1386" spans="1:185" s="25" customFormat="1" x14ac:dyDescent="0.3">
      <c r="A1386" s="27"/>
      <c r="B1386" s="28"/>
      <c r="C1386" s="27"/>
      <c r="D1386" s="26"/>
      <c r="E1386" s="28"/>
      <c r="H1386" s="28"/>
      <c r="K1386" s="28"/>
      <c r="N1386" s="28"/>
      <c r="Q1386" s="28"/>
      <c r="T1386" s="28"/>
      <c r="W1386" s="28"/>
      <c r="Z1386" s="28"/>
      <c r="AC1386" s="28"/>
      <c r="AF1386" s="28"/>
      <c r="AI1386" s="28"/>
      <c r="AL1386" s="28"/>
      <c r="AO1386" s="28"/>
      <c r="AR1386" s="28"/>
      <c r="AU1386" s="28"/>
      <c r="AX1386" s="28"/>
      <c r="BA1386" s="28"/>
      <c r="BD1386" s="28"/>
      <c r="BG1386" s="28"/>
      <c r="BJ1386" s="28"/>
      <c r="BM1386" s="28"/>
      <c r="BP1386" s="28"/>
      <c r="BS1386" s="28"/>
      <c r="BV1386" s="28"/>
      <c r="BY1386" s="28"/>
      <c r="CB1386" s="28"/>
      <c r="CE1386" s="28"/>
      <c r="CH1386" s="28"/>
      <c r="CK1386" s="28"/>
      <c r="CN1386" s="28"/>
      <c r="CQ1386" s="28"/>
      <c r="CT1386" s="28"/>
      <c r="CW1386" s="28"/>
      <c r="CZ1386" s="28"/>
      <c r="DC1386" s="28"/>
      <c r="DF1386" s="28"/>
      <c r="DI1386" s="28"/>
      <c r="DL1386" s="28"/>
      <c r="DO1386" s="28"/>
      <c r="DR1386" s="28"/>
      <c r="DU1386" s="28"/>
      <c r="DX1386" s="28"/>
      <c r="EA1386" s="28"/>
      <c r="ED1386" s="28"/>
      <c r="EG1386" s="28"/>
      <c r="EJ1386" s="28"/>
      <c r="EM1386" s="28"/>
      <c r="EP1386" s="28"/>
      <c r="ES1386" s="28"/>
      <c r="EV1386" s="28"/>
      <c r="EY1386" s="28"/>
      <c r="FB1386" s="28"/>
      <c r="FE1386" s="28"/>
      <c r="FH1386" s="28"/>
      <c r="FK1386" s="28"/>
      <c r="FN1386" s="28"/>
      <c r="FQ1386" s="28"/>
      <c r="FT1386" s="28"/>
      <c r="FW1386" s="28"/>
      <c r="FZ1386" s="28"/>
      <c r="GC1386" s="28"/>
    </row>
    <row r="1387" spans="1:185" s="25" customFormat="1" x14ac:dyDescent="0.3">
      <c r="A1387" s="27"/>
      <c r="B1387" s="28"/>
      <c r="C1387" s="27"/>
      <c r="D1387" s="26"/>
      <c r="E1387" s="28"/>
      <c r="H1387" s="28"/>
      <c r="K1387" s="28"/>
      <c r="N1387" s="28"/>
      <c r="Q1387" s="28"/>
      <c r="T1387" s="28"/>
      <c r="W1387" s="28"/>
      <c r="Z1387" s="28"/>
      <c r="AC1387" s="28"/>
      <c r="AF1387" s="28"/>
      <c r="AI1387" s="28"/>
      <c r="AL1387" s="28"/>
      <c r="AO1387" s="28"/>
      <c r="AR1387" s="28"/>
      <c r="AU1387" s="28"/>
      <c r="AX1387" s="28"/>
      <c r="BA1387" s="28"/>
      <c r="BD1387" s="28"/>
      <c r="BG1387" s="28"/>
      <c r="BJ1387" s="28"/>
      <c r="BM1387" s="28"/>
      <c r="BP1387" s="28"/>
      <c r="BS1387" s="28"/>
      <c r="BV1387" s="28"/>
      <c r="BY1387" s="28"/>
      <c r="CB1387" s="28"/>
      <c r="CE1387" s="28"/>
      <c r="CH1387" s="28"/>
      <c r="CK1387" s="28"/>
      <c r="CN1387" s="28"/>
      <c r="CQ1387" s="28"/>
      <c r="CT1387" s="28"/>
      <c r="CW1387" s="28"/>
      <c r="CZ1387" s="28"/>
      <c r="DC1387" s="28"/>
      <c r="DF1387" s="28"/>
      <c r="DI1387" s="28"/>
      <c r="DL1387" s="28"/>
      <c r="DO1387" s="28"/>
      <c r="DR1387" s="28"/>
      <c r="DU1387" s="28"/>
      <c r="DX1387" s="28"/>
      <c r="EA1387" s="28"/>
      <c r="ED1387" s="28"/>
      <c r="EG1387" s="28"/>
      <c r="EJ1387" s="28"/>
      <c r="EM1387" s="28"/>
      <c r="EP1387" s="28"/>
      <c r="ES1387" s="28"/>
      <c r="EV1387" s="28"/>
      <c r="EY1387" s="28"/>
      <c r="FB1387" s="28"/>
      <c r="FE1387" s="28"/>
      <c r="FH1387" s="28"/>
      <c r="FK1387" s="28"/>
      <c r="FN1387" s="28"/>
      <c r="FQ1387" s="28"/>
      <c r="FT1387" s="28"/>
      <c r="FW1387" s="28"/>
      <c r="FZ1387" s="28"/>
      <c r="GC1387" s="28"/>
    </row>
    <row r="1388" spans="1:185" s="25" customFormat="1" x14ac:dyDescent="0.3">
      <c r="A1388" s="27"/>
      <c r="B1388" s="28"/>
      <c r="C1388" s="27"/>
      <c r="D1388" s="26"/>
      <c r="E1388" s="28"/>
      <c r="H1388" s="28"/>
      <c r="K1388" s="28"/>
      <c r="N1388" s="28"/>
      <c r="Q1388" s="28"/>
      <c r="T1388" s="28"/>
      <c r="W1388" s="28"/>
      <c r="Z1388" s="28"/>
      <c r="AC1388" s="28"/>
      <c r="AF1388" s="28"/>
      <c r="AI1388" s="28"/>
      <c r="AL1388" s="28"/>
      <c r="AO1388" s="28"/>
      <c r="AR1388" s="28"/>
      <c r="AU1388" s="28"/>
      <c r="AX1388" s="28"/>
      <c r="BA1388" s="28"/>
      <c r="BD1388" s="28"/>
      <c r="BG1388" s="28"/>
      <c r="BJ1388" s="28"/>
      <c r="BM1388" s="28"/>
      <c r="BP1388" s="28"/>
      <c r="BS1388" s="28"/>
      <c r="BV1388" s="28"/>
      <c r="BY1388" s="28"/>
      <c r="CB1388" s="28"/>
      <c r="CE1388" s="28"/>
      <c r="CH1388" s="28"/>
      <c r="CK1388" s="28"/>
      <c r="CN1388" s="28"/>
      <c r="CQ1388" s="28"/>
      <c r="CT1388" s="28"/>
      <c r="CW1388" s="28"/>
      <c r="CZ1388" s="28"/>
      <c r="DC1388" s="28"/>
      <c r="DF1388" s="28"/>
      <c r="DI1388" s="28"/>
      <c r="DL1388" s="28"/>
      <c r="DO1388" s="28"/>
      <c r="DR1388" s="28"/>
      <c r="DU1388" s="28"/>
      <c r="DX1388" s="28"/>
      <c r="EA1388" s="28"/>
      <c r="ED1388" s="28"/>
      <c r="EG1388" s="28"/>
      <c r="EJ1388" s="28"/>
      <c r="EM1388" s="28"/>
      <c r="EP1388" s="28"/>
      <c r="ES1388" s="28"/>
      <c r="EV1388" s="28"/>
      <c r="EY1388" s="28"/>
      <c r="FB1388" s="28"/>
      <c r="FE1388" s="28"/>
      <c r="FH1388" s="28"/>
      <c r="FK1388" s="28"/>
      <c r="FN1388" s="28"/>
      <c r="FQ1388" s="28"/>
      <c r="FT1388" s="28"/>
      <c r="FW1388" s="28"/>
      <c r="FZ1388" s="28"/>
      <c r="GC1388" s="28"/>
    </row>
    <row r="1389" spans="1:185" s="25" customFormat="1" x14ac:dyDescent="0.3">
      <c r="A1389" s="27"/>
      <c r="B1389" s="28"/>
      <c r="C1389" s="27"/>
      <c r="D1389" s="26"/>
      <c r="E1389" s="28"/>
      <c r="H1389" s="28"/>
      <c r="K1389" s="28"/>
      <c r="N1389" s="28"/>
      <c r="Q1389" s="28"/>
      <c r="T1389" s="28"/>
      <c r="W1389" s="28"/>
      <c r="Z1389" s="28"/>
      <c r="AC1389" s="28"/>
      <c r="AF1389" s="28"/>
      <c r="AI1389" s="28"/>
      <c r="AL1389" s="28"/>
      <c r="AO1389" s="28"/>
      <c r="AR1389" s="28"/>
      <c r="AU1389" s="28"/>
      <c r="AX1389" s="28"/>
      <c r="BA1389" s="28"/>
      <c r="BD1389" s="28"/>
      <c r="BG1389" s="28"/>
      <c r="BJ1389" s="28"/>
      <c r="BM1389" s="28"/>
      <c r="BP1389" s="28"/>
      <c r="BS1389" s="28"/>
      <c r="BV1389" s="28"/>
      <c r="BY1389" s="28"/>
      <c r="CB1389" s="28"/>
      <c r="CE1389" s="28"/>
      <c r="CH1389" s="28"/>
      <c r="CK1389" s="28"/>
      <c r="CN1389" s="28"/>
      <c r="CQ1389" s="28"/>
      <c r="CT1389" s="28"/>
      <c r="CW1389" s="28"/>
      <c r="CZ1389" s="28"/>
      <c r="DC1389" s="28"/>
      <c r="DF1389" s="28"/>
      <c r="DI1389" s="28"/>
      <c r="DL1389" s="28"/>
      <c r="DO1389" s="28"/>
      <c r="DR1389" s="28"/>
      <c r="DU1389" s="28"/>
      <c r="DX1389" s="28"/>
      <c r="EA1389" s="28"/>
      <c r="ED1389" s="28"/>
      <c r="EG1389" s="28"/>
      <c r="EJ1389" s="28"/>
      <c r="EM1389" s="28"/>
      <c r="EP1389" s="28"/>
      <c r="ES1389" s="28"/>
      <c r="EV1389" s="28"/>
      <c r="EY1389" s="28"/>
      <c r="FB1389" s="28"/>
      <c r="FE1389" s="28"/>
      <c r="FH1389" s="28"/>
      <c r="FK1389" s="28"/>
      <c r="FN1389" s="28"/>
      <c r="FQ1389" s="28"/>
      <c r="FT1389" s="28"/>
      <c r="FW1389" s="28"/>
      <c r="FZ1389" s="28"/>
      <c r="GC1389" s="28"/>
    </row>
    <row r="1390" spans="1:185" s="25" customFormat="1" x14ac:dyDescent="0.3">
      <c r="A1390" s="27"/>
      <c r="B1390" s="28"/>
      <c r="C1390" s="27"/>
      <c r="D1390" s="26"/>
      <c r="E1390" s="28"/>
      <c r="H1390" s="28"/>
      <c r="K1390" s="28"/>
      <c r="N1390" s="28"/>
      <c r="Q1390" s="28"/>
      <c r="T1390" s="28"/>
      <c r="W1390" s="28"/>
      <c r="Z1390" s="28"/>
      <c r="AC1390" s="28"/>
      <c r="AF1390" s="28"/>
      <c r="AI1390" s="28"/>
      <c r="AL1390" s="28"/>
      <c r="AO1390" s="28"/>
      <c r="AR1390" s="28"/>
      <c r="AU1390" s="28"/>
      <c r="AX1390" s="28"/>
      <c r="BA1390" s="28"/>
      <c r="BD1390" s="28"/>
      <c r="BG1390" s="28"/>
      <c r="BJ1390" s="28"/>
      <c r="BM1390" s="28"/>
      <c r="BP1390" s="28"/>
      <c r="BS1390" s="28"/>
      <c r="BV1390" s="28"/>
      <c r="BY1390" s="28"/>
      <c r="CB1390" s="28"/>
      <c r="CE1390" s="28"/>
      <c r="CH1390" s="28"/>
      <c r="CK1390" s="28"/>
      <c r="CN1390" s="28"/>
      <c r="CQ1390" s="28"/>
      <c r="CT1390" s="28"/>
      <c r="CW1390" s="28"/>
      <c r="CZ1390" s="28"/>
      <c r="DC1390" s="28"/>
      <c r="DF1390" s="28"/>
      <c r="DI1390" s="28"/>
      <c r="DL1390" s="28"/>
      <c r="DO1390" s="28"/>
      <c r="DR1390" s="28"/>
      <c r="DU1390" s="28"/>
      <c r="DX1390" s="28"/>
      <c r="EA1390" s="28"/>
      <c r="ED1390" s="28"/>
      <c r="EG1390" s="28"/>
      <c r="EJ1390" s="28"/>
      <c r="EM1390" s="28"/>
      <c r="EP1390" s="28"/>
      <c r="ES1390" s="28"/>
      <c r="EV1390" s="28"/>
      <c r="EY1390" s="28"/>
      <c r="FB1390" s="28"/>
      <c r="FE1390" s="28"/>
      <c r="FH1390" s="28"/>
      <c r="FK1390" s="28"/>
      <c r="FN1390" s="28"/>
      <c r="FQ1390" s="28"/>
      <c r="FT1390" s="28"/>
      <c r="FW1390" s="28"/>
      <c r="FZ1390" s="28"/>
      <c r="GC1390" s="28"/>
    </row>
    <row r="1391" spans="1:185" s="25" customFormat="1" x14ac:dyDescent="0.3">
      <c r="A1391" s="27"/>
      <c r="B1391" s="28"/>
      <c r="C1391" s="27"/>
      <c r="D1391" s="26"/>
      <c r="E1391" s="28"/>
      <c r="H1391" s="28"/>
      <c r="K1391" s="28"/>
      <c r="N1391" s="28"/>
      <c r="Q1391" s="28"/>
      <c r="T1391" s="28"/>
      <c r="W1391" s="28"/>
      <c r="Z1391" s="28"/>
      <c r="AC1391" s="28"/>
      <c r="AF1391" s="28"/>
      <c r="AI1391" s="28"/>
      <c r="AL1391" s="28"/>
      <c r="AO1391" s="28"/>
      <c r="AR1391" s="28"/>
      <c r="AU1391" s="28"/>
      <c r="AX1391" s="28"/>
      <c r="BA1391" s="28"/>
      <c r="BD1391" s="28"/>
      <c r="BG1391" s="28"/>
      <c r="BJ1391" s="28"/>
      <c r="BM1391" s="28"/>
      <c r="BP1391" s="28"/>
      <c r="BS1391" s="28"/>
      <c r="BV1391" s="28"/>
      <c r="BY1391" s="28"/>
      <c r="CB1391" s="28"/>
      <c r="CE1391" s="28"/>
      <c r="CH1391" s="28"/>
      <c r="CK1391" s="28"/>
      <c r="CN1391" s="28"/>
      <c r="CQ1391" s="28"/>
      <c r="CT1391" s="28"/>
      <c r="CW1391" s="28"/>
      <c r="CZ1391" s="28"/>
      <c r="DC1391" s="28"/>
      <c r="DF1391" s="28"/>
      <c r="DI1391" s="28"/>
      <c r="DL1391" s="28"/>
      <c r="DO1391" s="28"/>
      <c r="DR1391" s="28"/>
      <c r="DU1391" s="28"/>
      <c r="DX1391" s="28"/>
      <c r="EA1391" s="28"/>
      <c r="ED1391" s="28"/>
      <c r="EG1391" s="28"/>
      <c r="EJ1391" s="28"/>
      <c r="EM1391" s="28"/>
      <c r="EP1391" s="28"/>
      <c r="ES1391" s="28"/>
      <c r="EV1391" s="28"/>
      <c r="EY1391" s="28"/>
      <c r="FB1391" s="28"/>
      <c r="FE1391" s="28"/>
      <c r="FH1391" s="28"/>
      <c r="FK1391" s="28"/>
      <c r="FN1391" s="28"/>
      <c r="FQ1391" s="28"/>
      <c r="FT1391" s="28"/>
      <c r="FW1391" s="28"/>
      <c r="FZ1391" s="28"/>
      <c r="GC1391" s="28"/>
    </row>
    <row r="1392" spans="1:185" s="25" customFormat="1" x14ac:dyDescent="0.3">
      <c r="A1392" s="27"/>
      <c r="B1392" s="28"/>
      <c r="C1392" s="27"/>
      <c r="D1392" s="26"/>
      <c r="E1392" s="28"/>
      <c r="H1392" s="28"/>
      <c r="K1392" s="28"/>
      <c r="N1392" s="28"/>
      <c r="Q1392" s="28"/>
      <c r="T1392" s="28"/>
      <c r="W1392" s="28"/>
      <c r="Z1392" s="28"/>
      <c r="AC1392" s="28"/>
      <c r="AF1392" s="28"/>
      <c r="AI1392" s="28"/>
      <c r="AL1392" s="28"/>
      <c r="AO1392" s="28"/>
      <c r="AR1392" s="28"/>
      <c r="AU1392" s="28"/>
      <c r="AX1392" s="28"/>
      <c r="BA1392" s="28"/>
      <c r="BD1392" s="28"/>
      <c r="BG1392" s="28"/>
      <c r="BJ1392" s="28"/>
      <c r="BM1392" s="28"/>
      <c r="BP1392" s="28"/>
      <c r="BS1392" s="28"/>
      <c r="BV1392" s="28"/>
      <c r="BY1392" s="28"/>
      <c r="CB1392" s="28"/>
      <c r="CE1392" s="28"/>
      <c r="CH1392" s="28"/>
      <c r="CK1392" s="28"/>
      <c r="CN1392" s="28"/>
      <c r="CQ1392" s="28"/>
      <c r="CT1392" s="28"/>
      <c r="CW1392" s="28"/>
      <c r="CZ1392" s="28"/>
      <c r="DC1392" s="28"/>
      <c r="DF1392" s="28"/>
      <c r="DI1392" s="28"/>
      <c r="DL1392" s="28"/>
      <c r="DO1392" s="28"/>
      <c r="DR1392" s="28"/>
      <c r="DU1392" s="28"/>
      <c r="DX1392" s="28"/>
      <c r="EA1392" s="28"/>
      <c r="ED1392" s="28"/>
      <c r="EG1392" s="28"/>
      <c r="EJ1392" s="28"/>
      <c r="EM1392" s="28"/>
      <c r="EP1392" s="28"/>
      <c r="ES1392" s="28"/>
      <c r="EV1392" s="28"/>
      <c r="EY1392" s="28"/>
      <c r="FB1392" s="28"/>
      <c r="FE1392" s="28"/>
      <c r="FH1392" s="28"/>
      <c r="FK1392" s="28"/>
      <c r="FN1392" s="28"/>
      <c r="FQ1392" s="28"/>
      <c r="FT1392" s="28"/>
      <c r="FW1392" s="28"/>
      <c r="FZ1392" s="28"/>
      <c r="GC1392" s="28"/>
    </row>
    <row r="1393" spans="1:185" s="25" customFormat="1" x14ac:dyDescent="0.3">
      <c r="A1393" s="27"/>
      <c r="B1393" s="28"/>
      <c r="C1393" s="27"/>
      <c r="D1393" s="26"/>
      <c r="E1393" s="28"/>
      <c r="H1393" s="28"/>
      <c r="K1393" s="28"/>
      <c r="N1393" s="28"/>
      <c r="Q1393" s="28"/>
      <c r="T1393" s="28"/>
      <c r="W1393" s="28"/>
      <c r="Z1393" s="28"/>
      <c r="AC1393" s="28"/>
      <c r="AF1393" s="28"/>
      <c r="AI1393" s="28"/>
      <c r="AL1393" s="28"/>
      <c r="AO1393" s="28"/>
      <c r="AR1393" s="28"/>
      <c r="AU1393" s="28"/>
      <c r="AX1393" s="28"/>
      <c r="BA1393" s="28"/>
      <c r="BD1393" s="28"/>
      <c r="BG1393" s="28"/>
      <c r="BJ1393" s="28"/>
      <c r="BM1393" s="28"/>
      <c r="BP1393" s="28"/>
      <c r="BS1393" s="28"/>
      <c r="BV1393" s="28"/>
      <c r="BY1393" s="28"/>
      <c r="CB1393" s="28"/>
      <c r="CE1393" s="28"/>
      <c r="CH1393" s="28"/>
      <c r="CK1393" s="28"/>
      <c r="CN1393" s="28"/>
      <c r="CQ1393" s="28"/>
      <c r="CT1393" s="28"/>
      <c r="CW1393" s="28"/>
      <c r="CZ1393" s="28"/>
      <c r="DC1393" s="28"/>
      <c r="DF1393" s="28"/>
      <c r="DI1393" s="28"/>
      <c r="DL1393" s="28"/>
      <c r="DO1393" s="28"/>
      <c r="DR1393" s="28"/>
      <c r="DU1393" s="28"/>
      <c r="DX1393" s="28"/>
      <c r="EA1393" s="28"/>
      <c r="ED1393" s="28"/>
      <c r="EG1393" s="28"/>
      <c r="EJ1393" s="28"/>
      <c r="EM1393" s="28"/>
      <c r="EP1393" s="28"/>
      <c r="ES1393" s="28"/>
      <c r="EV1393" s="28"/>
      <c r="EY1393" s="28"/>
      <c r="FB1393" s="28"/>
      <c r="FE1393" s="28"/>
      <c r="FH1393" s="28"/>
      <c r="FK1393" s="28"/>
      <c r="FN1393" s="28"/>
      <c r="FQ1393" s="28"/>
      <c r="FT1393" s="28"/>
      <c r="FW1393" s="28"/>
      <c r="FZ1393" s="28"/>
      <c r="GC1393" s="28"/>
    </row>
    <row r="1394" spans="1:185" s="25" customFormat="1" x14ac:dyDescent="0.3">
      <c r="A1394" s="27"/>
      <c r="B1394" s="28"/>
      <c r="C1394" s="27"/>
      <c r="D1394" s="26"/>
      <c r="E1394" s="28"/>
      <c r="H1394" s="28"/>
      <c r="K1394" s="28"/>
      <c r="N1394" s="28"/>
      <c r="Q1394" s="28"/>
      <c r="T1394" s="28"/>
      <c r="W1394" s="28"/>
      <c r="Z1394" s="28"/>
      <c r="AC1394" s="28"/>
      <c r="AF1394" s="28"/>
      <c r="AI1394" s="28"/>
      <c r="AL1394" s="28"/>
      <c r="AO1394" s="28"/>
      <c r="AR1394" s="28"/>
      <c r="AU1394" s="28"/>
      <c r="AX1394" s="28"/>
      <c r="BA1394" s="28"/>
      <c r="BD1394" s="28"/>
      <c r="BG1394" s="28"/>
      <c r="BJ1394" s="28"/>
      <c r="BM1394" s="28"/>
      <c r="BP1394" s="28"/>
      <c r="BS1394" s="28"/>
      <c r="BV1394" s="28"/>
      <c r="BY1394" s="28"/>
      <c r="CB1394" s="28"/>
      <c r="CE1394" s="28"/>
      <c r="CH1394" s="28"/>
      <c r="CK1394" s="28"/>
      <c r="CN1394" s="28"/>
      <c r="CQ1394" s="28"/>
      <c r="CT1394" s="28"/>
      <c r="CW1394" s="28"/>
      <c r="CZ1394" s="28"/>
      <c r="DC1394" s="28"/>
      <c r="DF1394" s="28"/>
      <c r="DI1394" s="28"/>
      <c r="DL1394" s="28"/>
      <c r="DO1394" s="28"/>
      <c r="DR1394" s="28"/>
      <c r="DU1394" s="28"/>
      <c r="DX1394" s="28"/>
      <c r="EA1394" s="28"/>
      <c r="ED1394" s="28"/>
      <c r="EG1394" s="28"/>
      <c r="EJ1394" s="28"/>
      <c r="EM1394" s="28"/>
      <c r="EP1394" s="28"/>
      <c r="ES1394" s="28"/>
      <c r="EV1394" s="28"/>
      <c r="EY1394" s="28"/>
      <c r="FB1394" s="28"/>
      <c r="FE1394" s="28"/>
      <c r="FH1394" s="28"/>
      <c r="FK1394" s="28"/>
      <c r="FN1394" s="28"/>
      <c r="FQ1394" s="28"/>
      <c r="FT1394" s="28"/>
      <c r="FW1394" s="28"/>
      <c r="FZ1394" s="28"/>
      <c r="GC1394" s="28"/>
    </row>
    <row r="1395" spans="1:185" s="25" customFormat="1" x14ac:dyDescent="0.3">
      <c r="A1395" s="27"/>
      <c r="B1395" s="28"/>
      <c r="C1395" s="27"/>
      <c r="D1395" s="26"/>
      <c r="E1395" s="28"/>
      <c r="H1395" s="28"/>
      <c r="K1395" s="28"/>
      <c r="N1395" s="28"/>
      <c r="Q1395" s="28"/>
      <c r="T1395" s="28"/>
      <c r="W1395" s="28"/>
      <c r="Z1395" s="28"/>
      <c r="AC1395" s="28"/>
      <c r="AF1395" s="28"/>
      <c r="AI1395" s="28"/>
      <c r="AL1395" s="28"/>
      <c r="AO1395" s="28"/>
      <c r="AR1395" s="28"/>
      <c r="AU1395" s="28"/>
      <c r="AX1395" s="28"/>
      <c r="BA1395" s="28"/>
      <c r="BD1395" s="28"/>
      <c r="BG1395" s="28"/>
      <c r="BJ1395" s="28"/>
      <c r="BM1395" s="28"/>
      <c r="BP1395" s="28"/>
      <c r="BS1395" s="28"/>
      <c r="BV1395" s="28"/>
      <c r="BY1395" s="28"/>
      <c r="CB1395" s="28"/>
      <c r="CE1395" s="28"/>
      <c r="CH1395" s="28"/>
      <c r="CK1395" s="28"/>
      <c r="CN1395" s="28"/>
      <c r="CQ1395" s="28"/>
      <c r="CT1395" s="28"/>
      <c r="CW1395" s="28"/>
      <c r="CZ1395" s="28"/>
      <c r="DC1395" s="28"/>
      <c r="DF1395" s="28"/>
      <c r="DI1395" s="28"/>
      <c r="DL1395" s="28"/>
      <c r="DO1395" s="28"/>
      <c r="DR1395" s="28"/>
      <c r="DU1395" s="28"/>
      <c r="DX1395" s="28"/>
      <c r="EA1395" s="28"/>
      <c r="ED1395" s="28"/>
      <c r="EG1395" s="28"/>
      <c r="EJ1395" s="28"/>
      <c r="EM1395" s="28"/>
      <c r="EP1395" s="28"/>
      <c r="ES1395" s="28"/>
      <c r="EV1395" s="28"/>
      <c r="EY1395" s="28"/>
      <c r="FB1395" s="28"/>
      <c r="FE1395" s="28"/>
      <c r="FH1395" s="28"/>
      <c r="FK1395" s="28"/>
      <c r="FN1395" s="28"/>
      <c r="FQ1395" s="28"/>
      <c r="FT1395" s="28"/>
      <c r="FW1395" s="28"/>
      <c r="FZ1395" s="28"/>
      <c r="GC1395" s="28"/>
    </row>
    <row r="1396" spans="1:185" s="25" customFormat="1" x14ac:dyDescent="0.3">
      <c r="A1396" s="27"/>
      <c r="B1396" s="28"/>
      <c r="C1396" s="27"/>
      <c r="D1396" s="26"/>
      <c r="E1396" s="28"/>
      <c r="H1396" s="28"/>
      <c r="K1396" s="28"/>
      <c r="N1396" s="28"/>
      <c r="Q1396" s="28"/>
      <c r="T1396" s="28"/>
      <c r="W1396" s="28"/>
      <c r="Z1396" s="28"/>
      <c r="AC1396" s="28"/>
      <c r="AF1396" s="28"/>
      <c r="AI1396" s="28"/>
      <c r="AL1396" s="28"/>
      <c r="AO1396" s="28"/>
      <c r="AR1396" s="28"/>
      <c r="AU1396" s="28"/>
      <c r="AX1396" s="28"/>
      <c r="BA1396" s="28"/>
      <c r="BD1396" s="28"/>
      <c r="BG1396" s="28"/>
      <c r="BJ1396" s="28"/>
      <c r="BM1396" s="28"/>
      <c r="BP1396" s="28"/>
      <c r="BS1396" s="28"/>
      <c r="BV1396" s="28"/>
      <c r="BY1396" s="28"/>
      <c r="CB1396" s="28"/>
      <c r="CE1396" s="28"/>
      <c r="CH1396" s="28"/>
      <c r="CK1396" s="28"/>
      <c r="CN1396" s="28"/>
      <c r="CQ1396" s="28"/>
      <c r="CT1396" s="28"/>
      <c r="CW1396" s="28"/>
      <c r="CZ1396" s="28"/>
      <c r="DC1396" s="28"/>
      <c r="DF1396" s="28"/>
      <c r="DI1396" s="28"/>
      <c r="DL1396" s="28"/>
      <c r="DO1396" s="28"/>
      <c r="DR1396" s="28"/>
      <c r="DU1396" s="28"/>
      <c r="DX1396" s="28"/>
      <c r="EA1396" s="28"/>
      <c r="ED1396" s="28"/>
      <c r="EG1396" s="28"/>
      <c r="EJ1396" s="28"/>
      <c r="EM1396" s="28"/>
      <c r="EP1396" s="28"/>
      <c r="ES1396" s="28"/>
      <c r="EV1396" s="28"/>
      <c r="EY1396" s="28"/>
      <c r="FB1396" s="28"/>
      <c r="FE1396" s="28"/>
      <c r="FH1396" s="28"/>
      <c r="FK1396" s="28"/>
      <c r="FN1396" s="28"/>
      <c r="FQ1396" s="28"/>
      <c r="FT1396" s="28"/>
      <c r="FW1396" s="28"/>
      <c r="FZ1396" s="28"/>
      <c r="GC1396" s="28"/>
    </row>
    <row r="1397" spans="1:185" s="25" customFormat="1" x14ac:dyDescent="0.3">
      <c r="A1397" s="27"/>
      <c r="B1397" s="28"/>
      <c r="C1397" s="27"/>
      <c r="D1397" s="26"/>
      <c r="E1397" s="28"/>
      <c r="H1397" s="28"/>
      <c r="K1397" s="28"/>
      <c r="N1397" s="28"/>
      <c r="Q1397" s="28"/>
      <c r="T1397" s="28"/>
      <c r="W1397" s="28"/>
      <c r="Z1397" s="28"/>
      <c r="AC1397" s="28"/>
      <c r="AF1397" s="28"/>
      <c r="AI1397" s="28"/>
      <c r="AL1397" s="28"/>
      <c r="AO1397" s="28"/>
      <c r="AR1397" s="28"/>
      <c r="AU1397" s="28"/>
      <c r="AX1397" s="28"/>
      <c r="BA1397" s="28"/>
      <c r="BD1397" s="28"/>
      <c r="BG1397" s="28"/>
      <c r="BJ1397" s="28"/>
      <c r="BM1397" s="28"/>
      <c r="BP1397" s="28"/>
      <c r="BS1397" s="28"/>
      <c r="BV1397" s="28"/>
      <c r="BY1397" s="28"/>
      <c r="CB1397" s="28"/>
      <c r="CE1397" s="28"/>
      <c r="CH1397" s="28"/>
      <c r="CK1397" s="28"/>
      <c r="CN1397" s="28"/>
      <c r="CQ1397" s="28"/>
      <c r="CT1397" s="28"/>
      <c r="CW1397" s="28"/>
      <c r="CZ1397" s="28"/>
      <c r="DC1397" s="28"/>
      <c r="DF1397" s="28"/>
      <c r="DI1397" s="28"/>
      <c r="DL1397" s="28"/>
      <c r="DO1397" s="28"/>
      <c r="DR1397" s="28"/>
      <c r="DU1397" s="28"/>
      <c r="DX1397" s="28"/>
      <c r="EA1397" s="28"/>
      <c r="ED1397" s="28"/>
      <c r="EG1397" s="28"/>
      <c r="EJ1397" s="28"/>
      <c r="EM1397" s="28"/>
      <c r="EP1397" s="28"/>
      <c r="ES1397" s="28"/>
      <c r="EV1397" s="28"/>
      <c r="EY1397" s="28"/>
      <c r="FB1397" s="28"/>
      <c r="FE1397" s="28"/>
      <c r="FH1397" s="28"/>
      <c r="FK1397" s="28"/>
      <c r="FN1397" s="28"/>
      <c r="FQ1397" s="28"/>
      <c r="FT1397" s="28"/>
      <c r="FW1397" s="28"/>
      <c r="FZ1397" s="28"/>
      <c r="GC1397" s="28"/>
    </row>
    <row r="1398" spans="1:185" s="25" customFormat="1" x14ac:dyDescent="0.3">
      <c r="A1398" s="27"/>
      <c r="B1398" s="28"/>
      <c r="C1398" s="27"/>
      <c r="D1398" s="26"/>
      <c r="E1398" s="28"/>
      <c r="H1398" s="28"/>
      <c r="K1398" s="28"/>
      <c r="N1398" s="28"/>
      <c r="Q1398" s="28"/>
      <c r="T1398" s="28"/>
      <c r="W1398" s="28"/>
      <c r="Z1398" s="28"/>
      <c r="AC1398" s="28"/>
      <c r="AF1398" s="28"/>
      <c r="AI1398" s="28"/>
      <c r="AL1398" s="28"/>
      <c r="AO1398" s="28"/>
      <c r="AR1398" s="28"/>
      <c r="AU1398" s="28"/>
      <c r="AX1398" s="28"/>
      <c r="BA1398" s="28"/>
      <c r="BD1398" s="28"/>
      <c r="BG1398" s="28"/>
      <c r="BJ1398" s="28"/>
      <c r="BM1398" s="28"/>
      <c r="BP1398" s="28"/>
      <c r="BS1398" s="28"/>
      <c r="BV1398" s="28"/>
      <c r="BY1398" s="28"/>
      <c r="CB1398" s="28"/>
      <c r="CE1398" s="28"/>
      <c r="CH1398" s="28"/>
      <c r="CK1398" s="28"/>
      <c r="CN1398" s="28"/>
      <c r="CQ1398" s="28"/>
      <c r="CT1398" s="28"/>
      <c r="CW1398" s="28"/>
      <c r="CZ1398" s="28"/>
      <c r="DC1398" s="28"/>
      <c r="DF1398" s="28"/>
      <c r="DI1398" s="28"/>
      <c r="DL1398" s="28"/>
      <c r="DO1398" s="28"/>
      <c r="DR1398" s="28"/>
      <c r="DU1398" s="28"/>
      <c r="DX1398" s="28"/>
      <c r="EA1398" s="28"/>
      <c r="ED1398" s="28"/>
      <c r="EG1398" s="28"/>
      <c r="EJ1398" s="28"/>
      <c r="EM1398" s="28"/>
      <c r="EP1398" s="28"/>
      <c r="ES1398" s="28"/>
      <c r="EV1398" s="28"/>
      <c r="EY1398" s="28"/>
      <c r="FB1398" s="28"/>
      <c r="FE1398" s="28"/>
      <c r="FH1398" s="28"/>
      <c r="FK1398" s="28"/>
      <c r="FN1398" s="28"/>
      <c r="FQ1398" s="28"/>
      <c r="FT1398" s="28"/>
      <c r="FW1398" s="28"/>
      <c r="FZ1398" s="28"/>
      <c r="GC1398" s="28"/>
    </row>
    <row r="1399" spans="1:185" s="25" customFormat="1" x14ac:dyDescent="0.3">
      <c r="A1399" s="27"/>
      <c r="B1399" s="28"/>
      <c r="C1399" s="27"/>
      <c r="D1399" s="26"/>
      <c r="E1399" s="28"/>
      <c r="H1399" s="28"/>
      <c r="K1399" s="28"/>
      <c r="N1399" s="28"/>
      <c r="Q1399" s="28"/>
      <c r="T1399" s="28"/>
      <c r="W1399" s="28"/>
      <c r="Z1399" s="28"/>
      <c r="AC1399" s="28"/>
      <c r="AF1399" s="28"/>
      <c r="AI1399" s="28"/>
      <c r="AL1399" s="28"/>
      <c r="AO1399" s="28"/>
      <c r="AR1399" s="28"/>
      <c r="AU1399" s="28"/>
      <c r="AX1399" s="28"/>
      <c r="BA1399" s="28"/>
      <c r="BD1399" s="28"/>
      <c r="BG1399" s="28"/>
      <c r="BJ1399" s="28"/>
      <c r="BM1399" s="28"/>
      <c r="BP1399" s="28"/>
      <c r="BS1399" s="28"/>
      <c r="BV1399" s="28"/>
      <c r="BY1399" s="28"/>
      <c r="CB1399" s="28"/>
      <c r="CE1399" s="28"/>
      <c r="CH1399" s="28"/>
      <c r="CK1399" s="28"/>
      <c r="CN1399" s="28"/>
      <c r="CQ1399" s="28"/>
      <c r="CT1399" s="28"/>
      <c r="CW1399" s="28"/>
      <c r="CZ1399" s="28"/>
      <c r="DC1399" s="28"/>
      <c r="DF1399" s="28"/>
      <c r="DI1399" s="28"/>
      <c r="DL1399" s="28"/>
      <c r="DO1399" s="28"/>
      <c r="DR1399" s="28"/>
      <c r="DU1399" s="28"/>
      <c r="DX1399" s="28"/>
      <c r="EA1399" s="28"/>
      <c r="ED1399" s="28"/>
      <c r="EG1399" s="28"/>
      <c r="EJ1399" s="28"/>
      <c r="EM1399" s="28"/>
      <c r="EP1399" s="28"/>
      <c r="ES1399" s="28"/>
      <c r="EV1399" s="28"/>
      <c r="EY1399" s="28"/>
      <c r="FB1399" s="28"/>
      <c r="FE1399" s="28"/>
      <c r="FH1399" s="28"/>
      <c r="FK1399" s="28"/>
      <c r="FN1399" s="28"/>
      <c r="FQ1399" s="28"/>
      <c r="FT1399" s="28"/>
      <c r="FW1399" s="28"/>
      <c r="FZ1399" s="28"/>
      <c r="GC1399" s="28"/>
    </row>
    <row r="1400" spans="1:185" s="25" customFormat="1" x14ac:dyDescent="0.3">
      <c r="A1400" s="27"/>
      <c r="B1400" s="28"/>
      <c r="C1400" s="27"/>
      <c r="D1400" s="26"/>
      <c r="E1400" s="28"/>
      <c r="H1400" s="28"/>
      <c r="K1400" s="28"/>
      <c r="N1400" s="28"/>
      <c r="Q1400" s="28"/>
      <c r="T1400" s="28"/>
      <c r="W1400" s="28"/>
      <c r="Z1400" s="28"/>
      <c r="AC1400" s="28"/>
      <c r="AF1400" s="28"/>
      <c r="AI1400" s="28"/>
      <c r="AL1400" s="28"/>
      <c r="AO1400" s="28"/>
      <c r="AR1400" s="28"/>
      <c r="AU1400" s="28"/>
      <c r="AX1400" s="28"/>
      <c r="BA1400" s="28"/>
      <c r="BD1400" s="28"/>
      <c r="BG1400" s="28"/>
      <c r="BJ1400" s="28"/>
      <c r="BM1400" s="28"/>
      <c r="BP1400" s="28"/>
      <c r="BS1400" s="28"/>
      <c r="BV1400" s="28"/>
      <c r="BY1400" s="28"/>
      <c r="CB1400" s="28"/>
      <c r="CE1400" s="28"/>
      <c r="CH1400" s="28"/>
      <c r="CK1400" s="28"/>
      <c r="CN1400" s="28"/>
      <c r="CQ1400" s="28"/>
      <c r="CT1400" s="28"/>
      <c r="CW1400" s="28"/>
      <c r="CZ1400" s="28"/>
      <c r="DC1400" s="28"/>
      <c r="DF1400" s="28"/>
      <c r="DI1400" s="28"/>
      <c r="DL1400" s="28"/>
      <c r="DO1400" s="28"/>
      <c r="DR1400" s="28"/>
      <c r="DU1400" s="28"/>
      <c r="DX1400" s="28"/>
      <c r="EA1400" s="28"/>
      <c r="ED1400" s="28"/>
      <c r="EG1400" s="28"/>
      <c r="EJ1400" s="28"/>
      <c r="EM1400" s="28"/>
      <c r="EP1400" s="28"/>
      <c r="ES1400" s="28"/>
      <c r="EV1400" s="28"/>
      <c r="EY1400" s="28"/>
      <c r="FB1400" s="28"/>
      <c r="FE1400" s="28"/>
      <c r="FH1400" s="28"/>
      <c r="FK1400" s="28"/>
      <c r="FN1400" s="28"/>
      <c r="FQ1400" s="28"/>
      <c r="FT1400" s="28"/>
      <c r="FW1400" s="28"/>
      <c r="FZ1400" s="28"/>
      <c r="GC1400" s="28"/>
    </row>
    <row r="1401" spans="1:185" s="25" customFormat="1" x14ac:dyDescent="0.3">
      <c r="A1401" s="27"/>
      <c r="B1401" s="28"/>
      <c r="C1401" s="27"/>
      <c r="D1401" s="26"/>
      <c r="E1401" s="28"/>
      <c r="H1401" s="28"/>
      <c r="K1401" s="28"/>
      <c r="N1401" s="28"/>
      <c r="Q1401" s="28"/>
      <c r="T1401" s="28"/>
      <c r="W1401" s="28"/>
      <c r="Z1401" s="28"/>
      <c r="AC1401" s="28"/>
      <c r="AF1401" s="28"/>
      <c r="AI1401" s="28"/>
      <c r="AL1401" s="28"/>
      <c r="AO1401" s="28"/>
      <c r="AR1401" s="28"/>
      <c r="AU1401" s="28"/>
      <c r="AX1401" s="28"/>
      <c r="BA1401" s="28"/>
      <c r="BD1401" s="28"/>
      <c r="BG1401" s="28"/>
      <c r="BJ1401" s="28"/>
      <c r="BM1401" s="28"/>
      <c r="BP1401" s="28"/>
      <c r="BS1401" s="28"/>
      <c r="BV1401" s="28"/>
      <c r="BY1401" s="28"/>
      <c r="CB1401" s="28"/>
      <c r="CE1401" s="28"/>
      <c r="CH1401" s="28"/>
      <c r="CK1401" s="28"/>
      <c r="CN1401" s="28"/>
      <c r="CQ1401" s="28"/>
      <c r="CT1401" s="28"/>
      <c r="CW1401" s="28"/>
      <c r="CZ1401" s="28"/>
      <c r="DC1401" s="28"/>
      <c r="DF1401" s="28"/>
      <c r="DI1401" s="28"/>
      <c r="DL1401" s="28"/>
      <c r="DO1401" s="28"/>
      <c r="DR1401" s="28"/>
      <c r="DU1401" s="28"/>
      <c r="DX1401" s="28"/>
      <c r="EA1401" s="28"/>
      <c r="ED1401" s="28"/>
      <c r="EG1401" s="28"/>
      <c r="EJ1401" s="28"/>
      <c r="EM1401" s="28"/>
      <c r="EP1401" s="28"/>
      <c r="ES1401" s="28"/>
      <c r="EV1401" s="28"/>
      <c r="EY1401" s="28"/>
      <c r="FB1401" s="28"/>
      <c r="FE1401" s="28"/>
      <c r="FH1401" s="28"/>
      <c r="FK1401" s="28"/>
      <c r="FN1401" s="28"/>
      <c r="FQ1401" s="28"/>
      <c r="FT1401" s="28"/>
      <c r="FW1401" s="28"/>
      <c r="FZ1401" s="28"/>
      <c r="GC1401" s="28"/>
    </row>
    <row r="1402" spans="1:185" s="25" customFormat="1" x14ac:dyDescent="0.3">
      <c r="A1402" s="27"/>
      <c r="B1402" s="28"/>
      <c r="C1402" s="27"/>
      <c r="D1402" s="26"/>
      <c r="E1402" s="28"/>
      <c r="H1402" s="28"/>
      <c r="K1402" s="28"/>
      <c r="N1402" s="28"/>
      <c r="Q1402" s="28"/>
      <c r="T1402" s="28"/>
      <c r="W1402" s="28"/>
      <c r="Z1402" s="28"/>
      <c r="AC1402" s="28"/>
      <c r="AF1402" s="28"/>
      <c r="AI1402" s="28"/>
      <c r="AL1402" s="28"/>
      <c r="AO1402" s="28"/>
      <c r="AR1402" s="28"/>
      <c r="AU1402" s="28"/>
      <c r="AX1402" s="28"/>
      <c r="BA1402" s="28"/>
      <c r="BD1402" s="28"/>
      <c r="BG1402" s="28"/>
      <c r="BJ1402" s="28"/>
      <c r="BM1402" s="28"/>
      <c r="BP1402" s="28"/>
      <c r="BS1402" s="28"/>
      <c r="BV1402" s="28"/>
      <c r="BY1402" s="28"/>
      <c r="CB1402" s="28"/>
      <c r="CE1402" s="28"/>
      <c r="CH1402" s="28"/>
      <c r="CK1402" s="28"/>
      <c r="CN1402" s="28"/>
      <c r="CQ1402" s="28"/>
      <c r="CT1402" s="28"/>
      <c r="CW1402" s="28"/>
      <c r="CZ1402" s="28"/>
      <c r="DC1402" s="28"/>
      <c r="DF1402" s="28"/>
      <c r="DI1402" s="28"/>
      <c r="DL1402" s="28"/>
      <c r="DO1402" s="28"/>
      <c r="DR1402" s="28"/>
      <c r="DU1402" s="28"/>
      <c r="DX1402" s="28"/>
      <c r="EA1402" s="28"/>
      <c r="ED1402" s="28"/>
      <c r="EG1402" s="28"/>
      <c r="EJ1402" s="28"/>
      <c r="EM1402" s="28"/>
      <c r="EP1402" s="28"/>
      <c r="ES1402" s="28"/>
      <c r="EV1402" s="28"/>
      <c r="EY1402" s="28"/>
      <c r="FB1402" s="28"/>
      <c r="FE1402" s="28"/>
      <c r="FH1402" s="28"/>
      <c r="FK1402" s="28"/>
      <c r="FN1402" s="28"/>
      <c r="FQ1402" s="28"/>
      <c r="FT1402" s="28"/>
      <c r="FW1402" s="28"/>
      <c r="FZ1402" s="28"/>
      <c r="GC1402" s="28"/>
    </row>
    <row r="1403" spans="1:185" s="25" customFormat="1" x14ac:dyDescent="0.3">
      <c r="A1403" s="27"/>
      <c r="B1403" s="28"/>
      <c r="C1403" s="27"/>
      <c r="D1403" s="26"/>
      <c r="E1403" s="28"/>
      <c r="H1403" s="28"/>
      <c r="K1403" s="28"/>
      <c r="N1403" s="28"/>
      <c r="Q1403" s="28"/>
      <c r="T1403" s="28"/>
      <c r="W1403" s="28"/>
      <c r="Z1403" s="28"/>
      <c r="AC1403" s="28"/>
      <c r="AF1403" s="28"/>
      <c r="AI1403" s="28"/>
      <c r="AL1403" s="28"/>
      <c r="AO1403" s="28"/>
      <c r="AR1403" s="28"/>
      <c r="AU1403" s="28"/>
      <c r="AX1403" s="28"/>
      <c r="BA1403" s="28"/>
      <c r="BD1403" s="28"/>
      <c r="BG1403" s="28"/>
      <c r="BJ1403" s="28"/>
      <c r="BM1403" s="28"/>
      <c r="BP1403" s="28"/>
      <c r="BS1403" s="28"/>
      <c r="BV1403" s="28"/>
      <c r="BY1403" s="28"/>
      <c r="CB1403" s="28"/>
      <c r="CE1403" s="28"/>
      <c r="CH1403" s="28"/>
      <c r="CK1403" s="28"/>
      <c r="CN1403" s="28"/>
      <c r="CQ1403" s="28"/>
      <c r="CT1403" s="28"/>
      <c r="CW1403" s="28"/>
      <c r="CZ1403" s="28"/>
      <c r="DC1403" s="28"/>
      <c r="DF1403" s="28"/>
      <c r="DI1403" s="28"/>
      <c r="DL1403" s="28"/>
      <c r="DO1403" s="28"/>
      <c r="DR1403" s="28"/>
      <c r="DU1403" s="28"/>
      <c r="DX1403" s="28"/>
      <c r="EA1403" s="28"/>
      <c r="ED1403" s="28"/>
      <c r="EG1403" s="28"/>
      <c r="EJ1403" s="28"/>
      <c r="EM1403" s="28"/>
      <c r="EP1403" s="28"/>
      <c r="ES1403" s="28"/>
      <c r="EV1403" s="28"/>
      <c r="EY1403" s="28"/>
      <c r="FB1403" s="28"/>
      <c r="FE1403" s="28"/>
      <c r="FH1403" s="28"/>
      <c r="FK1403" s="28"/>
      <c r="FN1403" s="28"/>
      <c r="FQ1403" s="28"/>
      <c r="FT1403" s="28"/>
      <c r="FW1403" s="28"/>
      <c r="FZ1403" s="28"/>
      <c r="GC1403" s="28"/>
    </row>
    <row r="1404" spans="1:185" s="25" customFormat="1" x14ac:dyDescent="0.3">
      <c r="A1404" s="27"/>
      <c r="B1404" s="28"/>
      <c r="C1404" s="27"/>
      <c r="D1404" s="26"/>
      <c r="E1404" s="28"/>
      <c r="H1404" s="28"/>
      <c r="K1404" s="28"/>
      <c r="N1404" s="28"/>
      <c r="Q1404" s="28"/>
      <c r="T1404" s="28"/>
      <c r="W1404" s="28"/>
      <c r="Z1404" s="28"/>
      <c r="AC1404" s="28"/>
      <c r="AF1404" s="28"/>
      <c r="AI1404" s="28"/>
      <c r="AL1404" s="28"/>
      <c r="AO1404" s="28"/>
      <c r="AR1404" s="28"/>
      <c r="AU1404" s="28"/>
      <c r="AX1404" s="28"/>
      <c r="BA1404" s="28"/>
      <c r="BD1404" s="28"/>
      <c r="BG1404" s="28"/>
      <c r="BJ1404" s="28"/>
      <c r="BM1404" s="28"/>
      <c r="BP1404" s="28"/>
      <c r="BS1404" s="28"/>
      <c r="BV1404" s="28"/>
      <c r="BY1404" s="28"/>
      <c r="CB1404" s="28"/>
      <c r="CE1404" s="28"/>
      <c r="CH1404" s="28"/>
      <c r="CK1404" s="28"/>
      <c r="CN1404" s="28"/>
      <c r="CQ1404" s="28"/>
      <c r="CT1404" s="28"/>
      <c r="CW1404" s="28"/>
      <c r="CZ1404" s="28"/>
      <c r="DC1404" s="28"/>
      <c r="DF1404" s="28"/>
      <c r="DI1404" s="28"/>
      <c r="DL1404" s="28"/>
      <c r="DO1404" s="28"/>
      <c r="DR1404" s="28"/>
      <c r="DU1404" s="28"/>
      <c r="DX1404" s="28"/>
      <c r="EA1404" s="28"/>
      <c r="ED1404" s="28"/>
      <c r="EG1404" s="28"/>
      <c r="EJ1404" s="28"/>
      <c r="EM1404" s="28"/>
      <c r="EP1404" s="28"/>
      <c r="ES1404" s="28"/>
      <c r="EV1404" s="28"/>
      <c r="EY1404" s="28"/>
      <c r="FB1404" s="28"/>
      <c r="FE1404" s="28"/>
      <c r="FH1404" s="28"/>
      <c r="FK1404" s="28"/>
      <c r="FN1404" s="28"/>
      <c r="FQ1404" s="28"/>
      <c r="FT1404" s="28"/>
      <c r="FW1404" s="28"/>
      <c r="FZ1404" s="28"/>
      <c r="GC1404" s="28"/>
    </row>
    <row r="1405" spans="1:185" s="25" customFormat="1" x14ac:dyDescent="0.3">
      <c r="A1405" s="27"/>
      <c r="B1405" s="28"/>
      <c r="C1405" s="27"/>
      <c r="D1405" s="26"/>
      <c r="E1405" s="28"/>
      <c r="H1405" s="28"/>
      <c r="K1405" s="28"/>
      <c r="N1405" s="28"/>
      <c r="Q1405" s="28"/>
      <c r="T1405" s="28"/>
      <c r="W1405" s="28"/>
      <c r="Z1405" s="28"/>
      <c r="AC1405" s="28"/>
      <c r="AF1405" s="28"/>
      <c r="AI1405" s="28"/>
      <c r="AL1405" s="28"/>
      <c r="AO1405" s="28"/>
      <c r="AR1405" s="28"/>
      <c r="AU1405" s="28"/>
      <c r="AX1405" s="28"/>
      <c r="BA1405" s="28"/>
      <c r="BD1405" s="28"/>
      <c r="BG1405" s="28"/>
      <c r="BJ1405" s="28"/>
      <c r="BM1405" s="28"/>
      <c r="BP1405" s="28"/>
      <c r="BS1405" s="28"/>
      <c r="BV1405" s="28"/>
      <c r="BY1405" s="28"/>
      <c r="CB1405" s="28"/>
      <c r="CE1405" s="28"/>
      <c r="CH1405" s="28"/>
      <c r="CK1405" s="28"/>
      <c r="CN1405" s="28"/>
      <c r="CQ1405" s="28"/>
      <c r="CT1405" s="28"/>
      <c r="CW1405" s="28"/>
      <c r="CZ1405" s="28"/>
      <c r="DC1405" s="28"/>
      <c r="DF1405" s="28"/>
      <c r="DI1405" s="28"/>
      <c r="DL1405" s="28"/>
      <c r="DO1405" s="28"/>
      <c r="DR1405" s="28"/>
      <c r="DU1405" s="28"/>
      <c r="DX1405" s="28"/>
      <c r="EA1405" s="28"/>
      <c r="ED1405" s="28"/>
      <c r="EG1405" s="28"/>
      <c r="EJ1405" s="28"/>
      <c r="EM1405" s="28"/>
      <c r="EP1405" s="28"/>
      <c r="ES1405" s="28"/>
      <c r="EV1405" s="28"/>
      <c r="EY1405" s="28"/>
      <c r="FB1405" s="28"/>
      <c r="FE1405" s="28"/>
      <c r="FH1405" s="28"/>
      <c r="FK1405" s="28"/>
      <c r="FN1405" s="28"/>
      <c r="FQ1405" s="28"/>
      <c r="FT1405" s="28"/>
      <c r="FW1405" s="28"/>
      <c r="FZ1405" s="28"/>
      <c r="GC1405" s="28"/>
    </row>
    <row r="1406" spans="1:185" s="25" customFormat="1" x14ac:dyDescent="0.3">
      <c r="A1406" s="27"/>
      <c r="B1406" s="28"/>
      <c r="C1406" s="27"/>
      <c r="D1406" s="26"/>
      <c r="E1406" s="28"/>
      <c r="H1406" s="28"/>
      <c r="K1406" s="28"/>
      <c r="N1406" s="28"/>
      <c r="Q1406" s="28"/>
      <c r="T1406" s="28"/>
      <c r="W1406" s="28"/>
      <c r="Z1406" s="28"/>
      <c r="AC1406" s="28"/>
      <c r="AF1406" s="28"/>
      <c r="AI1406" s="28"/>
      <c r="AL1406" s="28"/>
      <c r="AO1406" s="28"/>
      <c r="AR1406" s="28"/>
      <c r="AU1406" s="28"/>
      <c r="AX1406" s="28"/>
      <c r="BA1406" s="28"/>
      <c r="BD1406" s="28"/>
      <c r="BG1406" s="28"/>
      <c r="BJ1406" s="28"/>
      <c r="BM1406" s="28"/>
      <c r="BP1406" s="28"/>
      <c r="BS1406" s="28"/>
      <c r="BV1406" s="28"/>
      <c r="BY1406" s="28"/>
      <c r="CB1406" s="28"/>
      <c r="CE1406" s="28"/>
      <c r="CH1406" s="28"/>
      <c r="CK1406" s="28"/>
      <c r="CN1406" s="28"/>
      <c r="CQ1406" s="28"/>
      <c r="CT1406" s="28"/>
      <c r="CW1406" s="28"/>
      <c r="CZ1406" s="28"/>
      <c r="DC1406" s="28"/>
      <c r="DF1406" s="28"/>
      <c r="DI1406" s="28"/>
      <c r="DL1406" s="28"/>
      <c r="DO1406" s="28"/>
      <c r="DR1406" s="28"/>
      <c r="DU1406" s="28"/>
      <c r="DX1406" s="28"/>
      <c r="EA1406" s="28"/>
      <c r="ED1406" s="28"/>
      <c r="EG1406" s="28"/>
      <c r="EJ1406" s="28"/>
      <c r="EM1406" s="28"/>
      <c r="EP1406" s="28"/>
      <c r="ES1406" s="28"/>
      <c r="EV1406" s="28"/>
      <c r="EY1406" s="28"/>
      <c r="FB1406" s="28"/>
      <c r="FE1406" s="28"/>
      <c r="FH1406" s="28"/>
      <c r="FK1406" s="28"/>
      <c r="FN1406" s="28"/>
      <c r="FQ1406" s="28"/>
      <c r="FT1406" s="28"/>
      <c r="FW1406" s="28"/>
      <c r="FZ1406" s="28"/>
      <c r="GC1406" s="28"/>
    </row>
    <row r="1407" spans="1:185" s="25" customFormat="1" x14ac:dyDescent="0.3">
      <c r="A1407" s="27"/>
      <c r="B1407" s="28"/>
      <c r="C1407" s="27"/>
      <c r="D1407" s="26"/>
      <c r="E1407" s="28"/>
      <c r="H1407" s="28"/>
      <c r="K1407" s="28"/>
      <c r="N1407" s="28"/>
      <c r="Q1407" s="28"/>
      <c r="T1407" s="28"/>
      <c r="W1407" s="28"/>
      <c r="Z1407" s="28"/>
      <c r="AC1407" s="28"/>
      <c r="AF1407" s="28"/>
      <c r="AI1407" s="28"/>
      <c r="AL1407" s="28"/>
      <c r="AO1407" s="28"/>
      <c r="AR1407" s="28"/>
      <c r="AU1407" s="28"/>
      <c r="AX1407" s="28"/>
      <c r="BA1407" s="28"/>
      <c r="BD1407" s="28"/>
      <c r="BG1407" s="28"/>
      <c r="BJ1407" s="28"/>
      <c r="BM1407" s="28"/>
      <c r="BP1407" s="28"/>
      <c r="BS1407" s="28"/>
      <c r="BV1407" s="28"/>
      <c r="BY1407" s="28"/>
      <c r="CB1407" s="28"/>
      <c r="CE1407" s="28"/>
      <c r="CH1407" s="28"/>
      <c r="CK1407" s="28"/>
      <c r="CN1407" s="28"/>
      <c r="CQ1407" s="28"/>
      <c r="CT1407" s="28"/>
      <c r="CW1407" s="28"/>
      <c r="CZ1407" s="28"/>
      <c r="DC1407" s="28"/>
      <c r="DF1407" s="28"/>
      <c r="DI1407" s="28"/>
      <c r="DL1407" s="28"/>
      <c r="DO1407" s="28"/>
      <c r="DR1407" s="28"/>
      <c r="DU1407" s="28"/>
      <c r="DX1407" s="28"/>
      <c r="EA1407" s="28"/>
      <c r="ED1407" s="28"/>
      <c r="EG1407" s="28"/>
      <c r="EJ1407" s="28"/>
      <c r="EM1407" s="28"/>
      <c r="EP1407" s="28"/>
      <c r="ES1407" s="28"/>
      <c r="EV1407" s="28"/>
      <c r="EY1407" s="28"/>
      <c r="FB1407" s="28"/>
      <c r="FE1407" s="28"/>
      <c r="FH1407" s="28"/>
      <c r="FK1407" s="28"/>
      <c r="FN1407" s="28"/>
      <c r="FQ1407" s="28"/>
      <c r="FT1407" s="28"/>
      <c r="FW1407" s="28"/>
      <c r="FZ1407" s="28"/>
      <c r="GC1407" s="28"/>
    </row>
    <row r="1408" spans="1:185" s="25" customFormat="1" x14ac:dyDescent="0.3">
      <c r="A1408" s="27"/>
      <c r="B1408" s="28"/>
      <c r="C1408" s="27"/>
      <c r="D1408" s="26"/>
      <c r="E1408" s="28"/>
      <c r="H1408" s="28"/>
      <c r="K1408" s="28"/>
      <c r="N1408" s="28"/>
      <c r="Q1408" s="28"/>
      <c r="T1408" s="28"/>
      <c r="W1408" s="28"/>
      <c r="Z1408" s="28"/>
      <c r="AC1408" s="28"/>
      <c r="AF1408" s="28"/>
      <c r="AI1408" s="28"/>
      <c r="AL1408" s="28"/>
      <c r="AO1408" s="28"/>
      <c r="AR1408" s="28"/>
      <c r="AU1408" s="28"/>
      <c r="AX1408" s="28"/>
      <c r="BA1408" s="28"/>
      <c r="BD1408" s="28"/>
      <c r="BG1408" s="28"/>
      <c r="BJ1408" s="28"/>
      <c r="BM1408" s="28"/>
      <c r="BP1408" s="28"/>
      <c r="BS1408" s="28"/>
      <c r="BV1408" s="28"/>
      <c r="BY1408" s="28"/>
      <c r="CB1408" s="28"/>
      <c r="CE1408" s="28"/>
      <c r="CH1408" s="28"/>
      <c r="CK1408" s="28"/>
      <c r="CN1408" s="28"/>
      <c r="CQ1408" s="28"/>
      <c r="CT1408" s="28"/>
      <c r="CW1408" s="28"/>
      <c r="CZ1408" s="28"/>
      <c r="DC1408" s="28"/>
      <c r="DF1408" s="28"/>
      <c r="DI1408" s="28"/>
      <c r="DL1408" s="28"/>
      <c r="DO1408" s="28"/>
      <c r="DR1408" s="28"/>
      <c r="DU1408" s="28"/>
      <c r="DX1408" s="28"/>
      <c r="EA1408" s="28"/>
      <c r="ED1408" s="28"/>
      <c r="EG1408" s="28"/>
      <c r="EJ1408" s="28"/>
      <c r="EM1408" s="28"/>
      <c r="EP1408" s="28"/>
      <c r="ES1408" s="28"/>
      <c r="EV1408" s="28"/>
      <c r="EY1408" s="28"/>
      <c r="FB1408" s="28"/>
      <c r="FE1408" s="28"/>
      <c r="FH1408" s="28"/>
      <c r="FK1408" s="28"/>
      <c r="FN1408" s="28"/>
      <c r="FQ1408" s="28"/>
      <c r="FT1408" s="28"/>
      <c r="FW1408" s="28"/>
      <c r="FZ1408" s="28"/>
      <c r="GC1408" s="28"/>
    </row>
    <row r="1409" spans="1:185" s="25" customFormat="1" x14ac:dyDescent="0.3">
      <c r="A1409" s="27"/>
      <c r="B1409" s="28"/>
      <c r="C1409" s="27"/>
      <c r="D1409" s="26"/>
      <c r="E1409" s="28"/>
      <c r="H1409" s="28"/>
      <c r="K1409" s="28"/>
      <c r="N1409" s="28"/>
      <c r="Q1409" s="28"/>
      <c r="T1409" s="28"/>
      <c r="W1409" s="28"/>
      <c r="Z1409" s="28"/>
      <c r="AC1409" s="28"/>
      <c r="AF1409" s="28"/>
      <c r="AI1409" s="28"/>
      <c r="AL1409" s="28"/>
      <c r="AO1409" s="28"/>
      <c r="AR1409" s="28"/>
      <c r="AU1409" s="28"/>
      <c r="AX1409" s="28"/>
      <c r="BA1409" s="28"/>
      <c r="BD1409" s="28"/>
      <c r="BG1409" s="28"/>
      <c r="BJ1409" s="28"/>
      <c r="BM1409" s="28"/>
      <c r="BP1409" s="28"/>
      <c r="BS1409" s="28"/>
      <c r="BV1409" s="28"/>
      <c r="BY1409" s="28"/>
      <c r="CB1409" s="28"/>
      <c r="CE1409" s="28"/>
      <c r="CH1409" s="28"/>
      <c r="CK1409" s="28"/>
      <c r="CN1409" s="28"/>
      <c r="CQ1409" s="28"/>
      <c r="CT1409" s="28"/>
      <c r="CW1409" s="28"/>
      <c r="CZ1409" s="28"/>
      <c r="DC1409" s="28"/>
      <c r="DF1409" s="28"/>
      <c r="DI1409" s="28"/>
      <c r="DL1409" s="28"/>
      <c r="DO1409" s="28"/>
      <c r="DR1409" s="28"/>
      <c r="DU1409" s="28"/>
      <c r="DX1409" s="28"/>
      <c r="EA1409" s="28"/>
      <c r="ED1409" s="28"/>
      <c r="EG1409" s="28"/>
      <c r="EJ1409" s="28"/>
      <c r="EM1409" s="28"/>
      <c r="EP1409" s="28"/>
      <c r="ES1409" s="28"/>
      <c r="EV1409" s="28"/>
      <c r="EY1409" s="28"/>
      <c r="FB1409" s="28"/>
      <c r="FE1409" s="28"/>
      <c r="FH1409" s="28"/>
      <c r="FK1409" s="28"/>
      <c r="FN1409" s="28"/>
      <c r="FQ1409" s="28"/>
      <c r="FT1409" s="28"/>
      <c r="FW1409" s="28"/>
      <c r="FZ1409" s="28"/>
      <c r="GC1409" s="28"/>
    </row>
    <row r="1410" spans="1:185" s="25" customFormat="1" x14ac:dyDescent="0.3">
      <c r="A1410" s="27"/>
      <c r="B1410" s="28"/>
      <c r="C1410" s="27"/>
      <c r="D1410" s="26"/>
      <c r="E1410" s="28"/>
      <c r="H1410" s="28"/>
      <c r="K1410" s="28"/>
      <c r="N1410" s="28"/>
      <c r="Q1410" s="28"/>
      <c r="T1410" s="28"/>
      <c r="W1410" s="28"/>
      <c r="Z1410" s="28"/>
      <c r="AC1410" s="28"/>
      <c r="AF1410" s="28"/>
      <c r="AI1410" s="28"/>
      <c r="AL1410" s="28"/>
      <c r="AO1410" s="28"/>
      <c r="AR1410" s="28"/>
      <c r="AU1410" s="28"/>
      <c r="AX1410" s="28"/>
      <c r="BA1410" s="28"/>
      <c r="BD1410" s="28"/>
      <c r="BG1410" s="28"/>
      <c r="BJ1410" s="28"/>
      <c r="BM1410" s="28"/>
      <c r="BP1410" s="28"/>
      <c r="BS1410" s="28"/>
      <c r="BV1410" s="28"/>
      <c r="BY1410" s="28"/>
      <c r="CB1410" s="28"/>
      <c r="CE1410" s="28"/>
      <c r="CH1410" s="28"/>
      <c r="CK1410" s="28"/>
      <c r="CN1410" s="28"/>
      <c r="CQ1410" s="28"/>
      <c r="CT1410" s="28"/>
      <c r="CW1410" s="28"/>
      <c r="CZ1410" s="28"/>
      <c r="DC1410" s="28"/>
      <c r="DF1410" s="28"/>
      <c r="DI1410" s="28"/>
      <c r="DL1410" s="28"/>
      <c r="DO1410" s="28"/>
      <c r="DR1410" s="28"/>
      <c r="DU1410" s="28"/>
      <c r="DX1410" s="28"/>
      <c r="EA1410" s="28"/>
      <c r="ED1410" s="28"/>
      <c r="EG1410" s="28"/>
      <c r="EJ1410" s="28"/>
      <c r="EM1410" s="28"/>
      <c r="EP1410" s="28"/>
      <c r="ES1410" s="28"/>
      <c r="EV1410" s="28"/>
      <c r="EY1410" s="28"/>
      <c r="FB1410" s="28"/>
      <c r="FE1410" s="28"/>
      <c r="FH1410" s="28"/>
      <c r="FK1410" s="28"/>
      <c r="FN1410" s="28"/>
      <c r="FQ1410" s="28"/>
      <c r="FT1410" s="28"/>
      <c r="FW1410" s="28"/>
      <c r="FZ1410" s="28"/>
      <c r="GC1410" s="28"/>
    </row>
    <row r="1411" spans="1:185" s="25" customFormat="1" x14ac:dyDescent="0.3">
      <c r="A1411" s="27"/>
      <c r="B1411" s="28"/>
      <c r="C1411" s="27"/>
      <c r="D1411" s="26"/>
      <c r="E1411" s="28"/>
      <c r="H1411" s="28"/>
      <c r="K1411" s="28"/>
      <c r="N1411" s="28"/>
      <c r="Q1411" s="28"/>
      <c r="T1411" s="28"/>
      <c r="W1411" s="28"/>
      <c r="Z1411" s="28"/>
      <c r="AC1411" s="28"/>
      <c r="AF1411" s="28"/>
      <c r="AI1411" s="28"/>
      <c r="AL1411" s="28"/>
      <c r="AO1411" s="28"/>
      <c r="AR1411" s="28"/>
      <c r="AU1411" s="28"/>
      <c r="AX1411" s="28"/>
      <c r="BA1411" s="28"/>
      <c r="BD1411" s="28"/>
      <c r="BG1411" s="28"/>
      <c r="BJ1411" s="28"/>
      <c r="BM1411" s="28"/>
      <c r="BP1411" s="28"/>
      <c r="BS1411" s="28"/>
      <c r="BV1411" s="28"/>
      <c r="BY1411" s="28"/>
      <c r="CB1411" s="28"/>
      <c r="CE1411" s="28"/>
      <c r="CH1411" s="28"/>
      <c r="CK1411" s="28"/>
      <c r="CN1411" s="28"/>
      <c r="CQ1411" s="28"/>
      <c r="CT1411" s="28"/>
      <c r="CW1411" s="28"/>
      <c r="CZ1411" s="28"/>
      <c r="DC1411" s="28"/>
      <c r="DF1411" s="28"/>
      <c r="DI1411" s="28"/>
      <c r="DL1411" s="28"/>
      <c r="DO1411" s="28"/>
      <c r="DR1411" s="28"/>
      <c r="DU1411" s="28"/>
      <c r="DX1411" s="28"/>
      <c r="EA1411" s="28"/>
      <c r="ED1411" s="28"/>
      <c r="EG1411" s="28"/>
      <c r="EJ1411" s="28"/>
      <c r="EM1411" s="28"/>
      <c r="EP1411" s="28"/>
      <c r="ES1411" s="28"/>
      <c r="EV1411" s="28"/>
      <c r="EY1411" s="28"/>
      <c r="FB1411" s="28"/>
      <c r="FE1411" s="28"/>
      <c r="FH1411" s="28"/>
      <c r="FK1411" s="28"/>
      <c r="FN1411" s="28"/>
      <c r="FQ1411" s="28"/>
      <c r="FT1411" s="28"/>
      <c r="FW1411" s="28"/>
      <c r="FZ1411" s="28"/>
      <c r="GC1411" s="28"/>
    </row>
    <row r="1412" spans="1:185" s="25" customFormat="1" x14ac:dyDescent="0.3">
      <c r="A1412" s="27"/>
      <c r="B1412" s="28"/>
      <c r="C1412" s="27"/>
      <c r="D1412" s="26"/>
      <c r="E1412" s="28"/>
      <c r="H1412" s="28"/>
      <c r="K1412" s="28"/>
      <c r="N1412" s="28"/>
      <c r="Q1412" s="28"/>
      <c r="T1412" s="28"/>
      <c r="W1412" s="28"/>
      <c r="Z1412" s="28"/>
      <c r="AC1412" s="28"/>
      <c r="AF1412" s="28"/>
      <c r="AI1412" s="28"/>
      <c r="AL1412" s="28"/>
      <c r="AO1412" s="28"/>
      <c r="AR1412" s="28"/>
      <c r="AU1412" s="28"/>
      <c r="AX1412" s="28"/>
      <c r="BA1412" s="28"/>
      <c r="BD1412" s="28"/>
      <c r="BG1412" s="28"/>
      <c r="BJ1412" s="28"/>
      <c r="BM1412" s="28"/>
      <c r="BP1412" s="28"/>
      <c r="BS1412" s="28"/>
      <c r="BV1412" s="28"/>
      <c r="BY1412" s="28"/>
      <c r="CB1412" s="28"/>
      <c r="CE1412" s="28"/>
      <c r="CH1412" s="28"/>
      <c r="CK1412" s="28"/>
      <c r="CN1412" s="28"/>
      <c r="CQ1412" s="28"/>
      <c r="CT1412" s="28"/>
      <c r="CW1412" s="28"/>
      <c r="CZ1412" s="28"/>
      <c r="DC1412" s="28"/>
      <c r="DF1412" s="28"/>
      <c r="DI1412" s="28"/>
      <c r="DL1412" s="28"/>
      <c r="DO1412" s="28"/>
      <c r="DR1412" s="28"/>
      <c r="DU1412" s="28"/>
      <c r="DX1412" s="28"/>
      <c r="EA1412" s="28"/>
      <c r="ED1412" s="28"/>
      <c r="EG1412" s="28"/>
      <c r="EJ1412" s="28"/>
      <c r="EM1412" s="28"/>
      <c r="EP1412" s="28"/>
      <c r="ES1412" s="28"/>
      <c r="EV1412" s="28"/>
      <c r="EY1412" s="28"/>
      <c r="FB1412" s="28"/>
      <c r="FE1412" s="28"/>
      <c r="FH1412" s="28"/>
      <c r="FK1412" s="28"/>
      <c r="FN1412" s="28"/>
      <c r="FQ1412" s="28"/>
      <c r="FT1412" s="28"/>
      <c r="FW1412" s="28"/>
      <c r="FZ1412" s="28"/>
      <c r="GC1412" s="28"/>
    </row>
    <row r="1413" spans="1:185" s="25" customFormat="1" x14ac:dyDescent="0.3">
      <c r="A1413" s="27"/>
      <c r="B1413" s="28"/>
      <c r="C1413" s="27"/>
      <c r="D1413" s="26"/>
      <c r="E1413" s="28"/>
      <c r="H1413" s="28"/>
      <c r="K1413" s="28"/>
      <c r="N1413" s="28"/>
      <c r="Q1413" s="28"/>
      <c r="T1413" s="28"/>
      <c r="W1413" s="28"/>
      <c r="Z1413" s="28"/>
      <c r="AC1413" s="28"/>
      <c r="AF1413" s="28"/>
      <c r="AI1413" s="28"/>
      <c r="AL1413" s="28"/>
      <c r="AO1413" s="28"/>
      <c r="AR1413" s="28"/>
      <c r="AU1413" s="28"/>
      <c r="AX1413" s="28"/>
      <c r="BA1413" s="28"/>
      <c r="BD1413" s="28"/>
      <c r="BG1413" s="28"/>
      <c r="BJ1413" s="28"/>
      <c r="BM1413" s="28"/>
      <c r="BP1413" s="28"/>
      <c r="BS1413" s="28"/>
      <c r="BV1413" s="28"/>
      <c r="BY1413" s="28"/>
      <c r="CB1413" s="28"/>
      <c r="CE1413" s="28"/>
      <c r="CH1413" s="28"/>
      <c r="CK1413" s="28"/>
      <c r="CN1413" s="28"/>
      <c r="CQ1413" s="28"/>
      <c r="CT1413" s="28"/>
      <c r="CW1413" s="28"/>
      <c r="CZ1413" s="28"/>
      <c r="DC1413" s="28"/>
      <c r="DF1413" s="28"/>
      <c r="DI1413" s="28"/>
      <c r="DL1413" s="28"/>
      <c r="DO1413" s="28"/>
      <c r="DR1413" s="28"/>
      <c r="DU1413" s="28"/>
      <c r="DX1413" s="28"/>
      <c r="EA1413" s="28"/>
      <c r="ED1413" s="28"/>
      <c r="EG1413" s="28"/>
      <c r="EJ1413" s="28"/>
      <c r="EM1413" s="28"/>
      <c r="EP1413" s="28"/>
      <c r="ES1413" s="28"/>
      <c r="EV1413" s="28"/>
      <c r="EY1413" s="28"/>
      <c r="FB1413" s="28"/>
      <c r="FE1413" s="28"/>
      <c r="FH1413" s="28"/>
      <c r="FK1413" s="28"/>
      <c r="FN1413" s="28"/>
      <c r="FQ1413" s="28"/>
      <c r="FT1413" s="28"/>
      <c r="FW1413" s="28"/>
      <c r="FZ1413" s="28"/>
      <c r="GC1413" s="28"/>
    </row>
    <row r="1414" spans="1:185" s="25" customFormat="1" x14ac:dyDescent="0.3">
      <c r="A1414" s="27"/>
      <c r="B1414" s="28"/>
      <c r="C1414" s="27"/>
      <c r="D1414" s="26"/>
      <c r="E1414" s="28"/>
      <c r="H1414" s="28"/>
      <c r="K1414" s="28"/>
      <c r="N1414" s="28"/>
      <c r="Q1414" s="28"/>
      <c r="T1414" s="28"/>
      <c r="W1414" s="28"/>
      <c r="Z1414" s="28"/>
      <c r="AC1414" s="28"/>
      <c r="AF1414" s="28"/>
      <c r="AI1414" s="28"/>
      <c r="AL1414" s="28"/>
      <c r="AO1414" s="28"/>
      <c r="AR1414" s="28"/>
      <c r="AU1414" s="28"/>
      <c r="AX1414" s="28"/>
      <c r="BA1414" s="28"/>
      <c r="BD1414" s="28"/>
      <c r="BG1414" s="28"/>
      <c r="BJ1414" s="28"/>
      <c r="BM1414" s="28"/>
      <c r="BP1414" s="28"/>
      <c r="BS1414" s="28"/>
      <c r="BV1414" s="28"/>
      <c r="BY1414" s="28"/>
      <c r="CB1414" s="28"/>
      <c r="CE1414" s="28"/>
      <c r="CH1414" s="28"/>
      <c r="CK1414" s="28"/>
      <c r="CN1414" s="28"/>
      <c r="CQ1414" s="28"/>
      <c r="CT1414" s="28"/>
      <c r="CW1414" s="28"/>
      <c r="CZ1414" s="28"/>
      <c r="DC1414" s="28"/>
      <c r="DF1414" s="28"/>
      <c r="DI1414" s="28"/>
      <c r="DL1414" s="28"/>
      <c r="DO1414" s="28"/>
      <c r="DR1414" s="28"/>
      <c r="DU1414" s="28"/>
      <c r="DX1414" s="28"/>
      <c r="EA1414" s="28"/>
      <c r="ED1414" s="28"/>
      <c r="EG1414" s="28"/>
      <c r="EJ1414" s="28"/>
      <c r="EM1414" s="28"/>
      <c r="EP1414" s="28"/>
      <c r="ES1414" s="28"/>
      <c r="EV1414" s="28"/>
      <c r="EY1414" s="28"/>
      <c r="FB1414" s="28"/>
      <c r="FE1414" s="28"/>
      <c r="FH1414" s="28"/>
      <c r="FK1414" s="28"/>
      <c r="FN1414" s="28"/>
      <c r="FQ1414" s="28"/>
      <c r="FT1414" s="28"/>
      <c r="FW1414" s="28"/>
      <c r="FZ1414" s="28"/>
      <c r="GC1414" s="28"/>
    </row>
    <row r="1415" spans="1:185" s="25" customFormat="1" x14ac:dyDescent="0.3">
      <c r="A1415" s="27"/>
      <c r="B1415" s="28"/>
      <c r="C1415" s="27"/>
      <c r="D1415" s="26"/>
      <c r="E1415" s="28"/>
      <c r="H1415" s="28"/>
      <c r="K1415" s="28"/>
      <c r="N1415" s="28"/>
      <c r="Q1415" s="28"/>
      <c r="T1415" s="28"/>
      <c r="W1415" s="28"/>
      <c r="Z1415" s="28"/>
      <c r="AC1415" s="28"/>
      <c r="AF1415" s="28"/>
      <c r="AI1415" s="28"/>
      <c r="AL1415" s="28"/>
      <c r="AO1415" s="28"/>
      <c r="AR1415" s="28"/>
      <c r="AU1415" s="28"/>
      <c r="AX1415" s="28"/>
      <c r="BA1415" s="28"/>
      <c r="BD1415" s="28"/>
      <c r="BG1415" s="28"/>
      <c r="BJ1415" s="28"/>
      <c r="BM1415" s="28"/>
      <c r="BP1415" s="28"/>
      <c r="BS1415" s="28"/>
      <c r="BV1415" s="28"/>
      <c r="BY1415" s="28"/>
      <c r="CB1415" s="28"/>
      <c r="CE1415" s="28"/>
      <c r="CH1415" s="28"/>
      <c r="CK1415" s="28"/>
      <c r="CN1415" s="28"/>
      <c r="CQ1415" s="28"/>
      <c r="CT1415" s="28"/>
      <c r="CW1415" s="28"/>
      <c r="CZ1415" s="28"/>
      <c r="DC1415" s="28"/>
      <c r="DF1415" s="28"/>
      <c r="DI1415" s="28"/>
      <c r="DL1415" s="28"/>
      <c r="DO1415" s="28"/>
      <c r="DR1415" s="28"/>
      <c r="DU1415" s="28"/>
      <c r="DX1415" s="28"/>
      <c r="EA1415" s="28"/>
      <c r="ED1415" s="28"/>
      <c r="EG1415" s="28"/>
      <c r="EJ1415" s="28"/>
      <c r="EM1415" s="28"/>
      <c r="EP1415" s="28"/>
      <c r="ES1415" s="28"/>
      <c r="EV1415" s="28"/>
      <c r="EY1415" s="28"/>
      <c r="FB1415" s="28"/>
      <c r="FE1415" s="28"/>
      <c r="FH1415" s="28"/>
      <c r="FK1415" s="28"/>
      <c r="FN1415" s="28"/>
      <c r="FQ1415" s="28"/>
      <c r="FT1415" s="28"/>
      <c r="FW1415" s="28"/>
      <c r="FZ1415" s="28"/>
      <c r="GC1415" s="28"/>
    </row>
    <row r="1416" spans="1:185" s="25" customFormat="1" x14ac:dyDescent="0.3">
      <c r="A1416" s="27"/>
      <c r="B1416" s="28"/>
      <c r="C1416" s="27"/>
      <c r="D1416" s="26"/>
      <c r="E1416" s="28"/>
      <c r="H1416" s="28"/>
      <c r="K1416" s="28"/>
      <c r="N1416" s="28"/>
      <c r="Q1416" s="28"/>
      <c r="T1416" s="28"/>
      <c r="W1416" s="28"/>
      <c r="Z1416" s="28"/>
      <c r="AC1416" s="28"/>
      <c r="AF1416" s="28"/>
      <c r="AI1416" s="28"/>
      <c r="AL1416" s="28"/>
      <c r="AO1416" s="28"/>
      <c r="AR1416" s="28"/>
      <c r="AU1416" s="28"/>
      <c r="AX1416" s="28"/>
      <c r="BA1416" s="28"/>
      <c r="BD1416" s="28"/>
      <c r="BG1416" s="28"/>
      <c r="BJ1416" s="28"/>
      <c r="BM1416" s="28"/>
      <c r="BP1416" s="28"/>
      <c r="BS1416" s="28"/>
      <c r="BV1416" s="28"/>
      <c r="BY1416" s="28"/>
      <c r="CB1416" s="28"/>
      <c r="CE1416" s="28"/>
      <c r="CH1416" s="28"/>
      <c r="CK1416" s="28"/>
      <c r="CN1416" s="28"/>
      <c r="CQ1416" s="28"/>
      <c r="CT1416" s="28"/>
      <c r="CW1416" s="28"/>
      <c r="CZ1416" s="28"/>
      <c r="DC1416" s="28"/>
      <c r="DF1416" s="28"/>
      <c r="DI1416" s="28"/>
      <c r="DL1416" s="28"/>
      <c r="DO1416" s="28"/>
      <c r="DR1416" s="28"/>
      <c r="DU1416" s="28"/>
      <c r="DX1416" s="28"/>
      <c r="EA1416" s="28"/>
      <c r="ED1416" s="28"/>
      <c r="EG1416" s="28"/>
      <c r="EJ1416" s="28"/>
      <c r="EM1416" s="28"/>
      <c r="EP1416" s="28"/>
      <c r="ES1416" s="28"/>
      <c r="EV1416" s="28"/>
      <c r="EY1416" s="28"/>
      <c r="FB1416" s="28"/>
      <c r="FE1416" s="28"/>
      <c r="FH1416" s="28"/>
      <c r="FK1416" s="28"/>
      <c r="FN1416" s="28"/>
      <c r="FQ1416" s="28"/>
      <c r="FT1416" s="28"/>
      <c r="FW1416" s="28"/>
      <c r="FZ1416" s="28"/>
      <c r="GC1416" s="28"/>
    </row>
    <row r="1417" spans="1:185" s="25" customFormat="1" x14ac:dyDescent="0.3">
      <c r="A1417" s="27"/>
      <c r="B1417" s="28"/>
      <c r="C1417" s="27"/>
      <c r="D1417" s="26"/>
      <c r="E1417" s="28"/>
      <c r="H1417" s="28"/>
      <c r="K1417" s="28"/>
      <c r="N1417" s="28"/>
      <c r="Q1417" s="28"/>
      <c r="T1417" s="28"/>
      <c r="W1417" s="28"/>
      <c r="Z1417" s="28"/>
      <c r="AC1417" s="28"/>
      <c r="AF1417" s="28"/>
      <c r="AI1417" s="28"/>
      <c r="AL1417" s="28"/>
      <c r="AO1417" s="28"/>
      <c r="AR1417" s="28"/>
      <c r="AU1417" s="28"/>
      <c r="AX1417" s="28"/>
      <c r="BA1417" s="28"/>
      <c r="BD1417" s="28"/>
      <c r="BG1417" s="28"/>
      <c r="BJ1417" s="28"/>
      <c r="BM1417" s="28"/>
      <c r="BP1417" s="28"/>
      <c r="BS1417" s="28"/>
      <c r="BV1417" s="28"/>
      <c r="BY1417" s="28"/>
      <c r="CB1417" s="28"/>
      <c r="CE1417" s="28"/>
      <c r="CH1417" s="28"/>
      <c r="CK1417" s="28"/>
      <c r="CN1417" s="28"/>
      <c r="CQ1417" s="28"/>
      <c r="CT1417" s="28"/>
      <c r="CW1417" s="28"/>
      <c r="CZ1417" s="28"/>
      <c r="DC1417" s="28"/>
      <c r="DF1417" s="28"/>
      <c r="DI1417" s="28"/>
      <c r="DL1417" s="28"/>
      <c r="DO1417" s="28"/>
      <c r="DR1417" s="28"/>
      <c r="DU1417" s="28"/>
      <c r="DX1417" s="28"/>
      <c r="EA1417" s="28"/>
      <c r="ED1417" s="28"/>
      <c r="EG1417" s="28"/>
      <c r="EJ1417" s="28"/>
      <c r="EM1417" s="28"/>
      <c r="EP1417" s="28"/>
      <c r="ES1417" s="28"/>
      <c r="EV1417" s="28"/>
      <c r="EY1417" s="28"/>
      <c r="FB1417" s="28"/>
      <c r="FE1417" s="28"/>
      <c r="FH1417" s="28"/>
      <c r="FK1417" s="28"/>
      <c r="FN1417" s="28"/>
      <c r="FQ1417" s="28"/>
      <c r="FT1417" s="28"/>
      <c r="FW1417" s="28"/>
      <c r="FZ1417" s="28"/>
      <c r="GC1417" s="28"/>
    </row>
    <row r="1418" spans="1:185" s="25" customFormat="1" x14ac:dyDescent="0.3">
      <c r="A1418" s="27"/>
      <c r="B1418" s="28"/>
      <c r="C1418" s="27"/>
      <c r="D1418" s="26"/>
      <c r="E1418" s="28"/>
      <c r="H1418" s="28"/>
      <c r="K1418" s="28"/>
      <c r="N1418" s="28"/>
      <c r="Q1418" s="28"/>
      <c r="T1418" s="28"/>
      <c r="W1418" s="28"/>
      <c r="Z1418" s="28"/>
      <c r="AC1418" s="28"/>
      <c r="AF1418" s="28"/>
      <c r="AI1418" s="28"/>
      <c r="AL1418" s="28"/>
      <c r="AO1418" s="28"/>
      <c r="AR1418" s="28"/>
      <c r="AU1418" s="28"/>
      <c r="AX1418" s="28"/>
      <c r="BA1418" s="28"/>
      <c r="BD1418" s="28"/>
      <c r="BG1418" s="28"/>
      <c r="BJ1418" s="28"/>
      <c r="BM1418" s="28"/>
      <c r="BP1418" s="28"/>
      <c r="BS1418" s="28"/>
      <c r="BV1418" s="28"/>
      <c r="BY1418" s="28"/>
      <c r="CB1418" s="28"/>
      <c r="CE1418" s="28"/>
      <c r="CH1418" s="28"/>
      <c r="CK1418" s="28"/>
      <c r="CN1418" s="28"/>
      <c r="CQ1418" s="28"/>
      <c r="CT1418" s="28"/>
      <c r="CW1418" s="28"/>
      <c r="CZ1418" s="28"/>
      <c r="DC1418" s="28"/>
      <c r="DF1418" s="28"/>
      <c r="DI1418" s="28"/>
      <c r="DL1418" s="28"/>
      <c r="DO1418" s="28"/>
      <c r="DR1418" s="28"/>
      <c r="DU1418" s="28"/>
      <c r="DX1418" s="28"/>
      <c r="EA1418" s="28"/>
      <c r="ED1418" s="28"/>
      <c r="EG1418" s="28"/>
      <c r="EJ1418" s="28"/>
      <c r="EM1418" s="28"/>
      <c r="EP1418" s="28"/>
      <c r="ES1418" s="28"/>
      <c r="EV1418" s="28"/>
      <c r="EY1418" s="28"/>
      <c r="FB1418" s="28"/>
      <c r="FE1418" s="28"/>
      <c r="FH1418" s="28"/>
      <c r="FK1418" s="28"/>
      <c r="FN1418" s="28"/>
      <c r="FQ1418" s="28"/>
      <c r="FT1418" s="28"/>
      <c r="FW1418" s="28"/>
      <c r="FZ1418" s="28"/>
      <c r="GC1418" s="28"/>
    </row>
    <row r="1419" spans="1:185" s="25" customFormat="1" x14ac:dyDescent="0.3">
      <c r="A1419" s="27"/>
      <c r="B1419" s="28"/>
      <c r="C1419" s="27"/>
      <c r="D1419" s="26"/>
      <c r="E1419" s="28"/>
      <c r="H1419" s="28"/>
      <c r="K1419" s="28"/>
      <c r="N1419" s="28"/>
      <c r="Q1419" s="28"/>
      <c r="T1419" s="28"/>
      <c r="W1419" s="28"/>
      <c r="Z1419" s="28"/>
      <c r="AC1419" s="28"/>
      <c r="AF1419" s="28"/>
      <c r="AI1419" s="28"/>
      <c r="AL1419" s="28"/>
      <c r="AO1419" s="28"/>
      <c r="AR1419" s="28"/>
      <c r="AU1419" s="28"/>
      <c r="AX1419" s="28"/>
      <c r="BA1419" s="28"/>
      <c r="BD1419" s="28"/>
      <c r="BG1419" s="28"/>
      <c r="BJ1419" s="28"/>
      <c r="BM1419" s="28"/>
      <c r="BP1419" s="28"/>
      <c r="BS1419" s="28"/>
      <c r="BV1419" s="28"/>
      <c r="BY1419" s="28"/>
      <c r="CB1419" s="28"/>
      <c r="CE1419" s="28"/>
      <c r="CH1419" s="28"/>
      <c r="CK1419" s="28"/>
      <c r="CN1419" s="28"/>
      <c r="CQ1419" s="28"/>
      <c r="CT1419" s="28"/>
      <c r="CW1419" s="28"/>
      <c r="CZ1419" s="28"/>
      <c r="DC1419" s="28"/>
      <c r="DF1419" s="28"/>
      <c r="DI1419" s="28"/>
      <c r="DL1419" s="28"/>
      <c r="DO1419" s="28"/>
      <c r="DR1419" s="28"/>
      <c r="DU1419" s="28"/>
      <c r="DX1419" s="28"/>
      <c r="EA1419" s="28"/>
      <c r="ED1419" s="28"/>
      <c r="EG1419" s="28"/>
      <c r="EJ1419" s="28"/>
      <c r="EM1419" s="28"/>
      <c r="EP1419" s="28"/>
      <c r="ES1419" s="28"/>
      <c r="EV1419" s="28"/>
      <c r="EY1419" s="28"/>
      <c r="FB1419" s="28"/>
      <c r="FE1419" s="28"/>
      <c r="FH1419" s="28"/>
      <c r="FK1419" s="28"/>
      <c r="FN1419" s="28"/>
      <c r="FQ1419" s="28"/>
      <c r="FT1419" s="28"/>
      <c r="FW1419" s="28"/>
      <c r="FZ1419" s="28"/>
      <c r="GC1419" s="28"/>
    </row>
    <row r="1420" spans="1:185" s="25" customFormat="1" x14ac:dyDescent="0.3">
      <c r="A1420" s="27"/>
      <c r="B1420" s="28"/>
      <c r="C1420" s="27"/>
      <c r="D1420" s="26"/>
      <c r="E1420" s="28"/>
      <c r="H1420" s="28"/>
      <c r="K1420" s="28"/>
      <c r="N1420" s="28"/>
      <c r="Q1420" s="28"/>
      <c r="T1420" s="28"/>
      <c r="W1420" s="28"/>
      <c r="Z1420" s="28"/>
      <c r="AC1420" s="28"/>
      <c r="AF1420" s="28"/>
      <c r="AI1420" s="28"/>
      <c r="AL1420" s="28"/>
      <c r="AO1420" s="28"/>
      <c r="AR1420" s="28"/>
      <c r="AU1420" s="28"/>
      <c r="AX1420" s="28"/>
      <c r="BA1420" s="28"/>
      <c r="BD1420" s="28"/>
      <c r="BG1420" s="28"/>
      <c r="BJ1420" s="28"/>
      <c r="BM1420" s="28"/>
      <c r="BP1420" s="28"/>
      <c r="BS1420" s="28"/>
      <c r="BV1420" s="28"/>
      <c r="BY1420" s="28"/>
      <c r="CB1420" s="28"/>
      <c r="CE1420" s="28"/>
      <c r="CH1420" s="28"/>
      <c r="CK1420" s="28"/>
      <c r="CN1420" s="28"/>
      <c r="CQ1420" s="28"/>
      <c r="CT1420" s="28"/>
      <c r="CW1420" s="28"/>
      <c r="CZ1420" s="28"/>
      <c r="DC1420" s="28"/>
      <c r="DF1420" s="28"/>
      <c r="DI1420" s="28"/>
      <c r="DL1420" s="28"/>
      <c r="DO1420" s="28"/>
      <c r="DR1420" s="28"/>
      <c r="DU1420" s="28"/>
      <c r="DX1420" s="28"/>
      <c r="EA1420" s="28"/>
      <c r="ED1420" s="28"/>
      <c r="EG1420" s="28"/>
      <c r="EJ1420" s="28"/>
      <c r="EM1420" s="28"/>
      <c r="EP1420" s="28"/>
      <c r="ES1420" s="28"/>
      <c r="EV1420" s="28"/>
      <c r="EY1420" s="28"/>
      <c r="FB1420" s="28"/>
      <c r="FE1420" s="28"/>
      <c r="FH1420" s="28"/>
      <c r="FK1420" s="28"/>
      <c r="FN1420" s="28"/>
      <c r="FQ1420" s="28"/>
      <c r="FT1420" s="28"/>
      <c r="FW1420" s="28"/>
      <c r="FZ1420" s="28"/>
      <c r="GC1420" s="28"/>
    </row>
    <row r="1421" spans="1:185" s="25" customFormat="1" x14ac:dyDescent="0.3">
      <c r="A1421" s="27"/>
      <c r="B1421" s="28"/>
      <c r="C1421" s="27"/>
      <c r="D1421" s="26"/>
      <c r="E1421" s="28"/>
      <c r="H1421" s="28"/>
      <c r="K1421" s="28"/>
      <c r="N1421" s="28"/>
      <c r="Q1421" s="28"/>
      <c r="T1421" s="28"/>
      <c r="W1421" s="28"/>
      <c r="Z1421" s="28"/>
      <c r="AC1421" s="28"/>
      <c r="AF1421" s="28"/>
      <c r="AI1421" s="28"/>
      <c r="AL1421" s="28"/>
      <c r="AO1421" s="28"/>
      <c r="AR1421" s="28"/>
      <c r="AU1421" s="28"/>
      <c r="AX1421" s="28"/>
      <c r="BA1421" s="28"/>
      <c r="BD1421" s="28"/>
      <c r="BG1421" s="28"/>
      <c r="BJ1421" s="28"/>
      <c r="BM1421" s="28"/>
      <c r="BP1421" s="28"/>
      <c r="BS1421" s="28"/>
      <c r="BV1421" s="28"/>
      <c r="BY1421" s="28"/>
      <c r="CB1421" s="28"/>
      <c r="CE1421" s="28"/>
      <c r="CH1421" s="28"/>
      <c r="CK1421" s="28"/>
      <c r="CN1421" s="28"/>
      <c r="CQ1421" s="28"/>
      <c r="CT1421" s="28"/>
      <c r="CW1421" s="28"/>
      <c r="CZ1421" s="28"/>
      <c r="DC1421" s="28"/>
      <c r="DF1421" s="28"/>
      <c r="DI1421" s="28"/>
      <c r="DL1421" s="28"/>
      <c r="DO1421" s="28"/>
      <c r="DR1421" s="28"/>
      <c r="DU1421" s="28"/>
      <c r="DX1421" s="28"/>
      <c r="EA1421" s="28"/>
      <c r="ED1421" s="28"/>
      <c r="EG1421" s="28"/>
      <c r="EJ1421" s="28"/>
      <c r="EM1421" s="28"/>
      <c r="EP1421" s="28"/>
      <c r="ES1421" s="28"/>
      <c r="EV1421" s="28"/>
      <c r="EY1421" s="28"/>
      <c r="FB1421" s="28"/>
      <c r="FE1421" s="28"/>
      <c r="FH1421" s="28"/>
      <c r="FK1421" s="28"/>
      <c r="FN1421" s="28"/>
      <c r="FQ1421" s="28"/>
      <c r="FT1421" s="28"/>
      <c r="FW1421" s="28"/>
      <c r="FZ1421" s="28"/>
      <c r="GC1421" s="28"/>
    </row>
    <row r="1422" spans="1:185" s="25" customFormat="1" x14ac:dyDescent="0.3">
      <c r="A1422" s="27"/>
      <c r="B1422" s="28"/>
      <c r="C1422" s="27"/>
      <c r="D1422" s="26"/>
      <c r="E1422" s="28"/>
      <c r="H1422" s="28"/>
      <c r="K1422" s="28"/>
      <c r="N1422" s="28"/>
      <c r="Q1422" s="28"/>
      <c r="T1422" s="28"/>
      <c r="W1422" s="28"/>
      <c r="Z1422" s="28"/>
      <c r="AC1422" s="28"/>
      <c r="AF1422" s="28"/>
      <c r="AI1422" s="28"/>
      <c r="AL1422" s="28"/>
      <c r="AO1422" s="28"/>
      <c r="AR1422" s="28"/>
      <c r="AU1422" s="28"/>
      <c r="AX1422" s="28"/>
      <c r="BA1422" s="28"/>
      <c r="BD1422" s="28"/>
      <c r="BG1422" s="28"/>
      <c r="BJ1422" s="28"/>
      <c r="BM1422" s="28"/>
      <c r="BP1422" s="28"/>
      <c r="BS1422" s="28"/>
      <c r="BV1422" s="28"/>
      <c r="BY1422" s="28"/>
      <c r="CB1422" s="28"/>
      <c r="CE1422" s="28"/>
      <c r="CH1422" s="28"/>
      <c r="CK1422" s="28"/>
      <c r="CN1422" s="28"/>
      <c r="CQ1422" s="28"/>
      <c r="CT1422" s="28"/>
      <c r="CW1422" s="28"/>
      <c r="CZ1422" s="28"/>
      <c r="DC1422" s="28"/>
      <c r="DF1422" s="28"/>
      <c r="DI1422" s="28"/>
      <c r="DL1422" s="28"/>
      <c r="DO1422" s="28"/>
      <c r="DR1422" s="28"/>
      <c r="DU1422" s="28"/>
      <c r="DX1422" s="28"/>
      <c r="EA1422" s="28"/>
      <c r="ED1422" s="28"/>
      <c r="EG1422" s="28"/>
      <c r="EJ1422" s="28"/>
      <c r="EM1422" s="28"/>
      <c r="EP1422" s="28"/>
      <c r="ES1422" s="28"/>
      <c r="EV1422" s="28"/>
      <c r="EY1422" s="28"/>
      <c r="FB1422" s="28"/>
      <c r="FE1422" s="28"/>
      <c r="FH1422" s="28"/>
      <c r="FK1422" s="28"/>
      <c r="FN1422" s="28"/>
      <c r="FQ1422" s="28"/>
      <c r="FT1422" s="28"/>
      <c r="FW1422" s="28"/>
      <c r="FZ1422" s="28"/>
      <c r="GC1422" s="28"/>
    </row>
    <row r="1423" spans="1:185" s="25" customFormat="1" x14ac:dyDescent="0.3">
      <c r="A1423" s="27"/>
      <c r="B1423" s="28"/>
      <c r="C1423" s="27"/>
      <c r="D1423" s="26"/>
      <c r="E1423" s="28"/>
      <c r="H1423" s="28"/>
      <c r="K1423" s="28"/>
      <c r="N1423" s="28"/>
      <c r="Q1423" s="28"/>
      <c r="T1423" s="28"/>
      <c r="W1423" s="28"/>
      <c r="Z1423" s="28"/>
      <c r="AC1423" s="28"/>
      <c r="AF1423" s="28"/>
      <c r="AI1423" s="28"/>
      <c r="AL1423" s="28"/>
      <c r="AO1423" s="28"/>
      <c r="AR1423" s="28"/>
      <c r="AU1423" s="28"/>
      <c r="AX1423" s="28"/>
      <c r="BA1423" s="28"/>
      <c r="BD1423" s="28"/>
      <c r="BG1423" s="28"/>
      <c r="BJ1423" s="28"/>
      <c r="BM1423" s="28"/>
      <c r="BP1423" s="28"/>
      <c r="BS1423" s="28"/>
      <c r="BV1423" s="28"/>
      <c r="BY1423" s="28"/>
      <c r="CB1423" s="28"/>
      <c r="CE1423" s="28"/>
      <c r="CH1423" s="28"/>
      <c r="CK1423" s="28"/>
      <c r="CN1423" s="28"/>
      <c r="CQ1423" s="28"/>
      <c r="CT1423" s="28"/>
      <c r="CW1423" s="28"/>
      <c r="CZ1423" s="28"/>
      <c r="DC1423" s="28"/>
      <c r="DF1423" s="28"/>
      <c r="DI1423" s="28"/>
      <c r="DL1423" s="28"/>
      <c r="DO1423" s="28"/>
      <c r="DR1423" s="28"/>
      <c r="DU1423" s="28"/>
      <c r="DX1423" s="28"/>
      <c r="EA1423" s="28"/>
      <c r="ED1423" s="28"/>
      <c r="EG1423" s="28"/>
      <c r="EJ1423" s="28"/>
      <c r="EM1423" s="28"/>
      <c r="EP1423" s="28"/>
      <c r="ES1423" s="28"/>
      <c r="EV1423" s="28"/>
      <c r="EY1423" s="28"/>
      <c r="FB1423" s="28"/>
      <c r="FE1423" s="28"/>
      <c r="FH1423" s="28"/>
      <c r="FK1423" s="28"/>
      <c r="FN1423" s="28"/>
      <c r="FQ1423" s="28"/>
      <c r="FT1423" s="28"/>
      <c r="FW1423" s="28"/>
      <c r="FZ1423" s="28"/>
      <c r="GC1423" s="28"/>
    </row>
    <row r="1424" spans="1:185" s="25" customFormat="1" x14ac:dyDescent="0.3">
      <c r="A1424" s="27"/>
      <c r="B1424" s="28"/>
      <c r="C1424" s="27"/>
      <c r="D1424" s="26"/>
      <c r="E1424" s="28"/>
      <c r="H1424" s="28"/>
      <c r="K1424" s="28"/>
      <c r="N1424" s="28"/>
      <c r="Q1424" s="28"/>
      <c r="T1424" s="28"/>
      <c r="W1424" s="28"/>
      <c r="Z1424" s="28"/>
      <c r="AC1424" s="28"/>
      <c r="AF1424" s="28"/>
      <c r="AI1424" s="28"/>
      <c r="AL1424" s="28"/>
      <c r="AO1424" s="28"/>
      <c r="AR1424" s="28"/>
      <c r="AU1424" s="28"/>
      <c r="AX1424" s="28"/>
      <c r="BA1424" s="28"/>
      <c r="BD1424" s="28"/>
      <c r="BG1424" s="28"/>
      <c r="BJ1424" s="28"/>
      <c r="BM1424" s="28"/>
      <c r="BP1424" s="28"/>
      <c r="BS1424" s="28"/>
      <c r="BV1424" s="28"/>
      <c r="BY1424" s="28"/>
      <c r="CB1424" s="28"/>
      <c r="CE1424" s="28"/>
      <c r="CH1424" s="28"/>
      <c r="CK1424" s="28"/>
      <c r="CN1424" s="28"/>
      <c r="CQ1424" s="28"/>
      <c r="CT1424" s="28"/>
      <c r="CW1424" s="28"/>
      <c r="CZ1424" s="28"/>
      <c r="DC1424" s="28"/>
      <c r="DF1424" s="28"/>
      <c r="DI1424" s="28"/>
      <c r="DL1424" s="28"/>
      <c r="DO1424" s="28"/>
      <c r="DR1424" s="28"/>
      <c r="DU1424" s="28"/>
      <c r="DX1424" s="28"/>
      <c r="EA1424" s="28"/>
      <c r="ED1424" s="28"/>
      <c r="EG1424" s="28"/>
      <c r="EJ1424" s="28"/>
      <c r="EM1424" s="28"/>
      <c r="EP1424" s="28"/>
      <c r="ES1424" s="28"/>
      <c r="EV1424" s="28"/>
      <c r="EY1424" s="28"/>
      <c r="FB1424" s="28"/>
      <c r="FE1424" s="28"/>
      <c r="FH1424" s="28"/>
      <c r="FK1424" s="28"/>
      <c r="FN1424" s="28"/>
      <c r="FQ1424" s="28"/>
      <c r="FT1424" s="28"/>
      <c r="FW1424" s="28"/>
      <c r="FZ1424" s="28"/>
      <c r="GC1424" s="28"/>
    </row>
    <row r="1425" spans="1:185" s="25" customFormat="1" x14ac:dyDescent="0.3">
      <c r="A1425" s="27"/>
      <c r="B1425" s="28"/>
      <c r="C1425" s="27"/>
      <c r="D1425" s="26"/>
      <c r="E1425" s="28"/>
      <c r="H1425" s="28"/>
      <c r="K1425" s="28"/>
      <c r="N1425" s="28"/>
      <c r="Q1425" s="28"/>
      <c r="T1425" s="28"/>
      <c r="W1425" s="28"/>
      <c r="Z1425" s="28"/>
      <c r="AC1425" s="28"/>
      <c r="AF1425" s="28"/>
      <c r="AI1425" s="28"/>
      <c r="AL1425" s="28"/>
      <c r="AO1425" s="28"/>
      <c r="AR1425" s="28"/>
      <c r="AU1425" s="28"/>
      <c r="AX1425" s="28"/>
      <c r="BA1425" s="28"/>
      <c r="BD1425" s="28"/>
      <c r="BG1425" s="28"/>
      <c r="BJ1425" s="28"/>
      <c r="BM1425" s="28"/>
      <c r="BP1425" s="28"/>
      <c r="BS1425" s="28"/>
      <c r="BV1425" s="28"/>
      <c r="BY1425" s="28"/>
      <c r="CB1425" s="28"/>
      <c r="CE1425" s="28"/>
      <c r="CH1425" s="28"/>
      <c r="CK1425" s="28"/>
      <c r="CN1425" s="28"/>
      <c r="CQ1425" s="28"/>
      <c r="CT1425" s="28"/>
      <c r="CW1425" s="28"/>
      <c r="CZ1425" s="28"/>
      <c r="DC1425" s="28"/>
      <c r="DF1425" s="28"/>
      <c r="DI1425" s="28"/>
      <c r="DL1425" s="28"/>
      <c r="DO1425" s="28"/>
      <c r="DR1425" s="28"/>
      <c r="DU1425" s="28"/>
      <c r="DX1425" s="28"/>
      <c r="EA1425" s="28"/>
      <c r="ED1425" s="28"/>
      <c r="EG1425" s="28"/>
      <c r="EJ1425" s="28"/>
      <c r="EM1425" s="28"/>
      <c r="EP1425" s="28"/>
      <c r="ES1425" s="28"/>
      <c r="EV1425" s="28"/>
      <c r="EY1425" s="28"/>
      <c r="FB1425" s="28"/>
      <c r="FE1425" s="28"/>
      <c r="FH1425" s="28"/>
      <c r="FK1425" s="28"/>
      <c r="FN1425" s="28"/>
      <c r="FQ1425" s="28"/>
      <c r="FT1425" s="28"/>
      <c r="FW1425" s="28"/>
      <c r="FZ1425" s="28"/>
      <c r="GC1425" s="28"/>
    </row>
    <row r="1426" spans="1:185" s="25" customFormat="1" x14ac:dyDescent="0.3">
      <c r="A1426" s="27"/>
      <c r="B1426" s="28"/>
      <c r="C1426" s="27"/>
      <c r="D1426" s="26"/>
      <c r="E1426" s="28"/>
      <c r="H1426" s="28"/>
      <c r="K1426" s="28"/>
      <c r="N1426" s="28"/>
      <c r="Q1426" s="28"/>
      <c r="T1426" s="28"/>
      <c r="W1426" s="28"/>
      <c r="Z1426" s="28"/>
      <c r="AC1426" s="28"/>
      <c r="AF1426" s="28"/>
      <c r="AI1426" s="28"/>
      <c r="AL1426" s="28"/>
      <c r="AO1426" s="28"/>
      <c r="AR1426" s="28"/>
      <c r="AU1426" s="28"/>
      <c r="AX1426" s="28"/>
      <c r="BA1426" s="28"/>
      <c r="BD1426" s="28"/>
      <c r="BG1426" s="28"/>
      <c r="BJ1426" s="28"/>
      <c r="BM1426" s="28"/>
      <c r="BP1426" s="28"/>
      <c r="BS1426" s="28"/>
      <c r="BV1426" s="28"/>
      <c r="BY1426" s="28"/>
      <c r="CB1426" s="28"/>
      <c r="CE1426" s="28"/>
      <c r="CH1426" s="28"/>
      <c r="CK1426" s="28"/>
      <c r="CN1426" s="28"/>
      <c r="CQ1426" s="28"/>
      <c r="CT1426" s="28"/>
      <c r="CW1426" s="28"/>
      <c r="CZ1426" s="28"/>
      <c r="DC1426" s="28"/>
      <c r="DF1426" s="28"/>
      <c r="DI1426" s="28"/>
      <c r="DL1426" s="28"/>
      <c r="DO1426" s="28"/>
      <c r="DR1426" s="28"/>
      <c r="DU1426" s="28"/>
      <c r="DX1426" s="28"/>
      <c r="EA1426" s="28"/>
      <c r="ED1426" s="28"/>
      <c r="EG1426" s="28"/>
      <c r="EJ1426" s="28"/>
      <c r="EM1426" s="28"/>
      <c r="EP1426" s="28"/>
      <c r="ES1426" s="28"/>
      <c r="EV1426" s="28"/>
      <c r="EY1426" s="28"/>
      <c r="FB1426" s="28"/>
      <c r="FE1426" s="28"/>
      <c r="FH1426" s="28"/>
      <c r="FK1426" s="28"/>
      <c r="FN1426" s="28"/>
      <c r="FQ1426" s="28"/>
      <c r="FT1426" s="28"/>
      <c r="FW1426" s="28"/>
      <c r="FZ1426" s="28"/>
      <c r="GC1426" s="28"/>
    </row>
    <row r="1427" spans="1:185" s="25" customFormat="1" x14ac:dyDescent="0.3">
      <c r="A1427" s="27"/>
      <c r="B1427" s="28"/>
      <c r="C1427" s="27"/>
      <c r="D1427" s="26"/>
      <c r="E1427" s="28"/>
      <c r="H1427" s="28"/>
      <c r="K1427" s="28"/>
      <c r="N1427" s="28"/>
      <c r="Q1427" s="28"/>
      <c r="T1427" s="28"/>
      <c r="W1427" s="28"/>
      <c r="Z1427" s="28"/>
      <c r="AC1427" s="28"/>
      <c r="AF1427" s="28"/>
      <c r="AI1427" s="28"/>
      <c r="AL1427" s="28"/>
      <c r="AO1427" s="28"/>
      <c r="AR1427" s="28"/>
      <c r="AU1427" s="28"/>
      <c r="AX1427" s="28"/>
      <c r="BA1427" s="28"/>
      <c r="BD1427" s="28"/>
      <c r="BG1427" s="28"/>
      <c r="BJ1427" s="28"/>
      <c r="BM1427" s="28"/>
      <c r="BP1427" s="28"/>
      <c r="BS1427" s="28"/>
      <c r="BV1427" s="28"/>
      <c r="BY1427" s="28"/>
      <c r="CB1427" s="28"/>
      <c r="CE1427" s="28"/>
      <c r="CH1427" s="28"/>
      <c r="CK1427" s="28"/>
      <c r="CN1427" s="28"/>
      <c r="CQ1427" s="28"/>
      <c r="CT1427" s="28"/>
      <c r="CW1427" s="28"/>
      <c r="CZ1427" s="28"/>
      <c r="DC1427" s="28"/>
      <c r="DF1427" s="28"/>
      <c r="DI1427" s="28"/>
      <c r="DL1427" s="28"/>
      <c r="DO1427" s="28"/>
      <c r="DR1427" s="28"/>
      <c r="DU1427" s="28"/>
      <c r="DX1427" s="28"/>
      <c r="EA1427" s="28"/>
      <c r="ED1427" s="28"/>
      <c r="EG1427" s="28"/>
      <c r="EJ1427" s="28"/>
      <c r="EM1427" s="28"/>
      <c r="EP1427" s="28"/>
      <c r="ES1427" s="28"/>
      <c r="EV1427" s="28"/>
      <c r="EY1427" s="28"/>
      <c r="FB1427" s="28"/>
      <c r="FE1427" s="28"/>
      <c r="FH1427" s="28"/>
      <c r="FK1427" s="28"/>
      <c r="FN1427" s="28"/>
      <c r="FQ1427" s="28"/>
      <c r="FT1427" s="28"/>
      <c r="FW1427" s="28"/>
      <c r="FZ1427" s="28"/>
      <c r="GC1427" s="28"/>
    </row>
    <row r="1428" spans="1:185" s="25" customFormat="1" x14ac:dyDescent="0.3">
      <c r="A1428" s="27"/>
      <c r="B1428" s="28"/>
      <c r="C1428" s="27"/>
      <c r="D1428" s="26"/>
      <c r="E1428" s="28"/>
      <c r="H1428" s="28"/>
      <c r="K1428" s="28"/>
      <c r="N1428" s="28"/>
      <c r="Q1428" s="28"/>
      <c r="T1428" s="28"/>
      <c r="W1428" s="28"/>
      <c r="Z1428" s="28"/>
      <c r="AC1428" s="28"/>
      <c r="AF1428" s="28"/>
      <c r="AI1428" s="28"/>
      <c r="AL1428" s="28"/>
      <c r="AO1428" s="28"/>
      <c r="AR1428" s="28"/>
      <c r="AU1428" s="28"/>
      <c r="AX1428" s="28"/>
      <c r="BA1428" s="28"/>
      <c r="BD1428" s="28"/>
      <c r="BG1428" s="28"/>
      <c r="BJ1428" s="28"/>
      <c r="BM1428" s="28"/>
      <c r="BP1428" s="28"/>
      <c r="BS1428" s="28"/>
      <c r="BV1428" s="28"/>
      <c r="BY1428" s="28"/>
      <c r="CB1428" s="28"/>
      <c r="CE1428" s="28"/>
      <c r="CH1428" s="28"/>
      <c r="CK1428" s="28"/>
      <c r="CN1428" s="28"/>
      <c r="CQ1428" s="28"/>
      <c r="CT1428" s="28"/>
      <c r="CW1428" s="28"/>
      <c r="CZ1428" s="28"/>
      <c r="DC1428" s="28"/>
      <c r="DF1428" s="28"/>
      <c r="DI1428" s="28"/>
      <c r="DL1428" s="28"/>
      <c r="DO1428" s="28"/>
      <c r="DR1428" s="28"/>
      <c r="DU1428" s="28"/>
      <c r="DX1428" s="28"/>
      <c r="EA1428" s="28"/>
      <c r="ED1428" s="28"/>
      <c r="EG1428" s="28"/>
      <c r="EJ1428" s="28"/>
      <c r="EM1428" s="28"/>
      <c r="EP1428" s="28"/>
      <c r="ES1428" s="28"/>
      <c r="EV1428" s="28"/>
      <c r="EY1428" s="28"/>
      <c r="FB1428" s="28"/>
      <c r="FE1428" s="28"/>
      <c r="FH1428" s="28"/>
      <c r="FK1428" s="28"/>
      <c r="FN1428" s="28"/>
      <c r="FQ1428" s="28"/>
      <c r="FT1428" s="28"/>
      <c r="FW1428" s="28"/>
      <c r="FZ1428" s="28"/>
      <c r="GC1428" s="28"/>
    </row>
    <row r="1429" spans="1:185" s="25" customFormat="1" x14ac:dyDescent="0.3">
      <c r="A1429" s="27"/>
      <c r="B1429" s="28"/>
      <c r="C1429" s="27"/>
      <c r="D1429" s="26"/>
      <c r="E1429" s="28"/>
      <c r="H1429" s="28"/>
      <c r="K1429" s="28"/>
      <c r="N1429" s="28"/>
      <c r="Q1429" s="28"/>
      <c r="T1429" s="28"/>
      <c r="W1429" s="28"/>
      <c r="Z1429" s="28"/>
      <c r="AC1429" s="28"/>
      <c r="AF1429" s="28"/>
      <c r="AI1429" s="28"/>
      <c r="AL1429" s="28"/>
      <c r="AO1429" s="28"/>
      <c r="AR1429" s="28"/>
      <c r="AU1429" s="28"/>
      <c r="AX1429" s="28"/>
      <c r="BA1429" s="28"/>
      <c r="BD1429" s="28"/>
      <c r="BG1429" s="28"/>
      <c r="BJ1429" s="28"/>
      <c r="BM1429" s="28"/>
      <c r="BP1429" s="28"/>
      <c r="BS1429" s="28"/>
      <c r="BV1429" s="28"/>
      <c r="BY1429" s="28"/>
      <c r="CB1429" s="28"/>
      <c r="CE1429" s="28"/>
      <c r="CH1429" s="28"/>
      <c r="CK1429" s="28"/>
      <c r="CN1429" s="28"/>
      <c r="CQ1429" s="28"/>
      <c r="CT1429" s="28"/>
      <c r="CW1429" s="28"/>
      <c r="CZ1429" s="28"/>
      <c r="DC1429" s="28"/>
      <c r="DF1429" s="28"/>
      <c r="DI1429" s="28"/>
      <c r="DL1429" s="28"/>
      <c r="DO1429" s="28"/>
      <c r="DR1429" s="28"/>
      <c r="DU1429" s="28"/>
      <c r="DX1429" s="28"/>
      <c r="EA1429" s="28"/>
      <c r="ED1429" s="28"/>
      <c r="EG1429" s="28"/>
      <c r="EJ1429" s="28"/>
      <c r="EM1429" s="28"/>
      <c r="EP1429" s="28"/>
      <c r="ES1429" s="28"/>
      <c r="EV1429" s="28"/>
      <c r="EY1429" s="28"/>
      <c r="FB1429" s="28"/>
      <c r="FE1429" s="28"/>
      <c r="FH1429" s="28"/>
      <c r="FK1429" s="28"/>
      <c r="FN1429" s="28"/>
      <c r="FQ1429" s="28"/>
      <c r="FT1429" s="28"/>
      <c r="FW1429" s="28"/>
      <c r="FZ1429" s="28"/>
      <c r="GC1429" s="28"/>
    </row>
    <row r="1430" spans="1:185" s="25" customFormat="1" x14ac:dyDescent="0.3">
      <c r="A1430" s="27"/>
      <c r="B1430" s="28"/>
      <c r="C1430" s="27"/>
      <c r="D1430" s="26"/>
      <c r="E1430" s="28"/>
      <c r="H1430" s="28"/>
      <c r="K1430" s="28"/>
      <c r="N1430" s="28"/>
      <c r="Q1430" s="28"/>
      <c r="T1430" s="28"/>
      <c r="W1430" s="28"/>
      <c r="Z1430" s="28"/>
      <c r="AC1430" s="28"/>
      <c r="AF1430" s="28"/>
      <c r="AI1430" s="28"/>
      <c r="AL1430" s="28"/>
      <c r="AO1430" s="28"/>
      <c r="AR1430" s="28"/>
      <c r="AU1430" s="28"/>
      <c r="AX1430" s="28"/>
      <c r="BA1430" s="28"/>
      <c r="BD1430" s="28"/>
      <c r="BG1430" s="28"/>
      <c r="BJ1430" s="28"/>
      <c r="BM1430" s="28"/>
      <c r="BP1430" s="28"/>
      <c r="BS1430" s="28"/>
      <c r="BV1430" s="28"/>
      <c r="BY1430" s="28"/>
      <c r="CB1430" s="28"/>
      <c r="CE1430" s="28"/>
      <c r="CH1430" s="28"/>
      <c r="CK1430" s="28"/>
      <c r="CN1430" s="28"/>
      <c r="CQ1430" s="28"/>
      <c r="CT1430" s="28"/>
      <c r="CW1430" s="28"/>
      <c r="CZ1430" s="28"/>
      <c r="DC1430" s="28"/>
      <c r="DF1430" s="28"/>
      <c r="DI1430" s="28"/>
      <c r="DL1430" s="28"/>
      <c r="DO1430" s="28"/>
      <c r="DR1430" s="28"/>
      <c r="DU1430" s="28"/>
      <c r="DX1430" s="28"/>
      <c r="EA1430" s="28"/>
      <c r="ED1430" s="28"/>
      <c r="EG1430" s="28"/>
      <c r="EJ1430" s="28"/>
      <c r="EM1430" s="28"/>
      <c r="EP1430" s="28"/>
      <c r="ES1430" s="28"/>
      <c r="EV1430" s="28"/>
      <c r="EY1430" s="28"/>
      <c r="FB1430" s="28"/>
      <c r="FE1430" s="28"/>
      <c r="FH1430" s="28"/>
      <c r="FK1430" s="28"/>
      <c r="FN1430" s="28"/>
      <c r="FQ1430" s="28"/>
      <c r="FT1430" s="28"/>
      <c r="FW1430" s="28"/>
      <c r="FZ1430" s="28"/>
      <c r="GC1430" s="28"/>
    </row>
    <row r="1431" spans="1:185" s="25" customFormat="1" x14ac:dyDescent="0.3">
      <c r="A1431" s="27"/>
      <c r="B1431" s="28"/>
      <c r="C1431" s="27"/>
      <c r="D1431" s="26"/>
      <c r="E1431" s="28"/>
      <c r="H1431" s="28"/>
      <c r="K1431" s="28"/>
      <c r="N1431" s="28"/>
      <c r="Q1431" s="28"/>
      <c r="T1431" s="28"/>
      <c r="W1431" s="28"/>
      <c r="Z1431" s="28"/>
      <c r="AC1431" s="28"/>
      <c r="AF1431" s="28"/>
      <c r="AI1431" s="28"/>
      <c r="AL1431" s="28"/>
      <c r="AO1431" s="28"/>
      <c r="AR1431" s="28"/>
      <c r="AU1431" s="28"/>
      <c r="AX1431" s="28"/>
      <c r="BA1431" s="28"/>
      <c r="BD1431" s="28"/>
      <c r="BG1431" s="28"/>
      <c r="BJ1431" s="28"/>
      <c r="BM1431" s="28"/>
      <c r="BP1431" s="28"/>
      <c r="BS1431" s="28"/>
      <c r="BV1431" s="28"/>
      <c r="BY1431" s="28"/>
      <c r="CB1431" s="28"/>
      <c r="CE1431" s="28"/>
      <c r="CH1431" s="28"/>
      <c r="CK1431" s="28"/>
      <c r="CN1431" s="28"/>
      <c r="CQ1431" s="28"/>
      <c r="CT1431" s="28"/>
      <c r="CW1431" s="28"/>
      <c r="CZ1431" s="28"/>
      <c r="DC1431" s="28"/>
      <c r="DF1431" s="28"/>
      <c r="DI1431" s="28"/>
      <c r="DL1431" s="28"/>
      <c r="DO1431" s="28"/>
      <c r="DR1431" s="28"/>
      <c r="DU1431" s="28"/>
      <c r="DX1431" s="28"/>
      <c r="EA1431" s="28"/>
      <c r="ED1431" s="28"/>
      <c r="EG1431" s="28"/>
      <c r="EJ1431" s="28"/>
      <c r="EM1431" s="28"/>
      <c r="EP1431" s="28"/>
      <c r="ES1431" s="28"/>
      <c r="EV1431" s="28"/>
      <c r="EY1431" s="28"/>
      <c r="FB1431" s="28"/>
      <c r="FE1431" s="28"/>
      <c r="FH1431" s="28"/>
      <c r="FK1431" s="28"/>
      <c r="FN1431" s="28"/>
      <c r="FQ1431" s="28"/>
      <c r="FT1431" s="28"/>
      <c r="FW1431" s="28"/>
      <c r="FZ1431" s="28"/>
      <c r="GC1431" s="28"/>
    </row>
    <row r="1432" spans="1:185" s="25" customFormat="1" x14ac:dyDescent="0.3">
      <c r="A1432" s="27"/>
      <c r="B1432" s="28"/>
      <c r="C1432" s="27"/>
      <c r="D1432" s="26"/>
      <c r="E1432" s="28"/>
      <c r="H1432" s="28"/>
      <c r="K1432" s="28"/>
      <c r="N1432" s="28"/>
      <c r="Q1432" s="28"/>
      <c r="T1432" s="28"/>
      <c r="W1432" s="28"/>
      <c r="Z1432" s="28"/>
      <c r="AC1432" s="28"/>
      <c r="AF1432" s="28"/>
      <c r="AI1432" s="28"/>
      <c r="AL1432" s="28"/>
      <c r="AO1432" s="28"/>
      <c r="AR1432" s="28"/>
      <c r="AU1432" s="28"/>
      <c r="AX1432" s="28"/>
      <c r="BA1432" s="28"/>
      <c r="BD1432" s="28"/>
      <c r="BG1432" s="28"/>
      <c r="BJ1432" s="28"/>
      <c r="BM1432" s="28"/>
      <c r="BP1432" s="28"/>
      <c r="BS1432" s="28"/>
      <c r="BV1432" s="28"/>
      <c r="BY1432" s="28"/>
      <c r="CB1432" s="28"/>
      <c r="CE1432" s="28"/>
      <c r="CH1432" s="28"/>
      <c r="CK1432" s="28"/>
      <c r="CN1432" s="28"/>
      <c r="CQ1432" s="28"/>
      <c r="CT1432" s="28"/>
      <c r="CW1432" s="28"/>
      <c r="CZ1432" s="28"/>
      <c r="DC1432" s="28"/>
      <c r="DF1432" s="28"/>
      <c r="DI1432" s="28"/>
      <c r="DL1432" s="28"/>
      <c r="DO1432" s="28"/>
      <c r="DR1432" s="28"/>
      <c r="DU1432" s="28"/>
      <c r="DX1432" s="28"/>
      <c r="EA1432" s="28"/>
      <c r="ED1432" s="28"/>
      <c r="EG1432" s="28"/>
      <c r="EJ1432" s="28"/>
      <c r="EM1432" s="28"/>
      <c r="EP1432" s="28"/>
      <c r="ES1432" s="28"/>
      <c r="EV1432" s="28"/>
      <c r="EY1432" s="28"/>
      <c r="FB1432" s="28"/>
      <c r="FE1432" s="28"/>
      <c r="FH1432" s="28"/>
      <c r="FK1432" s="28"/>
      <c r="FN1432" s="28"/>
      <c r="FQ1432" s="28"/>
      <c r="FT1432" s="28"/>
      <c r="FW1432" s="28"/>
      <c r="FZ1432" s="28"/>
      <c r="GC1432" s="28"/>
    </row>
    <row r="1433" spans="1:185" s="25" customFormat="1" x14ac:dyDescent="0.3">
      <c r="A1433" s="27"/>
      <c r="B1433" s="28"/>
      <c r="C1433" s="27"/>
      <c r="D1433" s="26"/>
      <c r="E1433" s="28"/>
      <c r="H1433" s="28"/>
      <c r="K1433" s="28"/>
      <c r="N1433" s="28"/>
      <c r="Q1433" s="28"/>
      <c r="T1433" s="28"/>
      <c r="W1433" s="28"/>
      <c r="Z1433" s="28"/>
      <c r="AC1433" s="28"/>
      <c r="AF1433" s="28"/>
      <c r="AI1433" s="28"/>
      <c r="AL1433" s="28"/>
      <c r="AO1433" s="28"/>
      <c r="AR1433" s="28"/>
      <c r="AU1433" s="28"/>
      <c r="AX1433" s="28"/>
      <c r="BA1433" s="28"/>
      <c r="BD1433" s="28"/>
      <c r="BG1433" s="28"/>
      <c r="BJ1433" s="28"/>
      <c r="BM1433" s="28"/>
      <c r="BP1433" s="28"/>
      <c r="BS1433" s="28"/>
      <c r="BV1433" s="28"/>
      <c r="BY1433" s="28"/>
      <c r="CB1433" s="28"/>
      <c r="CE1433" s="28"/>
      <c r="CH1433" s="28"/>
      <c r="CK1433" s="28"/>
      <c r="CN1433" s="28"/>
      <c r="CQ1433" s="28"/>
      <c r="CT1433" s="28"/>
      <c r="CW1433" s="28"/>
      <c r="CZ1433" s="28"/>
      <c r="DC1433" s="28"/>
      <c r="DF1433" s="28"/>
      <c r="DI1433" s="28"/>
      <c r="DL1433" s="28"/>
      <c r="DO1433" s="28"/>
      <c r="DR1433" s="28"/>
      <c r="DU1433" s="28"/>
      <c r="DX1433" s="28"/>
      <c r="EA1433" s="28"/>
      <c r="ED1433" s="28"/>
      <c r="EG1433" s="28"/>
      <c r="EJ1433" s="28"/>
      <c r="EM1433" s="28"/>
      <c r="EP1433" s="28"/>
      <c r="ES1433" s="28"/>
      <c r="EV1433" s="28"/>
      <c r="EY1433" s="28"/>
      <c r="FB1433" s="28"/>
      <c r="FE1433" s="28"/>
      <c r="FH1433" s="28"/>
      <c r="FK1433" s="28"/>
      <c r="FN1433" s="28"/>
      <c r="FQ1433" s="28"/>
      <c r="FT1433" s="28"/>
      <c r="FW1433" s="28"/>
      <c r="FZ1433" s="28"/>
      <c r="GC1433" s="28"/>
    </row>
    <row r="1434" spans="1:185" s="25" customFormat="1" x14ac:dyDescent="0.3">
      <c r="A1434" s="27"/>
      <c r="B1434" s="28"/>
      <c r="C1434" s="27"/>
      <c r="D1434" s="26"/>
      <c r="E1434" s="28"/>
      <c r="H1434" s="28"/>
      <c r="K1434" s="28"/>
      <c r="N1434" s="28"/>
      <c r="Q1434" s="28"/>
      <c r="T1434" s="28"/>
      <c r="W1434" s="28"/>
      <c r="Z1434" s="28"/>
      <c r="AC1434" s="28"/>
      <c r="AF1434" s="28"/>
      <c r="AI1434" s="28"/>
      <c r="AL1434" s="28"/>
      <c r="AO1434" s="28"/>
      <c r="AR1434" s="28"/>
      <c r="AU1434" s="28"/>
      <c r="AX1434" s="28"/>
      <c r="BA1434" s="28"/>
      <c r="BD1434" s="28"/>
      <c r="BG1434" s="28"/>
      <c r="BJ1434" s="28"/>
      <c r="BM1434" s="28"/>
      <c r="BP1434" s="28"/>
      <c r="BS1434" s="28"/>
      <c r="BV1434" s="28"/>
      <c r="BY1434" s="28"/>
      <c r="CB1434" s="28"/>
      <c r="CE1434" s="28"/>
      <c r="CH1434" s="28"/>
      <c r="CK1434" s="28"/>
      <c r="CN1434" s="28"/>
      <c r="CQ1434" s="28"/>
      <c r="CT1434" s="28"/>
      <c r="CW1434" s="28"/>
      <c r="CZ1434" s="28"/>
      <c r="DC1434" s="28"/>
      <c r="DF1434" s="28"/>
      <c r="DI1434" s="28"/>
      <c r="DL1434" s="28"/>
      <c r="DO1434" s="28"/>
      <c r="DR1434" s="28"/>
      <c r="DU1434" s="28"/>
      <c r="DX1434" s="28"/>
      <c r="EA1434" s="28"/>
      <c r="ED1434" s="28"/>
      <c r="EG1434" s="28"/>
      <c r="EJ1434" s="28"/>
      <c r="EM1434" s="28"/>
      <c r="EP1434" s="28"/>
      <c r="ES1434" s="28"/>
      <c r="EV1434" s="28"/>
      <c r="EY1434" s="28"/>
      <c r="FB1434" s="28"/>
      <c r="FE1434" s="28"/>
      <c r="FH1434" s="28"/>
      <c r="FK1434" s="28"/>
      <c r="FN1434" s="28"/>
      <c r="FQ1434" s="28"/>
      <c r="FT1434" s="28"/>
      <c r="FW1434" s="28"/>
      <c r="FZ1434" s="28"/>
      <c r="GC1434" s="28"/>
    </row>
    <row r="1435" spans="1:185" s="25" customFormat="1" x14ac:dyDescent="0.3">
      <c r="A1435" s="27"/>
      <c r="B1435" s="28"/>
      <c r="C1435" s="27"/>
      <c r="D1435" s="26"/>
      <c r="E1435" s="28"/>
      <c r="H1435" s="28"/>
      <c r="K1435" s="28"/>
      <c r="N1435" s="28"/>
      <c r="Q1435" s="28"/>
      <c r="T1435" s="28"/>
      <c r="W1435" s="28"/>
      <c r="Z1435" s="28"/>
      <c r="AC1435" s="28"/>
      <c r="AF1435" s="28"/>
      <c r="AI1435" s="28"/>
      <c r="AL1435" s="28"/>
      <c r="AO1435" s="28"/>
      <c r="AR1435" s="28"/>
      <c r="AU1435" s="28"/>
      <c r="AX1435" s="28"/>
      <c r="BA1435" s="28"/>
      <c r="BD1435" s="28"/>
      <c r="BG1435" s="28"/>
      <c r="BJ1435" s="28"/>
      <c r="BM1435" s="28"/>
      <c r="BP1435" s="28"/>
      <c r="BS1435" s="28"/>
      <c r="BV1435" s="28"/>
      <c r="BY1435" s="28"/>
      <c r="CB1435" s="28"/>
      <c r="CE1435" s="28"/>
      <c r="CH1435" s="28"/>
      <c r="CK1435" s="28"/>
      <c r="CN1435" s="28"/>
      <c r="CQ1435" s="28"/>
      <c r="CT1435" s="28"/>
      <c r="CW1435" s="28"/>
      <c r="CZ1435" s="28"/>
      <c r="DC1435" s="28"/>
      <c r="DF1435" s="28"/>
      <c r="DI1435" s="28"/>
      <c r="DL1435" s="28"/>
      <c r="DO1435" s="28"/>
      <c r="DR1435" s="28"/>
      <c r="DU1435" s="28"/>
      <c r="DX1435" s="28"/>
      <c r="EA1435" s="28"/>
      <c r="ED1435" s="28"/>
      <c r="EG1435" s="28"/>
      <c r="EJ1435" s="28"/>
      <c r="EM1435" s="28"/>
      <c r="EP1435" s="28"/>
      <c r="ES1435" s="28"/>
      <c r="EV1435" s="28"/>
      <c r="EY1435" s="28"/>
      <c r="FB1435" s="28"/>
      <c r="FE1435" s="28"/>
      <c r="FH1435" s="28"/>
      <c r="FK1435" s="28"/>
      <c r="FN1435" s="28"/>
      <c r="FQ1435" s="28"/>
      <c r="FT1435" s="28"/>
      <c r="FW1435" s="28"/>
      <c r="FZ1435" s="28"/>
      <c r="GC1435" s="28"/>
    </row>
    <row r="1436" spans="1:185" s="25" customFormat="1" x14ac:dyDescent="0.3">
      <c r="A1436" s="27"/>
      <c r="B1436" s="28"/>
      <c r="C1436" s="27"/>
      <c r="D1436" s="26"/>
      <c r="E1436" s="28"/>
      <c r="H1436" s="28"/>
      <c r="K1436" s="28"/>
      <c r="N1436" s="28"/>
      <c r="Q1436" s="28"/>
      <c r="T1436" s="28"/>
      <c r="W1436" s="28"/>
      <c r="Z1436" s="28"/>
      <c r="AC1436" s="28"/>
      <c r="AF1436" s="28"/>
      <c r="AI1436" s="28"/>
      <c r="AL1436" s="28"/>
      <c r="AO1436" s="28"/>
      <c r="AR1436" s="28"/>
      <c r="AU1436" s="28"/>
      <c r="AX1436" s="28"/>
      <c r="BA1436" s="28"/>
      <c r="BD1436" s="28"/>
      <c r="BG1436" s="28"/>
      <c r="BJ1436" s="28"/>
      <c r="BM1436" s="28"/>
      <c r="BP1436" s="28"/>
      <c r="BS1436" s="28"/>
      <c r="BV1436" s="28"/>
      <c r="BY1436" s="28"/>
      <c r="CB1436" s="28"/>
      <c r="CE1436" s="28"/>
      <c r="CH1436" s="28"/>
      <c r="CK1436" s="28"/>
      <c r="CN1436" s="28"/>
      <c r="CQ1436" s="28"/>
      <c r="CT1436" s="28"/>
      <c r="CW1436" s="28"/>
      <c r="CZ1436" s="28"/>
      <c r="DC1436" s="28"/>
      <c r="DF1436" s="28"/>
      <c r="DI1436" s="28"/>
      <c r="DL1436" s="28"/>
      <c r="DO1436" s="28"/>
      <c r="DR1436" s="28"/>
      <c r="DU1436" s="28"/>
      <c r="DX1436" s="28"/>
      <c r="EA1436" s="28"/>
      <c r="ED1436" s="28"/>
      <c r="EG1436" s="28"/>
      <c r="EJ1436" s="28"/>
      <c r="EM1436" s="28"/>
      <c r="EP1436" s="28"/>
      <c r="ES1436" s="28"/>
      <c r="EV1436" s="28"/>
      <c r="EY1436" s="28"/>
      <c r="FB1436" s="28"/>
      <c r="FE1436" s="28"/>
      <c r="FH1436" s="28"/>
      <c r="FK1436" s="28"/>
      <c r="FN1436" s="28"/>
      <c r="FQ1436" s="28"/>
      <c r="FT1436" s="28"/>
      <c r="FW1436" s="28"/>
      <c r="FZ1436" s="28"/>
      <c r="GC1436" s="28"/>
    </row>
    <row r="1437" spans="1:185" s="25" customFormat="1" x14ac:dyDescent="0.3">
      <c r="A1437" s="27"/>
      <c r="B1437" s="28"/>
      <c r="C1437" s="27"/>
      <c r="D1437" s="26"/>
      <c r="E1437" s="28"/>
      <c r="H1437" s="28"/>
      <c r="K1437" s="28"/>
      <c r="N1437" s="28"/>
      <c r="Q1437" s="28"/>
      <c r="T1437" s="28"/>
      <c r="W1437" s="28"/>
      <c r="Z1437" s="28"/>
      <c r="AC1437" s="28"/>
      <c r="AF1437" s="28"/>
      <c r="AI1437" s="28"/>
      <c r="AL1437" s="28"/>
      <c r="AO1437" s="28"/>
      <c r="AR1437" s="28"/>
      <c r="AU1437" s="28"/>
      <c r="AX1437" s="28"/>
      <c r="BA1437" s="28"/>
      <c r="BD1437" s="28"/>
      <c r="BG1437" s="28"/>
      <c r="BJ1437" s="28"/>
      <c r="BM1437" s="28"/>
      <c r="BP1437" s="28"/>
      <c r="BS1437" s="28"/>
      <c r="BV1437" s="28"/>
      <c r="BY1437" s="28"/>
      <c r="CB1437" s="28"/>
      <c r="CE1437" s="28"/>
      <c r="CH1437" s="28"/>
      <c r="CK1437" s="28"/>
      <c r="CN1437" s="28"/>
      <c r="CQ1437" s="28"/>
      <c r="CT1437" s="28"/>
      <c r="CW1437" s="28"/>
      <c r="CZ1437" s="28"/>
      <c r="DC1437" s="28"/>
      <c r="DF1437" s="28"/>
      <c r="DI1437" s="28"/>
      <c r="DL1437" s="28"/>
      <c r="DO1437" s="28"/>
      <c r="DR1437" s="28"/>
      <c r="DU1437" s="28"/>
      <c r="DX1437" s="28"/>
      <c r="EA1437" s="28"/>
      <c r="ED1437" s="28"/>
      <c r="EG1437" s="28"/>
      <c r="EJ1437" s="28"/>
      <c r="EM1437" s="28"/>
      <c r="EP1437" s="28"/>
      <c r="ES1437" s="28"/>
      <c r="EV1437" s="28"/>
      <c r="EY1437" s="28"/>
      <c r="FB1437" s="28"/>
      <c r="FE1437" s="28"/>
      <c r="FH1437" s="28"/>
      <c r="FK1437" s="28"/>
      <c r="FN1437" s="28"/>
      <c r="FQ1437" s="28"/>
      <c r="FT1437" s="28"/>
      <c r="FW1437" s="28"/>
      <c r="FZ1437" s="28"/>
      <c r="GC1437" s="28"/>
    </row>
    <row r="1438" spans="1:185" s="25" customFormat="1" x14ac:dyDescent="0.3">
      <c r="A1438" s="27"/>
      <c r="B1438" s="28"/>
      <c r="C1438" s="27"/>
      <c r="D1438" s="26"/>
      <c r="E1438" s="28"/>
      <c r="H1438" s="28"/>
      <c r="K1438" s="28"/>
      <c r="N1438" s="28"/>
      <c r="Q1438" s="28"/>
      <c r="T1438" s="28"/>
      <c r="W1438" s="28"/>
      <c r="Z1438" s="28"/>
      <c r="AC1438" s="28"/>
      <c r="AF1438" s="28"/>
      <c r="AI1438" s="28"/>
      <c r="AL1438" s="28"/>
      <c r="AO1438" s="28"/>
      <c r="AR1438" s="28"/>
      <c r="AU1438" s="28"/>
      <c r="AX1438" s="28"/>
      <c r="BA1438" s="28"/>
      <c r="BD1438" s="28"/>
      <c r="BG1438" s="28"/>
      <c r="BJ1438" s="28"/>
      <c r="BM1438" s="28"/>
      <c r="BP1438" s="28"/>
      <c r="BS1438" s="28"/>
      <c r="BV1438" s="28"/>
      <c r="BY1438" s="28"/>
      <c r="CB1438" s="28"/>
      <c r="CE1438" s="28"/>
      <c r="CH1438" s="28"/>
      <c r="CK1438" s="28"/>
      <c r="CN1438" s="28"/>
      <c r="CQ1438" s="28"/>
      <c r="CT1438" s="28"/>
      <c r="CW1438" s="28"/>
      <c r="CZ1438" s="28"/>
      <c r="DC1438" s="28"/>
      <c r="DF1438" s="28"/>
      <c r="DI1438" s="28"/>
      <c r="DL1438" s="28"/>
      <c r="DO1438" s="28"/>
      <c r="DR1438" s="28"/>
      <c r="DU1438" s="28"/>
      <c r="DX1438" s="28"/>
      <c r="EA1438" s="28"/>
      <c r="ED1438" s="28"/>
      <c r="EG1438" s="28"/>
      <c r="EJ1438" s="28"/>
      <c r="EM1438" s="28"/>
      <c r="EP1438" s="28"/>
      <c r="ES1438" s="28"/>
      <c r="EV1438" s="28"/>
      <c r="EY1438" s="28"/>
      <c r="FB1438" s="28"/>
      <c r="FE1438" s="28"/>
      <c r="FH1438" s="28"/>
      <c r="FK1438" s="28"/>
      <c r="FN1438" s="28"/>
      <c r="FQ1438" s="28"/>
      <c r="FT1438" s="28"/>
      <c r="FW1438" s="28"/>
      <c r="FZ1438" s="28"/>
      <c r="GC1438" s="28"/>
    </row>
    <row r="1439" spans="1:185" s="25" customFormat="1" x14ac:dyDescent="0.3">
      <c r="A1439" s="27"/>
      <c r="B1439" s="28"/>
      <c r="C1439" s="27"/>
      <c r="D1439" s="26"/>
      <c r="E1439" s="28"/>
      <c r="H1439" s="28"/>
      <c r="K1439" s="28"/>
      <c r="N1439" s="28"/>
      <c r="Q1439" s="28"/>
      <c r="T1439" s="28"/>
      <c r="W1439" s="28"/>
      <c r="Z1439" s="28"/>
      <c r="AC1439" s="28"/>
      <c r="AF1439" s="28"/>
      <c r="AI1439" s="28"/>
      <c r="AL1439" s="28"/>
      <c r="AO1439" s="28"/>
      <c r="AR1439" s="28"/>
      <c r="AU1439" s="28"/>
      <c r="AX1439" s="28"/>
      <c r="BA1439" s="28"/>
      <c r="BD1439" s="28"/>
      <c r="BG1439" s="28"/>
      <c r="BJ1439" s="28"/>
      <c r="BM1439" s="28"/>
      <c r="BP1439" s="28"/>
      <c r="BS1439" s="28"/>
      <c r="BV1439" s="28"/>
      <c r="BY1439" s="28"/>
      <c r="CB1439" s="28"/>
      <c r="CE1439" s="28"/>
      <c r="CH1439" s="28"/>
      <c r="CK1439" s="28"/>
      <c r="CN1439" s="28"/>
      <c r="CQ1439" s="28"/>
      <c r="CT1439" s="28"/>
      <c r="CW1439" s="28"/>
      <c r="CZ1439" s="28"/>
      <c r="DC1439" s="28"/>
      <c r="DF1439" s="28"/>
      <c r="DI1439" s="28"/>
      <c r="DL1439" s="28"/>
      <c r="DO1439" s="28"/>
      <c r="DR1439" s="28"/>
      <c r="DU1439" s="28"/>
      <c r="DX1439" s="28"/>
      <c r="EA1439" s="28"/>
      <c r="ED1439" s="28"/>
      <c r="EG1439" s="28"/>
      <c r="EJ1439" s="28"/>
      <c r="EM1439" s="28"/>
      <c r="EP1439" s="28"/>
      <c r="ES1439" s="28"/>
      <c r="EV1439" s="28"/>
      <c r="EY1439" s="28"/>
      <c r="FB1439" s="28"/>
      <c r="FE1439" s="28"/>
      <c r="FH1439" s="28"/>
      <c r="FK1439" s="28"/>
      <c r="FN1439" s="28"/>
      <c r="FQ1439" s="28"/>
      <c r="FT1439" s="28"/>
      <c r="FW1439" s="28"/>
      <c r="FZ1439" s="28"/>
      <c r="GC1439" s="28"/>
    </row>
    <row r="1440" spans="1:185" s="25" customFormat="1" x14ac:dyDescent="0.3">
      <c r="A1440" s="27"/>
      <c r="B1440" s="28"/>
      <c r="C1440" s="27"/>
      <c r="D1440" s="26"/>
      <c r="E1440" s="28"/>
      <c r="H1440" s="28"/>
      <c r="K1440" s="28"/>
      <c r="N1440" s="28"/>
      <c r="Q1440" s="28"/>
      <c r="T1440" s="28"/>
      <c r="W1440" s="28"/>
      <c r="Z1440" s="28"/>
      <c r="AC1440" s="28"/>
      <c r="AF1440" s="28"/>
      <c r="AI1440" s="28"/>
      <c r="AL1440" s="28"/>
      <c r="AO1440" s="28"/>
      <c r="AR1440" s="28"/>
      <c r="AU1440" s="28"/>
      <c r="AX1440" s="28"/>
      <c r="BA1440" s="28"/>
      <c r="BD1440" s="28"/>
      <c r="BG1440" s="28"/>
      <c r="BJ1440" s="28"/>
      <c r="BM1440" s="28"/>
      <c r="BP1440" s="28"/>
      <c r="BS1440" s="28"/>
      <c r="BV1440" s="28"/>
      <c r="BY1440" s="28"/>
      <c r="CB1440" s="28"/>
      <c r="CE1440" s="28"/>
      <c r="CH1440" s="28"/>
      <c r="CK1440" s="28"/>
      <c r="CN1440" s="28"/>
      <c r="CQ1440" s="28"/>
      <c r="CT1440" s="28"/>
      <c r="CW1440" s="28"/>
      <c r="CZ1440" s="28"/>
      <c r="DC1440" s="28"/>
      <c r="DF1440" s="28"/>
      <c r="DI1440" s="28"/>
      <c r="DL1440" s="28"/>
      <c r="DO1440" s="28"/>
      <c r="DR1440" s="28"/>
      <c r="DU1440" s="28"/>
      <c r="DX1440" s="28"/>
      <c r="EA1440" s="28"/>
      <c r="ED1440" s="28"/>
      <c r="EG1440" s="28"/>
      <c r="EJ1440" s="28"/>
      <c r="EM1440" s="28"/>
      <c r="EP1440" s="28"/>
      <c r="ES1440" s="28"/>
      <c r="EV1440" s="28"/>
      <c r="EY1440" s="28"/>
      <c r="FB1440" s="28"/>
      <c r="FE1440" s="28"/>
      <c r="FH1440" s="28"/>
      <c r="FK1440" s="28"/>
      <c r="FN1440" s="28"/>
      <c r="FQ1440" s="28"/>
      <c r="FT1440" s="28"/>
      <c r="FW1440" s="28"/>
      <c r="FZ1440" s="28"/>
      <c r="GC1440" s="28"/>
    </row>
    <row r="1441" spans="1:185" s="25" customFormat="1" x14ac:dyDescent="0.3">
      <c r="A1441" s="27"/>
      <c r="B1441" s="28"/>
      <c r="C1441" s="27"/>
      <c r="D1441" s="26"/>
      <c r="E1441" s="28"/>
      <c r="H1441" s="28"/>
      <c r="K1441" s="28"/>
      <c r="N1441" s="28"/>
      <c r="Q1441" s="28"/>
      <c r="T1441" s="28"/>
      <c r="W1441" s="28"/>
      <c r="Z1441" s="28"/>
      <c r="AC1441" s="28"/>
      <c r="AF1441" s="28"/>
      <c r="AI1441" s="28"/>
      <c r="AL1441" s="28"/>
      <c r="AO1441" s="28"/>
      <c r="AR1441" s="28"/>
      <c r="AU1441" s="28"/>
      <c r="AX1441" s="28"/>
      <c r="BA1441" s="28"/>
      <c r="BD1441" s="28"/>
      <c r="BG1441" s="28"/>
      <c r="BJ1441" s="28"/>
      <c r="BM1441" s="28"/>
      <c r="BP1441" s="28"/>
      <c r="BS1441" s="28"/>
      <c r="BV1441" s="28"/>
      <c r="BY1441" s="28"/>
      <c r="CB1441" s="28"/>
      <c r="CE1441" s="28"/>
      <c r="CH1441" s="28"/>
      <c r="CK1441" s="28"/>
      <c r="CN1441" s="28"/>
      <c r="CQ1441" s="28"/>
      <c r="CT1441" s="28"/>
      <c r="CW1441" s="28"/>
      <c r="CZ1441" s="28"/>
      <c r="DC1441" s="28"/>
      <c r="DF1441" s="28"/>
      <c r="DI1441" s="28"/>
      <c r="DL1441" s="28"/>
      <c r="DO1441" s="28"/>
      <c r="DR1441" s="28"/>
      <c r="DU1441" s="28"/>
      <c r="DX1441" s="28"/>
      <c r="EA1441" s="28"/>
      <c r="ED1441" s="28"/>
      <c r="EG1441" s="28"/>
      <c r="EJ1441" s="28"/>
      <c r="EM1441" s="28"/>
      <c r="EP1441" s="28"/>
      <c r="ES1441" s="28"/>
      <c r="EV1441" s="28"/>
      <c r="EY1441" s="28"/>
      <c r="FB1441" s="28"/>
      <c r="FE1441" s="28"/>
      <c r="FH1441" s="28"/>
      <c r="FK1441" s="28"/>
      <c r="FN1441" s="28"/>
      <c r="FQ1441" s="28"/>
      <c r="FT1441" s="28"/>
      <c r="FW1441" s="28"/>
      <c r="FZ1441" s="28"/>
      <c r="GC1441" s="28"/>
    </row>
    <row r="1442" spans="1:185" s="25" customFormat="1" x14ac:dyDescent="0.3">
      <c r="A1442" s="27"/>
      <c r="B1442" s="28"/>
      <c r="C1442" s="27"/>
      <c r="D1442" s="26"/>
      <c r="E1442" s="28"/>
      <c r="H1442" s="28"/>
      <c r="K1442" s="28"/>
      <c r="N1442" s="28"/>
      <c r="Q1442" s="28"/>
      <c r="T1442" s="28"/>
      <c r="W1442" s="28"/>
      <c r="Z1442" s="28"/>
      <c r="AC1442" s="28"/>
      <c r="AF1442" s="28"/>
      <c r="AI1442" s="28"/>
      <c r="AL1442" s="28"/>
      <c r="AO1442" s="28"/>
      <c r="AR1442" s="28"/>
      <c r="AU1442" s="28"/>
      <c r="AX1442" s="28"/>
      <c r="BA1442" s="28"/>
      <c r="BD1442" s="28"/>
      <c r="BG1442" s="28"/>
      <c r="BJ1442" s="28"/>
      <c r="BM1442" s="28"/>
      <c r="BP1442" s="28"/>
      <c r="BS1442" s="28"/>
      <c r="BV1442" s="28"/>
      <c r="BY1442" s="28"/>
      <c r="CB1442" s="28"/>
      <c r="CE1442" s="28"/>
      <c r="CH1442" s="28"/>
      <c r="CK1442" s="28"/>
      <c r="CN1442" s="28"/>
      <c r="CQ1442" s="28"/>
      <c r="CT1442" s="28"/>
      <c r="CW1442" s="28"/>
      <c r="CZ1442" s="28"/>
      <c r="DC1442" s="28"/>
      <c r="DF1442" s="28"/>
      <c r="DI1442" s="28"/>
      <c r="DL1442" s="28"/>
      <c r="DO1442" s="28"/>
      <c r="DR1442" s="28"/>
      <c r="DU1442" s="28"/>
      <c r="DX1442" s="28"/>
      <c r="EA1442" s="28"/>
      <c r="ED1442" s="28"/>
      <c r="EG1442" s="28"/>
      <c r="EJ1442" s="28"/>
      <c r="EM1442" s="28"/>
      <c r="EP1442" s="28"/>
      <c r="ES1442" s="28"/>
      <c r="EV1442" s="28"/>
      <c r="EY1442" s="28"/>
      <c r="FB1442" s="28"/>
      <c r="FE1442" s="28"/>
      <c r="FH1442" s="28"/>
      <c r="FK1442" s="28"/>
      <c r="FN1442" s="28"/>
      <c r="FQ1442" s="28"/>
      <c r="FT1442" s="28"/>
      <c r="FW1442" s="28"/>
      <c r="FZ1442" s="28"/>
      <c r="GC1442" s="28"/>
    </row>
    <row r="1443" spans="1:185" s="25" customFormat="1" x14ac:dyDescent="0.3">
      <c r="A1443" s="27"/>
      <c r="B1443" s="28"/>
      <c r="C1443" s="27"/>
      <c r="D1443" s="26"/>
      <c r="E1443" s="28"/>
      <c r="H1443" s="28"/>
      <c r="K1443" s="28"/>
      <c r="N1443" s="28"/>
      <c r="Q1443" s="28"/>
      <c r="T1443" s="28"/>
      <c r="W1443" s="28"/>
      <c r="Z1443" s="28"/>
      <c r="AC1443" s="28"/>
      <c r="AF1443" s="28"/>
      <c r="AI1443" s="28"/>
      <c r="AL1443" s="28"/>
      <c r="AO1443" s="28"/>
      <c r="AR1443" s="28"/>
      <c r="AU1443" s="28"/>
      <c r="AX1443" s="28"/>
      <c r="BA1443" s="28"/>
      <c r="BD1443" s="28"/>
      <c r="BG1443" s="28"/>
      <c r="BJ1443" s="28"/>
      <c r="BM1443" s="28"/>
      <c r="BP1443" s="28"/>
      <c r="BS1443" s="28"/>
      <c r="BV1443" s="28"/>
      <c r="BY1443" s="28"/>
      <c r="CB1443" s="28"/>
      <c r="CE1443" s="28"/>
      <c r="CH1443" s="28"/>
      <c r="CK1443" s="28"/>
      <c r="CN1443" s="28"/>
      <c r="CQ1443" s="28"/>
      <c r="CT1443" s="28"/>
      <c r="CW1443" s="28"/>
      <c r="CZ1443" s="28"/>
      <c r="DC1443" s="28"/>
      <c r="DF1443" s="28"/>
      <c r="DI1443" s="28"/>
      <c r="DL1443" s="28"/>
      <c r="DO1443" s="28"/>
      <c r="DR1443" s="28"/>
      <c r="DU1443" s="28"/>
      <c r="DX1443" s="28"/>
      <c r="EA1443" s="28"/>
      <c r="ED1443" s="28"/>
      <c r="EG1443" s="28"/>
      <c r="EJ1443" s="28"/>
      <c r="EM1443" s="28"/>
      <c r="EP1443" s="28"/>
      <c r="ES1443" s="28"/>
      <c r="EV1443" s="28"/>
      <c r="EY1443" s="28"/>
      <c r="FB1443" s="28"/>
      <c r="FE1443" s="28"/>
      <c r="FH1443" s="28"/>
      <c r="FK1443" s="28"/>
      <c r="FN1443" s="28"/>
      <c r="FQ1443" s="28"/>
      <c r="FT1443" s="28"/>
      <c r="FW1443" s="28"/>
      <c r="FZ1443" s="28"/>
      <c r="GC1443" s="28"/>
    </row>
    <row r="1444" spans="1:185" s="25" customFormat="1" x14ac:dyDescent="0.3">
      <c r="A1444" s="27"/>
      <c r="B1444" s="28"/>
      <c r="C1444" s="27"/>
      <c r="D1444" s="26"/>
      <c r="E1444" s="28"/>
      <c r="H1444" s="28"/>
      <c r="K1444" s="28"/>
      <c r="N1444" s="28"/>
      <c r="Q1444" s="28"/>
      <c r="T1444" s="28"/>
      <c r="W1444" s="28"/>
      <c r="Z1444" s="28"/>
      <c r="AC1444" s="28"/>
      <c r="AF1444" s="28"/>
      <c r="AI1444" s="28"/>
      <c r="AL1444" s="28"/>
      <c r="AO1444" s="28"/>
      <c r="AR1444" s="28"/>
      <c r="AU1444" s="28"/>
      <c r="AX1444" s="28"/>
      <c r="BA1444" s="28"/>
      <c r="BD1444" s="28"/>
      <c r="BG1444" s="28"/>
      <c r="BJ1444" s="28"/>
      <c r="BM1444" s="28"/>
      <c r="BP1444" s="28"/>
      <c r="BS1444" s="28"/>
      <c r="BV1444" s="28"/>
      <c r="BY1444" s="28"/>
      <c r="CB1444" s="28"/>
      <c r="CE1444" s="28"/>
      <c r="CH1444" s="28"/>
      <c r="CK1444" s="28"/>
      <c r="CN1444" s="28"/>
      <c r="CQ1444" s="28"/>
      <c r="CT1444" s="28"/>
      <c r="CW1444" s="28"/>
      <c r="CZ1444" s="28"/>
      <c r="DC1444" s="28"/>
      <c r="DF1444" s="28"/>
      <c r="DI1444" s="28"/>
      <c r="DL1444" s="28"/>
      <c r="DO1444" s="28"/>
      <c r="DR1444" s="28"/>
      <c r="DU1444" s="28"/>
      <c r="DX1444" s="28"/>
      <c r="EA1444" s="28"/>
      <c r="ED1444" s="28"/>
      <c r="EG1444" s="28"/>
      <c r="EJ1444" s="28"/>
      <c r="EM1444" s="28"/>
      <c r="EP1444" s="28"/>
      <c r="ES1444" s="28"/>
      <c r="EV1444" s="28"/>
      <c r="EY1444" s="28"/>
      <c r="FB1444" s="28"/>
      <c r="FE1444" s="28"/>
      <c r="FH1444" s="28"/>
      <c r="FK1444" s="28"/>
      <c r="FN1444" s="28"/>
      <c r="FQ1444" s="28"/>
      <c r="FT1444" s="28"/>
      <c r="FW1444" s="28"/>
      <c r="FZ1444" s="28"/>
      <c r="GC1444" s="28"/>
    </row>
    <row r="1445" spans="1:185" s="25" customFormat="1" x14ac:dyDescent="0.3">
      <c r="A1445" s="27"/>
      <c r="B1445" s="28"/>
      <c r="C1445" s="27"/>
      <c r="D1445" s="26"/>
      <c r="E1445" s="28"/>
      <c r="H1445" s="28"/>
      <c r="K1445" s="28"/>
      <c r="N1445" s="28"/>
      <c r="Q1445" s="28"/>
      <c r="T1445" s="28"/>
      <c r="W1445" s="28"/>
      <c r="Z1445" s="28"/>
      <c r="AC1445" s="28"/>
      <c r="AF1445" s="28"/>
      <c r="AI1445" s="28"/>
      <c r="AL1445" s="28"/>
      <c r="AO1445" s="28"/>
      <c r="AR1445" s="28"/>
      <c r="AU1445" s="28"/>
      <c r="AX1445" s="28"/>
      <c r="BA1445" s="28"/>
      <c r="BD1445" s="28"/>
      <c r="BG1445" s="28"/>
      <c r="BJ1445" s="28"/>
      <c r="BM1445" s="28"/>
      <c r="BP1445" s="28"/>
      <c r="BS1445" s="28"/>
      <c r="BV1445" s="28"/>
      <c r="BY1445" s="28"/>
      <c r="CB1445" s="28"/>
      <c r="CE1445" s="28"/>
      <c r="CH1445" s="28"/>
      <c r="CK1445" s="28"/>
      <c r="CN1445" s="28"/>
      <c r="CQ1445" s="28"/>
      <c r="CT1445" s="28"/>
      <c r="CW1445" s="28"/>
      <c r="CZ1445" s="28"/>
      <c r="DC1445" s="28"/>
      <c r="DF1445" s="28"/>
      <c r="DI1445" s="28"/>
      <c r="DL1445" s="28"/>
      <c r="DO1445" s="28"/>
      <c r="DR1445" s="28"/>
      <c r="DU1445" s="28"/>
      <c r="DX1445" s="28"/>
      <c r="EA1445" s="28"/>
      <c r="ED1445" s="28"/>
      <c r="EG1445" s="28"/>
      <c r="EJ1445" s="28"/>
      <c r="EM1445" s="28"/>
      <c r="EP1445" s="28"/>
      <c r="ES1445" s="28"/>
      <c r="EV1445" s="28"/>
      <c r="EY1445" s="28"/>
      <c r="FB1445" s="28"/>
      <c r="FE1445" s="28"/>
      <c r="FH1445" s="28"/>
      <c r="FK1445" s="28"/>
      <c r="FN1445" s="28"/>
      <c r="FQ1445" s="28"/>
      <c r="FT1445" s="28"/>
      <c r="FW1445" s="28"/>
      <c r="FZ1445" s="28"/>
      <c r="GC1445" s="28"/>
    </row>
    <row r="1446" spans="1:185" s="25" customFormat="1" x14ac:dyDescent="0.3">
      <c r="A1446" s="27"/>
      <c r="B1446" s="28"/>
      <c r="C1446" s="27"/>
      <c r="D1446" s="26"/>
      <c r="E1446" s="28"/>
      <c r="H1446" s="28"/>
      <c r="K1446" s="28"/>
      <c r="N1446" s="28"/>
      <c r="Q1446" s="28"/>
      <c r="T1446" s="28"/>
      <c r="W1446" s="28"/>
      <c r="Z1446" s="28"/>
      <c r="AC1446" s="28"/>
      <c r="AF1446" s="28"/>
      <c r="AI1446" s="28"/>
      <c r="AL1446" s="28"/>
      <c r="AO1446" s="28"/>
      <c r="AR1446" s="28"/>
      <c r="AU1446" s="28"/>
      <c r="AX1446" s="28"/>
      <c r="BA1446" s="28"/>
      <c r="BD1446" s="28"/>
      <c r="BG1446" s="28"/>
      <c r="BJ1446" s="28"/>
      <c r="BM1446" s="28"/>
      <c r="BP1446" s="28"/>
      <c r="BS1446" s="28"/>
      <c r="BV1446" s="28"/>
      <c r="BY1446" s="28"/>
      <c r="CB1446" s="28"/>
      <c r="CE1446" s="28"/>
      <c r="CH1446" s="28"/>
      <c r="CK1446" s="28"/>
      <c r="CN1446" s="28"/>
      <c r="CQ1446" s="28"/>
      <c r="CT1446" s="28"/>
      <c r="CW1446" s="28"/>
      <c r="CZ1446" s="28"/>
      <c r="DC1446" s="28"/>
      <c r="DF1446" s="28"/>
      <c r="DI1446" s="28"/>
      <c r="DL1446" s="28"/>
      <c r="DO1446" s="28"/>
      <c r="DR1446" s="28"/>
      <c r="DU1446" s="28"/>
      <c r="DX1446" s="28"/>
      <c r="EA1446" s="28"/>
      <c r="ED1446" s="28"/>
      <c r="EG1446" s="28"/>
      <c r="EJ1446" s="28"/>
      <c r="EM1446" s="28"/>
      <c r="EP1446" s="28"/>
      <c r="ES1446" s="28"/>
      <c r="EV1446" s="28"/>
      <c r="EY1446" s="28"/>
      <c r="FB1446" s="28"/>
      <c r="FE1446" s="28"/>
      <c r="FH1446" s="28"/>
      <c r="FK1446" s="28"/>
      <c r="FN1446" s="28"/>
      <c r="FQ1446" s="28"/>
      <c r="FT1446" s="28"/>
      <c r="FW1446" s="28"/>
      <c r="FZ1446" s="28"/>
      <c r="GC1446" s="28"/>
    </row>
    <row r="1447" spans="1:185" s="25" customFormat="1" x14ac:dyDescent="0.3">
      <c r="A1447" s="27"/>
      <c r="B1447" s="28"/>
      <c r="C1447" s="27"/>
      <c r="D1447" s="26"/>
      <c r="E1447" s="28"/>
      <c r="H1447" s="28"/>
      <c r="K1447" s="28"/>
      <c r="N1447" s="28"/>
      <c r="Q1447" s="28"/>
      <c r="T1447" s="28"/>
      <c r="W1447" s="28"/>
      <c r="Z1447" s="28"/>
      <c r="AC1447" s="28"/>
      <c r="AF1447" s="28"/>
      <c r="AI1447" s="28"/>
      <c r="AL1447" s="28"/>
      <c r="AO1447" s="28"/>
      <c r="AR1447" s="28"/>
      <c r="AU1447" s="28"/>
      <c r="AX1447" s="28"/>
      <c r="BA1447" s="28"/>
      <c r="BD1447" s="28"/>
      <c r="BG1447" s="28"/>
      <c r="BJ1447" s="28"/>
      <c r="BM1447" s="28"/>
      <c r="BP1447" s="28"/>
      <c r="BS1447" s="28"/>
      <c r="BV1447" s="28"/>
      <c r="BY1447" s="28"/>
      <c r="CB1447" s="28"/>
      <c r="CE1447" s="28"/>
      <c r="CH1447" s="28"/>
      <c r="CK1447" s="28"/>
      <c r="CN1447" s="28"/>
      <c r="CQ1447" s="28"/>
      <c r="CT1447" s="28"/>
      <c r="CW1447" s="28"/>
      <c r="CZ1447" s="28"/>
      <c r="DC1447" s="28"/>
      <c r="DF1447" s="28"/>
      <c r="DI1447" s="28"/>
      <c r="DL1447" s="28"/>
      <c r="DO1447" s="28"/>
      <c r="DR1447" s="28"/>
      <c r="DU1447" s="28"/>
      <c r="DX1447" s="28"/>
      <c r="EA1447" s="28"/>
      <c r="ED1447" s="28"/>
      <c r="EG1447" s="28"/>
      <c r="EJ1447" s="28"/>
      <c r="EM1447" s="28"/>
      <c r="EP1447" s="28"/>
      <c r="ES1447" s="28"/>
      <c r="EV1447" s="28"/>
      <c r="EY1447" s="28"/>
      <c r="FB1447" s="28"/>
      <c r="FE1447" s="28"/>
      <c r="FH1447" s="28"/>
      <c r="FK1447" s="28"/>
      <c r="FN1447" s="28"/>
      <c r="FQ1447" s="28"/>
      <c r="FT1447" s="28"/>
      <c r="FW1447" s="28"/>
      <c r="FZ1447" s="28"/>
      <c r="GC1447" s="28"/>
    </row>
    <row r="1448" spans="1:185" s="25" customFormat="1" x14ac:dyDescent="0.3">
      <c r="A1448" s="27"/>
      <c r="B1448" s="28"/>
      <c r="C1448" s="27"/>
      <c r="D1448" s="26"/>
      <c r="E1448" s="28"/>
      <c r="H1448" s="28"/>
      <c r="K1448" s="28"/>
      <c r="N1448" s="28"/>
      <c r="Q1448" s="28"/>
      <c r="T1448" s="28"/>
      <c r="W1448" s="28"/>
      <c r="Z1448" s="28"/>
      <c r="AC1448" s="28"/>
      <c r="AF1448" s="28"/>
      <c r="AI1448" s="28"/>
      <c r="AL1448" s="28"/>
      <c r="AO1448" s="28"/>
      <c r="AR1448" s="28"/>
      <c r="AU1448" s="28"/>
      <c r="AX1448" s="28"/>
      <c r="BA1448" s="28"/>
      <c r="BD1448" s="28"/>
      <c r="BG1448" s="28"/>
      <c r="BJ1448" s="28"/>
      <c r="BM1448" s="28"/>
      <c r="BP1448" s="28"/>
      <c r="BS1448" s="28"/>
      <c r="BV1448" s="28"/>
      <c r="BY1448" s="28"/>
      <c r="CB1448" s="28"/>
      <c r="CE1448" s="28"/>
      <c r="CH1448" s="28"/>
      <c r="CK1448" s="28"/>
      <c r="CN1448" s="28"/>
      <c r="CQ1448" s="28"/>
      <c r="CT1448" s="28"/>
      <c r="CW1448" s="28"/>
      <c r="CZ1448" s="28"/>
      <c r="DC1448" s="28"/>
      <c r="DF1448" s="28"/>
      <c r="DI1448" s="28"/>
      <c r="DL1448" s="28"/>
      <c r="DO1448" s="28"/>
      <c r="DR1448" s="28"/>
      <c r="DU1448" s="28"/>
      <c r="DX1448" s="28"/>
      <c r="EA1448" s="28"/>
      <c r="ED1448" s="28"/>
      <c r="EG1448" s="28"/>
      <c r="EJ1448" s="28"/>
      <c r="EM1448" s="28"/>
      <c r="EP1448" s="28"/>
      <c r="ES1448" s="28"/>
      <c r="EV1448" s="28"/>
      <c r="EY1448" s="28"/>
      <c r="FB1448" s="28"/>
      <c r="FE1448" s="28"/>
      <c r="FH1448" s="28"/>
      <c r="FK1448" s="28"/>
      <c r="FN1448" s="28"/>
      <c r="FQ1448" s="28"/>
      <c r="FT1448" s="28"/>
      <c r="FW1448" s="28"/>
      <c r="FZ1448" s="28"/>
      <c r="GC1448" s="28"/>
    </row>
    <row r="1449" spans="1:185" s="25" customFormat="1" x14ac:dyDescent="0.3">
      <c r="A1449" s="27"/>
      <c r="B1449" s="28"/>
      <c r="C1449" s="27"/>
      <c r="D1449" s="26"/>
      <c r="E1449" s="28"/>
      <c r="H1449" s="28"/>
      <c r="K1449" s="28"/>
      <c r="N1449" s="28"/>
      <c r="Q1449" s="28"/>
      <c r="T1449" s="28"/>
      <c r="W1449" s="28"/>
      <c r="Z1449" s="28"/>
      <c r="AC1449" s="28"/>
      <c r="AF1449" s="28"/>
      <c r="AI1449" s="28"/>
      <c r="AL1449" s="28"/>
      <c r="AO1449" s="28"/>
      <c r="AR1449" s="28"/>
      <c r="AU1449" s="28"/>
      <c r="AX1449" s="28"/>
      <c r="BA1449" s="28"/>
      <c r="BD1449" s="28"/>
      <c r="BG1449" s="28"/>
      <c r="BJ1449" s="28"/>
      <c r="BM1449" s="28"/>
      <c r="BP1449" s="28"/>
      <c r="BS1449" s="28"/>
      <c r="BV1449" s="28"/>
      <c r="BY1449" s="28"/>
      <c r="CB1449" s="28"/>
      <c r="CE1449" s="28"/>
      <c r="CH1449" s="28"/>
      <c r="CK1449" s="28"/>
      <c r="CN1449" s="28"/>
      <c r="CQ1449" s="28"/>
      <c r="CT1449" s="28"/>
      <c r="CW1449" s="28"/>
      <c r="CZ1449" s="28"/>
      <c r="DC1449" s="28"/>
      <c r="DF1449" s="28"/>
      <c r="DI1449" s="28"/>
      <c r="DL1449" s="28"/>
      <c r="DO1449" s="28"/>
      <c r="DR1449" s="28"/>
      <c r="DU1449" s="28"/>
      <c r="DX1449" s="28"/>
      <c r="EA1449" s="28"/>
      <c r="ED1449" s="28"/>
      <c r="EG1449" s="28"/>
      <c r="EJ1449" s="28"/>
      <c r="EM1449" s="28"/>
      <c r="EP1449" s="28"/>
      <c r="ES1449" s="28"/>
      <c r="EV1449" s="28"/>
      <c r="EY1449" s="28"/>
      <c r="FB1449" s="28"/>
      <c r="FE1449" s="28"/>
      <c r="FH1449" s="28"/>
      <c r="FK1449" s="28"/>
      <c r="FN1449" s="28"/>
      <c r="FQ1449" s="28"/>
      <c r="FT1449" s="28"/>
      <c r="FW1449" s="28"/>
      <c r="FZ1449" s="28"/>
      <c r="GC1449" s="28"/>
    </row>
    <row r="1450" spans="1:185" s="25" customFormat="1" x14ac:dyDescent="0.3">
      <c r="A1450" s="27"/>
      <c r="B1450" s="28"/>
      <c r="C1450" s="27"/>
      <c r="D1450" s="26"/>
      <c r="E1450" s="28"/>
      <c r="H1450" s="28"/>
      <c r="K1450" s="28"/>
      <c r="N1450" s="28"/>
      <c r="Q1450" s="28"/>
      <c r="T1450" s="28"/>
      <c r="W1450" s="28"/>
      <c r="Z1450" s="28"/>
      <c r="AC1450" s="28"/>
      <c r="AF1450" s="28"/>
      <c r="AI1450" s="28"/>
      <c r="AL1450" s="28"/>
      <c r="AO1450" s="28"/>
      <c r="AR1450" s="28"/>
      <c r="AU1450" s="28"/>
      <c r="AX1450" s="28"/>
      <c r="BA1450" s="28"/>
      <c r="BD1450" s="28"/>
      <c r="BG1450" s="28"/>
      <c r="BJ1450" s="28"/>
      <c r="BM1450" s="28"/>
      <c r="BP1450" s="28"/>
      <c r="BS1450" s="28"/>
      <c r="BV1450" s="28"/>
      <c r="BY1450" s="28"/>
      <c r="CB1450" s="28"/>
      <c r="CE1450" s="28"/>
      <c r="CH1450" s="28"/>
      <c r="CK1450" s="28"/>
      <c r="CN1450" s="28"/>
      <c r="CQ1450" s="28"/>
      <c r="CT1450" s="28"/>
      <c r="CW1450" s="28"/>
      <c r="CZ1450" s="28"/>
      <c r="DC1450" s="28"/>
      <c r="DF1450" s="28"/>
      <c r="DI1450" s="28"/>
      <c r="DL1450" s="28"/>
      <c r="DO1450" s="28"/>
      <c r="DR1450" s="28"/>
      <c r="DU1450" s="28"/>
      <c r="DX1450" s="28"/>
      <c r="EA1450" s="28"/>
      <c r="ED1450" s="28"/>
      <c r="EG1450" s="28"/>
      <c r="EJ1450" s="28"/>
      <c r="EM1450" s="28"/>
      <c r="EP1450" s="28"/>
      <c r="ES1450" s="28"/>
      <c r="EV1450" s="28"/>
      <c r="EY1450" s="28"/>
      <c r="FB1450" s="28"/>
      <c r="FE1450" s="28"/>
      <c r="FH1450" s="28"/>
      <c r="FK1450" s="28"/>
      <c r="FN1450" s="28"/>
      <c r="FQ1450" s="28"/>
      <c r="FT1450" s="28"/>
      <c r="FW1450" s="28"/>
      <c r="FZ1450" s="28"/>
      <c r="GC1450" s="28"/>
    </row>
    <row r="1451" spans="1:185" s="25" customFormat="1" x14ac:dyDescent="0.3">
      <c r="A1451" s="27"/>
      <c r="B1451" s="28"/>
      <c r="C1451" s="27"/>
      <c r="D1451" s="26"/>
      <c r="E1451" s="28"/>
      <c r="H1451" s="28"/>
      <c r="K1451" s="28"/>
      <c r="N1451" s="28"/>
      <c r="Q1451" s="28"/>
      <c r="T1451" s="28"/>
      <c r="W1451" s="28"/>
      <c r="Z1451" s="28"/>
      <c r="AC1451" s="28"/>
      <c r="AF1451" s="28"/>
      <c r="AI1451" s="28"/>
      <c r="AL1451" s="28"/>
      <c r="AO1451" s="28"/>
      <c r="AR1451" s="28"/>
      <c r="AU1451" s="28"/>
      <c r="AX1451" s="28"/>
      <c r="BA1451" s="28"/>
      <c r="BD1451" s="28"/>
      <c r="BG1451" s="28"/>
      <c r="BJ1451" s="28"/>
      <c r="BM1451" s="28"/>
      <c r="BP1451" s="28"/>
      <c r="BS1451" s="28"/>
      <c r="BV1451" s="28"/>
      <c r="BY1451" s="28"/>
      <c r="CB1451" s="28"/>
      <c r="CE1451" s="28"/>
      <c r="CH1451" s="28"/>
      <c r="CK1451" s="28"/>
      <c r="CN1451" s="28"/>
      <c r="CQ1451" s="28"/>
      <c r="CT1451" s="28"/>
      <c r="CW1451" s="28"/>
      <c r="CZ1451" s="28"/>
      <c r="DC1451" s="28"/>
      <c r="DF1451" s="28"/>
      <c r="DI1451" s="28"/>
      <c r="DL1451" s="28"/>
      <c r="DO1451" s="28"/>
      <c r="DR1451" s="28"/>
      <c r="DU1451" s="28"/>
      <c r="DX1451" s="28"/>
      <c r="EA1451" s="28"/>
      <c r="ED1451" s="28"/>
      <c r="EG1451" s="28"/>
      <c r="EJ1451" s="28"/>
      <c r="EM1451" s="28"/>
      <c r="EP1451" s="28"/>
      <c r="ES1451" s="28"/>
      <c r="EV1451" s="28"/>
      <c r="EY1451" s="28"/>
      <c r="FB1451" s="28"/>
      <c r="FE1451" s="28"/>
      <c r="FH1451" s="28"/>
      <c r="FK1451" s="28"/>
      <c r="FN1451" s="28"/>
      <c r="FQ1451" s="28"/>
      <c r="FT1451" s="28"/>
      <c r="FW1451" s="28"/>
      <c r="FZ1451" s="28"/>
      <c r="GC1451" s="28"/>
    </row>
    <row r="1452" spans="1:185" s="25" customFormat="1" x14ac:dyDescent="0.3">
      <c r="A1452" s="27"/>
      <c r="B1452" s="28"/>
      <c r="C1452" s="27"/>
      <c r="D1452" s="26"/>
      <c r="E1452" s="28"/>
      <c r="H1452" s="28"/>
      <c r="K1452" s="28"/>
      <c r="N1452" s="28"/>
      <c r="Q1452" s="28"/>
      <c r="T1452" s="28"/>
      <c r="W1452" s="28"/>
      <c r="Z1452" s="28"/>
      <c r="AC1452" s="28"/>
      <c r="AF1452" s="28"/>
      <c r="AI1452" s="28"/>
      <c r="AL1452" s="28"/>
      <c r="AO1452" s="28"/>
      <c r="AR1452" s="28"/>
      <c r="AU1452" s="28"/>
      <c r="AX1452" s="28"/>
      <c r="BA1452" s="28"/>
      <c r="BD1452" s="28"/>
      <c r="BG1452" s="28"/>
      <c r="BJ1452" s="28"/>
      <c r="BM1452" s="28"/>
      <c r="BP1452" s="28"/>
      <c r="BS1452" s="28"/>
      <c r="BV1452" s="28"/>
      <c r="BY1452" s="28"/>
      <c r="CB1452" s="28"/>
      <c r="CE1452" s="28"/>
      <c r="CH1452" s="28"/>
      <c r="CK1452" s="28"/>
      <c r="CN1452" s="28"/>
      <c r="CQ1452" s="28"/>
      <c r="CT1452" s="28"/>
      <c r="CW1452" s="28"/>
      <c r="CZ1452" s="28"/>
      <c r="DC1452" s="28"/>
      <c r="DF1452" s="28"/>
      <c r="DI1452" s="28"/>
      <c r="DL1452" s="28"/>
      <c r="DO1452" s="28"/>
      <c r="DR1452" s="28"/>
      <c r="DU1452" s="28"/>
      <c r="DX1452" s="28"/>
      <c r="EA1452" s="28"/>
      <c r="ED1452" s="28"/>
      <c r="EG1452" s="28"/>
      <c r="EJ1452" s="28"/>
      <c r="EM1452" s="28"/>
      <c r="EP1452" s="28"/>
      <c r="ES1452" s="28"/>
      <c r="EV1452" s="28"/>
      <c r="EY1452" s="28"/>
      <c r="FB1452" s="28"/>
      <c r="FE1452" s="28"/>
      <c r="FH1452" s="28"/>
      <c r="FK1452" s="28"/>
      <c r="FN1452" s="28"/>
      <c r="FQ1452" s="28"/>
      <c r="FT1452" s="28"/>
      <c r="FW1452" s="28"/>
      <c r="FZ1452" s="28"/>
      <c r="GC1452" s="28"/>
    </row>
    <row r="1453" spans="1:185" s="25" customFormat="1" x14ac:dyDescent="0.3">
      <c r="A1453" s="27"/>
      <c r="B1453" s="28"/>
      <c r="C1453" s="27"/>
      <c r="D1453" s="26"/>
      <c r="E1453" s="28"/>
      <c r="H1453" s="28"/>
      <c r="K1453" s="28"/>
      <c r="N1453" s="28"/>
      <c r="Q1453" s="28"/>
      <c r="T1453" s="28"/>
      <c r="W1453" s="28"/>
      <c r="Z1453" s="28"/>
      <c r="AC1453" s="28"/>
      <c r="AF1453" s="28"/>
      <c r="AI1453" s="28"/>
      <c r="AL1453" s="28"/>
      <c r="AO1453" s="28"/>
      <c r="AR1453" s="28"/>
      <c r="AU1453" s="28"/>
      <c r="AX1453" s="28"/>
      <c r="BA1453" s="28"/>
      <c r="BD1453" s="28"/>
      <c r="BG1453" s="28"/>
      <c r="BJ1453" s="28"/>
      <c r="BM1453" s="28"/>
      <c r="BP1453" s="28"/>
      <c r="BS1453" s="28"/>
      <c r="BV1453" s="28"/>
      <c r="BY1453" s="28"/>
      <c r="CB1453" s="28"/>
      <c r="CE1453" s="28"/>
      <c r="CH1453" s="28"/>
      <c r="CK1453" s="28"/>
      <c r="CN1453" s="28"/>
      <c r="CQ1453" s="28"/>
      <c r="CT1453" s="28"/>
      <c r="CW1453" s="28"/>
      <c r="CZ1453" s="28"/>
      <c r="DC1453" s="28"/>
      <c r="DF1453" s="28"/>
      <c r="DI1453" s="28"/>
      <c r="DL1453" s="28"/>
      <c r="DO1453" s="28"/>
      <c r="DR1453" s="28"/>
      <c r="DU1453" s="28"/>
      <c r="DX1453" s="28"/>
      <c r="EA1453" s="28"/>
      <c r="ED1453" s="28"/>
      <c r="EG1453" s="28"/>
      <c r="EJ1453" s="28"/>
      <c r="EM1453" s="28"/>
      <c r="EP1453" s="28"/>
      <c r="ES1453" s="28"/>
      <c r="EV1453" s="28"/>
      <c r="EY1453" s="28"/>
      <c r="FB1453" s="28"/>
      <c r="FE1453" s="28"/>
      <c r="FH1453" s="28"/>
      <c r="FK1453" s="28"/>
      <c r="FN1453" s="28"/>
      <c r="FQ1453" s="28"/>
      <c r="FT1453" s="28"/>
      <c r="FW1453" s="28"/>
      <c r="FZ1453" s="28"/>
      <c r="GC1453" s="28"/>
    </row>
    <row r="1454" spans="1:185" s="25" customFormat="1" x14ac:dyDescent="0.3">
      <c r="A1454" s="27"/>
      <c r="B1454" s="28"/>
      <c r="C1454" s="27"/>
      <c r="D1454" s="26"/>
      <c r="E1454" s="28"/>
      <c r="H1454" s="28"/>
      <c r="K1454" s="28"/>
      <c r="N1454" s="28"/>
      <c r="Q1454" s="28"/>
      <c r="T1454" s="28"/>
      <c r="W1454" s="28"/>
      <c r="Z1454" s="28"/>
      <c r="AC1454" s="28"/>
      <c r="AF1454" s="28"/>
      <c r="AI1454" s="28"/>
      <c r="AL1454" s="28"/>
      <c r="AO1454" s="28"/>
      <c r="AR1454" s="28"/>
      <c r="AU1454" s="28"/>
      <c r="AX1454" s="28"/>
      <c r="BA1454" s="28"/>
      <c r="BD1454" s="28"/>
      <c r="BG1454" s="28"/>
      <c r="BJ1454" s="28"/>
      <c r="BM1454" s="28"/>
      <c r="BP1454" s="28"/>
      <c r="BS1454" s="28"/>
      <c r="BV1454" s="28"/>
      <c r="BY1454" s="28"/>
      <c r="CB1454" s="28"/>
      <c r="CE1454" s="28"/>
      <c r="CH1454" s="28"/>
      <c r="CK1454" s="28"/>
      <c r="CN1454" s="28"/>
      <c r="CQ1454" s="28"/>
      <c r="CT1454" s="28"/>
      <c r="CW1454" s="28"/>
      <c r="CZ1454" s="28"/>
      <c r="DC1454" s="28"/>
      <c r="DF1454" s="28"/>
      <c r="DI1454" s="28"/>
      <c r="DL1454" s="28"/>
      <c r="DO1454" s="28"/>
      <c r="DR1454" s="28"/>
      <c r="DU1454" s="28"/>
      <c r="DX1454" s="28"/>
      <c r="EA1454" s="28"/>
      <c r="ED1454" s="28"/>
      <c r="EG1454" s="28"/>
      <c r="EJ1454" s="28"/>
      <c r="EM1454" s="28"/>
      <c r="EP1454" s="28"/>
      <c r="ES1454" s="28"/>
      <c r="EV1454" s="28"/>
      <c r="EY1454" s="28"/>
      <c r="FB1454" s="28"/>
      <c r="FE1454" s="28"/>
      <c r="FH1454" s="28"/>
      <c r="FK1454" s="28"/>
      <c r="FN1454" s="28"/>
      <c r="FQ1454" s="28"/>
      <c r="FT1454" s="28"/>
      <c r="FW1454" s="28"/>
      <c r="FZ1454" s="28"/>
      <c r="GC1454" s="28"/>
    </row>
    <row r="1455" spans="1:185" s="25" customFormat="1" x14ac:dyDescent="0.3">
      <c r="A1455" s="27"/>
      <c r="B1455" s="28"/>
      <c r="C1455" s="27"/>
      <c r="D1455" s="26"/>
      <c r="E1455" s="28"/>
      <c r="H1455" s="28"/>
      <c r="K1455" s="28"/>
      <c r="N1455" s="28"/>
      <c r="Q1455" s="28"/>
      <c r="T1455" s="28"/>
      <c r="W1455" s="28"/>
      <c r="Z1455" s="28"/>
      <c r="AC1455" s="28"/>
      <c r="AF1455" s="28"/>
      <c r="AI1455" s="28"/>
      <c r="AL1455" s="28"/>
      <c r="AO1455" s="28"/>
      <c r="AR1455" s="28"/>
      <c r="AU1455" s="28"/>
      <c r="AX1455" s="28"/>
      <c r="BA1455" s="28"/>
      <c r="BD1455" s="28"/>
      <c r="BG1455" s="28"/>
      <c r="BJ1455" s="28"/>
      <c r="BM1455" s="28"/>
      <c r="BP1455" s="28"/>
      <c r="BS1455" s="28"/>
      <c r="BV1455" s="28"/>
      <c r="BY1455" s="28"/>
      <c r="CB1455" s="28"/>
      <c r="CE1455" s="28"/>
      <c r="CH1455" s="28"/>
      <c r="CK1455" s="28"/>
      <c r="CN1455" s="28"/>
      <c r="CQ1455" s="28"/>
      <c r="CT1455" s="28"/>
      <c r="CW1455" s="28"/>
      <c r="CZ1455" s="28"/>
      <c r="DC1455" s="28"/>
      <c r="DF1455" s="28"/>
      <c r="DI1455" s="28"/>
      <c r="DL1455" s="28"/>
      <c r="DO1455" s="28"/>
      <c r="DR1455" s="28"/>
      <c r="DU1455" s="28"/>
      <c r="DX1455" s="28"/>
      <c r="EA1455" s="28"/>
      <c r="ED1455" s="28"/>
      <c r="EG1455" s="28"/>
      <c r="EJ1455" s="28"/>
      <c r="EM1455" s="28"/>
      <c r="EP1455" s="28"/>
      <c r="ES1455" s="28"/>
      <c r="EV1455" s="28"/>
      <c r="EY1455" s="28"/>
      <c r="FB1455" s="28"/>
      <c r="FE1455" s="28"/>
      <c r="FH1455" s="28"/>
      <c r="FK1455" s="28"/>
      <c r="FN1455" s="28"/>
      <c r="FQ1455" s="28"/>
      <c r="FT1455" s="28"/>
      <c r="FW1455" s="28"/>
      <c r="FZ1455" s="28"/>
      <c r="GC1455" s="28"/>
    </row>
    <row r="1456" spans="1:185" s="25" customFormat="1" x14ac:dyDescent="0.3">
      <c r="A1456" s="27"/>
      <c r="B1456" s="28"/>
      <c r="C1456" s="27"/>
      <c r="D1456" s="26"/>
      <c r="E1456" s="28"/>
      <c r="H1456" s="28"/>
      <c r="K1456" s="28"/>
      <c r="N1456" s="28"/>
      <c r="Q1456" s="28"/>
      <c r="T1456" s="28"/>
      <c r="W1456" s="28"/>
      <c r="Z1456" s="28"/>
      <c r="AC1456" s="28"/>
      <c r="AF1456" s="28"/>
      <c r="AI1456" s="28"/>
      <c r="AL1456" s="28"/>
      <c r="AO1456" s="28"/>
      <c r="AR1456" s="28"/>
      <c r="AU1456" s="28"/>
      <c r="AX1456" s="28"/>
      <c r="BA1456" s="28"/>
      <c r="BD1456" s="28"/>
      <c r="BG1456" s="28"/>
      <c r="BJ1456" s="28"/>
      <c r="BM1456" s="28"/>
      <c r="BP1456" s="28"/>
      <c r="BS1456" s="28"/>
      <c r="BV1456" s="28"/>
      <c r="BY1456" s="28"/>
      <c r="CB1456" s="28"/>
      <c r="CE1456" s="28"/>
      <c r="CH1456" s="28"/>
      <c r="CK1456" s="28"/>
      <c r="CN1456" s="28"/>
      <c r="CQ1456" s="28"/>
      <c r="CT1456" s="28"/>
      <c r="CW1456" s="28"/>
      <c r="CZ1456" s="28"/>
      <c r="DC1456" s="28"/>
      <c r="DF1456" s="28"/>
      <c r="DI1456" s="28"/>
      <c r="DL1456" s="28"/>
      <c r="DO1456" s="28"/>
      <c r="DR1456" s="28"/>
      <c r="DU1456" s="28"/>
      <c r="DX1456" s="28"/>
      <c r="EA1456" s="28"/>
      <c r="ED1456" s="28"/>
      <c r="EG1456" s="28"/>
      <c r="EJ1456" s="28"/>
      <c r="EM1456" s="28"/>
      <c r="EP1456" s="28"/>
      <c r="ES1456" s="28"/>
      <c r="EV1456" s="28"/>
      <c r="EY1456" s="28"/>
      <c r="FB1456" s="28"/>
      <c r="FE1456" s="28"/>
      <c r="FH1456" s="28"/>
      <c r="FK1456" s="28"/>
      <c r="FN1456" s="28"/>
      <c r="FQ1456" s="28"/>
      <c r="FT1456" s="28"/>
      <c r="FW1456" s="28"/>
      <c r="FZ1456" s="28"/>
      <c r="GC1456" s="28"/>
    </row>
    <row r="1457" spans="1:185" s="25" customFormat="1" x14ac:dyDescent="0.3">
      <c r="A1457" s="27"/>
      <c r="B1457" s="28"/>
      <c r="C1457" s="27"/>
      <c r="D1457" s="26"/>
      <c r="E1457" s="28"/>
      <c r="H1457" s="28"/>
      <c r="K1457" s="28"/>
      <c r="N1457" s="28"/>
      <c r="Q1457" s="28"/>
      <c r="T1457" s="28"/>
      <c r="W1457" s="28"/>
      <c r="Z1457" s="28"/>
      <c r="AC1457" s="28"/>
      <c r="AF1457" s="28"/>
      <c r="AI1457" s="28"/>
      <c r="AL1457" s="28"/>
      <c r="AO1457" s="28"/>
      <c r="AR1457" s="28"/>
      <c r="AU1457" s="28"/>
      <c r="AX1457" s="28"/>
      <c r="BA1457" s="28"/>
      <c r="BD1457" s="28"/>
      <c r="BG1457" s="28"/>
      <c r="BJ1457" s="28"/>
      <c r="BM1457" s="28"/>
      <c r="BP1457" s="28"/>
      <c r="BS1457" s="28"/>
      <c r="BV1457" s="28"/>
      <c r="BY1457" s="28"/>
      <c r="CB1457" s="28"/>
      <c r="CE1457" s="28"/>
      <c r="CH1457" s="28"/>
      <c r="CK1457" s="28"/>
      <c r="CN1457" s="28"/>
      <c r="CQ1457" s="28"/>
      <c r="CT1457" s="28"/>
      <c r="CW1457" s="28"/>
      <c r="CZ1457" s="28"/>
      <c r="DC1457" s="28"/>
      <c r="DF1457" s="28"/>
      <c r="DI1457" s="28"/>
      <c r="DL1457" s="28"/>
      <c r="DO1457" s="28"/>
      <c r="DR1457" s="28"/>
      <c r="DU1457" s="28"/>
      <c r="DX1457" s="28"/>
      <c r="EA1457" s="28"/>
      <c r="ED1457" s="28"/>
      <c r="EG1457" s="28"/>
      <c r="EJ1457" s="28"/>
      <c r="EM1457" s="28"/>
      <c r="EP1457" s="28"/>
      <c r="ES1457" s="28"/>
      <c r="EV1457" s="28"/>
      <c r="EY1457" s="28"/>
      <c r="FB1457" s="28"/>
      <c r="FE1457" s="28"/>
      <c r="FH1457" s="28"/>
      <c r="FK1457" s="28"/>
      <c r="FN1457" s="28"/>
      <c r="FQ1457" s="28"/>
      <c r="FT1457" s="28"/>
      <c r="FW1457" s="28"/>
      <c r="FZ1457" s="28"/>
      <c r="GC1457" s="28"/>
    </row>
    <row r="1458" spans="1:185" s="25" customFormat="1" x14ac:dyDescent="0.3">
      <c r="A1458" s="27"/>
      <c r="B1458" s="28"/>
      <c r="C1458" s="27"/>
      <c r="D1458" s="26"/>
      <c r="E1458" s="28"/>
      <c r="H1458" s="28"/>
      <c r="K1458" s="28"/>
      <c r="N1458" s="28"/>
      <c r="Q1458" s="28"/>
      <c r="T1458" s="28"/>
      <c r="W1458" s="28"/>
      <c r="Z1458" s="28"/>
      <c r="AC1458" s="28"/>
      <c r="AF1458" s="28"/>
      <c r="AI1458" s="28"/>
      <c r="AL1458" s="28"/>
      <c r="AO1458" s="28"/>
      <c r="AR1458" s="28"/>
      <c r="AU1458" s="28"/>
      <c r="AX1458" s="28"/>
      <c r="BA1458" s="28"/>
      <c r="BD1458" s="28"/>
      <c r="BG1458" s="28"/>
      <c r="BJ1458" s="28"/>
      <c r="BM1458" s="28"/>
      <c r="BP1458" s="28"/>
      <c r="BS1458" s="28"/>
      <c r="BV1458" s="28"/>
      <c r="BY1458" s="28"/>
      <c r="CB1458" s="28"/>
      <c r="CE1458" s="28"/>
      <c r="CH1458" s="28"/>
      <c r="CK1458" s="28"/>
      <c r="CN1458" s="28"/>
      <c r="CQ1458" s="28"/>
      <c r="CT1458" s="28"/>
      <c r="CW1458" s="28"/>
      <c r="CZ1458" s="28"/>
      <c r="DC1458" s="28"/>
      <c r="DF1458" s="28"/>
      <c r="DI1458" s="28"/>
      <c r="DL1458" s="28"/>
      <c r="DO1458" s="28"/>
      <c r="DR1458" s="28"/>
      <c r="DU1458" s="28"/>
      <c r="DX1458" s="28"/>
      <c r="EA1458" s="28"/>
      <c r="ED1458" s="28"/>
      <c r="EG1458" s="28"/>
      <c r="EJ1458" s="28"/>
      <c r="EM1458" s="28"/>
      <c r="EP1458" s="28"/>
      <c r="ES1458" s="28"/>
      <c r="EV1458" s="28"/>
      <c r="EY1458" s="28"/>
      <c r="FB1458" s="28"/>
      <c r="FE1458" s="28"/>
      <c r="FH1458" s="28"/>
      <c r="FK1458" s="28"/>
      <c r="FN1458" s="28"/>
      <c r="FQ1458" s="28"/>
      <c r="FT1458" s="28"/>
      <c r="FW1458" s="28"/>
      <c r="FZ1458" s="28"/>
      <c r="GC1458" s="28"/>
    </row>
    <row r="1459" spans="1:185" s="25" customFormat="1" x14ac:dyDescent="0.3">
      <c r="A1459" s="27"/>
      <c r="B1459" s="28"/>
      <c r="C1459" s="27"/>
      <c r="D1459" s="26"/>
      <c r="E1459" s="28"/>
      <c r="H1459" s="28"/>
      <c r="K1459" s="28"/>
      <c r="N1459" s="28"/>
      <c r="Q1459" s="28"/>
      <c r="T1459" s="28"/>
      <c r="W1459" s="28"/>
      <c r="Z1459" s="28"/>
      <c r="AC1459" s="28"/>
      <c r="AF1459" s="28"/>
      <c r="AI1459" s="28"/>
      <c r="AL1459" s="28"/>
      <c r="AO1459" s="28"/>
      <c r="AR1459" s="28"/>
      <c r="AU1459" s="28"/>
      <c r="AX1459" s="28"/>
      <c r="BA1459" s="28"/>
      <c r="BD1459" s="28"/>
      <c r="BG1459" s="28"/>
      <c r="BJ1459" s="28"/>
      <c r="BM1459" s="28"/>
      <c r="BP1459" s="28"/>
      <c r="BS1459" s="28"/>
      <c r="BV1459" s="28"/>
      <c r="BY1459" s="28"/>
      <c r="CB1459" s="28"/>
      <c r="CE1459" s="28"/>
      <c r="CH1459" s="28"/>
      <c r="CK1459" s="28"/>
      <c r="CN1459" s="28"/>
      <c r="CQ1459" s="28"/>
      <c r="CT1459" s="28"/>
      <c r="CW1459" s="28"/>
      <c r="CZ1459" s="28"/>
      <c r="DC1459" s="28"/>
      <c r="DF1459" s="28"/>
      <c r="DI1459" s="28"/>
      <c r="DL1459" s="28"/>
      <c r="DO1459" s="28"/>
      <c r="DR1459" s="28"/>
      <c r="DU1459" s="28"/>
      <c r="DX1459" s="28"/>
      <c r="EA1459" s="28"/>
      <c r="ED1459" s="28"/>
      <c r="EG1459" s="28"/>
      <c r="EJ1459" s="28"/>
      <c r="EM1459" s="28"/>
      <c r="EP1459" s="28"/>
      <c r="ES1459" s="28"/>
      <c r="EV1459" s="28"/>
      <c r="EY1459" s="28"/>
      <c r="FB1459" s="28"/>
      <c r="FE1459" s="28"/>
      <c r="FH1459" s="28"/>
      <c r="FK1459" s="28"/>
      <c r="FN1459" s="28"/>
      <c r="FQ1459" s="28"/>
      <c r="FT1459" s="28"/>
      <c r="FW1459" s="28"/>
      <c r="FZ1459" s="28"/>
      <c r="GC1459" s="28"/>
    </row>
    <row r="1460" spans="1:185" s="25" customFormat="1" x14ac:dyDescent="0.3">
      <c r="A1460" s="27"/>
      <c r="B1460" s="28"/>
      <c r="C1460" s="27"/>
      <c r="D1460" s="26"/>
      <c r="E1460" s="28"/>
      <c r="H1460" s="28"/>
      <c r="K1460" s="28"/>
      <c r="N1460" s="28"/>
      <c r="Q1460" s="28"/>
      <c r="T1460" s="28"/>
      <c r="W1460" s="28"/>
      <c r="Z1460" s="28"/>
      <c r="AC1460" s="28"/>
      <c r="AF1460" s="28"/>
      <c r="AI1460" s="28"/>
      <c r="AL1460" s="28"/>
      <c r="AO1460" s="28"/>
      <c r="AR1460" s="28"/>
      <c r="AU1460" s="28"/>
      <c r="AX1460" s="28"/>
      <c r="BA1460" s="28"/>
      <c r="BD1460" s="28"/>
      <c r="BG1460" s="28"/>
      <c r="BJ1460" s="28"/>
      <c r="BM1460" s="28"/>
      <c r="BP1460" s="28"/>
      <c r="BS1460" s="28"/>
      <c r="BV1460" s="28"/>
      <c r="BY1460" s="28"/>
      <c r="CB1460" s="28"/>
      <c r="CE1460" s="28"/>
      <c r="CH1460" s="28"/>
      <c r="CK1460" s="28"/>
      <c r="CN1460" s="28"/>
      <c r="CQ1460" s="28"/>
      <c r="CT1460" s="28"/>
      <c r="CW1460" s="28"/>
      <c r="CZ1460" s="28"/>
      <c r="DC1460" s="28"/>
      <c r="DF1460" s="28"/>
      <c r="DI1460" s="28"/>
      <c r="DL1460" s="28"/>
      <c r="DO1460" s="28"/>
      <c r="DR1460" s="28"/>
      <c r="DU1460" s="28"/>
      <c r="DX1460" s="28"/>
      <c r="EA1460" s="28"/>
      <c r="ED1460" s="28"/>
      <c r="EG1460" s="28"/>
      <c r="EJ1460" s="28"/>
      <c r="EM1460" s="28"/>
      <c r="EP1460" s="28"/>
      <c r="ES1460" s="28"/>
      <c r="EV1460" s="28"/>
      <c r="EY1460" s="28"/>
      <c r="FB1460" s="28"/>
      <c r="FE1460" s="28"/>
      <c r="FH1460" s="28"/>
      <c r="FK1460" s="28"/>
      <c r="FN1460" s="28"/>
      <c r="FQ1460" s="28"/>
      <c r="FT1460" s="28"/>
      <c r="FW1460" s="28"/>
      <c r="FZ1460" s="28"/>
      <c r="GC1460" s="28"/>
    </row>
    <row r="1461" spans="1:185" s="25" customFormat="1" x14ac:dyDescent="0.3">
      <c r="A1461" s="27"/>
      <c r="B1461" s="28"/>
      <c r="C1461" s="27"/>
      <c r="D1461" s="26"/>
      <c r="E1461" s="28"/>
      <c r="H1461" s="28"/>
      <c r="K1461" s="28"/>
      <c r="N1461" s="28"/>
      <c r="Q1461" s="28"/>
      <c r="T1461" s="28"/>
      <c r="W1461" s="28"/>
      <c r="Z1461" s="28"/>
      <c r="AC1461" s="28"/>
      <c r="AF1461" s="28"/>
      <c r="AI1461" s="28"/>
      <c r="AL1461" s="28"/>
      <c r="AO1461" s="28"/>
      <c r="AR1461" s="28"/>
      <c r="AU1461" s="28"/>
      <c r="AX1461" s="28"/>
      <c r="BA1461" s="28"/>
      <c r="BD1461" s="28"/>
      <c r="BG1461" s="28"/>
      <c r="BJ1461" s="28"/>
      <c r="BM1461" s="28"/>
      <c r="BP1461" s="28"/>
      <c r="BS1461" s="28"/>
      <c r="BV1461" s="28"/>
      <c r="BY1461" s="28"/>
      <c r="CB1461" s="28"/>
      <c r="CE1461" s="28"/>
      <c r="CH1461" s="28"/>
      <c r="CK1461" s="28"/>
      <c r="CN1461" s="28"/>
      <c r="CQ1461" s="28"/>
      <c r="CT1461" s="28"/>
      <c r="CW1461" s="28"/>
      <c r="CZ1461" s="28"/>
      <c r="DC1461" s="28"/>
      <c r="DF1461" s="28"/>
      <c r="DI1461" s="28"/>
      <c r="DL1461" s="28"/>
      <c r="DO1461" s="28"/>
      <c r="DR1461" s="28"/>
      <c r="DU1461" s="28"/>
      <c r="DX1461" s="28"/>
      <c r="EA1461" s="28"/>
      <c r="ED1461" s="28"/>
      <c r="EG1461" s="28"/>
      <c r="EJ1461" s="28"/>
      <c r="EM1461" s="28"/>
      <c r="EP1461" s="28"/>
      <c r="ES1461" s="28"/>
      <c r="EV1461" s="28"/>
      <c r="EY1461" s="28"/>
      <c r="FB1461" s="28"/>
      <c r="FE1461" s="28"/>
      <c r="FH1461" s="28"/>
      <c r="FK1461" s="28"/>
      <c r="FN1461" s="28"/>
      <c r="FQ1461" s="28"/>
      <c r="FT1461" s="28"/>
      <c r="FW1461" s="28"/>
      <c r="FZ1461" s="28"/>
      <c r="GC1461" s="28"/>
    </row>
    <row r="1462" spans="1:185" s="25" customFormat="1" x14ac:dyDescent="0.3">
      <c r="A1462" s="27"/>
      <c r="B1462" s="28"/>
      <c r="C1462" s="27"/>
      <c r="D1462" s="26"/>
      <c r="E1462" s="28"/>
      <c r="H1462" s="28"/>
      <c r="K1462" s="28"/>
      <c r="N1462" s="28"/>
      <c r="Q1462" s="28"/>
      <c r="T1462" s="28"/>
      <c r="W1462" s="28"/>
      <c r="Z1462" s="28"/>
      <c r="AC1462" s="28"/>
      <c r="AF1462" s="28"/>
      <c r="AI1462" s="28"/>
      <c r="AL1462" s="28"/>
      <c r="AO1462" s="28"/>
      <c r="AR1462" s="28"/>
      <c r="AU1462" s="28"/>
      <c r="AX1462" s="28"/>
      <c r="BA1462" s="28"/>
      <c r="BD1462" s="28"/>
      <c r="BG1462" s="28"/>
      <c r="BJ1462" s="28"/>
      <c r="BM1462" s="28"/>
      <c r="BP1462" s="28"/>
      <c r="BS1462" s="28"/>
      <c r="BV1462" s="28"/>
      <c r="BY1462" s="28"/>
      <c r="CB1462" s="28"/>
      <c r="CE1462" s="28"/>
      <c r="CH1462" s="28"/>
      <c r="CK1462" s="28"/>
      <c r="CN1462" s="28"/>
      <c r="CQ1462" s="28"/>
      <c r="CT1462" s="28"/>
      <c r="CW1462" s="28"/>
      <c r="CZ1462" s="28"/>
      <c r="DC1462" s="28"/>
      <c r="DF1462" s="28"/>
      <c r="DI1462" s="28"/>
      <c r="DL1462" s="28"/>
      <c r="DO1462" s="28"/>
      <c r="DR1462" s="28"/>
      <c r="DU1462" s="28"/>
      <c r="DX1462" s="28"/>
      <c r="EA1462" s="28"/>
      <c r="ED1462" s="28"/>
      <c r="EG1462" s="28"/>
      <c r="EJ1462" s="28"/>
      <c r="EM1462" s="28"/>
      <c r="EP1462" s="28"/>
      <c r="ES1462" s="28"/>
      <c r="EV1462" s="28"/>
      <c r="EY1462" s="28"/>
      <c r="FB1462" s="28"/>
      <c r="FE1462" s="28"/>
      <c r="FH1462" s="28"/>
      <c r="FK1462" s="28"/>
      <c r="FN1462" s="28"/>
      <c r="FQ1462" s="28"/>
      <c r="FT1462" s="28"/>
      <c r="FW1462" s="28"/>
      <c r="FZ1462" s="28"/>
      <c r="GC1462" s="28"/>
    </row>
    <row r="1463" spans="1:185" s="25" customFormat="1" x14ac:dyDescent="0.3">
      <c r="A1463" s="27"/>
      <c r="B1463" s="28"/>
      <c r="C1463" s="27"/>
      <c r="D1463" s="26"/>
      <c r="E1463" s="28"/>
      <c r="H1463" s="28"/>
      <c r="K1463" s="28"/>
      <c r="N1463" s="28"/>
      <c r="Q1463" s="28"/>
      <c r="T1463" s="28"/>
      <c r="W1463" s="28"/>
      <c r="Z1463" s="28"/>
      <c r="AC1463" s="28"/>
      <c r="AF1463" s="28"/>
      <c r="AI1463" s="28"/>
      <c r="AL1463" s="28"/>
      <c r="AO1463" s="28"/>
      <c r="AR1463" s="28"/>
      <c r="AU1463" s="28"/>
      <c r="AX1463" s="28"/>
      <c r="BA1463" s="28"/>
      <c r="BD1463" s="28"/>
      <c r="BG1463" s="28"/>
      <c r="BJ1463" s="28"/>
      <c r="BM1463" s="28"/>
      <c r="BP1463" s="28"/>
      <c r="BS1463" s="28"/>
      <c r="BV1463" s="28"/>
      <c r="BY1463" s="28"/>
      <c r="CB1463" s="28"/>
      <c r="CE1463" s="28"/>
      <c r="CH1463" s="28"/>
      <c r="CK1463" s="28"/>
      <c r="CN1463" s="28"/>
      <c r="CQ1463" s="28"/>
      <c r="CT1463" s="28"/>
      <c r="CW1463" s="28"/>
      <c r="CZ1463" s="28"/>
      <c r="DC1463" s="28"/>
      <c r="DF1463" s="28"/>
      <c r="DI1463" s="28"/>
      <c r="DL1463" s="28"/>
      <c r="DO1463" s="28"/>
      <c r="DR1463" s="28"/>
      <c r="DU1463" s="28"/>
      <c r="DX1463" s="28"/>
      <c r="EA1463" s="28"/>
      <c r="ED1463" s="28"/>
      <c r="EG1463" s="28"/>
      <c r="EJ1463" s="28"/>
      <c r="EM1463" s="28"/>
      <c r="EP1463" s="28"/>
      <c r="ES1463" s="28"/>
      <c r="EV1463" s="28"/>
      <c r="EY1463" s="28"/>
      <c r="FB1463" s="28"/>
      <c r="FE1463" s="28"/>
      <c r="FH1463" s="28"/>
      <c r="FK1463" s="28"/>
      <c r="FN1463" s="28"/>
      <c r="FQ1463" s="28"/>
      <c r="FT1463" s="28"/>
      <c r="FW1463" s="28"/>
      <c r="FZ1463" s="28"/>
      <c r="GC1463" s="28"/>
    </row>
    <row r="1464" spans="1:185" s="25" customFormat="1" x14ac:dyDescent="0.3">
      <c r="A1464" s="27"/>
      <c r="B1464" s="28"/>
      <c r="C1464" s="27"/>
      <c r="D1464" s="26"/>
      <c r="E1464" s="28"/>
      <c r="H1464" s="28"/>
      <c r="K1464" s="28"/>
      <c r="N1464" s="28"/>
      <c r="Q1464" s="28"/>
      <c r="T1464" s="28"/>
      <c r="W1464" s="28"/>
      <c r="Z1464" s="28"/>
      <c r="AC1464" s="28"/>
      <c r="AF1464" s="28"/>
      <c r="AI1464" s="28"/>
      <c r="AL1464" s="28"/>
      <c r="AO1464" s="28"/>
      <c r="AR1464" s="28"/>
      <c r="AU1464" s="28"/>
      <c r="AX1464" s="28"/>
      <c r="BA1464" s="28"/>
      <c r="BD1464" s="28"/>
      <c r="BG1464" s="28"/>
      <c r="BJ1464" s="28"/>
      <c r="BM1464" s="28"/>
      <c r="BP1464" s="28"/>
      <c r="BS1464" s="28"/>
      <c r="BV1464" s="28"/>
      <c r="BY1464" s="28"/>
      <c r="CB1464" s="28"/>
      <c r="CE1464" s="28"/>
      <c r="CH1464" s="28"/>
      <c r="CK1464" s="28"/>
      <c r="CN1464" s="28"/>
      <c r="CQ1464" s="28"/>
      <c r="CT1464" s="28"/>
      <c r="CW1464" s="28"/>
      <c r="CZ1464" s="28"/>
      <c r="DC1464" s="28"/>
      <c r="DF1464" s="28"/>
      <c r="DI1464" s="28"/>
      <c r="DL1464" s="28"/>
      <c r="DO1464" s="28"/>
      <c r="DR1464" s="28"/>
      <c r="DU1464" s="28"/>
      <c r="DX1464" s="28"/>
      <c r="EA1464" s="28"/>
      <c r="ED1464" s="28"/>
      <c r="EG1464" s="28"/>
      <c r="EJ1464" s="28"/>
      <c r="EM1464" s="28"/>
      <c r="EP1464" s="28"/>
      <c r="ES1464" s="28"/>
      <c r="EV1464" s="28"/>
      <c r="EY1464" s="28"/>
      <c r="FB1464" s="28"/>
      <c r="FE1464" s="28"/>
      <c r="FH1464" s="28"/>
      <c r="FK1464" s="28"/>
      <c r="FN1464" s="28"/>
      <c r="FQ1464" s="28"/>
      <c r="FT1464" s="28"/>
      <c r="FW1464" s="28"/>
      <c r="FZ1464" s="28"/>
      <c r="GC1464" s="28"/>
    </row>
    <row r="1465" spans="1:185" s="25" customFormat="1" x14ac:dyDescent="0.3">
      <c r="A1465" s="27"/>
      <c r="B1465" s="28"/>
      <c r="C1465" s="27"/>
      <c r="D1465" s="26"/>
      <c r="E1465" s="28"/>
      <c r="H1465" s="28"/>
      <c r="K1465" s="28"/>
      <c r="N1465" s="28"/>
      <c r="Q1465" s="28"/>
      <c r="T1465" s="28"/>
      <c r="W1465" s="28"/>
      <c r="Z1465" s="28"/>
      <c r="AC1465" s="28"/>
      <c r="AF1465" s="28"/>
      <c r="AI1465" s="28"/>
      <c r="AL1465" s="28"/>
      <c r="AO1465" s="28"/>
      <c r="AR1465" s="28"/>
      <c r="AU1465" s="28"/>
      <c r="AX1465" s="28"/>
      <c r="BA1465" s="28"/>
      <c r="BD1465" s="28"/>
      <c r="BG1465" s="28"/>
      <c r="BJ1465" s="28"/>
      <c r="BM1465" s="28"/>
      <c r="BP1465" s="28"/>
      <c r="BS1465" s="28"/>
      <c r="BV1465" s="28"/>
      <c r="BY1465" s="28"/>
      <c r="CB1465" s="28"/>
      <c r="CE1465" s="28"/>
      <c r="CH1465" s="28"/>
      <c r="CK1465" s="28"/>
      <c r="CN1465" s="28"/>
      <c r="CQ1465" s="28"/>
      <c r="CT1465" s="28"/>
      <c r="CW1465" s="28"/>
      <c r="CZ1465" s="28"/>
      <c r="DC1465" s="28"/>
      <c r="DF1465" s="28"/>
      <c r="DI1465" s="28"/>
      <c r="DL1465" s="28"/>
      <c r="DO1465" s="28"/>
      <c r="DR1465" s="28"/>
      <c r="DU1465" s="28"/>
      <c r="DX1465" s="28"/>
      <c r="EA1465" s="28"/>
      <c r="ED1465" s="28"/>
      <c r="EG1465" s="28"/>
      <c r="EJ1465" s="28"/>
      <c r="EM1465" s="28"/>
      <c r="EP1465" s="28"/>
      <c r="ES1465" s="28"/>
      <c r="EV1465" s="28"/>
      <c r="EY1465" s="28"/>
      <c r="FB1465" s="28"/>
      <c r="FE1465" s="28"/>
      <c r="FH1465" s="28"/>
      <c r="FK1465" s="28"/>
      <c r="FN1465" s="28"/>
      <c r="FQ1465" s="28"/>
      <c r="FT1465" s="28"/>
      <c r="FW1465" s="28"/>
      <c r="FZ1465" s="28"/>
      <c r="GC1465" s="28"/>
    </row>
    <row r="1466" spans="1:185" s="25" customFormat="1" x14ac:dyDescent="0.3">
      <c r="A1466" s="27"/>
      <c r="B1466" s="28"/>
      <c r="C1466" s="27"/>
      <c r="D1466" s="26"/>
      <c r="E1466" s="28"/>
      <c r="H1466" s="28"/>
      <c r="K1466" s="28"/>
      <c r="N1466" s="28"/>
      <c r="Q1466" s="28"/>
      <c r="T1466" s="28"/>
      <c r="W1466" s="28"/>
      <c r="Z1466" s="28"/>
      <c r="AC1466" s="28"/>
      <c r="AF1466" s="28"/>
      <c r="AI1466" s="28"/>
      <c r="AL1466" s="28"/>
      <c r="AO1466" s="28"/>
      <c r="AR1466" s="28"/>
      <c r="AU1466" s="28"/>
      <c r="AX1466" s="28"/>
      <c r="BA1466" s="28"/>
      <c r="BD1466" s="28"/>
      <c r="BG1466" s="28"/>
      <c r="BJ1466" s="28"/>
      <c r="BM1466" s="28"/>
      <c r="BP1466" s="28"/>
      <c r="BS1466" s="28"/>
      <c r="BV1466" s="28"/>
      <c r="BY1466" s="28"/>
      <c r="CB1466" s="28"/>
      <c r="CE1466" s="28"/>
      <c r="CH1466" s="28"/>
      <c r="CK1466" s="28"/>
      <c r="CN1466" s="28"/>
      <c r="CQ1466" s="28"/>
      <c r="CT1466" s="28"/>
      <c r="CW1466" s="28"/>
      <c r="CZ1466" s="28"/>
      <c r="DC1466" s="28"/>
      <c r="DF1466" s="28"/>
      <c r="DI1466" s="28"/>
      <c r="DL1466" s="28"/>
      <c r="DO1466" s="28"/>
      <c r="DR1466" s="28"/>
      <c r="DU1466" s="28"/>
      <c r="DX1466" s="28"/>
      <c r="EA1466" s="28"/>
      <c r="ED1466" s="28"/>
      <c r="EG1466" s="28"/>
      <c r="EJ1466" s="28"/>
      <c r="EM1466" s="28"/>
      <c r="EP1466" s="28"/>
      <c r="ES1466" s="28"/>
      <c r="EV1466" s="28"/>
      <c r="EY1466" s="28"/>
      <c r="FB1466" s="28"/>
      <c r="FE1466" s="28"/>
      <c r="FH1466" s="28"/>
      <c r="FK1466" s="28"/>
      <c r="FN1466" s="28"/>
      <c r="FQ1466" s="28"/>
      <c r="FT1466" s="28"/>
      <c r="FW1466" s="28"/>
      <c r="FZ1466" s="28"/>
      <c r="GC1466" s="28"/>
    </row>
    <row r="1467" spans="1:185" s="25" customFormat="1" x14ac:dyDescent="0.3">
      <c r="A1467" s="27"/>
      <c r="B1467" s="28"/>
      <c r="C1467" s="27"/>
      <c r="D1467" s="26"/>
      <c r="E1467" s="28"/>
      <c r="H1467" s="28"/>
      <c r="K1467" s="28"/>
      <c r="N1467" s="28"/>
      <c r="Q1467" s="28"/>
      <c r="T1467" s="28"/>
      <c r="W1467" s="28"/>
      <c r="Z1467" s="28"/>
      <c r="AC1467" s="28"/>
      <c r="AF1467" s="28"/>
      <c r="AI1467" s="28"/>
      <c r="AL1467" s="28"/>
      <c r="AO1467" s="28"/>
      <c r="AR1467" s="28"/>
      <c r="AU1467" s="28"/>
      <c r="AX1467" s="28"/>
      <c r="BA1467" s="28"/>
      <c r="BD1467" s="28"/>
      <c r="BG1467" s="28"/>
      <c r="BJ1467" s="28"/>
      <c r="BM1467" s="28"/>
      <c r="BP1467" s="28"/>
      <c r="BS1467" s="28"/>
      <c r="BV1467" s="28"/>
      <c r="BY1467" s="28"/>
      <c r="CB1467" s="28"/>
      <c r="CE1467" s="28"/>
      <c r="CH1467" s="28"/>
      <c r="CK1467" s="28"/>
      <c r="CN1467" s="28"/>
      <c r="CQ1467" s="28"/>
      <c r="CT1467" s="28"/>
      <c r="CW1467" s="28"/>
      <c r="CZ1467" s="28"/>
      <c r="DC1467" s="28"/>
      <c r="DF1467" s="28"/>
      <c r="DI1467" s="28"/>
      <c r="DL1467" s="28"/>
      <c r="DO1467" s="28"/>
      <c r="DR1467" s="28"/>
      <c r="DU1467" s="28"/>
      <c r="DX1467" s="28"/>
      <c r="EA1467" s="28"/>
      <c r="ED1467" s="28"/>
      <c r="EG1467" s="28"/>
      <c r="EJ1467" s="28"/>
      <c r="EM1467" s="28"/>
      <c r="EP1467" s="28"/>
      <c r="ES1467" s="28"/>
      <c r="EV1467" s="28"/>
      <c r="EY1467" s="28"/>
      <c r="FB1467" s="28"/>
      <c r="FE1467" s="28"/>
      <c r="FH1467" s="28"/>
      <c r="FK1467" s="28"/>
      <c r="FN1467" s="28"/>
      <c r="FQ1467" s="28"/>
      <c r="FT1467" s="28"/>
      <c r="FW1467" s="28"/>
      <c r="FZ1467" s="28"/>
      <c r="GC1467" s="28"/>
    </row>
    <row r="1468" spans="1:185" s="25" customFormat="1" x14ac:dyDescent="0.3">
      <c r="A1468" s="27"/>
      <c r="B1468" s="28"/>
      <c r="C1468" s="27"/>
      <c r="D1468" s="26"/>
      <c r="E1468" s="28"/>
      <c r="H1468" s="28"/>
      <c r="K1468" s="28"/>
      <c r="N1468" s="28"/>
      <c r="Q1468" s="28"/>
      <c r="T1468" s="28"/>
      <c r="W1468" s="28"/>
      <c r="Z1468" s="28"/>
      <c r="AC1468" s="28"/>
      <c r="AF1468" s="28"/>
      <c r="AI1468" s="28"/>
      <c r="AL1468" s="28"/>
      <c r="AO1468" s="28"/>
      <c r="AR1468" s="28"/>
      <c r="AU1468" s="28"/>
      <c r="AX1468" s="28"/>
      <c r="BA1468" s="28"/>
      <c r="BD1468" s="28"/>
      <c r="BG1468" s="28"/>
      <c r="BJ1468" s="28"/>
      <c r="BM1468" s="28"/>
      <c r="BP1468" s="28"/>
      <c r="BS1468" s="28"/>
      <c r="BV1468" s="28"/>
      <c r="BY1468" s="28"/>
      <c r="CB1468" s="28"/>
      <c r="CE1468" s="28"/>
      <c r="CH1468" s="28"/>
      <c r="CK1468" s="28"/>
      <c r="CN1468" s="28"/>
      <c r="CQ1468" s="28"/>
      <c r="CT1468" s="28"/>
      <c r="CW1468" s="28"/>
      <c r="CZ1468" s="28"/>
      <c r="DC1468" s="28"/>
      <c r="DF1468" s="28"/>
      <c r="DI1468" s="28"/>
      <c r="DL1468" s="28"/>
      <c r="DO1468" s="28"/>
      <c r="DR1468" s="28"/>
      <c r="DU1468" s="28"/>
      <c r="DX1468" s="28"/>
      <c r="EA1468" s="28"/>
      <c r="ED1468" s="28"/>
      <c r="EG1468" s="28"/>
      <c r="EJ1468" s="28"/>
      <c r="EM1468" s="28"/>
      <c r="EP1468" s="28"/>
      <c r="ES1468" s="28"/>
      <c r="EV1468" s="28"/>
      <c r="EY1468" s="28"/>
      <c r="FB1468" s="28"/>
      <c r="FE1468" s="28"/>
      <c r="FH1468" s="28"/>
      <c r="FK1468" s="28"/>
      <c r="FN1468" s="28"/>
      <c r="FQ1468" s="28"/>
      <c r="FT1468" s="28"/>
      <c r="FW1468" s="28"/>
      <c r="FZ1468" s="28"/>
      <c r="GC1468" s="28"/>
    </row>
    <row r="1469" spans="1:185" s="25" customFormat="1" x14ac:dyDescent="0.3">
      <c r="A1469" s="27"/>
      <c r="B1469" s="28"/>
      <c r="C1469" s="27"/>
      <c r="D1469" s="26"/>
      <c r="E1469" s="28"/>
      <c r="H1469" s="28"/>
      <c r="K1469" s="28"/>
      <c r="N1469" s="28"/>
      <c r="Q1469" s="28"/>
      <c r="T1469" s="28"/>
      <c r="W1469" s="28"/>
      <c r="Z1469" s="28"/>
      <c r="AC1469" s="28"/>
      <c r="AF1469" s="28"/>
      <c r="AI1469" s="28"/>
      <c r="AL1469" s="28"/>
      <c r="AO1469" s="28"/>
      <c r="AR1469" s="28"/>
      <c r="AU1469" s="28"/>
      <c r="AX1469" s="28"/>
      <c r="BA1469" s="28"/>
      <c r="BD1469" s="28"/>
      <c r="BG1469" s="28"/>
      <c r="BJ1469" s="28"/>
      <c r="BM1469" s="28"/>
      <c r="BP1469" s="28"/>
      <c r="BS1469" s="28"/>
      <c r="BV1469" s="28"/>
      <c r="BY1469" s="28"/>
      <c r="CB1469" s="28"/>
      <c r="CE1469" s="28"/>
      <c r="CH1469" s="28"/>
      <c r="CK1469" s="28"/>
      <c r="CN1469" s="28"/>
      <c r="CQ1469" s="28"/>
      <c r="CT1469" s="28"/>
      <c r="CW1469" s="28"/>
      <c r="CZ1469" s="28"/>
      <c r="DC1469" s="28"/>
      <c r="DF1469" s="28"/>
      <c r="DI1469" s="28"/>
      <c r="DL1469" s="28"/>
      <c r="DO1469" s="28"/>
      <c r="DR1469" s="28"/>
      <c r="DU1469" s="28"/>
      <c r="DX1469" s="28"/>
      <c r="EA1469" s="28"/>
      <c r="ED1469" s="28"/>
      <c r="EG1469" s="28"/>
      <c r="EJ1469" s="28"/>
      <c r="EM1469" s="28"/>
      <c r="EP1469" s="28"/>
      <c r="ES1469" s="28"/>
      <c r="EV1469" s="28"/>
      <c r="EY1469" s="28"/>
      <c r="FB1469" s="28"/>
      <c r="FE1469" s="28"/>
      <c r="FH1469" s="28"/>
      <c r="FK1469" s="28"/>
      <c r="FN1469" s="28"/>
      <c r="FQ1469" s="28"/>
      <c r="FT1469" s="28"/>
      <c r="FW1469" s="28"/>
      <c r="FZ1469" s="28"/>
      <c r="GC1469" s="28"/>
    </row>
    <row r="1470" spans="1:185" s="25" customFormat="1" x14ac:dyDescent="0.3">
      <c r="A1470" s="27"/>
      <c r="B1470" s="28"/>
      <c r="C1470" s="27"/>
      <c r="D1470" s="26"/>
      <c r="E1470" s="28"/>
      <c r="H1470" s="28"/>
      <c r="K1470" s="28"/>
      <c r="N1470" s="28"/>
      <c r="Q1470" s="28"/>
      <c r="T1470" s="28"/>
      <c r="W1470" s="28"/>
      <c r="Z1470" s="28"/>
      <c r="AC1470" s="28"/>
      <c r="AF1470" s="28"/>
      <c r="AI1470" s="28"/>
      <c r="AL1470" s="28"/>
      <c r="AO1470" s="28"/>
      <c r="AR1470" s="28"/>
      <c r="AU1470" s="28"/>
      <c r="AX1470" s="28"/>
      <c r="BA1470" s="28"/>
      <c r="BD1470" s="28"/>
      <c r="BG1470" s="28"/>
      <c r="BJ1470" s="28"/>
      <c r="BM1470" s="28"/>
      <c r="BP1470" s="28"/>
      <c r="BS1470" s="28"/>
      <c r="BV1470" s="28"/>
      <c r="BY1470" s="28"/>
      <c r="CB1470" s="28"/>
      <c r="CE1470" s="28"/>
      <c r="CH1470" s="28"/>
      <c r="CK1470" s="28"/>
      <c r="CN1470" s="28"/>
      <c r="CQ1470" s="28"/>
      <c r="CT1470" s="28"/>
      <c r="CW1470" s="28"/>
      <c r="CZ1470" s="28"/>
      <c r="DC1470" s="28"/>
      <c r="DF1470" s="28"/>
      <c r="DI1470" s="28"/>
      <c r="DL1470" s="28"/>
      <c r="DO1470" s="28"/>
      <c r="DR1470" s="28"/>
      <c r="DU1470" s="28"/>
      <c r="DX1470" s="28"/>
      <c r="EA1470" s="28"/>
      <c r="ED1470" s="28"/>
      <c r="EG1470" s="28"/>
      <c r="EJ1470" s="28"/>
      <c r="EM1470" s="28"/>
      <c r="EP1470" s="28"/>
      <c r="ES1470" s="28"/>
      <c r="EV1470" s="28"/>
      <c r="EY1470" s="28"/>
      <c r="FB1470" s="28"/>
      <c r="FE1470" s="28"/>
      <c r="FH1470" s="28"/>
      <c r="FK1470" s="28"/>
      <c r="FN1470" s="28"/>
      <c r="FQ1470" s="28"/>
      <c r="FT1470" s="28"/>
      <c r="FW1470" s="28"/>
      <c r="FZ1470" s="28"/>
      <c r="GC1470" s="28"/>
    </row>
    <row r="1471" spans="1:185" s="25" customFormat="1" x14ac:dyDescent="0.3">
      <c r="A1471" s="27"/>
      <c r="B1471" s="28"/>
      <c r="C1471" s="27"/>
      <c r="D1471" s="26"/>
      <c r="E1471" s="28"/>
      <c r="H1471" s="28"/>
      <c r="K1471" s="28"/>
      <c r="N1471" s="28"/>
      <c r="Q1471" s="28"/>
      <c r="T1471" s="28"/>
      <c r="W1471" s="28"/>
      <c r="Z1471" s="28"/>
      <c r="AC1471" s="28"/>
      <c r="AF1471" s="28"/>
      <c r="AI1471" s="28"/>
      <c r="AL1471" s="28"/>
      <c r="AO1471" s="28"/>
      <c r="AR1471" s="28"/>
      <c r="AU1471" s="28"/>
      <c r="AX1471" s="28"/>
      <c r="BA1471" s="28"/>
      <c r="BD1471" s="28"/>
      <c r="BG1471" s="28"/>
      <c r="BJ1471" s="28"/>
      <c r="BM1471" s="28"/>
      <c r="BP1471" s="28"/>
      <c r="BS1471" s="28"/>
      <c r="BV1471" s="28"/>
      <c r="BY1471" s="28"/>
      <c r="CB1471" s="28"/>
      <c r="CE1471" s="28"/>
      <c r="CH1471" s="28"/>
      <c r="CK1471" s="28"/>
      <c r="CN1471" s="28"/>
      <c r="CQ1471" s="28"/>
      <c r="CT1471" s="28"/>
      <c r="CW1471" s="28"/>
      <c r="CZ1471" s="28"/>
      <c r="DC1471" s="28"/>
      <c r="DF1471" s="28"/>
      <c r="DI1471" s="28"/>
      <c r="DL1471" s="28"/>
      <c r="DO1471" s="28"/>
      <c r="DR1471" s="28"/>
      <c r="DU1471" s="28"/>
      <c r="DX1471" s="28"/>
      <c r="EA1471" s="28"/>
      <c r="ED1471" s="28"/>
      <c r="EG1471" s="28"/>
      <c r="EJ1471" s="28"/>
      <c r="EM1471" s="28"/>
      <c r="EP1471" s="28"/>
      <c r="ES1471" s="28"/>
      <c r="EV1471" s="28"/>
      <c r="EY1471" s="28"/>
      <c r="FB1471" s="28"/>
      <c r="FE1471" s="28"/>
      <c r="FH1471" s="28"/>
      <c r="FK1471" s="28"/>
      <c r="FN1471" s="28"/>
      <c r="FQ1471" s="28"/>
      <c r="FT1471" s="28"/>
      <c r="FW1471" s="28"/>
      <c r="FZ1471" s="28"/>
      <c r="GC1471" s="28"/>
    </row>
    <row r="1472" spans="1:185" s="25" customFormat="1" x14ac:dyDescent="0.3">
      <c r="A1472" s="27"/>
      <c r="B1472" s="28"/>
      <c r="C1472" s="27"/>
      <c r="D1472" s="26"/>
      <c r="E1472" s="28"/>
      <c r="H1472" s="28"/>
      <c r="K1472" s="28"/>
      <c r="N1472" s="28"/>
      <c r="Q1472" s="28"/>
      <c r="T1472" s="28"/>
      <c r="W1472" s="28"/>
      <c r="Z1472" s="28"/>
      <c r="AC1472" s="28"/>
      <c r="AF1472" s="28"/>
      <c r="AI1472" s="28"/>
      <c r="AL1472" s="28"/>
      <c r="AO1472" s="28"/>
      <c r="AR1472" s="28"/>
      <c r="AU1472" s="28"/>
      <c r="AX1472" s="28"/>
      <c r="BA1472" s="28"/>
      <c r="BD1472" s="28"/>
      <c r="BG1472" s="28"/>
      <c r="BJ1472" s="28"/>
      <c r="BM1472" s="28"/>
      <c r="BP1472" s="28"/>
      <c r="BS1472" s="28"/>
      <c r="BV1472" s="28"/>
      <c r="BY1472" s="28"/>
      <c r="CB1472" s="28"/>
      <c r="CE1472" s="28"/>
      <c r="CH1472" s="28"/>
      <c r="CK1472" s="28"/>
      <c r="CN1472" s="28"/>
      <c r="CQ1472" s="28"/>
      <c r="CT1472" s="28"/>
      <c r="CW1472" s="28"/>
      <c r="CZ1472" s="28"/>
      <c r="DC1472" s="28"/>
      <c r="DF1472" s="28"/>
      <c r="DI1472" s="28"/>
      <c r="DL1472" s="28"/>
      <c r="DO1472" s="28"/>
      <c r="DR1472" s="28"/>
      <c r="DU1472" s="28"/>
      <c r="DX1472" s="28"/>
      <c r="EA1472" s="28"/>
      <c r="ED1472" s="28"/>
      <c r="EG1472" s="28"/>
      <c r="EJ1472" s="28"/>
      <c r="EM1472" s="28"/>
      <c r="EP1472" s="28"/>
      <c r="ES1472" s="28"/>
      <c r="EV1472" s="28"/>
      <c r="EY1472" s="28"/>
      <c r="FB1472" s="28"/>
      <c r="FE1472" s="28"/>
      <c r="FH1472" s="28"/>
      <c r="FK1472" s="28"/>
      <c r="FN1472" s="28"/>
      <c r="FQ1472" s="28"/>
      <c r="FT1472" s="28"/>
      <c r="FW1472" s="28"/>
      <c r="FZ1472" s="28"/>
      <c r="GC1472" s="28"/>
    </row>
    <row r="1473" spans="1:185" s="25" customFormat="1" x14ac:dyDescent="0.3">
      <c r="A1473" s="27"/>
      <c r="B1473" s="28"/>
      <c r="C1473" s="27"/>
      <c r="D1473" s="26"/>
      <c r="E1473" s="28"/>
      <c r="H1473" s="28"/>
      <c r="K1473" s="28"/>
      <c r="N1473" s="28"/>
      <c r="Q1473" s="28"/>
      <c r="T1473" s="28"/>
      <c r="W1473" s="28"/>
      <c r="Z1473" s="28"/>
      <c r="AC1473" s="28"/>
      <c r="AF1473" s="28"/>
      <c r="AI1473" s="28"/>
      <c r="AL1473" s="28"/>
      <c r="AO1473" s="28"/>
      <c r="AR1473" s="28"/>
      <c r="AU1473" s="28"/>
      <c r="AX1473" s="28"/>
      <c r="BA1473" s="28"/>
      <c r="BD1473" s="28"/>
      <c r="BG1473" s="28"/>
      <c r="BJ1473" s="28"/>
      <c r="BM1473" s="28"/>
      <c r="BP1473" s="28"/>
      <c r="BS1473" s="28"/>
      <c r="BV1473" s="28"/>
      <c r="BY1473" s="28"/>
      <c r="CB1473" s="28"/>
      <c r="CE1473" s="28"/>
      <c r="CH1473" s="28"/>
      <c r="CK1473" s="28"/>
      <c r="CN1473" s="28"/>
      <c r="CQ1473" s="28"/>
      <c r="CT1473" s="28"/>
      <c r="CW1473" s="28"/>
      <c r="CZ1473" s="28"/>
      <c r="DC1473" s="28"/>
      <c r="DF1473" s="28"/>
      <c r="DI1473" s="28"/>
      <c r="DL1473" s="28"/>
      <c r="DO1473" s="28"/>
      <c r="DR1473" s="28"/>
      <c r="DU1473" s="28"/>
      <c r="DX1473" s="28"/>
      <c r="EA1473" s="28"/>
      <c r="ED1473" s="28"/>
      <c r="EG1473" s="28"/>
      <c r="EJ1473" s="28"/>
      <c r="EM1473" s="28"/>
      <c r="EP1473" s="28"/>
      <c r="ES1473" s="28"/>
      <c r="EV1473" s="28"/>
      <c r="EY1473" s="28"/>
      <c r="FB1473" s="28"/>
      <c r="FE1473" s="28"/>
      <c r="FH1473" s="28"/>
      <c r="FK1473" s="28"/>
      <c r="FN1473" s="28"/>
      <c r="FQ1473" s="28"/>
      <c r="FT1473" s="28"/>
      <c r="FW1473" s="28"/>
      <c r="FZ1473" s="28"/>
      <c r="GC1473" s="28"/>
    </row>
    <row r="1474" spans="1:185" s="25" customFormat="1" x14ac:dyDescent="0.3">
      <c r="A1474" s="27"/>
      <c r="B1474" s="28"/>
      <c r="C1474" s="27"/>
      <c r="D1474" s="26"/>
      <c r="E1474" s="28"/>
      <c r="H1474" s="28"/>
      <c r="K1474" s="28"/>
      <c r="N1474" s="28"/>
      <c r="Q1474" s="28"/>
      <c r="T1474" s="28"/>
      <c r="W1474" s="28"/>
      <c r="Z1474" s="28"/>
      <c r="AC1474" s="28"/>
      <c r="AF1474" s="28"/>
      <c r="AI1474" s="28"/>
      <c r="AL1474" s="28"/>
      <c r="AO1474" s="28"/>
      <c r="AR1474" s="28"/>
      <c r="AU1474" s="28"/>
      <c r="AX1474" s="28"/>
      <c r="BA1474" s="28"/>
      <c r="BD1474" s="28"/>
      <c r="BG1474" s="28"/>
      <c r="BJ1474" s="28"/>
      <c r="BM1474" s="28"/>
      <c r="BP1474" s="28"/>
      <c r="BS1474" s="28"/>
      <c r="BV1474" s="28"/>
      <c r="BY1474" s="28"/>
      <c r="CB1474" s="28"/>
      <c r="CE1474" s="28"/>
      <c r="CH1474" s="28"/>
      <c r="CK1474" s="28"/>
      <c r="CN1474" s="28"/>
      <c r="CQ1474" s="28"/>
      <c r="CT1474" s="28"/>
      <c r="CW1474" s="28"/>
      <c r="CZ1474" s="28"/>
      <c r="DC1474" s="28"/>
      <c r="DF1474" s="28"/>
      <c r="DI1474" s="28"/>
      <c r="DL1474" s="28"/>
      <c r="DO1474" s="28"/>
      <c r="DR1474" s="28"/>
      <c r="DU1474" s="28"/>
      <c r="DX1474" s="28"/>
      <c r="EA1474" s="28"/>
      <c r="ED1474" s="28"/>
      <c r="EG1474" s="28"/>
      <c r="EJ1474" s="28"/>
      <c r="EM1474" s="28"/>
      <c r="EP1474" s="28"/>
      <c r="ES1474" s="28"/>
      <c r="EV1474" s="28"/>
      <c r="EY1474" s="28"/>
      <c r="FB1474" s="28"/>
      <c r="FE1474" s="28"/>
      <c r="FH1474" s="28"/>
      <c r="FK1474" s="28"/>
      <c r="FN1474" s="28"/>
      <c r="FQ1474" s="28"/>
      <c r="FT1474" s="28"/>
      <c r="FW1474" s="28"/>
      <c r="FZ1474" s="28"/>
      <c r="GC1474" s="28"/>
    </row>
    <row r="1475" spans="1:185" s="25" customFormat="1" x14ac:dyDescent="0.3">
      <c r="A1475" s="27"/>
      <c r="B1475" s="28"/>
      <c r="C1475" s="27"/>
      <c r="D1475" s="26"/>
      <c r="E1475" s="28"/>
      <c r="H1475" s="28"/>
      <c r="K1475" s="28"/>
      <c r="N1475" s="28"/>
      <c r="Q1475" s="28"/>
      <c r="T1475" s="28"/>
      <c r="W1475" s="28"/>
      <c r="Z1475" s="28"/>
      <c r="AC1475" s="28"/>
      <c r="AF1475" s="28"/>
      <c r="AI1475" s="28"/>
      <c r="AL1475" s="28"/>
      <c r="AO1475" s="28"/>
      <c r="AR1475" s="28"/>
      <c r="AU1475" s="28"/>
      <c r="AX1475" s="28"/>
      <c r="BA1475" s="28"/>
      <c r="BD1475" s="28"/>
      <c r="BG1475" s="28"/>
      <c r="BJ1475" s="28"/>
      <c r="BM1475" s="28"/>
      <c r="BP1475" s="28"/>
      <c r="BS1475" s="28"/>
      <c r="BV1475" s="28"/>
      <c r="BY1475" s="28"/>
      <c r="CB1475" s="28"/>
      <c r="CE1475" s="28"/>
      <c r="CH1475" s="28"/>
      <c r="CK1475" s="28"/>
      <c r="CN1475" s="28"/>
      <c r="CQ1475" s="28"/>
      <c r="CT1475" s="28"/>
      <c r="CW1475" s="28"/>
      <c r="CZ1475" s="28"/>
      <c r="DC1475" s="28"/>
      <c r="DF1475" s="28"/>
      <c r="DI1475" s="28"/>
      <c r="DL1475" s="28"/>
      <c r="DO1475" s="28"/>
      <c r="DR1475" s="28"/>
      <c r="DU1475" s="28"/>
      <c r="DX1475" s="28"/>
      <c r="EA1475" s="28"/>
      <c r="ED1475" s="28"/>
      <c r="EG1475" s="28"/>
      <c r="EJ1475" s="28"/>
      <c r="EM1475" s="28"/>
      <c r="EP1475" s="28"/>
      <c r="ES1475" s="28"/>
      <c r="EV1475" s="28"/>
      <c r="EY1475" s="28"/>
      <c r="FB1475" s="28"/>
      <c r="FE1475" s="28"/>
      <c r="FH1475" s="28"/>
      <c r="FK1475" s="28"/>
      <c r="FN1475" s="28"/>
      <c r="FQ1475" s="28"/>
      <c r="FT1475" s="28"/>
      <c r="FW1475" s="28"/>
      <c r="FZ1475" s="28"/>
      <c r="GC1475" s="28"/>
    </row>
    <row r="1476" spans="1:185" s="25" customFormat="1" x14ac:dyDescent="0.3">
      <c r="A1476" s="27"/>
      <c r="B1476" s="28"/>
      <c r="C1476" s="27"/>
      <c r="D1476" s="26"/>
      <c r="E1476" s="28"/>
      <c r="H1476" s="28"/>
      <c r="K1476" s="28"/>
      <c r="N1476" s="28"/>
      <c r="Q1476" s="28"/>
      <c r="T1476" s="28"/>
      <c r="W1476" s="28"/>
      <c r="Z1476" s="28"/>
      <c r="AC1476" s="28"/>
      <c r="AF1476" s="28"/>
      <c r="AI1476" s="28"/>
      <c r="AL1476" s="28"/>
      <c r="AO1476" s="28"/>
      <c r="AR1476" s="28"/>
      <c r="AU1476" s="28"/>
      <c r="AX1476" s="28"/>
      <c r="BA1476" s="28"/>
      <c r="BD1476" s="28"/>
      <c r="BG1476" s="28"/>
      <c r="BJ1476" s="28"/>
      <c r="BM1476" s="28"/>
      <c r="BP1476" s="28"/>
      <c r="BS1476" s="28"/>
      <c r="BV1476" s="28"/>
      <c r="BY1476" s="28"/>
      <c r="CB1476" s="28"/>
      <c r="CE1476" s="28"/>
      <c r="CH1476" s="28"/>
      <c r="CK1476" s="28"/>
      <c r="CN1476" s="28"/>
      <c r="CQ1476" s="28"/>
      <c r="CT1476" s="28"/>
      <c r="CW1476" s="28"/>
      <c r="CZ1476" s="28"/>
      <c r="DC1476" s="28"/>
      <c r="DF1476" s="28"/>
      <c r="DI1476" s="28"/>
      <c r="DL1476" s="28"/>
      <c r="DO1476" s="28"/>
      <c r="DR1476" s="28"/>
      <c r="DU1476" s="28"/>
      <c r="DX1476" s="28"/>
      <c r="EA1476" s="28"/>
      <c r="ED1476" s="28"/>
      <c r="EG1476" s="28"/>
      <c r="EJ1476" s="28"/>
      <c r="EM1476" s="28"/>
      <c r="EP1476" s="28"/>
      <c r="ES1476" s="28"/>
      <c r="EV1476" s="28"/>
      <c r="EY1476" s="28"/>
      <c r="FB1476" s="28"/>
      <c r="FE1476" s="28"/>
      <c r="FH1476" s="28"/>
      <c r="FK1476" s="28"/>
      <c r="FN1476" s="28"/>
      <c r="FQ1476" s="28"/>
      <c r="FT1476" s="28"/>
      <c r="FW1476" s="28"/>
      <c r="FZ1476" s="28"/>
      <c r="GC1476" s="28"/>
    </row>
    <row r="1477" spans="1:185" s="25" customFormat="1" x14ac:dyDescent="0.3">
      <c r="A1477" s="27"/>
      <c r="B1477" s="28"/>
      <c r="C1477" s="27"/>
      <c r="D1477" s="26"/>
      <c r="E1477" s="28"/>
      <c r="H1477" s="28"/>
      <c r="K1477" s="28"/>
      <c r="N1477" s="28"/>
      <c r="Q1477" s="28"/>
      <c r="T1477" s="28"/>
      <c r="W1477" s="28"/>
      <c r="Z1477" s="28"/>
      <c r="AC1477" s="28"/>
      <c r="AF1477" s="28"/>
      <c r="AI1477" s="28"/>
      <c r="AL1477" s="28"/>
      <c r="AO1477" s="28"/>
      <c r="AR1477" s="28"/>
      <c r="AU1477" s="28"/>
      <c r="AX1477" s="28"/>
      <c r="BA1477" s="28"/>
      <c r="BD1477" s="28"/>
      <c r="BG1477" s="28"/>
      <c r="BJ1477" s="28"/>
      <c r="BM1477" s="28"/>
      <c r="BP1477" s="28"/>
      <c r="BS1477" s="28"/>
      <c r="BV1477" s="28"/>
      <c r="BY1477" s="28"/>
      <c r="CB1477" s="28"/>
      <c r="CE1477" s="28"/>
      <c r="CH1477" s="28"/>
      <c r="CK1477" s="28"/>
      <c r="CN1477" s="28"/>
      <c r="CQ1477" s="28"/>
      <c r="CT1477" s="28"/>
      <c r="CW1477" s="28"/>
      <c r="CZ1477" s="28"/>
      <c r="DC1477" s="28"/>
      <c r="DF1477" s="28"/>
      <c r="DI1477" s="28"/>
      <c r="DL1477" s="28"/>
      <c r="DO1477" s="28"/>
      <c r="DR1477" s="28"/>
      <c r="DU1477" s="28"/>
      <c r="DX1477" s="28"/>
      <c r="EA1477" s="28"/>
      <c r="ED1477" s="28"/>
      <c r="EG1477" s="28"/>
      <c r="EJ1477" s="28"/>
      <c r="EM1477" s="28"/>
      <c r="EP1477" s="28"/>
      <c r="ES1477" s="28"/>
      <c r="EV1477" s="28"/>
      <c r="EY1477" s="28"/>
      <c r="FB1477" s="28"/>
      <c r="FE1477" s="28"/>
      <c r="FH1477" s="28"/>
      <c r="FK1477" s="28"/>
      <c r="FN1477" s="28"/>
      <c r="FQ1477" s="28"/>
      <c r="FT1477" s="28"/>
      <c r="FW1477" s="28"/>
      <c r="FZ1477" s="28"/>
      <c r="GC1477" s="28"/>
    </row>
    <row r="1478" spans="1:185" s="25" customFormat="1" x14ac:dyDescent="0.3">
      <c r="A1478" s="27"/>
      <c r="B1478" s="28"/>
      <c r="C1478" s="27"/>
      <c r="D1478" s="26"/>
      <c r="E1478" s="28"/>
      <c r="H1478" s="28"/>
      <c r="K1478" s="28"/>
      <c r="N1478" s="28"/>
      <c r="Q1478" s="28"/>
      <c r="T1478" s="28"/>
      <c r="W1478" s="28"/>
      <c r="Z1478" s="28"/>
      <c r="AC1478" s="28"/>
      <c r="AF1478" s="28"/>
      <c r="AI1478" s="28"/>
      <c r="AL1478" s="28"/>
      <c r="AO1478" s="28"/>
      <c r="AR1478" s="28"/>
      <c r="AU1478" s="28"/>
      <c r="AX1478" s="28"/>
      <c r="BA1478" s="28"/>
      <c r="BD1478" s="28"/>
      <c r="BG1478" s="28"/>
      <c r="BJ1478" s="28"/>
      <c r="BM1478" s="28"/>
      <c r="BP1478" s="28"/>
      <c r="BS1478" s="28"/>
      <c r="BV1478" s="28"/>
      <c r="BY1478" s="28"/>
      <c r="CB1478" s="28"/>
      <c r="CE1478" s="28"/>
      <c r="CH1478" s="28"/>
      <c r="CK1478" s="28"/>
      <c r="CN1478" s="28"/>
      <c r="CQ1478" s="28"/>
      <c r="CT1478" s="28"/>
      <c r="CW1478" s="28"/>
      <c r="CZ1478" s="28"/>
      <c r="DC1478" s="28"/>
      <c r="DF1478" s="28"/>
      <c r="DI1478" s="28"/>
      <c r="DL1478" s="28"/>
      <c r="DO1478" s="28"/>
      <c r="DR1478" s="28"/>
      <c r="DU1478" s="28"/>
      <c r="DX1478" s="28"/>
      <c r="EA1478" s="28"/>
      <c r="ED1478" s="28"/>
      <c r="EG1478" s="28"/>
      <c r="EJ1478" s="28"/>
      <c r="EM1478" s="28"/>
      <c r="EP1478" s="28"/>
      <c r="ES1478" s="28"/>
      <c r="EV1478" s="28"/>
      <c r="EY1478" s="28"/>
      <c r="FB1478" s="28"/>
      <c r="FE1478" s="28"/>
      <c r="FH1478" s="28"/>
      <c r="FK1478" s="28"/>
      <c r="FN1478" s="28"/>
      <c r="FQ1478" s="28"/>
      <c r="FT1478" s="28"/>
      <c r="FW1478" s="28"/>
      <c r="FZ1478" s="28"/>
      <c r="GC1478" s="28"/>
    </row>
    <row r="1479" spans="1:185" s="25" customFormat="1" x14ac:dyDescent="0.3">
      <c r="A1479" s="27"/>
      <c r="B1479" s="28"/>
      <c r="C1479" s="27"/>
      <c r="D1479" s="26"/>
      <c r="E1479" s="28"/>
      <c r="H1479" s="28"/>
      <c r="K1479" s="28"/>
      <c r="N1479" s="28"/>
      <c r="Q1479" s="28"/>
      <c r="T1479" s="28"/>
      <c r="W1479" s="28"/>
      <c r="Z1479" s="28"/>
      <c r="AC1479" s="28"/>
      <c r="AF1479" s="28"/>
      <c r="AI1479" s="28"/>
      <c r="AL1479" s="28"/>
      <c r="AO1479" s="28"/>
      <c r="AR1479" s="28"/>
      <c r="AU1479" s="28"/>
      <c r="AX1479" s="28"/>
      <c r="BA1479" s="28"/>
      <c r="BD1479" s="28"/>
      <c r="BG1479" s="28"/>
      <c r="BJ1479" s="28"/>
      <c r="BM1479" s="28"/>
      <c r="BP1479" s="28"/>
      <c r="BS1479" s="28"/>
      <c r="BV1479" s="28"/>
      <c r="BY1479" s="28"/>
      <c r="CB1479" s="28"/>
      <c r="CE1479" s="28"/>
      <c r="CH1479" s="28"/>
      <c r="CK1479" s="28"/>
      <c r="CN1479" s="28"/>
      <c r="CQ1479" s="28"/>
      <c r="CT1479" s="28"/>
      <c r="CW1479" s="28"/>
      <c r="CZ1479" s="28"/>
      <c r="DC1479" s="28"/>
      <c r="DF1479" s="28"/>
      <c r="DI1479" s="28"/>
      <c r="DL1479" s="28"/>
      <c r="DO1479" s="28"/>
      <c r="DR1479" s="28"/>
      <c r="DU1479" s="28"/>
      <c r="DX1479" s="28"/>
      <c r="EA1479" s="28"/>
      <c r="ED1479" s="28"/>
      <c r="EG1479" s="28"/>
      <c r="EJ1479" s="28"/>
      <c r="EM1479" s="28"/>
      <c r="EP1479" s="28"/>
      <c r="ES1479" s="28"/>
      <c r="EV1479" s="28"/>
      <c r="EY1479" s="28"/>
      <c r="FB1479" s="28"/>
      <c r="FE1479" s="28"/>
      <c r="FH1479" s="28"/>
      <c r="FK1479" s="28"/>
      <c r="FN1479" s="28"/>
      <c r="FQ1479" s="28"/>
      <c r="FT1479" s="28"/>
      <c r="FW1479" s="28"/>
      <c r="FZ1479" s="28"/>
      <c r="GC1479" s="28"/>
    </row>
    <row r="1480" spans="1:185" s="25" customFormat="1" x14ac:dyDescent="0.3">
      <c r="A1480" s="27"/>
      <c r="B1480" s="28"/>
      <c r="C1480" s="27"/>
      <c r="D1480" s="26"/>
      <c r="E1480" s="28"/>
      <c r="H1480" s="28"/>
      <c r="K1480" s="28"/>
      <c r="N1480" s="28"/>
      <c r="Q1480" s="28"/>
      <c r="T1480" s="28"/>
      <c r="W1480" s="28"/>
      <c r="Z1480" s="28"/>
      <c r="AC1480" s="28"/>
      <c r="AF1480" s="28"/>
      <c r="AI1480" s="28"/>
      <c r="AL1480" s="28"/>
      <c r="AO1480" s="28"/>
      <c r="AR1480" s="28"/>
      <c r="AU1480" s="28"/>
      <c r="AX1480" s="28"/>
      <c r="BA1480" s="28"/>
      <c r="BD1480" s="28"/>
      <c r="BG1480" s="28"/>
      <c r="BJ1480" s="28"/>
      <c r="BM1480" s="28"/>
      <c r="BP1480" s="28"/>
      <c r="BS1480" s="28"/>
      <c r="BV1480" s="28"/>
      <c r="BY1480" s="28"/>
      <c r="CB1480" s="28"/>
      <c r="CE1480" s="28"/>
      <c r="CH1480" s="28"/>
      <c r="CK1480" s="28"/>
      <c r="CN1480" s="28"/>
      <c r="CQ1480" s="28"/>
      <c r="CT1480" s="28"/>
      <c r="CW1480" s="28"/>
      <c r="CZ1480" s="28"/>
      <c r="DC1480" s="28"/>
      <c r="DF1480" s="28"/>
      <c r="DI1480" s="28"/>
      <c r="DL1480" s="28"/>
      <c r="DO1480" s="28"/>
      <c r="DR1480" s="28"/>
      <c r="DU1480" s="28"/>
      <c r="DX1480" s="28"/>
      <c r="EA1480" s="28"/>
      <c r="ED1480" s="28"/>
      <c r="EG1480" s="28"/>
      <c r="EJ1480" s="28"/>
      <c r="EM1480" s="28"/>
      <c r="EP1480" s="28"/>
      <c r="ES1480" s="28"/>
      <c r="EV1480" s="28"/>
      <c r="EY1480" s="28"/>
      <c r="FB1480" s="28"/>
      <c r="FE1480" s="28"/>
      <c r="FH1480" s="28"/>
      <c r="FK1480" s="28"/>
      <c r="FN1480" s="28"/>
      <c r="FQ1480" s="28"/>
      <c r="FT1480" s="28"/>
      <c r="FW1480" s="28"/>
      <c r="FZ1480" s="28"/>
      <c r="GC1480" s="28"/>
    </row>
    <row r="1481" spans="1:185" s="25" customFormat="1" x14ac:dyDescent="0.3">
      <c r="A1481" s="27"/>
      <c r="B1481" s="28"/>
      <c r="C1481" s="27"/>
      <c r="D1481" s="26"/>
      <c r="E1481" s="28"/>
      <c r="H1481" s="28"/>
      <c r="K1481" s="28"/>
      <c r="N1481" s="28"/>
      <c r="Q1481" s="28"/>
      <c r="T1481" s="28"/>
      <c r="W1481" s="28"/>
      <c r="Z1481" s="28"/>
      <c r="AC1481" s="28"/>
      <c r="AF1481" s="28"/>
      <c r="AI1481" s="28"/>
      <c r="AL1481" s="28"/>
      <c r="AO1481" s="28"/>
      <c r="AR1481" s="28"/>
      <c r="AU1481" s="28"/>
      <c r="AX1481" s="28"/>
      <c r="BA1481" s="28"/>
      <c r="BD1481" s="28"/>
      <c r="BG1481" s="28"/>
      <c r="BJ1481" s="28"/>
      <c r="BM1481" s="28"/>
      <c r="BP1481" s="28"/>
      <c r="BS1481" s="28"/>
      <c r="BV1481" s="28"/>
      <c r="BY1481" s="28"/>
      <c r="CB1481" s="28"/>
      <c r="CE1481" s="28"/>
      <c r="CH1481" s="28"/>
      <c r="CK1481" s="28"/>
      <c r="CN1481" s="28"/>
      <c r="CQ1481" s="28"/>
      <c r="CT1481" s="28"/>
      <c r="CW1481" s="28"/>
      <c r="CZ1481" s="28"/>
      <c r="DC1481" s="28"/>
      <c r="DF1481" s="28"/>
      <c r="DI1481" s="28"/>
      <c r="DL1481" s="28"/>
      <c r="DO1481" s="28"/>
      <c r="DR1481" s="28"/>
      <c r="DU1481" s="28"/>
      <c r="DX1481" s="28"/>
      <c r="EA1481" s="28"/>
      <c r="ED1481" s="28"/>
      <c r="EG1481" s="28"/>
      <c r="EJ1481" s="28"/>
      <c r="EM1481" s="28"/>
      <c r="EP1481" s="28"/>
      <c r="ES1481" s="28"/>
      <c r="EV1481" s="28"/>
      <c r="EY1481" s="28"/>
      <c r="FB1481" s="28"/>
      <c r="FE1481" s="28"/>
      <c r="FH1481" s="28"/>
      <c r="FK1481" s="28"/>
      <c r="FN1481" s="28"/>
      <c r="FQ1481" s="28"/>
      <c r="FT1481" s="28"/>
      <c r="FW1481" s="28"/>
      <c r="FZ1481" s="28"/>
      <c r="GC1481" s="28"/>
    </row>
    <row r="1482" spans="1:185" s="25" customFormat="1" x14ac:dyDescent="0.3">
      <c r="A1482" s="27"/>
      <c r="B1482" s="28"/>
      <c r="C1482" s="27"/>
      <c r="D1482" s="26"/>
      <c r="E1482" s="28"/>
      <c r="H1482" s="28"/>
      <c r="K1482" s="28"/>
      <c r="N1482" s="28"/>
      <c r="Q1482" s="28"/>
      <c r="T1482" s="28"/>
      <c r="W1482" s="28"/>
      <c r="Z1482" s="28"/>
      <c r="AC1482" s="28"/>
      <c r="AF1482" s="28"/>
      <c r="AI1482" s="28"/>
      <c r="AL1482" s="28"/>
      <c r="AO1482" s="28"/>
      <c r="AR1482" s="28"/>
      <c r="AU1482" s="28"/>
      <c r="AX1482" s="28"/>
      <c r="BA1482" s="28"/>
      <c r="BD1482" s="28"/>
      <c r="BG1482" s="28"/>
      <c r="BJ1482" s="28"/>
      <c r="BM1482" s="28"/>
      <c r="BP1482" s="28"/>
      <c r="BS1482" s="28"/>
      <c r="BV1482" s="28"/>
      <c r="BY1482" s="28"/>
      <c r="CB1482" s="28"/>
      <c r="CE1482" s="28"/>
      <c r="CH1482" s="28"/>
      <c r="CK1482" s="28"/>
      <c r="CN1482" s="28"/>
      <c r="CQ1482" s="28"/>
      <c r="CT1482" s="28"/>
      <c r="CW1482" s="28"/>
      <c r="CZ1482" s="28"/>
      <c r="DC1482" s="28"/>
      <c r="DF1482" s="28"/>
      <c r="DI1482" s="28"/>
      <c r="DL1482" s="28"/>
      <c r="DO1482" s="28"/>
      <c r="DR1482" s="28"/>
      <c r="DU1482" s="28"/>
      <c r="DX1482" s="28"/>
      <c r="EA1482" s="28"/>
      <c r="ED1482" s="28"/>
      <c r="EG1482" s="28"/>
      <c r="EJ1482" s="28"/>
      <c r="EM1482" s="28"/>
      <c r="EP1482" s="28"/>
      <c r="ES1482" s="28"/>
      <c r="EV1482" s="28"/>
      <c r="EY1482" s="28"/>
      <c r="FB1482" s="28"/>
      <c r="FE1482" s="28"/>
      <c r="FH1482" s="28"/>
      <c r="FK1482" s="28"/>
      <c r="FN1482" s="28"/>
      <c r="FQ1482" s="28"/>
      <c r="FT1482" s="28"/>
      <c r="FW1482" s="28"/>
      <c r="FZ1482" s="28"/>
      <c r="GC1482" s="28"/>
    </row>
    <row r="1483" spans="1:185" s="25" customFormat="1" x14ac:dyDescent="0.3">
      <c r="A1483" s="27"/>
      <c r="B1483" s="28"/>
      <c r="C1483" s="27"/>
      <c r="D1483" s="26"/>
      <c r="E1483" s="28"/>
      <c r="H1483" s="28"/>
      <c r="K1483" s="28"/>
      <c r="N1483" s="28"/>
      <c r="Q1483" s="28"/>
      <c r="T1483" s="28"/>
      <c r="W1483" s="28"/>
      <c r="Z1483" s="28"/>
      <c r="AC1483" s="28"/>
      <c r="AF1483" s="28"/>
      <c r="AI1483" s="28"/>
      <c r="AL1483" s="28"/>
      <c r="AO1483" s="28"/>
      <c r="AR1483" s="28"/>
      <c r="AU1483" s="28"/>
      <c r="AX1483" s="28"/>
      <c r="BA1483" s="28"/>
      <c r="BD1483" s="28"/>
      <c r="BG1483" s="28"/>
      <c r="BJ1483" s="28"/>
      <c r="BM1483" s="28"/>
      <c r="BP1483" s="28"/>
      <c r="BS1483" s="28"/>
      <c r="BV1483" s="28"/>
      <c r="BY1483" s="28"/>
      <c r="CB1483" s="28"/>
      <c r="CE1483" s="28"/>
      <c r="CH1483" s="28"/>
      <c r="CK1483" s="28"/>
      <c r="CN1483" s="28"/>
      <c r="CQ1483" s="28"/>
      <c r="CT1483" s="28"/>
      <c r="CW1483" s="28"/>
      <c r="CZ1483" s="28"/>
      <c r="DC1483" s="28"/>
      <c r="DF1483" s="28"/>
      <c r="DI1483" s="28"/>
      <c r="DL1483" s="28"/>
      <c r="DO1483" s="28"/>
      <c r="DR1483" s="28"/>
      <c r="DU1483" s="28"/>
      <c r="DX1483" s="28"/>
      <c r="EA1483" s="28"/>
      <c r="ED1483" s="28"/>
      <c r="EG1483" s="28"/>
      <c r="EJ1483" s="28"/>
      <c r="EM1483" s="28"/>
      <c r="EP1483" s="28"/>
      <c r="ES1483" s="28"/>
      <c r="EV1483" s="28"/>
      <c r="EY1483" s="28"/>
      <c r="FB1483" s="28"/>
      <c r="FE1483" s="28"/>
      <c r="FH1483" s="28"/>
      <c r="FK1483" s="28"/>
      <c r="FN1483" s="28"/>
      <c r="FQ1483" s="28"/>
      <c r="FT1483" s="28"/>
      <c r="FW1483" s="28"/>
      <c r="FZ1483" s="28"/>
      <c r="GC1483" s="28"/>
    </row>
    <row r="1484" spans="1:185" s="25" customFormat="1" x14ac:dyDescent="0.3">
      <c r="A1484" s="27"/>
      <c r="B1484" s="28"/>
      <c r="C1484" s="27"/>
      <c r="D1484" s="26"/>
      <c r="E1484" s="28"/>
      <c r="H1484" s="28"/>
      <c r="K1484" s="28"/>
      <c r="N1484" s="28"/>
      <c r="Q1484" s="28"/>
      <c r="T1484" s="28"/>
      <c r="W1484" s="28"/>
      <c r="Z1484" s="28"/>
      <c r="AC1484" s="28"/>
      <c r="AF1484" s="28"/>
      <c r="AI1484" s="28"/>
      <c r="AL1484" s="28"/>
      <c r="AO1484" s="28"/>
      <c r="AR1484" s="28"/>
      <c r="AU1484" s="28"/>
      <c r="AX1484" s="28"/>
      <c r="BA1484" s="28"/>
      <c r="BD1484" s="28"/>
      <c r="BG1484" s="28"/>
      <c r="BJ1484" s="28"/>
      <c r="BM1484" s="28"/>
      <c r="BP1484" s="28"/>
      <c r="BS1484" s="28"/>
      <c r="BV1484" s="28"/>
      <c r="BY1484" s="28"/>
      <c r="CB1484" s="28"/>
      <c r="CE1484" s="28"/>
      <c r="CH1484" s="28"/>
      <c r="CK1484" s="28"/>
      <c r="CN1484" s="28"/>
      <c r="CQ1484" s="28"/>
      <c r="CT1484" s="28"/>
      <c r="CW1484" s="28"/>
      <c r="CZ1484" s="28"/>
      <c r="DC1484" s="28"/>
      <c r="DF1484" s="28"/>
      <c r="DI1484" s="28"/>
      <c r="DL1484" s="28"/>
      <c r="DO1484" s="28"/>
      <c r="DR1484" s="28"/>
      <c r="DU1484" s="28"/>
      <c r="DX1484" s="28"/>
      <c r="EA1484" s="28"/>
      <c r="ED1484" s="28"/>
      <c r="EG1484" s="28"/>
      <c r="EJ1484" s="28"/>
      <c r="EM1484" s="28"/>
      <c r="EP1484" s="28"/>
      <c r="ES1484" s="28"/>
      <c r="EV1484" s="28"/>
      <c r="EY1484" s="28"/>
      <c r="FB1484" s="28"/>
      <c r="FE1484" s="28"/>
      <c r="FH1484" s="28"/>
      <c r="FK1484" s="28"/>
      <c r="FN1484" s="28"/>
      <c r="FQ1484" s="28"/>
      <c r="FT1484" s="28"/>
      <c r="FW1484" s="28"/>
      <c r="FZ1484" s="28"/>
      <c r="GC1484" s="28"/>
    </row>
    <row r="1485" spans="1:185" s="25" customFormat="1" x14ac:dyDescent="0.3">
      <c r="A1485" s="27"/>
      <c r="B1485" s="28"/>
      <c r="C1485" s="27"/>
      <c r="D1485" s="26"/>
      <c r="E1485" s="28"/>
      <c r="H1485" s="28"/>
      <c r="K1485" s="28"/>
      <c r="N1485" s="28"/>
      <c r="Q1485" s="28"/>
      <c r="T1485" s="28"/>
      <c r="W1485" s="28"/>
      <c r="Z1485" s="28"/>
      <c r="AC1485" s="28"/>
      <c r="AF1485" s="28"/>
      <c r="AI1485" s="28"/>
      <c r="AL1485" s="28"/>
      <c r="AO1485" s="28"/>
      <c r="AR1485" s="28"/>
      <c r="AU1485" s="28"/>
      <c r="AX1485" s="28"/>
      <c r="BA1485" s="28"/>
      <c r="BD1485" s="28"/>
      <c r="BG1485" s="28"/>
      <c r="BJ1485" s="28"/>
      <c r="BM1485" s="28"/>
      <c r="BP1485" s="28"/>
      <c r="BS1485" s="28"/>
      <c r="BV1485" s="28"/>
      <c r="BY1485" s="28"/>
      <c r="CB1485" s="28"/>
      <c r="CE1485" s="28"/>
      <c r="CH1485" s="28"/>
      <c r="CK1485" s="28"/>
      <c r="CN1485" s="28"/>
      <c r="CQ1485" s="28"/>
      <c r="CT1485" s="28"/>
      <c r="CW1485" s="28"/>
      <c r="CZ1485" s="28"/>
      <c r="DC1485" s="28"/>
      <c r="DF1485" s="28"/>
      <c r="DI1485" s="28"/>
      <c r="DL1485" s="28"/>
      <c r="DO1485" s="28"/>
      <c r="DR1485" s="28"/>
      <c r="DU1485" s="28"/>
      <c r="DX1485" s="28"/>
      <c r="EA1485" s="28"/>
      <c r="ED1485" s="28"/>
      <c r="EG1485" s="28"/>
      <c r="EJ1485" s="28"/>
      <c r="EM1485" s="28"/>
      <c r="EP1485" s="28"/>
      <c r="ES1485" s="28"/>
      <c r="EV1485" s="28"/>
      <c r="EY1485" s="28"/>
      <c r="FB1485" s="28"/>
      <c r="FE1485" s="28"/>
      <c r="FH1485" s="28"/>
      <c r="FK1485" s="28"/>
      <c r="FN1485" s="28"/>
      <c r="FQ1485" s="28"/>
      <c r="FT1485" s="28"/>
      <c r="FW1485" s="28"/>
      <c r="FZ1485" s="28"/>
      <c r="GC1485" s="28"/>
    </row>
    <row r="1486" spans="1:185" s="25" customFormat="1" x14ac:dyDescent="0.3">
      <c r="A1486" s="27"/>
      <c r="B1486" s="28"/>
      <c r="C1486" s="27"/>
      <c r="D1486" s="26"/>
      <c r="E1486" s="28"/>
      <c r="H1486" s="28"/>
      <c r="K1486" s="28"/>
      <c r="N1486" s="28"/>
      <c r="Q1486" s="28"/>
      <c r="T1486" s="28"/>
      <c r="W1486" s="28"/>
      <c r="Z1486" s="28"/>
      <c r="AC1486" s="28"/>
      <c r="AF1486" s="28"/>
      <c r="AI1486" s="28"/>
      <c r="AL1486" s="28"/>
      <c r="AO1486" s="28"/>
      <c r="AR1486" s="28"/>
      <c r="AU1486" s="28"/>
      <c r="AX1486" s="28"/>
      <c r="BA1486" s="28"/>
      <c r="BD1486" s="28"/>
      <c r="BG1486" s="28"/>
      <c r="BJ1486" s="28"/>
      <c r="BM1486" s="28"/>
      <c r="BP1486" s="28"/>
      <c r="BS1486" s="28"/>
      <c r="BV1486" s="28"/>
      <c r="BY1486" s="28"/>
      <c r="CB1486" s="28"/>
      <c r="CE1486" s="28"/>
      <c r="CH1486" s="28"/>
      <c r="CK1486" s="28"/>
      <c r="CN1486" s="28"/>
      <c r="CQ1486" s="28"/>
      <c r="CT1486" s="28"/>
      <c r="CW1486" s="28"/>
      <c r="CZ1486" s="28"/>
      <c r="DC1486" s="28"/>
      <c r="DF1486" s="28"/>
      <c r="DI1486" s="28"/>
      <c r="DL1486" s="28"/>
      <c r="DO1486" s="28"/>
      <c r="DR1486" s="28"/>
      <c r="DU1486" s="28"/>
      <c r="DX1486" s="28"/>
      <c r="EA1486" s="28"/>
      <c r="ED1486" s="28"/>
      <c r="EG1486" s="28"/>
      <c r="EJ1486" s="28"/>
      <c r="EM1486" s="28"/>
      <c r="EP1486" s="28"/>
      <c r="ES1486" s="28"/>
      <c r="EV1486" s="28"/>
      <c r="EY1486" s="28"/>
      <c r="FB1486" s="28"/>
      <c r="FE1486" s="28"/>
      <c r="FH1486" s="28"/>
      <c r="FK1486" s="28"/>
      <c r="FN1486" s="28"/>
      <c r="FQ1486" s="28"/>
      <c r="FT1486" s="28"/>
      <c r="FW1486" s="28"/>
      <c r="FZ1486" s="28"/>
      <c r="GC1486" s="28"/>
    </row>
    <row r="1487" spans="1:185" s="25" customFormat="1" x14ac:dyDescent="0.3">
      <c r="A1487" s="27"/>
      <c r="B1487" s="28"/>
      <c r="C1487" s="27"/>
      <c r="D1487" s="26"/>
      <c r="E1487" s="28"/>
      <c r="H1487" s="28"/>
      <c r="K1487" s="28"/>
      <c r="N1487" s="28"/>
      <c r="Q1487" s="28"/>
      <c r="T1487" s="28"/>
      <c r="W1487" s="28"/>
      <c r="Z1487" s="28"/>
      <c r="AC1487" s="28"/>
      <c r="AF1487" s="28"/>
      <c r="AI1487" s="28"/>
      <c r="AL1487" s="28"/>
      <c r="AO1487" s="28"/>
      <c r="AR1487" s="28"/>
      <c r="AU1487" s="28"/>
      <c r="AX1487" s="28"/>
      <c r="BA1487" s="28"/>
      <c r="BD1487" s="28"/>
      <c r="BG1487" s="28"/>
      <c r="BJ1487" s="28"/>
      <c r="BM1487" s="28"/>
      <c r="BP1487" s="28"/>
      <c r="BS1487" s="28"/>
      <c r="BV1487" s="28"/>
      <c r="BY1487" s="28"/>
      <c r="CB1487" s="28"/>
      <c r="CE1487" s="28"/>
      <c r="CH1487" s="28"/>
      <c r="CK1487" s="28"/>
      <c r="CN1487" s="28"/>
      <c r="CQ1487" s="28"/>
      <c r="CT1487" s="28"/>
      <c r="CW1487" s="28"/>
      <c r="CZ1487" s="28"/>
      <c r="DC1487" s="28"/>
      <c r="DF1487" s="28"/>
      <c r="DI1487" s="28"/>
      <c r="DL1487" s="28"/>
      <c r="DO1487" s="28"/>
      <c r="DR1487" s="28"/>
      <c r="DU1487" s="28"/>
      <c r="DX1487" s="28"/>
      <c r="EA1487" s="28"/>
      <c r="ED1487" s="28"/>
      <c r="EG1487" s="28"/>
      <c r="EJ1487" s="28"/>
      <c r="EM1487" s="28"/>
      <c r="EP1487" s="28"/>
      <c r="ES1487" s="28"/>
      <c r="EV1487" s="28"/>
      <c r="EY1487" s="28"/>
      <c r="FB1487" s="28"/>
      <c r="FE1487" s="28"/>
      <c r="FH1487" s="28"/>
      <c r="FK1487" s="28"/>
      <c r="FN1487" s="28"/>
      <c r="FQ1487" s="28"/>
      <c r="FT1487" s="28"/>
      <c r="FW1487" s="28"/>
      <c r="FZ1487" s="28"/>
      <c r="GC1487" s="28"/>
    </row>
    <row r="1488" spans="1:185" s="25" customFormat="1" x14ac:dyDescent="0.3">
      <c r="A1488" s="27"/>
      <c r="B1488" s="28"/>
      <c r="C1488" s="27"/>
      <c r="D1488" s="26"/>
      <c r="E1488" s="28"/>
      <c r="H1488" s="28"/>
      <c r="K1488" s="28"/>
      <c r="N1488" s="28"/>
      <c r="Q1488" s="28"/>
      <c r="T1488" s="28"/>
      <c r="W1488" s="28"/>
      <c r="Z1488" s="28"/>
      <c r="AC1488" s="28"/>
      <c r="AF1488" s="28"/>
      <c r="AI1488" s="28"/>
      <c r="AL1488" s="28"/>
      <c r="AO1488" s="28"/>
      <c r="AR1488" s="28"/>
      <c r="AU1488" s="28"/>
      <c r="AX1488" s="28"/>
      <c r="BA1488" s="28"/>
      <c r="BD1488" s="28"/>
      <c r="BG1488" s="28"/>
      <c r="BJ1488" s="28"/>
      <c r="BM1488" s="28"/>
      <c r="BP1488" s="28"/>
      <c r="BS1488" s="28"/>
      <c r="BV1488" s="28"/>
      <c r="BY1488" s="28"/>
      <c r="CB1488" s="28"/>
      <c r="CE1488" s="28"/>
      <c r="CH1488" s="28"/>
      <c r="CK1488" s="28"/>
      <c r="CN1488" s="28"/>
      <c r="CQ1488" s="28"/>
      <c r="CT1488" s="28"/>
      <c r="CW1488" s="28"/>
      <c r="CZ1488" s="28"/>
      <c r="DC1488" s="28"/>
      <c r="DF1488" s="28"/>
      <c r="DI1488" s="28"/>
      <c r="DL1488" s="28"/>
      <c r="DO1488" s="28"/>
      <c r="DR1488" s="28"/>
      <c r="DU1488" s="28"/>
      <c r="DX1488" s="28"/>
      <c r="EA1488" s="28"/>
      <c r="ED1488" s="28"/>
      <c r="EG1488" s="28"/>
      <c r="EJ1488" s="28"/>
      <c r="EM1488" s="28"/>
      <c r="EP1488" s="28"/>
      <c r="ES1488" s="28"/>
      <c r="EV1488" s="28"/>
      <c r="EY1488" s="28"/>
      <c r="FB1488" s="28"/>
      <c r="FE1488" s="28"/>
      <c r="FH1488" s="28"/>
      <c r="FK1488" s="28"/>
      <c r="FN1488" s="28"/>
      <c r="FQ1488" s="28"/>
      <c r="FT1488" s="28"/>
      <c r="FW1488" s="28"/>
      <c r="FZ1488" s="28"/>
      <c r="GC1488" s="28"/>
    </row>
    <row r="1489" spans="1:185" s="25" customFormat="1" x14ac:dyDescent="0.3">
      <c r="A1489" s="27"/>
      <c r="B1489" s="28"/>
      <c r="C1489" s="27"/>
      <c r="D1489" s="26"/>
      <c r="E1489" s="28"/>
      <c r="H1489" s="28"/>
      <c r="K1489" s="28"/>
      <c r="N1489" s="28"/>
      <c r="Q1489" s="28"/>
      <c r="T1489" s="28"/>
      <c r="W1489" s="28"/>
      <c r="Z1489" s="28"/>
      <c r="AC1489" s="28"/>
      <c r="AF1489" s="28"/>
      <c r="AI1489" s="28"/>
      <c r="AL1489" s="28"/>
      <c r="AO1489" s="28"/>
      <c r="AR1489" s="28"/>
      <c r="AU1489" s="28"/>
      <c r="AX1489" s="28"/>
      <c r="BA1489" s="28"/>
      <c r="BD1489" s="28"/>
      <c r="BG1489" s="28"/>
      <c r="BJ1489" s="28"/>
      <c r="BM1489" s="28"/>
      <c r="BP1489" s="28"/>
      <c r="BS1489" s="28"/>
      <c r="BV1489" s="28"/>
      <c r="BY1489" s="28"/>
      <c r="CB1489" s="28"/>
      <c r="CE1489" s="28"/>
      <c r="CH1489" s="28"/>
      <c r="CK1489" s="28"/>
      <c r="CN1489" s="28"/>
      <c r="CQ1489" s="28"/>
      <c r="CT1489" s="28"/>
      <c r="CW1489" s="28"/>
      <c r="CZ1489" s="28"/>
      <c r="DC1489" s="28"/>
      <c r="DF1489" s="28"/>
      <c r="DI1489" s="28"/>
      <c r="DL1489" s="28"/>
      <c r="DO1489" s="28"/>
      <c r="DR1489" s="28"/>
      <c r="DU1489" s="28"/>
      <c r="DX1489" s="28"/>
      <c r="EA1489" s="28"/>
      <c r="ED1489" s="28"/>
      <c r="EG1489" s="28"/>
      <c r="EJ1489" s="28"/>
      <c r="EM1489" s="28"/>
      <c r="EP1489" s="28"/>
      <c r="ES1489" s="28"/>
      <c r="EV1489" s="28"/>
      <c r="EY1489" s="28"/>
      <c r="FB1489" s="28"/>
      <c r="FE1489" s="28"/>
      <c r="FH1489" s="28"/>
      <c r="FK1489" s="28"/>
      <c r="FN1489" s="28"/>
      <c r="FQ1489" s="28"/>
      <c r="FT1489" s="28"/>
      <c r="FW1489" s="28"/>
      <c r="FZ1489" s="28"/>
      <c r="GC1489" s="28"/>
    </row>
    <row r="1490" spans="1:185" s="25" customFormat="1" x14ac:dyDescent="0.3">
      <c r="A1490" s="27"/>
      <c r="B1490" s="28"/>
      <c r="C1490" s="27"/>
      <c r="D1490" s="26"/>
      <c r="E1490" s="28"/>
      <c r="H1490" s="28"/>
      <c r="K1490" s="28"/>
      <c r="N1490" s="28"/>
      <c r="Q1490" s="28"/>
      <c r="T1490" s="28"/>
      <c r="W1490" s="28"/>
      <c r="Z1490" s="28"/>
      <c r="AC1490" s="28"/>
      <c r="AF1490" s="28"/>
      <c r="AI1490" s="28"/>
      <c r="AL1490" s="28"/>
      <c r="AO1490" s="28"/>
      <c r="AR1490" s="28"/>
      <c r="AU1490" s="28"/>
      <c r="AX1490" s="28"/>
      <c r="BA1490" s="28"/>
      <c r="BD1490" s="28"/>
      <c r="BG1490" s="28"/>
      <c r="BJ1490" s="28"/>
      <c r="BM1490" s="28"/>
      <c r="BP1490" s="28"/>
      <c r="BS1490" s="28"/>
      <c r="BV1490" s="28"/>
      <c r="BY1490" s="28"/>
      <c r="CB1490" s="28"/>
      <c r="CE1490" s="28"/>
      <c r="CH1490" s="28"/>
      <c r="CK1490" s="28"/>
      <c r="CN1490" s="28"/>
      <c r="CQ1490" s="28"/>
      <c r="CT1490" s="28"/>
      <c r="CW1490" s="28"/>
      <c r="CZ1490" s="28"/>
      <c r="DC1490" s="28"/>
      <c r="DF1490" s="28"/>
      <c r="DI1490" s="28"/>
      <c r="DL1490" s="28"/>
      <c r="DO1490" s="28"/>
      <c r="DR1490" s="28"/>
      <c r="DU1490" s="28"/>
      <c r="DX1490" s="28"/>
      <c r="EA1490" s="28"/>
      <c r="ED1490" s="28"/>
      <c r="EG1490" s="28"/>
      <c r="EJ1490" s="28"/>
      <c r="EM1490" s="28"/>
      <c r="EP1490" s="28"/>
      <c r="ES1490" s="28"/>
      <c r="EV1490" s="28"/>
      <c r="EY1490" s="28"/>
      <c r="FB1490" s="28"/>
      <c r="FE1490" s="28"/>
      <c r="FH1490" s="28"/>
      <c r="FK1490" s="28"/>
      <c r="FN1490" s="28"/>
      <c r="FQ1490" s="28"/>
      <c r="FT1490" s="28"/>
      <c r="FW1490" s="28"/>
      <c r="FZ1490" s="28"/>
      <c r="GC1490" s="28"/>
    </row>
    <row r="1491" spans="1:185" s="25" customFormat="1" x14ac:dyDescent="0.3">
      <c r="A1491" s="27"/>
      <c r="B1491" s="28"/>
      <c r="C1491" s="27"/>
      <c r="D1491" s="26"/>
      <c r="E1491" s="28"/>
      <c r="H1491" s="28"/>
      <c r="K1491" s="28"/>
      <c r="N1491" s="28"/>
      <c r="Q1491" s="28"/>
      <c r="T1491" s="28"/>
      <c r="W1491" s="28"/>
      <c r="Z1491" s="28"/>
      <c r="AC1491" s="28"/>
      <c r="AF1491" s="28"/>
      <c r="AI1491" s="28"/>
      <c r="AL1491" s="28"/>
      <c r="AO1491" s="28"/>
      <c r="AR1491" s="28"/>
      <c r="AU1491" s="28"/>
      <c r="AX1491" s="28"/>
      <c r="BA1491" s="28"/>
      <c r="BD1491" s="28"/>
      <c r="BG1491" s="28"/>
      <c r="BJ1491" s="28"/>
      <c r="BM1491" s="28"/>
      <c r="BP1491" s="28"/>
      <c r="BS1491" s="28"/>
      <c r="BV1491" s="28"/>
      <c r="BY1491" s="28"/>
      <c r="CB1491" s="28"/>
      <c r="CE1491" s="28"/>
      <c r="CH1491" s="28"/>
      <c r="CK1491" s="28"/>
      <c r="CN1491" s="28"/>
      <c r="CQ1491" s="28"/>
      <c r="CT1491" s="28"/>
      <c r="CW1491" s="28"/>
      <c r="CZ1491" s="28"/>
      <c r="DC1491" s="28"/>
      <c r="DF1491" s="28"/>
      <c r="DI1491" s="28"/>
      <c r="DL1491" s="28"/>
      <c r="DO1491" s="28"/>
      <c r="DR1491" s="28"/>
      <c r="DU1491" s="28"/>
      <c r="DX1491" s="28"/>
      <c r="EA1491" s="28"/>
      <c r="ED1491" s="28"/>
      <c r="EG1491" s="28"/>
      <c r="EJ1491" s="28"/>
      <c r="EM1491" s="28"/>
      <c r="EP1491" s="28"/>
      <c r="ES1491" s="28"/>
      <c r="EV1491" s="28"/>
      <c r="EY1491" s="28"/>
      <c r="FB1491" s="28"/>
      <c r="FE1491" s="28"/>
      <c r="FH1491" s="28"/>
      <c r="FK1491" s="28"/>
      <c r="FN1491" s="28"/>
      <c r="FQ1491" s="28"/>
      <c r="FT1491" s="28"/>
      <c r="FW1491" s="28"/>
      <c r="FZ1491" s="28"/>
      <c r="GC1491" s="28"/>
    </row>
    <row r="1492" spans="1:185" s="25" customFormat="1" x14ac:dyDescent="0.3">
      <c r="A1492" s="27"/>
      <c r="B1492" s="28"/>
      <c r="C1492" s="27"/>
      <c r="D1492" s="26"/>
      <c r="E1492" s="28"/>
      <c r="H1492" s="28"/>
      <c r="K1492" s="28"/>
      <c r="N1492" s="28"/>
      <c r="Q1492" s="28"/>
      <c r="T1492" s="28"/>
      <c r="W1492" s="28"/>
      <c r="Z1492" s="28"/>
      <c r="AC1492" s="28"/>
      <c r="AF1492" s="28"/>
      <c r="AI1492" s="28"/>
      <c r="AL1492" s="28"/>
      <c r="AO1492" s="28"/>
      <c r="AR1492" s="28"/>
      <c r="AU1492" s="28"/>
      <c r="AX1492" s="28"/>
      <c r="BA1492" s="28"/>
      <c r="BD1492" s="28"/>
      <c r="BG1492" s="28"/>
      <c r="BJ1492" s="28"/>
      <c r="BM1492" s="28"/>
      <c r="BP1492" s="28"/>
      <c r="BS1492" s="28"/>
      <c r="BV1492" s="28"/>
      <c r="BY1492" s="28"/>
      <c r="CB1492" s="28"/>
      <c r="CE1492" s="28"/>
      <c r="CH1492" s="28"/>
      <c r="CK1492" s="28"/>
      <c r="CN1492" s="28"/>
      <c r="CQ1492" s="28"/>
      <c r="CT1492" s="28"/>
      <c r="CW1492" s="28"/>
      <c r="CZ1492" s="28"/>
      <c r="DC1492" s="28"/>
      <c r="DF1492" s="28"/>
      <c r="DI1492" s="28"/>
      <c r="DL1492" s="28"/>
      <c r="DO1492" s="28"/>
      <c r="DR1492" s="28"/>
      <c r="DU1492" s="28"/>
      <c r="DX1492" s="28"/>
      <c r="EA1492" s="28"/>
      <c r="ED1492" s="28"/>
      <c r="EG1492" s="28"/>
      <c r="EJ1492" s="28"/>
      <c r="EM1492" s="28"/>
      <c r="EP1492" s="28"/>
      <c r="ES1492" s="28"/>
      <c r="EV1492" s="28"/>
      <c r="EY1492" s="28"/>
      <c r="FB1492" s="28"/>
      <c r="FE1492" s="28"/>
      <c r="FH1492" s="28"/>
      <c r="FK1492" s="28"/>
      <c r="FN1492" s="28"/>
      <c r="FQ1492" s="28"/>
      <c r="FT1492" s="28"/>
      <c r="FW1492" s="28"/>
      <c r="FZ1492" s="28"/>
      <c r="GC1492" s="28"/>
    </row>
    <row r="1493" spans="1:185" s="25" customFormat="1" x14ac:dyDescent="0.3">
      <c r="A1493" s="27"/>
      <c r="B1493" s="28"/>
      <c r="C1493" s="27"/>
      <c r="D1493" s="26"/>
      <c r="E1493" s="28"/>
      <c r="H1493" s="28"/>
      <c r="K1493" s="28"/>
      <c r="N1493" s="28"/>
      <c r="Q1493" s="28"/>
      <c r="T1493" s="28"/>
      <c r="W1493" s="28"/>
      <c r="Z1493" s="28"/>
      <c r="AC1493" s="28"/>
      <c r="AF1493" s="28"/>
      <c r="AI1493" s="28"/>
      <c r="AL1493" s="28"/>
      <c r="AO1493" s="28"/>
      <c r="AR1493" s="28"/>
      <c r="AU1493" s="28"/>
      <c r="AX1493" s="28"/>
      <c r="BA1493" s="28"/>
      <c r="BD1493" s="28"/>
      <c r="BG1493" s="28"/>
      <c r="BJ1493" s="28"/>
      <c r="BM1493" s="28"/>
      <c r="BP1493" s="28"/>
      <c r="BS1493" s="28"/>
      <c r="BV1493" s="28"/>
      <c r="BY1493" s="28"/>
      <c r="CB1493" s="28"/>
      <c r="CE1493" s="28"/>
      <c r="CH1493" s="28"/>
      <c r="CK1493" s="28"/>
      <c r="CN1493" s="28"/>
      <c r="CQ1493" s="28"/>
      <c r="CT1493" s="28"/>
      <c r="CW1493" s="28"/>
      <c r="CZ1493" s="28"/>
      <c r="DC1493" s="28"/>
      <c r="DF1493" s="28"/>
      <c r="DI1493" s="28"/>
      <c r="DL1493" s="28"/>
      <c r="DO1493" s="28"/>
      <c r="DR1493" s="28"/>
      <c r="DU1493" s="28"/>
      <c r="DX1493" s="28"/>
      <c r="EA1493" s="28"/>
      <c r="ED1493" s="28"/>
      <c r="EG1493" s="28"/>
      <c r="EJ1493" s="28"/>
      <c r="EM1493" s="28"/>
      <c r="EP1493" s="28"/>
      <c r="ES1493" s="28"/>
      <c r="EV1493" s="28"/>
      <c r="EY1493" s="28"/>
      <c r="FB1493" s="28"/>
      <c r="FE1493" s="28"/>
      <c r="FH1493" s="28"/>
      <c r="FK1493" s="28"/>
      <c r="FN1493" s="28"/>
      <c r="FQ1493" s="28"/>
      <c r="FT1493" s="28"/>
      <c r="FW1493" s="28"/>
      <c r="FZ1493" s="28"/>
      <c r="GC1493" s="28"/>
    </row>
    <row r="1494" spans="1:185" s="25" customFormat="1" x14ac:dyDescent="0.3">
      <c r="A1494" s="27"/>
      <c r="B1494" s="28"/>
      <c r="C1494" s="27"/>
      <c r="D1494" s="26"/>
      <c r="E1494" s="28"/>
      <c r="H1494" s="28"/>
      <c r="K1494" s="28"/>
      <c r="N1494" s="28"/>
      <c r="Q1494" s="28"/>
      <c r="T1494" s="28"/>
      <c r="W1494" s="28"/>
      <c r="Z1494" s="28"/>
      <c r="AC1494" s="28"/>
      <c r="AF1494" s="28"/>
      <c r="AI1494" s="28"/>
      <c r="AL1494" s="28"/>
      <c r="AO1494" s="28"/>
      <c r="AR1494" s="28"/>
      <c r="AU1494" s="28"/>
      <c r="AX1494" s="28"/>
      <c r="BA1494" s="28"/>
      <c r="BD1494" s="28"/>
      <c r="BG1494" s="28"/>
      <c r="BJ1494" s="28"/>
      <c r="BM1494" s="28"/>
      <c r="BP1494" s="28"/>
      <c r="BS1494" s="28"/>
      <c r="BV1494" s="28"/>
      <c r="BY1494" s="28"/>
      <c r="CB1494" s="28"/>
      <c r="CE1494" s="28"/>
      <c r="CH1494" s="28"/>
      <c r="CK1494" s="28"/>
      <c r="CN1494" s="28"/>
      <c r="CQ1494" s="28"/>
      <c r="CT1494" s="28"/>
      <c r="CW1494" s="28"/>
      <c r="CZ1494" s="28"/>
      <c r="DC1494" s="28"/>
      <c r="DF1494" s="28"/>
      <c r="DI1494" s="28"/>
      <c r="DL1494" s="28"/>
      <c r="DO1494" s="28"/>
      <c r="DR1494" s="28"/>
      <c r="DU1494" s="28"/>
      <c r="DX1494" s="28"/>
      <c r="EA1494" s="28"/>
      <c r="ED1494" s="28"/>
      <c r="EG1494" s="28"/>
      <c r="EJ1494" s="28"/>
      <c r="EM1494" s="28"/>
      <c r="EP1494" s="28"/>
      <c r="ES1494" s="28"/>
      <c r="EV1494" s="28"/>
      <c r="EY1494" s="28"/>
      <c r="FB1494" s="28"/>
      <c r="FE1494" s="28"/>
      <c r="FH1494" s="28"/>
      <c r="FK1494" s="28"/>
      <c r="FN1494" s="28"/>
      <c r="FQ1494" s="28"/>
      <c r="FT1494" s="28"/>
      <c r="FW1494" s="28"/>
      <c r="FZ1494" s="28"/>
      <c r="GC1494" s="28"/>
    </row>
    <row r="1495" spans="1:185" s="25" customFormat="1" x14ac:dyDescent="0.3">
      <c r="A1495" s="27"/>
      <c r="B1495" s="28"/>
      <c r="C1495" s="27"/>
      <c r="D1495" s="26"/>
      <c r="E1495" s="28"/>
      <c r="H1495" s="28"/>
      <c r="K1495" s="28"/>
      <c r="N1495" s="28"/>
      <c r="Q1495" s="28"/>
      <c r="T1495" s="28"/>
      <c r="W1495" s="28"/>
      <c r="Z1495" s="28"/>
      <c r="AC1495" s="28"/>
      <c r="AF1495" s="28"/>
      <c r="AI1495" s="28"/>
      <c r="AL1495" s="28"/>
      <c r="AO1495" s="28"/>
      <c r="AR1495" s="28"/>
      <c r="AU1495" s="28"/>
      <c r="AX1495" s="28"/>
      <c r="BA1495" s="28"/>
      <c r="BD1495" s="28"/>
      <c r="BG1495" s="28"/>
      <c r="BJ1495" s="28"/>
      <c r="BM1495" s="28"/>
      <c r="BP1495" s="28"/>
      <c r="BS1495" s="28"/>
      <c r="BV1495" s="28"/>
      <c r="BY1495" s="28"/>
      <c r="CB1495" s="28"/>
      <c r="CE1495" s="28"/>
      <c r="CH1495" s="28"/>
      <c r="CK1495" s="28"/>
      <c r="CN1495" s="28"/>
      <c r="CQ1495" s="28"/>
      <c r="CT1495" s="28"/>
      <c r="CW1495" s="28"/>
      <c r="CZ1495" s="28"/>
      <c r="DC1495" s="28"/>
      <c r="DF1495" s="28"/>
      <c r="DI1495" s="28"/>
      <c r="DL1495" s="28"/>
      <c r="DO1495" s="28"/>
      <c r="DR1495" s="28"/>
      <c r="DU1495" s="28"/>
      <c r="DX1495" s="28"/>
      <c r="EA1495" s="28"/>
      <c r="ED1495" s="28"/>
      <c r="EG1495" s="28"/>
      <c r="EJ1495" s="28"/>
      <c r="EM1495" s="28"/>
      <c r="EP1495" s="28"/>
      <c r="ES1495" s="28"/>
      <c r="EV1495" s="28"/>
      <c r="EY1495" s="28"/>
      <c r="FB1495" s="28"/>
      <c r="FE1495" s="28"/>
      <c r="FH1495" s="28"/>
      <c r="FK1495" s="28"/>
      <c r="FN1495" s="28"/>
      <c r="FQ1495" s="28"/>
      <c r="FT1495" s="28"/>
      <c r="FW1495" s="28"/>
      <c r="FZ1495" s="28"/>
      <c r="GC1495" s="28"/>
    </row>
    <row r="1496" spans="1:185" s="25" customFormat="1" x14ac:dyDescent="0.3">
      <c r="A1496" s="27"/>
      <c r="B1496" s="28"/>
      <c r="C1496" s="27"/>
      <c r="D1496" s="26"/>
      <c r="E1496" s="28"/>
      <c r="H1496" s="28"/>
      <c r="K1496" s="28"/>
      <c r="N1496" s="28"/>
      <c r="Q1496" s="28"/>
      <c r="T1496" s="28"/>
      <c r="W1496" s="28"/>
      <c r="Z1496" s="28"/>
      <c r="AC1496" s="28"/>
      <c r="AF1496" s="28"/>
      <c r="AI1496" s="28"/>
      <c r="AL1496" s="28"/>
      <c r="AO1496" s="28"/>
      <c r="AR1496" s="28"/>
      <c r="AU1496" s="28"/>
      <c r="AX1496" s="28"/>
      <c r="BA1496" s="28"/>
      <c r="BD1496" s="28"/>
      <c r="BG1496" s="28"/>
      <c r="BJ1496" s="28"/>
      <c r="BM1496" s="28"/>
      <c r="BP1496" s="28"/>
      <c r="BS1496" s="28"/>
      <c r="BV1496" s="28"/>
      <c r="BY1496" s="28"/>
      <c r="CB1496" s="28"/>
      <c r="CE1496" s="28"/>
      <c r="CH1496" s="28"/>
      <c r="CK1496" s="28"/>
      <c r="CN1496" s="28"/>
      <c r="CQ1496" s="28"/>
      <c r="CT1496" s="28"/>
      <c r="CW1496" s="28"/>
      <c r="CZ1496" s="28"/>
      <c r="DC1496" s="28"/>
      <c r="DF1496" s="28"/>
      <c r="DI1496" s="28"/>
      <c r="DL1496" s="28"/>
      <c r="DO1496" s="28"/>
      <c r="DR1496" s="28"/>
      <c r="DU1496" s="28"/>
      <c r="DX1496" s="28"/>
      <c r="EA1496" s="28"/>
      <c r="ED1496" s="28"/>
      <c r="EG1496" s="28"/>
      <c r="EJ1496" s="28"/>
      <c r="EM1496" s="28"/>
      <c r="EP1496" s="28"/>
      <c r="ES1496" s="28"/>
      <c r="EV1496" s="28"/>
      <c r="EY1496" s="28"/>
      <c r="FB1496" s="28"/>
      <c r="FE1496" s="28"/>
      <c r="FH1496" s="28"/>
      <c r="FK1496" s="28"/>
      <c r="FN1496" s="28"/>
      <c r="FQ1496" s="28"/>
      <c r="FT1496" s="28"/>
      <c r="FW1496" s="28"/>
      <c r="FZ1496" s="28"/>
      <c r="GC1496" s="28"/>
    </row>
    <row r="1497" spans="1:185" s="25" customFormat="1" x14ac:dyDescent="0.3">
      <c r="A1497" s="27"/>
      <c r="B1497" s="28"/>
      <c r="C1497" s="27"/>
      <c r="D1497" s="26"/>
      <c r="E1497" s="28"/>
      <c r="H1497" s="28"/>
      <c r="K1497" s="28"/>
      <c r="N1497" s="28"/>
      <c r="Q1497" s="28"/>
      <c r="T1497" s="28"/>
      <c r="W1497" s="28"/>
      <c r="Z1497" s="28"/>
      <c r="AC1497" s="28"/>
      <c r="AF1497" s="28"/>
      <c r="AI1497" s="28"/>
      <c r="AL1497" s="28"/>
      <c r="AO1497" s="28"/>
      <c r="AR1497" s="28"/>
      <c r="AU1497" s="28"/>
      <c r="AX1497" s="28"/>
      <c r="BA1497" s="28"/>
      <c r="BD1497" s="28"/>
      <c r="BG1497" s="28"/>
      <c r="BJ1497" s="28"/>
      <c r="BM1497" s="28"/>
      <c r="BP1497" s="28"/>
      <c r="BS1497" s="28"/>
      <c r="BV1497" s="28"/>
      <c r="BY1497" s="28"/>
      <c r="CB1497" s="28"/>
      <c r="CE1497" s="28"/>
      <c r="CH1497" s="28"/>
      <c r="CK1497" s="28"/>
      <c r="CN1497" s="28"/>
      <c r="CQ1497" s="28"/>
      <c r="CT1497" s="28"/>
      <c r="CW1497" s="28"/>
      <c r="CZ1497" s="28"/>
      <c r="DC1497" s="28"/>
      <c r="DF1497" s="28"/>
      <c r="DI1497" s="28"/>
      <c r="DL1497" s="28"/>
      <c r="DO1497" s="28"/>
      <c r="DR1497" s="28"/>
      <c r="DU1497" s="28"/>
      <c r="DX1497" s="28"/>
      <c r="EA1497" s="28"/>
      <c r="ED1497" s="28"/>
      <c r="EG1497" s="28"/>
      <c r="EJ1497" s="28"/>
      <c r="EM1497" s="28"/>
      <c r="EP1497" s="28"/>
      <c r="ES1497" s="28"/>
      <c r="EV1497" s="28"/>
      <c r="EY1497" s="28"/>
      <c r="FB1497" s="28"/>
      <c r="FE1497" s="28"/>
      <c r="FH1497" s="28"/>
      <c r="FK1497" s="28"/>
      <c r="FN1497" s="28"/>
      <c r="FQ1497" s="28"/>
      <c r="FT1497" s="28"/>
      <c r="FW1497" s="28"/>
      <c r="FZ1497" s="28"/>
      <c r="GC1497" s="28"/>
    </row>
    <row r="1498" spans="1:185" s="25" customFormat="1" x14ac:dyDescent="0.3">
      <c r="A1498" s="27"/>
      <c r="B1498" s="28"/>
      <c r="C1498" s="27"/>
      <c r="D1498" s="26"/>
      <c r="E1498" s="28"/>
      <c r="H1498" s="28"/>
      <c r="K1498" s="28"/>
      <c r="N1498" s="28"/>
      <c r="Q1498" s="28"/>
      <c r="T1498" s="28"/>
      <c r="W1498" s="28"/>
      <c r="Z1498" s="28"/>
      <c r="AC1498" s="28"/>
      <c r="AF1498" s="28"/>
      <c r="AI1498" s="28"/>
      <c r="AL1498" s="28"/>
      <c r="AO1498" s="28"/>
      <c r="AR1498" s="28"/>
      <c r="AU1498" s="28"/>
      <c r="AX1498" s="28"/>
      <c r="BA1498" s="28"/>
      <c r="BD1498" s="28"/>
      <c r="BG1498" s="28"/>
      <c r="BJ1498" s="28"/>
      <c r="BM1498" s="28"/>
      <c r="BP1498" s="28"/>
      <c r="BS1498" s="28"/>
      <c r="BV1498" s="28"/>
      <c r="BY1498" s="28"/>
      <c r="CB1498" s="28"/>
      <c r="CE1498" s="28"/>
      <c r="CH1498" s="28"/>
      <c r="CK1498" s="28"/>
      <c r="CN1498" s="28"/>
      <c r="CQ1498" s="28"/>
      <c r="CT1498" s="28"/>
      <c r="CW1498" s="28"/>
      <c r="CZ1498" s="28"/>
      <c r="DC1498" s="28"/>
      <c r="DF1498" s="28"/>
      <c r="DI1498" s="28"/>
      <c r="DL1498" s="28"/>
      <c r="DO1498" s="28"/>
      <c r="DR1498" s="28"/>
      <c r="DU1498" s="28"/>
      <c r="DX1498" s="28"/>
      <c r="EA1498" s="28"/>
      <c r="ED1498" s="28"/>
      <c r="EG1498" s="28"/>
      <c r="EJ1498" s="28"/>
      <c r="EM1498" s="28"/>
      <c r="EP1498" s="28"/>
      <c r="ES1498" s="28"/>
      <c r="EV1498" s="28"/>
      <c r="EY1498" s="28"/>
      <c r="FB1498" s="28"/>
      <c r="FE1498" s="28"/>
      <c r="FH1498" s="28"/>
      <c r="FK1498" s="28"/>
      <c r="FN1498" s="28"/>
      <c r="FQ1498" s="28"/>
      <c r="FT1498" s="28"/>
      <c r="FW1498" s="28"/>
      <c r="FZ1498" s="28"/>
      <c r="GC1498" s="28"/>
    </row>
    <row r="1499" spans="1:185" s="25" customFormat="1" x14ac:dyDescent="0.3">
      <c r="A1499" s="27"/>
      <c r="B1499" s="28"/>
      <c r="C1499" s="27"/>
      <c r="D1499" s="26"/>
      <c r="E1499" s="28"/>
      <c r="H1499" s="28"/>
      <c r="K1499" s="28"/>
      <c r="N1499" s="28"/>
      <c r="Q1499" s="28"/>
      <c r="T1499" s="28"/>
      <c r="W1499" s="28"/>
      <c r="Z1499" s="28"/>
      <c r="AC1499" s="28"/>
      <c r="AF1499" s="28"/>
      <c r="AI1499" s="28"/>
      <c r="AL1499" s="28"/>
      <c r="AO1499" s="28"/>
      <c r="AR1499" s="28"/>
      <c r="AU1499" s="28"/>
      <c r="AX1499" s="28"/>
      <c r="BA1499" s="28"/>
      <c r="BD1499" s="28"/>
      <c r="BG1499" s="28"/>
      <c r="BJ1499" s="28"/>
      <c r="BM1499" s="28"/>
      <c r="BP1499" s="28"/>
      <c r="BS1499" s="28"/>
      <c r="BV1499" s="28"/>
      <c r="BY1499" s="28"/>
      <c r="CB1499" s="28"/>
      <c r="CE1499" s="28"/>
      <c r="CH1499" s="28"/>
      <c r="CK1499" s="28"/>
      <c r="CN1499" s="28"/>
      <c r="CQ1499" s="28"/>
      <c r="CT1499" s="28"/>
      <c r="CW1499" s="28"/>
      <c r="CZ1499" s="28"/>
      <c r="DC1499" s="28"/>
      <c r="DF1499" s="28"/>
      <c r="DI1499" s="28"/>
      <c r="DL1499" s="28"/>
      <c r="DO1499" s="28"/>
      <c r="DR1499" s="28"/>
      <c r="DU1499" s="28"/>
      <c r="DX1499" s="28"/>
      <c r="EA1499" s="28"/>
      <c r="ED1499" s="28"/>
      <c r="EG1499" s="28"/>
      <c r="EJ1499" s="28"/>
      <c r="EM1499" s="28"/>
      <c r="EP1499" s="28"/>
      <c r="ES1499" s="28"/>
      <c r="EV1499" s="28"/>
      <c r="EY1499" s="28"/>
      <c r="FB1499" s="28"/>
      <c r="FE1499" s="28"/>
      <c r="FH1499" s="28"/>
      <c r="FK1499" s="28"/>
      <c r="FN1499" s="28"/>
      <c r="FQ1499" s="28"/>
      <c r="FT1499" s="28"/>
      <c r="FW1499" s="28"/>
      <c r="FZ1499" s="28"/>
      <c r="GC1499" s="28"/>
    </row>
    <row r="1500" spans="1:185" s="25" customFormat="1" x14ac:dyDescent="0.3">
      <c r="A1500" s="27"/>
      <c r="B1500" s="28"/>
      <c r="C1500" s="27"/>
      <c r="D1500" s="26"/>
      <c r="E1500" s="28"/>
      <c r="H1500" s="28"/>
      <c r="K1500" s="28"/>
      <c r="N1500" s="28"/>
      <c r="Q1500" s="28"/>
      <c r="T1500" s="28"/>
      <c r="W1500" s="28"/>
      <c r="Z1500" s="28"/>
      <c r="AC1500" s="28"/>
      <c r="AF1500" s="28"/>
      <c r="AI1500" s="28"/>
      <c r="AL1500" s="28"/>
      <c r="AO1500" s="28"/>
      <c r="AR1500" s="28"/>
      <c r="AU1500" s="28"/>
      <c r="AX1500" s="28"/>
      <c r="BA1500" s="28"/>
      <c r="BD1500" s="28"/>
      <c r="BG1500" s="28"/>
      <c r="BJ1500" s="28"/>
      <c r="BM1500" s="28"/>
      <c r="BP1500" s="28"/>
      <c r="BS1500" s="28"/>
      <c r="BV1500" s="28"/>
      <c r="BY1500" s="28"/>
      <c r="CB1500" s="28"/>
      <c r="CE1500" s="28"/>
      <c r="CH1500" s="28"/>
      <c r="CK1500" s="28"/>
      <c r="CN1500" s="28"/>
      <c r="CQ1500" s="28"/>
      <c r="CT1500" s="28"/>
      <c r="CW1500" s="28"/>
      <c r="CZ1500" s="28"/>
      <c r="DC1500" s="28"/>
      <c r="DF1500" s="28"/>
      <c r="DI1500" s="28"/>
      <c r="DL1500" s="28"/>
      <c r="DO1500" s="28"/>
      <c r="DR1500" s="28"/>
      <c r="DU1500" s="28"/>
      <c r="DX1500" s="28"/>
      <c r="EA1500" s="28"/>
      <c r="ED1500" s="28"/>
      <c r="EG1500" s="28"/>
      <c r="EJ1500" s="28"/>
      <c r="EM1500" s="28"/>
      <c r="EP1500" s="28"/>
      <c r="ES1500" s="28"/>
      <c r="EV1500" s="28"/>
      <c r="EY1500" s="28"/>
      <c r="FB1500" s="28"/>
      <c r="FE1500" s="28"/>
      <c r="FH1500" s="28"/>
      <c r="FK1500" s="28"/>
      <c r="FN1500" s="28"/>
      <c r="FQ1500" s="28"/>
      <c r="FT1500" s="28"/>
      <c r="FW1500" s="28"/>
      <c r="FZ1500" s="28"/>
      <c r="GC1500" s="28"/>
    </row>
    <row r="1501" spans="1:185" s="25" customFormat="1" x14ac:dyDescent="0.3">
      <c r="A1501" s="27"/>
      <c r="B1501" s="28"/>
      <c r="C1501" s="27"/>
      <c r="D1501" s="26"/>
      <c r="E1501" s="28"/>
      <c r="H1501" s="28"/>
      <c r="K1501" s="28"/>
      <c r="N1501" s="28"/>
      <c r="Q1501" s="28"/>
      <c r="T1501" s="28"/>
      <c r="W1501" s="28"/>
      <c r="Z1501" s="28"/>
      <c r="AC1501" s="28"/>
      <c r="AF1501" s="28"/>
      <c r="AI1501" s="28"/>
      <c r="AL1501" s="28"/>
      <c r="AO1501" s="28"/>
      <c r="AR1501" s="28"/>
      <c r="AU1501" s="28"/>
      <c r="AX1501" s="28"/>
      <c r="BA1501" s="28"/>
      <c r="BD1501" s="28"/>
      <c r="BG1501" s="28"/>
      <c r="BJ1501" s="28"/>
      <c r="BM1501" s="28"/>
      <c r="BP1501" s="28"/>
      <c r="BS1501" s="28"/>
      <c r="BV1501" s="28"/>
      <c r="BY1501" s="28"/>
      <c r="CB1501" s="28"/>
      <c r="CE1501" s="28"/>
      <c r="CH1501" s="28"/>
      <c r="CK1501" s="28"/>
      <c r="CN1501" s="28"/>
      <c r="CQ1501" s="28"/>
      <c r="CT1501" s="28"/>
      <c r="CW1501" s="28"/>
      <c r="CZ1501" s="28"/>
      <c r="DC1501" s="28"/>
      <c r="DF1501" s="28"/>
      <c r="DI1501" s="28"/>
      <c r="DL1501" s="28"/>
      <c r="DO1501" s="28"/>
      <c r="DR1501" s="28"/>
      <c r="DU1501" s="28"/>
      <c r="DX1501" s="28"/>
      <c r="EA1501" s="28"/>
      <c r="ED1501" s="28"/>
      <c r="EG1501" s="28"/>
      <c r="EJ1501" s="28"/>
      <c r="EM1501" s="28"/>
      <c r="EP1501" s="28"/>
      <c r="ES1501" s="28"/>
      <c r="EV1501" s="28"/>
      <c r="EY1501" s="28"/>
      <c r="FB1501" s="28"/>
      <c r="FE1501" s="28"/>
      <c r="FH1501" s="28"/>
      <c r="FK1501" s="28"/>
      <c r="FN1501" s="28"/>
      <c r="FQ1501" s="28"/>
      <c r="FT1501" s="28"/>
      <c r="FW1501" s="28"/>
      <c r="FZ1501" s="28"/>
      <c r="GC1501" s="28"/>
    </row>
    <row r="1502" spans="1:185" s="25" customFormat="1" x14ac:dyDescent="0.3">
      <c r="A1502" s="27"/>
      <c r="B1502" s="28"/>
      <c r="C1502" s="27"/>
      <c r="D1502" s="26"/>
      <c r="E1502" s="28"/>
      <c r="H1502" s="28"/>
      <c r="K1502" s="28"/>
      <c r="N1502" s="28"/>
      <c r="Q1502" s="28"/>
      <c r="T1502" s="28"/>
      <c r="W1502" s="28"/>
      <c r="Z1502" s="28"/>
      <c r="AC1502" s="28"/>
      <c r="AF1502" s="28"/>
      <c r="AI1502" s="28"/>
      <c r="AL1502" s="28"/>
      <c r="AO1502" s="28"/>
      <c r="AR1502" s="28"/>
      <c r="AU1502" s="28"/>
      <c r="AX1502" s="28"/>
      <c r="BA1502" s="28"/>
      <c r="BD1502" s="28"/>
      <c r="BG1502" s="28"/>
      <c r="BJ1502" s="28"/>
      <c r="BM1502" s="28"/>
      <c r="BP1502" s="28"/>
      <c r="BS1502" s="28"/>
      <c r="BV1502" s="28"/>
      <c r="BY1502" s="28"/>
      <c r="CB1502" s="28"/>
      <c r="CE1502" s="28"/>
      <c r="CH1502" s="28"/>
      <c r="CK1502" s="28"/>
      <c r="CN1502" s="28"/>
      <c r="CQ1502" s="28"/>
      <c r="CT1502" s="28"/>
      <c r="CW1502" s="28"/>
      <c r="CZ1502" s="28"/>
      <c r="DC1502" s="28"/>
      <c r="DF1502" s="28"/>
      <c r="DI1502" s="28"/>
      <c r="DL1502" s="28"/>
      <c r="DO1502" s="28"/>
      <c r="DR1502" s="28"/>
      <c r="DU1502" s="28"/>
      <c r="DX1502" s="28"/>
      <c r="EA1502" s="28"/>
      <c r="ED1502" s="28"/>
      <c r="EG1502" s="28"/>
      <c r="EJ1502" s="28"/>
      <c r="EM1502" s="28"/>
      <c r="EP1502" s="28"/>
      <c r="ES1502" s="28"/>
      <c r="EV1502" s="28"/>
      <c r="EY1502" s="28"/>
      <c r="FB1502" s="28"/>
      <c r="FE1502" s="28"/>
      <c r="FH1502" s="28"/>
      <c r="FK1502" s="28"/>
      <c r="FN1502" s="28"/>
      <c r="FQ1502" s="28"/>
      <c r="FT1502" s="28"/>
      <c r="FW1502" s="28"/>
      <c r="FZ1502" s="28"/>
      <c r="GC1502" s="28"/>
    </row>
    <row r="1503" spans="1:185" s="25" customFormat="1" x14ac:dyDescent="0.3">
      <c r="A1503" s="27"/>
      <c r="B1503" s="28"/>
      <c r="C1503" s="27"/>
      <c r="D1503" s="26"/>
      <c r="E1503" s="28"/>
      <c r="H1503" s="28"/>
      <c r="K1503" s="28"/>
      <c r="N1503" s="28"/>
      <c r="Q1503" s="28"/>
      <c r="T1503" s="28"/>
      <c r="W1503" s="28"/>
      <c r="Z1503" s="28"/>
      <c r="AC1503" s="28"/>
      <c r="AF1503" s="28"/>
      <c r="AI1503" s="28"/>
      <c r="AL1503" s="28"/>
      <c r="AO1503" s="28"/>
      <c r="AR1503" s="28"/>
      <c r="AU1503" s="28"/>
      <c r="AX1503" s="28"/>
      <c r="BA1503" s="28"/>
      <c r="BD1503" s="28"/>
      <c r="BG1503" s="28"/>
      <c r="BJ1503" s="28"/>
      <c r="BM1503" s="28"/>
      <c r="BP1503" s="28"/>
      <c r="BS1503" s="28"/>
      <c r="BV1503" s="28"/>
      <c r="BY1503" s="28"/>
      <c r="CB1503" s="28"/>
      <c r="CE1503" s="28"/>
      <c r="CH1503" s="28"/>
      <c r="CK1503" s="28"/>
      <c r="CN1503" s="28"/>
      <c r="CQ1503" s="28"/>
      <c r="CT1503" s="28"/>
      <c r="CW1503" s="28"/>
      <c r="CZ1503" s="28"/>
      <c r="DC1503" s="28"/>
      <c r="DF1503" s="28"/>
      <c r="DI1503" s="28"/>
      <c r="DL1503" s="28"/>
      <c r="DO1503" s="28"/>
      <c r="DR1503" s="28"/>
      <c r="DU1503" s="28"/>
      <c r="DX1503" s="28"/>
      <c r="EA1503" s="28"/>
      <c r="ED1503" s="28"/>
      <c r="EG1503" s="28"/>
      <c r="EJ1503" s="28"/>
      <c r="EM1503" s="28"/>
      <c r="EP1503" s="28"/>
      <c r="ES1503" s="28"/>
      <c r="EV1503" s="28"/>
      <c r="EY1503" s="28"/>
      <c r="FB1503" s="28"/>
      <c r="FE1503" s="28"/>
      <c r="FH1503" s="28"/>
      <c r="FK1503" s="28"/>
      <c r="FN1503" s="28"/>
      <c r="FQ1503" s="28"/>
      <c r="FT1503" s="28"/>
      <c r="FW1503" s="28"/>
      <c r="FZ1503" s="28"/>
      <c r="GC1503" s="28"/>
    </row>
    <row r="1504" spans="1:185" s="25" customFormat="1" x14ac:dyDescent="0.3">
      <c r="A1504" s="27"/>
      <c r="B1504" s="28"/>
      <c r="C1504" s="27"/>
      <c r="D1504" s="26"/>
      <c r="E1504" s="28"/>
      <c r="H1504" s="28"/>
      <c r="K1504" s="28"/>
      <c r="N1504" s="28"/>
      <c r="Q1504" s="28"/>
      <c r="T1504" s="28"/>
      <c r="W1504" s="28"/>
      <c r="Z1504" s="28"/>
      <c r="AC1504" s="28"/>
      <c r="AF1504" s="28"/>
      <c r="AI1504" s="28"/>
      <c r="AL1504" s="28"/>
      <c r="AO1504" s="28"/>
      <c r="AR1504" s="28"/>
      <c r="AU1504" s="28"/>
      <c r="AX1504" s="28"/>
      <c r="BA1504" s="28"/>
      <c r="BD1504" s="28"/>
      <c r="BG1504" s="28"/>
      <c r="BJ1504" s="28"/>
      <c r="BM1504" s="28"/>
      <c r="BP1504" s="28"/>
      <c r="BS1504" s="28"/>
      <c r="BV1504" s="28"/>
      <c r="BY1504" s="28"/>
      <c r="CB1504" s="28"/>
      <c r="CE1504" s="28"/>
      <c r="CH1504" s="28"/>
      <c r="CK1504" s="28"/>
      <c r="CN1504" s="28"/>
      <c r="CQ1504" s="28"/>
      <c r="CT1504" s="28"/>
      <c r="CW1504" s="28"/>
      <c r="CZ1504" s="28"/>
      <c r="DC1504" s="28"/>
      <c r="DF1504" s="28"/>
      <c r="DI1504" s="28"/>
      <c r="DL1504" s="28"/>
      <c r="DO1504" s="28"/>
      <c r="DR1504" s="28"/>
      <c r="DU1504" s="28"/>
      <c r="DX1504" s="28"/>
      <c r="EA1504" s="28"/>
      <c r="ED1504" s="28"/>
      <c r="EG1504" s="28"/>
      <c r="EJ1504" s="28"/>
      <c r="EM1504" s="28"/>
      <c r="EP1504" s="28"/>
      <c r="ES1504" s="28"/>
      <c r="EV1504" s="28"/>
      <c r="EY1504" s="28"/>
      <c r="FB1504" s="28"/>
      <c r="FE1504" s="28"/>
      <c r="FH1504" s="28"/>
      <c r="FK1504" s="28"/>
      <c r="FN1504" s="28"/>
      <c r="FQ1504" s="28"/>
      <c r="FT1504" s="28"/>
      <c r="FW1504" s="28"/>
      <c r="FZ1504" s="28"/>
      <c r="GC1504" s="28"/>
    </row>
    <row r="1505" spans="1:185" s="25" customFormat="1" x14ac:dyDescent="0.3">
      <c r="A1505" s="27"/>
      <c r="B1505" s="28"/>
      <c r="C1505" s="27"/>
      <c r="D1505" s="26"/>
      <c r="E1505" s="28"/>
      <c r="H1505" s="28"/>
      <c r="K1505" s="28"/>
      <c r="N1505" s="28"/>
      <c r="Q1505" s="28"/>
      <c r="T1505" s="28"/>
      <c r="W1505" s="28"/>
      <c r="Z1505" s="28"/>
      <c r="AC1505" s="28"/>
      <c r="AF1505" s="28"/>
      <c r="AI1505" s="28"/>
      <c r="AL1505" s="28"/>
      <c r="AO1505" s="28"/>
      <c r="AR1505" s="28"/>
      <c r="AU1505" s="28"/>
      <c r="AX1505" s="28"/>
      <c r="BA1505" s="28"/>
      <c r="BD1505" s="28"/>
      <c r="BG1505" s="28"/>
      <c r="BJ1505" s="28"/>
      <c r="BM1505" s="28"/>
      <c r="BP1505" s="28"/>
      <c r="BS1505" s="28"/>
      <c r="BV1505" s="28"/>
      <c r="BY1505" s="28"/>
      <c r="CB1505" s="28"/>
      <c r="CE1505" s="28"/>
      <c r="CH1505" s="28"/>
      <c r="CK1505" s="28"/>
      <c r="CN1505" s="28"/>
      <c r="CQ1505" s="28"/>
      <c r="CT1505" s="28"/>
      <c r="CW1505" s="28"/>
      <c r="CZ1505" s="28"/>
      <c r="DC1505" s="28"/>
      <c r="DF1505" s="28"/>
      <c r="DI1505" s="28"/>
      <c r="DL1505" s="28"/>
      <c r="DO1505" s="28"/>
      <c r="DR1505" s="28"/>
      <c r="DU1505" s="28"/>
      <c r="DX1505" s="28"/>
      <c r="EA1505" s="28"/>
      <c r="ED1505" s="28"/>
      <c r="EG1505" s="28"/>
      <c r="EJ1505" s="28"/>
      <c r="EM1505" s="28"/>
      <c r="EP1505" s="28"/>
      <c r="ES1505" s="28"/>
      <c r="EV1505" s="28"/>
      <c r="EY1505" s="28"/>
      <c r="FB1505" s="28"/>
      <c r="FE1505" s="28"/>
      <c r="FH1505" s="28"/>
      <c r="FK1505" s="28"/>
      <c r="FN1505" s="28"/>
      <c r="FQ1505" s="28"/>
      <c r="FT1505" s="28"/>
      <c r="FW1505" s="28"/>
      <c r="FZ1505" s="28"/>
      <c r="GC1505" s="28"/>
    </row>
    <row r="1506" spans="1:185" s="25" customFormat="1" x14ac:dyDescent="0.3">
      <c r="A1506" s="27"/>
      <c r="B1506" s="28"/>
      <c r="C1506" s="27"/>
      <c r="D1506" s="26"/>
      <c r="E1506" s="28"/>
      <c r="H1506" s="28"/>
      <c r="K1506" s="28"/>
      <c r="N1506" s="28"/>
      <c r="Q1506" s="28"/>
      <c r="T1506" s="28"/>
      <c r="W1506" s="28"/>
      <c r="Z1506" s="28"/>
      <c r="AC1506" s="28"/>
      <c r="AF1506" s="28"/>
      <c r="AI1506" s="28"/>
      <c r="AL1506" s="28"/>
      <c r="AO1506" s="28"/>
      <c r="AR1506" s="28"/>
      <c r="AU1506" s="28"/>
      <c r="AX1506" s="28"/>
      <c r="BA1506" s="28"/>
      <c r="BD1506" s="28"/>
      <c r="BG1506" s="28"/>
      <c r="BJ1506" s="28"/>
      <c r="BM1506" s="28"/>
      <c r="BP1506" s="28"/>
      <c r="BS1506" s="28"/>
      <c r="BV1506" s="28"/>
      <c r="BY1506" s="28"/>
      <c r="CB1506" s="28"/>
      <c r="CE1506" s="28"/>
      <c r="CH1506" s="28"/>
      <c r="CK1506" s="28"/>
      <c r="CN1506" s="28"/>
      <c r="CQ1506" s="28"/>
      <c r="CT1506" s="28"/>
      <c r="CW1506" s="28"/>
      <c r="CZ1506" s="28"/>
      <c r="DC1506" s="28"/>
      <c r="DF1506" s="28"/>
      <c r="DI1506" s="28"/>
      <c r="DL1506" s="28"/>
      <c r="DO1506" s="28"/>
      <c r="DR1506" s="28"/>
      <c r="DU1506" s="28"/>
      <c r="DX1506" s="28"/>
      <c r="EA1506" s="28"/>
      <c r="ED1506" s="28"/>
      <c r="EG1506" s="28"/>
      <c r="EJ1506" s="28"/>
      <c r="EM1506" s="28"/>
      <c r="EP1506" s="28"/>
      <c r="ES1506" s="28"/>
      <c r="EV1506" s="28"/>
      <c r="EY1506" s="28"/>
      <c r="FB1506" s="28"/>
      <c r="FE1506" s="28"/>
      <c r="FH1506" s="28"/>
      <c r="FK1506" s="28"/>
      <c r="FN1506" s="28"/>
      <c r="FQ1506" s="28"/>
      <c r="FT1506" s="28"/>
      <c r="FW1506" s="28"/>
      <c r="FZ1506" s="28"/>
      <c r="GC1506" s="28"/>
    </row>
    <row r="1507" spans="1:185" s="25" customFormat="1" x14ac:dyDescent="0.3">
      <c r="A1507" s="27"/>
      <c r="B1507" s="28"/>
      <c r="C1507" s="27"/>
      <c r="D1507" s="26"/>
      <c r="E1507" s="28"/>
      <c r="H1507" s="28"/>
      <c r="K1507" s="28"/>
      <c r="N1507" s="28"/>
      <c r="Q1507" s="28"/>
      <c r="T1507" s="28"/>
      <c r="W1507" s="28"/>
      <c r="Z1507" s="28"/>
      <c r="AC1507" s="28"/>
      <c r="AF1507" s="28"/>
      <c r="AI1507" s="28"/>
      <c r="AL1507" s="28"/>
      <c r="AO1507" s="28"/>
      <c r="AR1507" s="28"/>
      <c r="AU1507" s="28"/>
      <c r="AX1507" s="28"/>
      <c r="BA1507" s="28"/>
      <c r="BD1507" s="28"/>
      <c r="BG1507" s="28"/>
      <c r="BJ1507" s="28"/>
      <c r="BM1507" s="28"/>
      <c r="BP1507" s="28"/>
      <c r="BS1507" s="28"/>
      <c r="BV1507" s="28"/>
      <c r="BY1507" s="28"/>
      <c r="CB1507" s="28"/>
      <c r="CE1507" s="28"/>
      <c r="CH1507" s="28"/>
      <c r="CK1507" s="28"/>
      <c r="CN1507" s="28"/>
      <c r="CQ1507" s="28"/>
      <c r="CT1507" s="28"/>
      <c r="CW1507" s="28"/>
      <c r="CZ1507" s="28"/>
      <c r="DC1507" s="28"/>
      <c r="DF1507" s="28"/>
      <c r="DI1507" s="28"/>
      <c r="DL1507" s="28"/>
      <c r="DO1507" s="28"/>
      <c r="DR1507" s="28"/>
      <c r="DU1507" s="28"/>
      <c r="DX1507" s="28"/>
      <c r="EA1507" s="28"/>
      <c r="ED1507" s="28"/>
      <c r="EG1507" s="28"/>
      <c r="EJ1507" s="28"/>
      <c r="EM1507" s="28"/>
      <c r="EP1507" s="28"/>
      <c r="ES1507" s="28"/>
      <c r="EV1507" s="28"/>
      <c r="EY1507" s="28"/>
      <c r="FB1507" s="28"/>
      <c r="FE1507" s="28"/>
      <c r="FH1507" s="28"/>
      <c r="FK1507" s="28"/>
      <c r="FN1507" s="28"/>
      <c r="FQ1507" s="28"/>
      <c r="FT1507" s="28"/>
      <c r="FW1507" s="28"/>
      <c r="FZ1507" s="28"/>
      <c r="GC1507" s="28"/>
    </row>
    <row r="1508" spans="1:185" s="25" customFormat="1" x14ac:dyDescent="0.3">
      <c r="A1508" s="27"/>
      <c r="B1508" s="28"/>
      <c r="C1508" s="27"/>
      <c r="D1508" s="26"/>
      <c r="E1508" s="28"/>
      <c r="H1508" s="28"/>
      <c r="K1508" s="28"/>
      <c r="N1508" s="28"/>
      <c r="Q1508" s="28"/>
      <c r="T1508" s="28"/>
      <c r="W1508" s="28"/>
      <c r="Z1508" s="28"/>
      <c r="AC1508" s="28"/>
      <c r="AF1508" s="28"/>
      <c r="AI1508" s="28"/>
      <c r="AL1508" s="28"/>
      <c r="AO1508" s="28"/>
      <c r="AR1508" s="28"/>
      <c r="AU1508" s="28"/>
      <c r="AX1508" s="28"/>
      <c r="BA1508" s="28"/>
      <c r="BD1508" s="28"/>
      <c r="BG1508" s="28"/>
      <c r="BJ1508" s="28"/>
      <c r="BM1508" s="28"/>
      <c r="BP1508" s="28"/>
      <c r="BS1508" s="28"/>
      <c r="BV1508" s="28"/>
      <c r="BY1508" s="28"/>
      <c r="CB1508" s="28"/>
      <c r="CE1508" s="28"/>
      <c r="CH1508" s="28"/>
      <c r="CK1508" s="28"/>
      <c r="CN1508" s="28"/>
      <c r="CQ1508" s="28"/>
      <c r="CT1508" s="28"/>
      <c r="CW1508" s="28"/>
      <c r="CZ1508" s="28"/>
      <c r="DC1508" s="28"/>
      <c r="DF1508" s="28"/>
      <c r="DI1508" s="28"/>
      <c r="DL1508" s="28"/>
      <c r="DO1508" s="28"/>
      <c r="DR1508" s="28"/>
      <c r="DU1508" s="28"/>
      <c r="DX1508" s="28"/>
      <c r="EA1508" s="28"/>
      <c r="ED1508" s="28"/>
      <c r="EG1508" s="28"/>
      <c r="EJ1508" s="28"/>
      <c r="EM1508" s="28"/>
      <c r="EP1508" s="28"/>
      <c r="ES1508" s="28"/>
      <c r="EV1508" s="28"/>
      <c r="EY1508" s="28"/>
      <c r="FB1508" s="28"/>
      <c r="FE1508" s="28"/>
      <c r="FH1508" s="28"/>
      <c r="FK1508" s="28"/>
      <c r="FN1508" s="28"/>
      <c r="FQ1508" s="28"/>
      <c r="FT1508" s="28"/>
      <c r="FW1508" s="28"/>
      <c r="FZ1508" s="28"/>
      <c r="GC1508" s="28"/>
    </row>
    <row r="1509" spans="1:185" s="25" customFormat="1" x14ac:dyDescent="0.3">
      <c r="A1509" s="27"/>
      <c r="B1509" s="28"/>
      <c r="C1509" s="27"/>
      <c r="D1509" s="26"/>
      <c r="E1509" s="28"/>
      <c r="H1509" s="28"/>
      <c r="K1509" s="28"/>
      <c r="N1509" s="28"/>
      <c r="Q1509" s="28"/>
      <c r="T1509" s="28"/>
      <c r="W1509" s="28"/>
      <c r="Z1509" s="28"/>
      <c r="AC1509" s="28"/>
      <c r="AF1509" s="28"/>
      <c r="AI1509" s="28"/>
      <c r="AL1509" s="28"/>
      <c r="AO1509" s="28"/>
      <c r="AR1509" s="28"/>
      <c r="AU1509" s="28"/>
      <c r="AX1509" s="28"/>
      <c r="BA1509" s="28"/>
      <c r="BD1509" s="28"/>
      <c r="BG1509" s="28"/>
      <c r="BJ1509" s="28"/>
      <c r="BM1509" s="28"/>
      <c r="BP1509" s="28"/>
      <c r="BS1509" s="28"/>
      <c r="BV1509" s="28"/>
      <c r="BY1509" s="28"/>
      <c r="CB1509" s="28"/>
      <c r="CE1509" s="28"/>
      <c r="CH1509" s="28"/>
      <c r="CK1509" s="28"/>
      <c r="CN1509" s="28"/>
      <c r="CQ1509" s="28"/>
      <c r="CT1509" s="28"/>
      <c r="CW1509" s="28"/>
      <c r="CZ1509" s="28"/>
      <c r="DC1509" s="28"/>
      <c r="DF1509" s="28"/>
      <c r="DI1509" s="28"/>
      <c r="DL1509" s="28"/>
      <c r="DO1509" s="28"/>
      <c r="DR1509" s="28"/>
      <c r="DU1509" s="28"/>
      <c r="DX1509" s="28"/>
      <c r="EA1509" s="28"/>
      <c r="ED1509" s="28"/>
      <c r="EG1509" s="28"/>
      <c r="EJ1509" s="28"/>
      <c r="EM1509" s="28"/>
      <c r="EP1509" s="28"/>
      <c r="ES1509" s="28"/>
      <c r="EV1509" s="28"/>
      <c r="EY1509" s="28"/>
      <c r="FB1509" s="28"/>
      <c r="FE1509" s="28"/>
      <c r="FH1509" s="28"/>
      <c r="FK1509" s="28"/>
      <c r="FN1509" s="28"/>
      <c r="FQ1509" s="28"/>
      <c r="FT1509" s="28"/>
      <c r="FW1509" s="28"/>
      <c r="FZ1509" s="28"/>
      <c r="GC1509" s="28"/>
    </row>
    <row r="1510" spans="1:185" s="25" customFormat="1" x14ac:dyDescent="0.3">
      <c r="A1510" s="27"/>
      <c r="B1510" s="28"/>
      <c r="C1510" s="27"/>
      <c r="D1510" s="26"/>
      <c r="E1510" s="28"/>
      <c r="H1510" s="28"/>
      <c r="K1510" s="28"/>
      <c r="N1510" s="28"/>
      <c r="Q1510" s="28"/>
      <c r="T1510" s="28"/>
      <c r="W1510" s="28"/>
      <c r="Z1510" s="28"/>
      <c r="AC1510" s="28"/>
      <c r="AF1510" s="28"/>
      <c r="AI1510" s="28"/>
      <c r="AL1510" s="28"/>
      <c r="AO1510" s="28"/>
      <c r="AR1510" s="28"/>
      <c r="AU1510" s="28"/>
      <c r="AX1510" s="28"/>
      <c r="BA1510" s="28"/>
      <c r="BD1510" s="28"/>
      <c r="BG1510" s="28"/>
      <c r="BJ1510" s="28"/>
      <c r="BM1510" s="28"/>
      <c r="BP1510" s="28"/>
      <c r="BS1510" s="28"/>
      <c r="BV1510" s="28"/>
      <c r="BY1510" s="28"/>
      <c r="CB1510" s="28"/>
      <c r="CE1510" s="28"/>
      <c r="CH1510" s="28"/>
      <c r="CK1510" s="28"/>
      <c r="CN1510" s="28"/>
      <c r="CQ1510" s="28"/>
      <c r="CT1510" s="28"/>
      <c r="CW1510" s="28"/>
      <c r="CZ1510" s="28"/>
      <c r="DC1510" s="28"/>
      <c r="DF1510" s="28"/>
      <c r="DI1510" s="28"/>
      <c r="DL1510" s="28"/>
      <c r="DO1510" s="28"/>
      <c r="DR1510" s="28"/>
      <c r="DU1510" s="28"/>
      <c r="DX1510" s="28"/>
      <c r="EA1510" s="28"/>
      <c r="ED1510" s="28"/>
      <c r="EG1510" s="28"/>
      <c r="EJ1510" s="28"/>
      <c r="EM1510" s="28"/>
      <c r="EP1510" s="28"/>
      <c r="ES1510" s="28"/>
      <c r="EV1510" s="28"/>
      <c r="EY1510" s="28"/>
      <c r="FB1510" s="28"/>
      <c r="FE1510" s="28"/>
      <c r="FH1510" s="28"/>
      <c r="FK1510" s="28"/>
      <c r="FN1510" s="28"/>
      <c r="FQ1510" s="28"/>
      <c r="FT1510" s="28"/>
      <c r="FW1510" s="28"/>
      <c r="FZ1510" s="28"/>
      <c r="GC1510" s="28"/>
    </row>
    <row r="1511" spans="1:185" s="25" customFormat="1" x14ac:dyDescent="0.3">
      <c r="A1511" s="27"/>
      <c r="B1511" s="28"/>
      <c r="C1511" s="27"/>
      <c r="D1511" s="26"/>
      <c r="E1511" s="28"/>
      <c r="H1511" s="28"/>
      <c r="K1511" s="28"/>
      <c r="N1511" s="28"/>
      <c r="Q1511" s="28"/>
      <c r="T1511" s="28"/>
      <c r="W1511" s="28"/>
      <c r="Z1511" s="28"/>
      <c r="AC1511" s="28"/>
      <c r="AF1511" s="28"/>
      <c r="AI1511" s="28"/>
      <c r="AL1511" s="28"/>
      <c r="AO1511" s="28"/>
      <c r="AR1511" s="28"/>
      <c r="AU1511" s="28"/>
      <c r="AX1511" s="28"/>
      <c r="BA1511" s="28"/>
      <c r="BD1511" s="28"/>
      <c r="BG1511" s="28"/>
      <c r="BJ1511" s="28"/>
      <c r="BM1511" s="28"/>
      <c r="BP1511" s="28"/>
      <c r="BS1511" s="28"/>
      <c r="BV1511" s="28"/>
      <c r="BY1511" s="28"/>
      <c r="CB1511" s="28"/>
      <c r="CE1511" s="28"/>
      <c r="CH1511" s="28"/>
      <c r="CK1511" s="28"/>
      <c r="CN1511" s="28"/>
      <c r="CQ1511" s="28"/>
      <c r="CT1511" s="28"/>
      <c r="CW1511" s="28"/>
      <c r="CZ1511" s="28"/>
      <c r="DC1511" s="28"/>
      <c r="DF1511" s="28"/>
      <c r="DI1511" s="28"/>
      <c r="DL1511" s="28"/>
      <c r="DO1511" s="28"/>
      <c r="DR1511" s="28"/>
      <c r="DU1511" s="28"/>
      <c r="DX1511" s="28"/>
      <c r="EA1511" s="28"/>
      <c r="ED1511" s="28"/>
      <c r="EG1511" s="28"/>
      <c r="EJ1511" s="28"/>
      <c r="EM1511" s="28"/>
      <c r="EP1511" s="28"/>
      <c r="ES1511" s="28"/>
      <c r="EV1511" s="28"/>
      <c r="EY1511" s="28"/>
      <c r="FB1511" s="28"/>
      <c r="FE1511" s="28"/>
      <c r="FH1511" s="28"/>
      <c r="FK1511" s="28"/>
      <c r="FN1511" s="28"/>
      <c r="FQ1511" s="28"/>
      <c r="FT1511" s="28"/>
      <c r="FW1511" s="28"/>
      <c r="FZ1511" s="28"/>
      <c r="GC1511" s="28"/>
    </row>
    <row r="1512" spans="1:185" s="25" customFormat="1" x14ac:dyDescent="0.3">
      <c r="A1512" s="27"/>
      <c r="B1512" s="28"/>
      <c r="C1512" s="27"/>
      <c r="D1512" s="26"/>
      <c r="E1512" s="28"/>
      <c r="H1512" s="28"/>
      <c r="K1512" s="28"/>
      <c r="N1512" s="28"/>
      <c r="Q1512" s="28"/>
      <c r="T1512" s="28"/>
      <c r="W1512" s="28"/>
      <c r="Z1512" s="28"/>
      <c r="AC1512" s="28"/>
      <c r="AF1512" s="28"/>
      <c r="AI1512" s="28"/>
      <c r="AL1512" s="28"/>
      <c r="AO1512" s="28"/>
      <c r="AR1512" s="28"/>
      <c r="AU1512" s="28"/>
      <c r="AX1512" s="28"/>
      <c r="BA1512" s="28"/>
      <c r="BD1512" s="28"/>
      <c r="BG1512" s="28"/>
      <c r="BJ1512" s="28"/>
      <c r="BM1512" s="28"/>
      <c r="BP1512" s="28"/>
      <c r="BS1512" s="28"/>
      <c r="BV1512" s="28"/>
      <c r="BY1512" s="28"/>
      <c r="CB1512" s="28"/>
      <c r="CE1512" s="28"/>
      <c r="CH1512" s="28"/>
      <c r="CK1512" s="28"/>
      <c r="CN1512" s="28"/>
      <c r="CQ1512" s="28"/>
      <c r="CT1512" s="28"/>
      <c r="CW1512" s="28"/>
      <c r="CZ1512" s="28"/>
      <c r="DC1512" s="28"/>
      <c r="DF1512" s="28"/>
      <c r="DI1512" s="28"/>
      <c r="DL1512" s="28"/>
      <c r="DO1512" s="28"/>
      <c r="DR1512" s="28"/>
      <c r="DU1512" s="28"/>
      <c r="DX1512" s="28"/>
      <c r="EA1512" s="28"/>
      <c r="ED1512" s="28"/>
      <c r="EG1512" s="28"/>
      <c r="EJ1512" s="28"/>
      <c r="EM1512" s="28"/>
      <c r="EP1512" s="28"/>
      <c r="ES1512" s="28"/>
      <c r="EV1512" s="28"/>
      <c r="EY1512" s="28"/>
      <c r="FB1512" s="28"/>
      <c r="FE1512" s="28"/>
      <c r="FH1512" s="28"/>
      <c r="FK1512" s="28"/>
      <c r="FN1512" s="28"/>
      <c r="FQ1512" s="28"/>
      <c r="FT1512" s="28"/>
      <c r="FW1512" s="28"/>
      <c r="FZ1512" s="28"/>
      <c r="GC1512" s="28"/>
    </row>
    <row r="1513" spans="1:185" s="25" customFormat="1" x14ac:dyDescent="0.3">
      <c r="A1513" s="27"/>
      <c r="B1513" s="28"/>
      <c r="C1513" s="27"/>
      <c r="D1513" s="26"/>
      <c r="E1513" s="28"/>
      <c r="H1513" s="28"/>
      <c r="K1513" s="28"/>
      <c r="N1513" s="28"/>
      <c r="Q1513" s="28"/>
      <c r="T1513" s="28"/>
      <c r="W1513" s="28"/>
      <c r="Z1513" s="28"/>
      <c r="AC1513" s="28"/>
      <c r="AF1513" s="28"/>
      <c r="AI1513" s="28"/>
      <c r="AL1513" s="28"/>
      <c r="AO1513" s="28"/>
      <c r="AR1513" s="28"/>
      <c r="AU1513" s="28"/>
      <c r="AX1513" s="28"/>
      <c r="BA1513" s="28"/>
      <c r="BD1513" s="28"/>
      <c r="BG1513" s="28"/>
      <c r="BJ1513" s="28"/>
      <c r="BM1513" s="28"/>
      <c r="BP1513" s="28"/>
      <c r="BS1513" s="28"/>
      <c r="BV1513" s="28"/>
      <c r="BY1513" s="28"/>
      <c r="CB1513" s="28"/>
      <c r="CE1513" s="28"/>
      <c r="CH1513" s="28"/>
      <c r="CK1513" s="28"/>
      <c r="CN1513" s="28"/>
      <c r="CQ1513" s="28"/>
      <c r="CT1513" s="28"/>
      <c r="CW1513" s="28"/>
      <c r="CZ1513" s="28"/>
      <c r="DC1513" s="28"/>
      <c r="DF1513" s="28"/>
      <c r="DI1513" s="28"/>
      <c r="DL1513" s="28"/>
      <c r="DO1513" s="28"/>
      <c r="DR1513" s="28"/>
      <c r="DU1513" s="28"/>
      <c r="DX1513" s="28"/>
      <c r="EA1513" s="28"/>
      <c r="ED1513" s="28"/>
      <c r="EG1513" s="28"/>
      <c r="EJ1513" s="28"/>
      <c r="EM1513" s="28"/>
      <c r="EP1513" s="28"/>
      <c r="ES1513" s="28"/>
      <c r="EV1513" s="28"/>
      <c r="EY1513" s="28"/>
      <c r="FB1513" s="28"/>
      <c r="FE1513" s="28"/>
      <c r="FH1513" s="28"/>
      <c r="FK1513" s="28"/>
      <c r="FN1513" s="28"/>
      <c r="FQ1513" s="28"/>
      <c r="FT1513" s="28"/>
      <c r="FW1513" s="28"/>
      <c r="FZ1513" s="28"/>
      <c r="GC1513" s="28"/>
    </row>
    <row r="1514" spans="1:185" s="25" customFormat="1" x14ac:dyDescent="0.3">
      <c r="A1514" s="27"/>
      <c r="B1514" s="28"/>
      <c r="C1514" s="27"/>
      <c r="D1514" s="26"/>
      <c r="E1514" s="28"/>
      <c r="H1514" s="28"/>
      <c r="K1514" s="28"/>
      <c r="N1514" s="28"/>
      <c r="Q1514" s="28"/>
      <c r="T1514" s="28"/>
      <c r="W1514" s="28"/>
      <c r="Z1514" s="28"/>
      <c r="AC1514" s="28"/>
      <c r="AF1514" s="28"/>
      <c r="AI1514" s="28"/>
      <c r="AL1514" s="28"/>
      <c r="AO1514" s="28"/>
      <c r="AR1514" s="28"/>
      <c r="AU1514" s="28"/>
      <c r="AX1514" s="28"/>
      <c r="BA1514" s="28"/>
      <c r="BD1514" s="28"/>
      <c r="BG1514" s="28"/>
      <c r="BJ1514" s="28"/>
      <c r="BM1514" s="28"/>
      <c r="BP1514" s="28"/>
      <c r="BS1514" s="28"/>
      <c r="BV1514" s="28"/>
      <c r="BY1514" s="28"/>
      <c r="CB1514" s="28"/>
      <c r="CE1514" s="28"/>
      <c r="CH1514" s="28"/>
      <c r="CK1514" s="28"/>
      <c r="CN1514" s="28"/>
      <c r="CQ1514" s="28"/>
      <c r="CT1514" s="28"/>
      <c r="CW1514" s="28"/>
      <c r="CZ1514" s="28"/>
      <c r="DC1514" s="28"/>
      <c r="DF1514" s="28"/>
      <c r="DI1514" s="28"/>
      <c r="DL1514" s="28"/>
      <c r="DO1514" s="28"/>
      <c r="DR1514" s="28"/>
      <c r="DU1514" s="28"/>
      <c r="DX1514" s="28"/>
      <c r="EA1514" s="28"/>
      <c r="ED1514" s="28"/>
      <c r="EG1514" s="28"/>
      <c r="EJ1514" s="28"/>
      <c r="EM1514" s="28"/>
      <c r="EP1514" s="28"/>
      <c r="ES1514" s="28"/>
      <c r="EV1514" s="28"/>
      <c r="EY1514" s="28"/>
      <c r="FB1514" s="28"/>
      <c r="FE1514" s="28"/>
      <c r="FH1514" s="28"/>
      <c r="FK1514" s="28"/>
      <c r="FN1514" s="28"/>
      <c r="FQ1514" s="28"/>
      <c r="FT1514" s="28"/>
      <c r="FW1514" s="28"/>
      <c r="FZ1514" s="28"/>
      <c r="GC1514" s="28"/>
    </row>
    <row r="1515" spans="1:185" s="25" customFormat="1" x14ac:dyDescent="0.3">
      <c r="A1515" s="27"/>
      <c r="B1515" s="28"/>
      <c r="C1515" s="27"/>
      <c r="D1515" s="26"/>
      <c r="E1515" s="28"/>
      <c r="H1515" s="28"/>
      <c r="K1515" s="28"/>
      <c r="N1515" s="28"/>
      <c r="Q1515" s="28"/>
      <c r="T1515" s="28"/>
      <c r="W1515" s="28"/>
      <c r="Z1515" s="28"/>
      <c r="AC1515" s="28"/>
      <c r="AF1515" s="28"/>
      <c r="AI1515" s="28"/>
      <c r="AL1515" s="28"/>
      <c r="AO1515" s="28"/>
      <c r="AR1515" s="28"/>
      <c r="AU1515" s="28"/>
      <c r="AX1515" s="28"/>
      <c r="BA1515" s="28"/>
      <c r="BD1515" s="28"/>
      <c r="BG1515" s="28"/>
      <c r="BJ1515" s="28"/>
      <c r="BM1515" s="28"/>
      <c r="BP1515" s="28"/>
      <c r="BS1515" s="28"/>
      <c r="BV1515" s="28"/>
      <c r="BY1515" s="28"/>
      <c r="CB1515" s="28"/>
      <c r="CE1515" s="28"/>
      <c r="CH1515" s="28"/>
      <c r="CK1515" s="28"/>
      <c r="CN1515" s="28"/>
      <c r="CQ1515" s="28"/>
      <c r="CT1515" s="28"/>
      <c r="CW1515" s="28"/>
      <c r="CZ1515" s="28"/>
      <c r="DC1515" s="28"/>
      <c r="DF1515" s="28"/>
      <c r="DI1515" s="28"/>
      <c r="DL1515" s="28"/>
      <c r="DO1515" s="28"/>
      <c r="DR1515" s="28"/>
      <c r="DU1515" s="28"/>
      <c r="DX1515" s="28"/>
      <c r="EA1515" s="28"/>
      <c r="ED1515" s="28"/>
      <c r="EG1515" s="28"/>
      <c r="EJ1515" s="28"/>
      <c r="EM1515" s="28"/>
      <c r="EP1515" s="28"/>
      <c r="ES1515" s="28"/>
      <c r="EV1515" s="28"/>
      <c r="EY1515" s="28"/>
      <c r="FB1515" s="28"/>
      <c r="FE1515" s="28"/>
      <c r="FH1515" s="28"/>
      <c r="FK1515" s="28"/>
      <c r="FN1515" s="28"/>
      <c r="FQ1515" s="28"/>
      <c r="FT1515" s="28"/>
      <c r="FW1515" s="28"/>
      <c r="FZ1515" s="28"/>
      <c r="GC1515" s="28"/>
    </row>
    <row r="1516" spans="1:185" s="25" customFormat="1" x14ac:dyDescent="0.3">
      <c r="A1516" s="27"/>
      <c r="B1516" s="28"/>
      <c r="C1516" s="27"/>
      <c r="D1516" s="26"/>
      <c r="E1516" s="28"/>
      <c r="H1516" s="28"/>
      <c r="K1516" s="28"/>
      <c r="N1516" s="28"/>
      <c r="Q1516" s="28"/>
      <c r="T1516" s="28"/>
      <c r="W1516" s="28"/>
      <c r="Z1516" s="28"/>
      <c r="AC1516" s="28"/>
      <c r="AF1516" s="28"/>
      <c r="AI1516" s="28"/>
      <c r="AL1516" s="28"/>
      <c r="AO1516" s="28"/>
      <c r="AR1516" s="28"/>
      <c r="AU1516" s="28"/>
      <c r="AX1516" s="28"/>
      <c r="BA1516" s="28"/>
      <c r="BD1516" s="28"/>
      <c r="BG1516" s="28"/>
      <c r="BJ1516" s="28"/>
      <c r="BM1516" s="28"/>
      <c r="BP1516" s="28"/>
      <c r="BS1516" s="28"/>
      <c r="BV1516" s="28"/>
      <c r="BY1516" s="28"/>
      <c r="CB1516" s="28"/>
      <c r="CE1516" s="28"/>
      <c r="CH1516" s="28"/>
      <c r="CK1516" s="28"/>
      <c r="CN1516" s="28"/>
      <c r="CQ1516" s="28"/>
      <c r="CT1516" s="28"/>
      <c r="CW1516" s="28"/>
      <c r="CZ1516" s="28"/>
      <c r="DC1516" s="28"/>
      <c r="DF1516" s="28"/>
      <c r="DI1516" s="28"/>
      <c r="DL1516" s="28"/>
      <c r="DO1516" s="28"/>
      <c r="DR1516" s="28"/>
      <c r="DU1516" s="28"/>
      <c r="DX1516" s="28"/>
      <c r="EA1516" s="28"/>
      <c r="ED1516" s="28"/>
      <c r="EG1516" s="28"/>
      <c r="EJ1516" s="28"/>
      <c r="EM1516" s="28"/>
      <c r="EP1516" s="28"/>
      <c r="ES1516" s="28"/>
      <c r="EV1516" s="28"/>
      <c r="EY1516" s="28"/>
      <c r="FB1516" s="28"/>
      <c r="FE1516" s="28"/>
      <c r="FH1516" s="28"/>
      <c r="FK1516" s="28"/>
      <c r="FN1516" s="28"/>
      <c r="FQ1516" s="28"/>
      <c r="FT1516" s="28"/>
      <c r="FW1516" s="28"/>
      <c r="FZ1516" s="28"/>
      <c r="GC1516" s="28"/>
    </row>
    <row r="1517" spans="1:185" s="25" customFormat="1" x14ac:dyDescent="0.3">
      <c r="A1517" s="27"/>
      <c r="B1517" s="28"/>
      <c r="C1517" s="27"/>
      <c r="D1517" s="26"/>
      <c r="E1517" s="28"/>
      <c r="H1517" s="28"/>
      <c r="K1517" s="28"/>
      <c r="N1517" s="28"/>
      <c r="Q1517" s="28"/>
      <c r="T1517" s="28"/>
      <c r="W1517" s="28"/>
      <c r="Z1517" s="28"/>
      <c r="AC1517" s="28"/>
      <c r="AF1517" s="28"/>
      <c r="AI1517" s="28"/>
      <c r="AL1517" s="28"/>
      <c r="AO1517" s="28"/>
      <c r="AR1517" s="28"/>
      <c r="AU1517" s="28"/>
      <c r="AX1517" s="28"/>
      <c r="BA1517" s="28"/>
      <c r="BD1517" s="28"/>
      <c r="BG1517" s="28"/>
      <c r="BJ1517" s="28"/>
      <c r="BM1517" s="28"/>
      <c r="BP1517" s="28"/>
      <c r="BS1517" s="28"/>
      <c r="BV1517" s="28"/>
      <c r="BY1517" s="28"/>
      <c r="CB1517" s="28"/>
      <c r="CE1517" s="28"/>
      <c r="CH1517" s="28"/>
      <c r="CK1517" s="28"/>
      <c r="CN1517" s="28"/>
      <c r="CQ1517" s="28"/>
      <c r="CT1517" s="28"/>
      <c r="CW1517" s="28"/>
      <c r="CZ1517" s="28"/>
      <c r="DC1517" s="28"/>
      <c r="DF1517" s="28"/>
      <c r="DI1517" s="28"/>
      <c r="DL1517" s="28"/>
      <c r="DO1517" s="28"/>
      <c r="DR1517" s="28"/>
      <c r="DU1517" s="28"/>
      <c r="DX1517" s="28"/>
      <c r="EA1517" s="28"/>
      <c r="ED1517" s="28"/>
      <c r="EG1517" s="28"/>
      <c r="EJ1517" s="28"/>
      <c r="EM1517" s="28"/>
      <c r="EP1517" s="28"/>
      <c r="ES1517" s="28"/>
      <c r="EV1517" s="28"/>
      <c r="EY1517" s="28"/>
      <c r="FB1517" s="28"/>
      <c r="FE1517" s="28"/>
      <c r="FH1517" s="28"/>
      <c r="FK1517" s="28"/>
      <c r="FN1517" s="28"/>
      <c r="FQ1517" s="28"/>
      <c r="FT1517" s="28"/>
      <c r="FW1517" s="28"/>
      <c r="FZ1517" s="28"/>
      <c r="GC1517" s="28"/>
    </row>
    <row r="1518" spans="1:185" s="25" customFormat="1" x14ac:dyDescent="0.3">
      <c r="A1518" s="27"/>
      <c r="B1518" s="28"/>
      <c r="C1518" s="27"/>
      <c r="D1518" s="26"/>
      <c r="E1518" s="28"/>
      <c r="H1518" s="28"/>
      <c r="K1518" s="28"/>
      <c r="N1518" s="28"/>
      <c r="Q1518" s="28"/>
      <c r="T1518" s="28"/>
      <c r="W1518" s="28"/>
      <c r="Z1518" s="28"/>
      <c r="AC1518" s="28"/>
      <c r="AF1518" s="28"/>
      <c r="AI1518" s="28"/>
      <c r="AL1518" s="28"/>
      <c r="AO1518" s="28"/>
      <c r="AR1518" s="28"/>
      <c r="AU1518" s="28"/>
      <c r="AX1518" s="28"/>
      <c r="BA1518" s="28"/>
      <c r="BD1518" s="28"/>
      <c r="BG1518" s="28"/>
      <c r="BJ1518" s="28"/>
      <c r="BM1518" s="28"/>
      <c r="BP1518" s="28"/>
      <c r="BS1518" s="28"/>
      <c r="BV1518" s="28"/>
      <c r="BY1518" s="28"/>
      <c r="CB1518" s="28"/>
      <c r="CE1518" s="28"/>
      <c r="CH1518" s="28"/>
      <c r="CK1518" s="28"/>
      <c r="CN1518" s="28"/>
      <c r="CQ1518" s="28"/>
      <c r="CT1518" s="28"/>
      <c r="CW1518" s="28"/>
      <c r="CZ1518" s="28"/>
      <c r="DC1518" s="28"/>
      <c r="DF1518" s="28"/>
      <c r="DI1518" s="28"/>
      <c r="DL1518" s="28"/>
      <c r="DO1518" s="28"/>
      <c r="DR1518" s="28"/>
      <c r="DU1518" s="28"/>
      <c r="DX1518" s="28"/>
      <c r="EA1518" s="28"/>
      <c r="ED1518" s="28"/>
      <c r="EG1518" s="28"/>
      <c r="EJ1518" s="28"/>
      <c r="EM1518" s="28"/>
      <c r="EP1518" s="28"/>
      <c r="ES1518" s="28"/>
      <c r="EV1518" s="28"/>
      <c r="EY1518" s="28"/>
      <c r="FB1518" s="28"/>
      <c r="FE1518" s="28"/>
      <c r="FH1518" s="28"/>
      <c r="FK1518" s="28"/>
      <c r="FN1518" s="28"/>
      <c r="FQ1518" s="28"/>
      <c r="FT1518" s="28"/>
      <c r="FW1518" s="28"/>
      <c r="FZ1518" s="28"/>
      <c r="GC1518" s="28"/>
    </row>
    <row r="1519" spans="1:185" s="25" customFormat="1" x14ac:dyDescent="0.3">
      <c r="A1519" s="27"/>
      <c r="B1519" s="28"/>
      <c r="C1519" s="27"/>
      <c r="D1519" s="26"/>
      <c r="E1519" s="28"/>
      <c r="H1519" s="28"/>
      <c r="K1519" s="28"/>
      <c r="N1519" s="28"/>
      <c r="Q1519" s="28"/>
      <c r="T1519" s="28"/>
      <c r="W1519" s="28"/>
      <c r="Z1519" s="28"/>
      <c r="AC1519" s="28"/>
      <c r="AF1519" s="28"/>
      <c r="AI1519" s="28"/>
      <c r="AL1519" s="28"/>
      <c r="AO1519" s="28"/>
      <c r="AR1519" s="28"/>
      <c r="AU1519" s="28"/>
      <c r="AX1519" s="28"/>
      <c r="BA1519" s="28"/>
      <c r="BD1519" s="28"/>
      <c r="BG1519" s="28"/>
      <c r="BJ1519" s="28"/>
      <c r="BM1519" s="28"/>
      <c r="BP1519" s="28"/>
      <c r="BS1519" s="28"/>
      <c r="BV1519" s="28"/>
      <c r="BY1519" s="28"/>
      <c r="CB1519" s="28"/>
      <c r="CE1519" s="28"/>
      <c r="CH1519" s="28"/>
      <c r="CK1519" s="28"/>
      <c r="CN1519" s="28"/>
      <c r="CQ1519" s="28"/>
      <c r="CT1519" s="28"/>
      <c r="CW1519" s="28"/>
      <c r="CZ1519" s="28"/>
      <c r="DC1519" s="28"/>
      <c r="DF1519" s="28"/>
      <c r="DI1519" s="28"/>
      <c r="DL1519" s="28"/>
      <c r="DO1519" s="28"/>
      <c r="DR1519" s="28"/>
      <c r="DU1519" s="28"/>
      <c r="DX1519" s="28"/>
      <c r="EA1519" s="28"/>
      <c r="ED1519" s="28"/>
      <c r="EG1519" s="28"/>
      <c r="EJ1519" s="28"/>
      <c r="EM1519" s="28"/>
      <c r="EP1519" s="28"/>
      <c r="ES1519" s="28"/>
      <c r="EV1519" s="28"/>
      <c r="EY1519" s="28"/>
      <c r="FB1519" s="28"/>
      <c r="FE1519" s="28"/>
      <c r="FH1519" s="28"/>
      <c r="FK1519" s="28"/>
      <c r="FN1519" s="28"/>
      <c r="FQ1519" s="28"/>
      <c r="FT1519" s="28"/>
      <c r="FW1519" s="28"/>
      <c r="FZ1519" s="28"/>
      <c r="GC1519" s="28"/>
    </row>
    <row r="1520" spans="1:185" s="25" customFormat="1" x14ac:dyDescent="0.3">
      <c r="A1520" s="27"/>
      <c r="B1520" s="28"/>
      <c r="C1520" s="27"/>
      <c r="D1520" s="26"/>
      <c r="E1520" s="28"/>
      <c r="H1520" s="28"/>
      <c r="K1520" s="28"/>
      <c r="N1520" s="28"/>
      <c r="Q1520" s="28"/>
      <c r="T1520" s="28"/>
      <c r="W1520" s="28"/>
      <c r="Z1520" s="28"/>
      <c r="AC1520" s="28"/>
      <c r="AF1520" s="28"/>
      <c r="AI1520" s="28"/>
      <c r="AL1520" s="28"/>
      <c r="AO1520" s="28"/>
      <c r="AR1520" s="28"/>
      <c r="AU1520" s="28"/>
      <c r="AX1520" s="28"/>
      <c r="BA1520" s="28"/>
      <c r="BD1520" s="28"/>
      <c r="BG1520" s="28"/>
      <c r="BJ1520" s="28"/>
      <c r="BM1520" s="28"/>
      <c r="BP1520" s="28"/>
      <c r="BS1520" s="28"/>
      <c r="BV1520" s="28"/>
      <c r="BY1520" s="28"/>
      <c r="CB1520" s="28"/>
      <c r="CE1520" s="28"/>
      <c r="CH1520" s="28"/>
      <c r="CK1520" s="28"/>
      <c r="CN1520" s="28"/>
      <c r="CQ1520" s="28"/>
      <c r="CT1520" s="28"/>
      <c r="CW1520" s="28"/>
      <c r="CZ1520" s="28"/>
      <c r="DC1520" s="28"/>
      <c r="DF1520" s="28"/>
      <c r="DI1520" s="28"/>
      <c r="DL1520" s="28"/>
      <c r="DO1520" s="28"/>
      <c r="DR1520" s="28"/>
      <c r="DU1520" s="28"/>
      <c r="DX1520" s="28"/>
      <c r="EA1520" s="28"/>
      <c r="ED1520" s="28"/>
      <c r="EG1520" s="28"/>
      <c r="EJ1520" s="28"/>
      <c r="EM1520" s="28"/>
      <c r="EP1520" s="28"/>
      <c r="ES1520" s="28"/>
      <c r="EV1520" s="28"/>
      <c r="EY1520" s="28"/>
      <c r="FB1520" s="28"/>
      <c r="FE1520" s="28"/>
      <c r="FH1520" s="28"/>
      <c r="FK1520" s="28"/>
      <c r="FN1520" s="28"/>
      <c r="FQ1520" s="28"/>
      <c r="FT1520" s="28"/>
      <c r="FW1520" s="28"/>
      <c r="FZ1520" s="28"/>
      <c r="GC1520" s="28"/>
    </row>
    <row r="1521" spans="1:185" s="25" customFormat="1" x14ac:dyDescent="0.3">
      <c r="A1521" s="27"/>
      <c r="B1521" s="28"/>
      <c r="C1521" s="27"/>
      <c r="D1521" s="26"/>
      <c r="E1521" s="28"/>
      <c r="H1521" s="28"/>
      <c r="K1521" s="28"/>
      <c r="N1521" s="28"/>
      <c r="Q1521" s="28"/>
      <c r="T1521" s="28"/>
      <c r="W1521" s="28"/>
      <c r="Z1521" s="28"/>
      <c r="AC1521" s="28"/>
      <c r="AF1521" s="28"/>
      <c r="AI1521" s="28"/>
      <c r="AL1521" s="28"/>
      <c r="AO1521" s="28"/>
      <c r="AR1521" s="28"/>
      <c r="AU1521" s="28"/>
      <c r="AX1521" s="28"/>
      <c r="BA1521" s="28"/>
      <c r="BD1521" s="28"/>
      <c r="BG1521" s="28"/>
      <c r="BJ1521" s="28"/>
      <c r="BM1521" s="28"/>
      <c r="BP1521" s="28"/>
      <c r="BS1521" s="28"/>
      <c r="BV1521" s="28"/>
      <c r="BY1521" s="28"/>
      <c r="CB1521" s="28"/>
      <c r="CE1521" s="28"/>
      <c r="CH1521" s="28"/>
      <c r="CK1521" s="28"/>
      <c r="CN1521" s="28"/>
      <c r="CQ1521" s="28"/>
      <c r="CT1521" s="28"/>
      <c r="CW1521" s="28"/>
      <c r="CZ1521" s="28"/>
      <c r="DC1521" s="28"/>
      <c r="DF1521" s="28"/>
      <c r="DI1521" s="28"/>
      <c r="DL1521" s="28"/>
      <c r="DO1521" s="28"/>
      <c r="DR1521" s="28"/>
      <c r="DU1521" s="28"/>
      <c r="DX1521" s="28"/>
      <c r="EA1521" s="28"/>
      <c r="ED1521" s="28"/>
      <c r="EG1521" s="28"/>
      <c r="EJ1521" s="28"/>
      <c r="EM1521" s="28"/>
      <c r="EP1521" s="28"/>
      <c r="ES1521" s="28"/>
      <c r="EV1521" s="28"/>
      <c r="EY1521" s="28"/>
      <c r="FB1521" s="28"/>
      <c r="FE1521" s="28"/>
      <c r="FH1521" s="28"/>
      <c r="FK1521" s="28"/>
      <c r="FN1521" s="28"/>
      <c r="FQ1521" s="28"/>
      <c r="FT1521" s="28"/>
      <c r="FW1521" s="28"/>
      <c r="FZ1521" s="28"/>
      <c r="GC1521" s="28"/>
    </row>
    <row r="1522" spans="1:185" s="25" customFormat="1" x14ac:dyDescent="0.3">
      <c r="A1522" s="27"/>
      <c r="B1522" s="28"/>
      <c r="C1522" s="27"/>
      <c r="D1522" s="26"/>
      <c r="E1522" s="28"/>
      <c r="H1522" s="28"/>
      <c r="K1522" s="28"/>
      <c r="N1522" s="28"/>
      <c r="Q1522" s="28"/>
      <c r="T1522" s="28"/>
      <c r="W1522" s="28"/>
      <c r="Z1522" s="28"/>
      <c r="AC1522" s="28"/>
      <c r="AF1522" s="28"/>
      <c r="AI1522" s="28"/>
      <c r="AL1522" s="28"/>
      <c r="AO1522" s="28"/>
      <c r="AR1522" s="28"/>
      <c r="AU1522" s="28"/>
      <c r="AX1522" s="28"/>
      <c r="BA1522" s="28"/>
      <c r="BD1522" s="28"/>
      <c r="BG1522" s="28"/>
      <c r="BJ1522" s="28"/>
      <c r="BM1522" s="28"/>
      <c r="BP1522" s="28"/>
      <c r="BS1522" s="28"/>
      <c r="BV1522" s="28"/>
      <c r="BY1522" s="28"/>
      <c r="CB1522" s="28"/>
      <c r="CE1522" s="28"/>
      <c r="CH1522" s="28"/>
      <c r="CK1522" s="28"/>
      <c r="CN1522" s="28"/>
      <c r="CQ1522" s="28"/>
      <c r="CT1522" s="28"/>
      <c r="CW1522" s="28"/>
      <c r="CZ1522" s="28"/>
      <c r="DC1522" s="28"/>
      <c r="DF1522" s="28"/>
      <c r="DI1522" s="28"/>
      <c r="DL1522" s="28"/>
      <c r="DO1522" s="28"/>
      <c r="DR1522" s="28"/>
      <c r="DU1522" s="28"/>
      <c r="DX1522" s="28"/>
      <c r="EA1522" s="28"/>
      <c r="ED1522" s="28"/>
      <c r="EG1522" s="28"/>
      <c r="EJ1522" s="28"/>
      <c r="EM1522" s="28"/>
      <c r="EP1522" s="28"/>
      <c r="ES1522" s="28"/>
      <c r="EV1522" s="28"/>
      <c r="EY1522" s="28"/>
      <c r="FB1522" s="28"/>
      <c r="FE1522" s="28"/>
      <c r="FH1522" s="28"/>
      <c r="FK1522" s="28"/>
      <c r="FN1522" s="28"/>
      <c r="FQ1522" s="28"/>
      <c r="FT1522" s="28"/>
      <c r="FW1522" s="28"/>
      <c r="FZ1522" s="28"/>
      <c r="GC1522" s="28"/>
    </row>
    <row r="1523" spans="1:185" s="25" customFormat="1" x14ac:dyDescent="0.3">
      <c r="A1523" s="27"/>
      <c r="B1523" s="28"/>
      <c r="C1523" s="27"/>
      <c r="D1523" s="26"/>
      <c r="E1523" s="28"/>
      <c r="H1523" s="28"/>
      <c r="K1523" s="28"/>
      <c r="N1523" s="28"/>
      <c r="Q1523" s="28"/>
      <c r="T1523" s="28"/>
      <c r="W1523" s="28"/>
      <c r="Z1523" s="28"/>
      <c r="AC1523" s="28"/>
      <c r="AF1523" s="28"/>
      <c r="AI1523" s="28"/>
      <c r="AL1523" s="28"/>
      <c r="AO1523" s="28"/>
      <c r="AR1523" s="28"/>
      <c r="AU1523" s="28"/>
      <c r="AX1523" s="28"/>
      <c r="BA1523" s="28"/>
      <c r="BD1523" s="28"/>
      <c r="BG1523" s="28"/>
      <c r="BJ1523" s="28"/>
      <c r="BM1523" s="28"/>
      <c r="BP1523" s="28"/>
      <c r="BS1523" s="28"/>
      <c r="BV1523" s="28"/>
      <c r="BY1523" s="28"/>
      <c r="CB1523" s="28"/>
      <c r="CE1523" s="28"/>
      <c r="CH1523" s="28"/>
      <c r="CK1523" s="28"/>
      <c r="CN1523" s="28"/>
      <c r="CQ1523" s="28"/>
      <c r="CT1523" s="28"/>
      <c r="CW1523" s="28"/>
      <c r="CZ1523" s="28"/>
      <c r="DC1523" s="28"/>
      <c r="DF1523" s="28"/>
      <c r="DI1523" s="28"/>
      <c r="DL1523" s="28"/>
      <c r="DO1523" s="28"/>
      <c r="DR1523" s="28"/>
      <c r="DU1523" s="28"/>
      <c r="DX1523" s="28"/>
      <c r="EA1523" s="28"/>
      <c r="ED1523" s="28"/>
      <c r="EG1523" s="28"/>
      <c r="EJ1523" s="28"/>
      <c r="EM1523" s="28"/>
      <c r="EP1523" s="28"/>
      <c r="ES1523" s="28"/>
      <c r="EV1523" s="28"/>
      <c r="EY1523" s="28"/>
      <c r="FB1523" s="28"/>
      <c r="FE1523" s="28"/>
      <c r="FH1523" s="28"/>
      <c r="FK1523" s="28"/>
      <c r="FN1523" s="28"/>
      <c r="FQ1523" s="28"/>
      <c r="FT1523" s="28"/>
      <c r="FW1523" s="28"/>
      <c r="FZ1523" s="28"/>
      <c r="GC1523" s="28"/>
    </row>
    <row r="1524" spans="1:185" s="25" customFormat="1" x14ac:dyDescent="0.3">
      <c r="A1524" s="27"/>
      <c r="B1524" s="28"/>
      <c r="C1524" s="27"/>
      <c r="D1524" s="26"/>
      <c r="E1524" s="28"/>
      <c r="H1524" s="28"/>
      <c r="K1524" s="28"/>
      <c r="N1524" s="28"/>
      <c r="Q1524" s="28"/>
      <c r="T1524" s="28"/>
      <c r="W1524" s="28"/>
      <c r="Z1524" s="28"/>
      <c r="AC1524" s="28"/>
      <c r="AF1524" s="28"/>
      <c r="AI1524" s="28"/>
      <c r="AL1524" s="28"/>
      <c r="AO1524" s="28"/>
      <c r="AR1524" s="28"/>
      <c r="AU1524" s="28"/>
      <c r="AX1524" s="28"/>
      <c r="BA1524" s="28"/>
      <c r="BD1524" s="28"/>
      <c r="BG1524" s="28"/>
      <c r="BJ1524" s="28"/>
      <c r="BM1524" s="28"/>
      <c r="BP1524" s="28"/>
      <c r="BS1524" s="28"/>
      <c r="BV1524" s="28"/>
      <c r="BY1524" s="28"/>
      <c r="CB1524" s="28"/>
      <c r="CE1524" s="28"/>
      <c r="CH1524" s="28"/>
      <c r="CK1524" s="28"/>
      <c r="CN1524" s="28"/>
      <c r="CQ1524" s="28"/>
      <c r="CT1524" s="28"/>
      <c r="CW1524" s="28"/>
      <c r="CZ1524" s="28"/>
      <c r="DC1524" s="28"/>
      <c r="DF1524" s="28"/>
      <c r="DI1524" s="28"/>
      <c r="DL1524" s="28"/>
      <c r="DO1524" s="28"/>
      <c r="DR1524" s="28"/>
      <c r="DU1524" s="28"/>
      <c r="DX1524" s="28"/>
      <c r="EA1524" s="28"/>
      <c r="ED1524" s="28"/>
      <c r="EG1524" s="28"/>
      <c r="EJ1524" s="28"/>
      <c r="EM1524" s="28"/>
      <c r="EP1524" s="28"/>
      <c r="ES1524" s="28"/>
      <c r="EV1524" s="28"/>
      <c r="EY1524" s="28"/>
      <c r="FB1524" s="28"/>
      <c r="FE1524" s="28"/>
      <c r="FH1524" s="28"/>
      <c r="FK1524" s="28"/>
      <c r="FN1524" s="28"/>
      <c r="FQ1524" s="28"/>
      <c r="FT1524" s="28"/>
      <c r="FW1524" s="28"/>
      <c r="FZ1524" s="28"/>
      <c r="GC1524" s="28"/>
    </row>
    <row r="1525" spans="1:185" s="25" customFormat="1" x14ac:dyDescent="0.3">
      <c r="A1525" s="27"/>
      <c r="B1525" s="28"/>
      <c r="C1525" s="27"/>
      <c r="D1525" s="26"/>
      <c r="E1525" s="28"/>
      <c r="H1525" s="28"/>
      <c r="K1525" s="28"/>
      <c r="N1525" s="28"/>
      <c r="Q1525" s="28"/>
      <c r="T1525" s="28"/>
      <c r="W1525" s="28"/>
      <c r="Z1525" s="28"/>
      <c r="AC1525" s="28"/>
      <c r="AF1525" s="28"/>
      <c r="AI1525" s="28"/>
      <c r="AL1525" s="28"/>
      <c r="AO1525" s="28"/>
      <c r="AR1525" s="28"/>
      <c r="AU1525" s="28"/>
      <c r="AX1525" s="28"/>
      <c r="BA1525" s="28"/>
      <c r="BD1525" s="28"/>
      <c r="BG1525" s="28"/>
      <c r="BJ1525" s="28"/>
      <c r="BM1525" s="28"/>
      <c r="BP1525" s="28"/>
      <c r="BS1525" s="28"/>
      <c r="BV1525" s="28"/>
      <c r="BY1525" s="28"/>
      <c r="CB1525" s="28"/>
      <c r="CE1525" s="28"/>
      <c r="CH1525" s="28"/>
      <c r="CK1525" s="28"/>
      <c r="CN1525" s="28"/>
      <c r="CQ1525" s="28"/>
      <c r="CT1525" s="28"/>
      <c r="CW1525" s="28"/>
      <c r="CZ1525" s="28"/>
      <c r="DC1525" s="28"/>
      <c r="DF1525" s="28"/>
      <c r="DI1525" s="28"/>
      <c r="DL1525" s="28"/>
      <c r="DO1525" s="28"/>
      <c r="DR1525" s="28"/>
      <c r="DU1525" s="28"/>
      <c r="DX1525" s="28"/>
      <c r="EA1525" s="28"/>
      <c r="ED1525" s="28"/>
      <c r="EG1525" s="28"/>
      <c r="EJ1525" s="28"/>
      <c r="EM1525" s="28"/>
      <c r="EP1525" s="28"/>
      <c r="ES1525" s="28"/>
      <c r="EV1525" s="28"/>
      <c r="EY1525" s="28"/>
      <c r="FB1525" s="28"/>
      <c r="FE1525" s="28"/>
      <c r="FH1525" s="28"/>
      <c r="FK1525" s="28"/>
      <c r="FN1525" s="28"/>
      <c r="FQ1525" s="28"/>
      <c r="FT1525" s="28"/>
      <c r="FW1525" s="28"/>
      <c r="FZ1525" s="28"/>
      <c r="GC1525" s="28"/>
    </row>
    <row r="1526" spans="1:185" s="25" customFormat="1" x14ac:dyDescent="0.3">
      <c r="A1526" s="27"/>
      <c r="B1526" s="28"/>
      <c r="C1526" s="27"/>
      <c r="D1526" s="26"/>
      <c r="E1526" s="28"/>
      <c r="H1526" s="28"/>
      <c r="K1526" s="28"/>
      <c r="N1526" s="28"/>
      <c r="Q1526" s="28"/>
      <c r="T1526" s="28"/>
      <c r="W1526" s="28"/>
      <c r="Z1526" s="28"/>
      <c r="AC1526" s="28"/>
      <c r="AF1526" s="28"/>
      <c r="AI1526" s="28"/>
      <c r="AL1526" s="28"/>
      <c r="AO1526" s="28"/>
      <c r="AR1526" s="28"/>
      <c r="AU1526" s="28"/>
      <c r="AX1526" s="28"/>
      <c r="BA1526" s="28"/>
      <c r="BD1526" s="28"/>
      <c r="BG1526" s="28"/>
      <c r="BJ1526" s="28"/>
      <c r="BM1526" s="28"/>
      <c r="BP1526" s="28"/>
      <c r="BS1526" s="28"/>
      <c r="BV1526" s="28"/>
      <c r="BY1526" s="28"/>
      <c r="CB1526" s="28"/>
      <c r="CE1526" s="28"/>
      <c r="CH1526" s="28"/>
      <c r="CK1526" s="28"/>
      <c r="CN1526" s="28"/>
      <c r="CQ1526" s="28"/>
      <c r="CT1526" s="28"/>
      <c r="CW1526" s="28"/>
      <c r="CZ1526" s="28"/>
      <c r="DC1526" s="28"/>
      <c r="DF1526" s="28"/>
      <c r="DI1526" s="28"/>
      <c r="DL1526" s="28"/>
      <c r="DO1526" s="28"/>
      <c r="DR1526" s="28"/>
      <c r="DU1526" s="28"/>
      <c r="DX1526" s="28"/>
      <c r="EA1526" s="28"/>
      <c r="ED1526" s="28"/>
      <c r="EG1526" s="28"/>
      <c r="EJ1526" s="28"/>
      <c r="EM1526" s="28"/>
      <c r="EP1526" s="28"/>
      <c r="ES1526" s="28"/>
      <c r="EV1526" s="28"/>
      <c r="EY1526" s="28"/>
      <c r="FB1526" s="28"/>
      <c r="FE1526" s="28"/>
      <c r="FH1526" s="28"/>
      <c r="FK1526" s="28"/>
      <c r="FN1526" s="28"/>
      <c r="FQ1526" s="28"/>
      <c r="FT1526" s="28"/>
      <c r="FW1526" s="28"/>
      <c r="FZ1526" s="28"/>
      <c r="GC1526" s="28"/>
    </row>
    <row r="1527" spans="1:185" s="25" customFormat="1" x14ac:dyDescent="0.3">
      <c r="A1527" s="27"/>
      <c r="B1527" s="28"/>
      <c r="C1527" s="27"/>
      <c r="D1527" s="26"/>
      <c r="E1527" s="28"/>
      <c r="H1527" s="28"/>
      <c r="K1527" s="28"/>
      <c r="N1527" s="28"/>
      <c r="Q1527" s="28"/>
      <c r="T1527" s="28"/>
      <c r="W1527" s="28"/>
      <c r="Z1527" s="28"/>
      <c r="AC1527" s="28"/>
      <c r="AF1527" s="28"/>
      <c r="AI1527" s="28"/>
      <c r="AL1527" s="28"/>
      <c r="AO1527" s="28"/>
      <c r="AR1527" s="28"/>
      <c r="AU1527" s="28"/>
      <c r="AX1527" s="28"/>
      <c r="BA1527" s="28"/>
      <c r="BD1527" s="28"/>
      <c r="BG1527" s="28"/>
      <c r="BJ1527" s="28"/>
      <c r="BM1527" s="28"/>
      <c r="BP1527" s="28"/>
      <c r="BS1527" s="28"/>
      <c r="BV1527" s="28"/>
      <c r="BY1527" s="28"/>
      <c r="CB1527" s="28"/>
      <c r="CE1527" s="28"/>
      <c r="CH1527" s="28"/>
      <c r="CK1527" s="28"/>
      <c r="CN1527" s="28"/>
      <c r="CQ1527" s="28"/>
      <c r="CT1527" s="28"/>
      <c r="CW1527" s="28"/>
      <c r="CZ1527" s="28"/>
      <c r="DC1527" s="28"/>
      <c r="DF1527" s="28"/>
      <c r="DI1527" s="28"/>
      <c r="DL1527" s="28"/>
      <c r="DO1527" s="28"/>
      <c r="DR1527" s="28"/>
      <c r="DU1527" s="28"/>
      <c r="DX1527" s="28"/>
      <c r="EA1527" s="28"/>
      <c r="ED1527" s="28"/>
      <c r="EG1527" s="28"/>
      <c r="EJ1527" s="28"/>
      <c r="EM1527" s="28"/>
      <c r="EP1527" s="28"/>
      <c r="ES1527" s="28"/>
      <c r="EV1527" s="28"/>
      <c r="EY1527" s="28"/>
      <c r="FB1527" s="28"/>
      <c r="FE1527" s="28"/>
      <c r="FH1527" s="28"/>
      <c r="FK1527" s="28"/>
      <c r="FN1527" s="28"/>
      <c r="FQ1527" s="28"/>
      <c r="FT1527" s="28"/>
      <c r="FW1527" s="28"/>
      <c r="FZ1527" s="28"/>
      <c r="GC1527" s="28"/>
    </row>
    <row r="1528" spans="1:185" s="25" customFormat="1" x14ac:dyDescent="0.3">
      <c r="A1528" s="27"/>
      <c r="B1528" s="28"/>
      <c r="C1528" s="27"/>
      <c r="D1528" s="26"/>
      <c r="E1528" s="28"/>
      <c r="H1528" s="28"/>
      <c r="K1528" s="28"/>
      <c r="N1528" s="28"/>
      <c r="Q1528" s="28"/>
      <c r="T1528" s="28"/>
      <c r="W1528" s="28"/>
      <c r="Z1528" s="28"/>
      <c r="AC1528" s="28"/>
      <c r="AF1528" s="28"/>
      <c r="AI1528" s="28"/>
      <c r="AL1528" s="28"/>
      <c r="AO1528" s="28"/>
      <c r="AR1528" s="28"/>
      <c r="AU1528" s="28"/>
      <c r="AX1528" s="28"/>
      <c r="BA1528" s="28"/>
      <c r="BD1528" s="28"/>
      <c r="BG1528" s="28"/>
      <c r="BJ1528" s="28"/>
      <c r="BM1528" s="28"/>
      <c r="BP1528" s="28"/>
      <c r="BS1528" s="28"/>
      <c r="BV1528" s="28"/>
      <c r="BY1528" s="28"/>
      <c r="CB1528" s="28"/>
      <c r="CE1528" s="28"/>
      <c r="CH1528" s="28"/>
      <c r="CK1528" s="28"/>
      <c r="CN1528" s="28"/>
      <c r="CQ1528" s="28"/>
      <c r="CT1528" s="28"/>
      <c r="CW1528" s="28"/>
      <c r="CZ1528" s="28"/>
      <c r="DC1528" s="28"/>
      <c r="DF1528" s="28"/>
      <c r="DI1528" s="28"/>
      <c r="DL1528" s="28"/>
      <c r="DO1528" s="28"/>
      <c r="DR1528" s="28"/>
      <c r="DU1528" s="28"/>
      <c r="DX1528" s="28"/>
      <c r="EA1528" s="28"/>
      <c r="ED1528" s="28"/>
      <c r="EG1528" s="28"/>
      <c r="EJ1528" s="28"/>
      <c r="EM1528" s="28"/>
      <c r="EP1528" s="28"/>
      <c r="ES1528" s="28"/>
      <c r="EV1528" s="28"/>
      <c r="EY1528" s="28"/>
      <c r="FB1528" s="28"/>
      <c r="FE1528" s="28"/>
      <c r="FH1528" s="28"/>
      <c r="FK1528" s="28"/>
      <c r="FN1528" s="28"/>
      <c r="FQ1528" s="28"/>
      <c r="FT1528" s="28"/>
      <c r="FW1528" s="28"/>
      <c r="FZ1528" s="28"/>
      <c r="GC1528" s="28"/>
    </row>
    <row r="1529" spans="1:185" s="25" customFormat="1" x14ac:dyDescent="0.3">
      <c r="A1529" s="27"/>
      <c r="B1529" s="28"/>
      <c r="C1529" s="27"/>
      <c r="D1529" s="26"/>
      <c r="E1529" s="28"/>
      <c r="H1529" s="28"/>
      <c r="K1529" s="28"/>
      <c r="N1529" s="28"/>
      <c r="Q1529" s="28"/>
      <c r="T1529" s="28"/>
      <c r="W1529" s="28"/>
      <c r="Z1529" s="28"/>
      <c r="AC1529" s="28"/>
      <c r="AF1529" s="28"/>
      <c r="AI1529" s="28"/>
      <c r="AL1529" s="28"/>
      <c r="AO1529" s="28"/>
      <c r="AR1529" s="28"/>
      <c r="AU1529" s="28"/>
      <c r="AX1529" s="28"/>
      <c r="BA1529" s="28"/>
      <c r="BD1529" s="28"/>
      <c r="BG1529" s="28"/>
      <c r="BJ1529" s="28"/>
      <c r="BM1529" s="28"/>
      <c r="BP1529" s="28"/>
      <c r="BS1529" s="28"/>
      <c r="BV1529" s="28"/>
      <c r="BY1529" s="28"/>
      <c r="CB1529" s="28"/>
      <c r="CE1529" s="28"/>
      <c r="CH1529" s="28"/>
      <c r="CK1529" s="28"/>
      <c r="CN1529" s="28"/>
      <c r="CQ1529" s="28"/>
      <c r="CT1529" s="28"/>
      <c r="CW1529" s="28"/>
      <c r="CZ1529" s="28"/>
      <c r="DC1529" s="28"/>
      <c r="DF1529" s="28"/>
      <c r="DI1529" s="28"/>
      <c r="DL1529" s="28"/>
      <c r="DO1529" s="28"/>
      <c r="DR1529" s="28"/>
      <c r="DU1529" s="28"/>
      <c r="DX1529" s="28"/>
      <c r="EA1529" s="28"/>
      <c r="ED1529" s="28"/>
      <c r="EG1529" s="28"/>
      <c r="EJ1529" s="28"/>
      <c r="EM1529" s="28"/>
      <c r="EP1529" s="28"/>
      <c r="ES1529" s="28"/>
      <c r="EV1529" s="28"/>
      <c r="EY1529" s="28"/>
      <c r="FB1529" s="28"/>
      <c r="FE1529" s="28"/>
      <c r="FH1529" s="28"/>
      <c r="FK1529" s="28"/>
      <c r="FN1529" s="28"/>
      <c r="FQ1529" s="28"/>
      <c r="FT1529" s="28"/>
      <c r="FW1529" s="28"/>
      <c r="FZ1529" s="28"/>
      <c r="GC1529" s="28"/>
    </row>
    <row r="1530" spans="1:185" s="25" customFormat="1" x14ac:dyDescent="0.3">
      <c r="A1530" s="27"/>
      <c r="B1530" s="28"/>
      <c r="C1530" s="27"/>
      <c r="D1530" s="26"/>
      <c r="E1530" s="28"/>
      <c r="H1530" s="28"/>
      <c r="K1530" s="28"/>
      <c r="N1530" s="28"/>
      <c r="Q1530" s="28"/>
      <c r="T1530" s="28"/>
      <c r="W1530" s="28"/>
      <c r="Z1530" s="28"/>
      <c r="AC1530" s="28"/>
      <c r="AF1530" s="28"/>
      <c r="AI1530" s="28"/>
      <c r="AL1530" s="28"/>
      <c r="AO1530" s="28"/>
      <c r="AR1530" s="28"/>
      <c r="AU1530" s="28"/>
      <c r="AX1530" s="28"/>
      <c r="BA1530" s="28"/>
      <c r="BD1530" s="28"/>
      <c r="BG1530" s="28"/>
      <c r="BJ1530" s="28"/>
      <c r="BM1530" s="28"/>
      <c r="BP1530" s="28"/>
      <c r="BS1530" s="28"/>
      <c r="BV1530" s="28"/>
      <c r="BY1530" s="28"/>
      <c r="CB1530" s="28"/>
      <c r="CE1530" s="28"/>
      <c r="CH1530" s="28"/>
      <c r="CK1530" s="28"/>
      <c r="CN1530" s="28"/>
      <c r="CQ1530" s="28"/>
      <c r="CT1530" s="28"/>
      <c r="CW1530" s="28"/>
      <c r="CZ1530" s="28"/>
      <c r="DC1530" s="28"/>
      <c r="DF1530" s="28"/>
      <c r="DI1530" s="28"/>
      <c r="DL1530" s="28"/>
      <c r="DO1530" s="28"/>
      <c r="DR1530" s="28"/>
      <c r="DU1530" s="28"/>
      <c r="DX1530" s="28"/>
      <c r="EA1530" s="28"/>
      <c r="ED1530" s="28"/>
      <c r="EG1530" s="28"/>
      <c r="EJ1530" s="28"/>
      <c r="EM1530" s="28"/>
      <c r="EP1530" s="28"/>
      <c r="ES1530" s="28"/>
      <c r="EV1530" s="28"/>
      <c r="EY1530" s="28"/>
      <c r="FB1530" s="28"/>
      <c r="FE1530" s="28"/>
      <c r="FH1530" s="28"/>
      <c r="FK1530" s="28"/>
      <c r="FN1530" s="28"/>
      <c r="FQ1530" s="28"/>
      <c r="FT1530" s="28"/>
      <c r="FW1530" s="28"/>
      <c r="FZ1530" s="28"/>
      <c r="GC1530" s="28"/>
    </row>
    <row r="1531" spans="1:185" s="25" customFormat="1" x14ac:dyDescent="0.3">
      <c r="A1531" s="27"/>
      <c r="B1531" s="28"/>
      <c r="C1531" s="27"/>
      <c r="D1531" s="26"/>
      <c r="E1531" s="28"/>
      <c r="H1531" s="28"/>
      <c r="K1531" s="28"/>
      <c r="N1531" s="28"/>
      <c r="Q1531" s="28"/>
      <c r="T1531" s="28"/>
      <c r="W1531" s="28"/>
      <c r="Z1531" s="28"/>
      <c r="AC1531" s="28"/>
      <c r="AF1531" s="28"/>
      <c r="AI1531" s="28"/>
      <c r="AL1531" s="28"/>
      <c r="AO1531" s="28"/>
      <c r="AR1531" s="28"/>
      <c r="AU1531" s="28"/>
      <c r="AX1531" s="28"/>
      <c r="BA1531" s="28"/>
      <c r="BD1531" s="28"/>
      <c r="BG1531" s="28"/>
      <c r="BJ1531" s="28"/>
      <c r="BM1531" s="28"/>
      <c r="BP1531" s="28"/>
      <c r="BS1531" s="28"/>
      <c r="BV1531" s="28"/>
      <c r="BY1531" s="28"/>
      <c r="CB1531" s="28"/>
      <c r="CE1531" s="28"/>
      <c r="CH1531" s="28"/>
      <c r="CK1531" s="28"/>
      <c r="CN1531" s="28"/>
      <c r="CQ1531" s="28"/>
      <c r="CT1531" s="28"/>
      <c r="CW1531" s="28"/>
      <c r="CZ1531" s="28"/>
      <c r="DC1531" s="28"/>
      <c r="DF1531" s="28"/>
      <c r="DI1531" s="28"/>
      <c r="DL1531" s="28"/>
      <c r="DO1531" s="28"/>
      <c r="DR1531" s="28"/>
      <c r="DU1531" s="28"/>
      <c r="DX1531" s="28"/>
      <c r="EA1531" s="28"/>
      <c r="ED1531" s="28"/>
      <c r="EG1531" s="28"/>
      <c r="EJ1531" s="28"/>
      <c r="EM1531" s="28"/>
      <c r="EP1531" s="28"/>
      <c r="ES1531" s="28"/>
      <c r="EV1531" s="28"/>
      <c r="EY1531" s="28"/>
      <c r="FB1531" s="28"/>
      <c r="FE1531" s="28"/>
      <c r="FH1531" s="28"/>
      <c r="FK1531" s="28"/>
      <c r="FN1531" s="28"/>
      <c r="FQ1531" s="28"/>
      <c r="FT1531" s="28"/>
      <c r="FW1531" s="28"/>
      <c r="FZ1531" s="28"/>
      <c r="GC1531" s="28"/>
    </row>
    <row r="1532" spans="1:185" s="25" customFormat="1" x14ac:dyDescent="0.3">
      <c r="A1532" s="27"/>
      <c r="B1532" s="28"/>
      <c r="C1532" s="27"/>
      <c r="D1532" s="26"/>
      <c r="E1532" s="28"/>
      <c r="H1532" s="28"/>
      <c r="K1532" s="28"/>
      <c r="N1532" s="28"/>
      <c r="Q1532" s="28"/>
      <c r="T1532" s="28"/>
      <c r="W1532" s="28"/>
      <c r="Z1532" s="28"/>
      <c r="AC1532" s="28"/>
      <c r="AF1532" s="28"/>
      <c r="AI1532" s="28"/>
      <c r="AL1532" s="28"/>
      <c r="AO1532" s="28"/>
      <c r="AR1532" s="28"/>
      <c r="AU1532" s="28"/>
      <c r="AX1532" s="28"/>
      <c r="BA1532" s="28"/>
      <c r="BD1532" s="28"/>
      <c r="BG1532" s="28"/>
      <c r="BJ1532" s="28"/>
      <c r="BM1532" s="28"/>
      <c r="BP1532" s="28"/>
      <c r="BS1532" s="28"/>
      <c r="BV1532" s="28"/>
      <c r="BY1532" s="28"/>
      <c r="CB1532" s="28"/>
      <c r="CE1532" s="28"/>
      <c r="CH1532" s="28"/>
      <c r="CK1532" s="28"/>
      <c r="CN1532" s="28"/>
      <c r="CQ1532" s="28"/>
      <c r="CT1532" s="28"/>
      <c r="CW1532" s="28"/>
      <c r="CZ1532" s="28"/>
      <c r="DC1532" s="28"/>
      <c r="DF1532" s="28"/>
      <c r="DI1532" s="28"/>
      <c r="DL1532" s="28"/>
      <c r="DO1532" s="28"/>
      <c r="DR1532" s="28"/>
      <c r="DU1532" s="28"/>
      <c r="DX1532" s="28"/>
      <c r="EA1532" s="28"/>
      <c r="ED1532" s="28"/>
      <c r="EG1532" s="28"/>
      <c r="EJ1532" s="28"/>
      <c r="EM1532" s="28"/>
      <c r="EP1532" s="28"/>
      <c r="ES1532" s="28"/>
      <c r="EV1532" s="28"/>
      <c r="EY1532" s="28"/>
      <c r="FB1532" s="28"/>
      <c r="FE1532" s="28"/>
      <c r="FH1532" s="28"/>
      <c r="FK1532" s="28"/>
      <c r="FN1532" s="28"/>
      <c r="FQ1532" s="28"/>
      <c r="FT1532" s="28"/>
      <c r="FW1532" s="28"/>
      <c r="FZ1532" s="28"/>
      <c r="GC1532" s="28"/>
    </row>
    <row r="1533" spans="1:185" s="25" customFormat="1" x14ac:dyDescent="0.3">
      <c r="A1533" s="27"/>
      <c r="B1533" s="28"/>
      <c r="C1533" s="27"/>
      <c r="D1533" s="26"/>
      <c r="E1533" s="28"/>
      <c r="H1533" s="28"/>
      <c r="K1533" s="28"/>
      <c r="N1533" s="28"/>
      <c r="Q1533" s="28"/>
      <c r="T1533" s="28"/>
      <c r="W1533" s="28"/>
      <c r="Z1533" s="28"/>
      <c r="AC1533" s="28"/>
      <c r="AF1533" s="28"/>
      <c r="AI1533" s="28"/>
      <c r="AL1533" s="28"/>
      <c r="AO1533" s="28"/>
      <c r="AR1533" s="28"/>
      <c r="AU1533" s="28"/>
      <c r="AX1533" s="28"/>
      <c r="BA1533" s="28"/>
      <c r="BD1533" s="28"/>
      <c r="BG1533" s="28"/>
      <c r="BJ1533" s="28"/>
      <c r="BM1533" s="28"/>
      <c r="BP1533" s="28"/>
      <c r="BS1533" s="28"/>
      <c r="BV1533" s="28"/>
      <c r="BY1533" s="28"/>
      <c r="CB1533" s="28"/>
      <c r="CE1533" s="28"/>
      <c r="CH1533" s="28"/>
      <c r="CK1533" s="28"/>
      <c r="CN1533" s="28"/>
      <c r="CQ1533" s="28"/>
      <c r="CT1533" s="28"/>
      <c r="CW1533" s="28"/>
      <c r="CZ1533" s="28"/>
      <c r="DC1533" s="28"/>
      <c r="DF1533" s="28"/>
      <c r="DI1533" s="28"/>
      <c r="DL1533" s="28"/>
      <c r="DO1533" s="28"/>
      <c r="DR1533" s="28"/>
      <c r="DU1533" s="28"/>
      <c r="DX1533" s="28"/>
      <c r="EA1533" s="28"/>
      <c r="ED1533" s="28"/>
      <c r="EG1533" s="28"/>
      <c r="EJ1533" s="28"/>
      <c r="EM1533" s="28"/>
      <c r="EP1533" s="28"/>
      <c r="ES1533" s="28"/>
      <c r="EV1533" s="28"/>
      <c r="EY1533" s="28"/>
      <c r="FB1533" s="28"/>
      <c r="FE1533" s="28"/>
      <c r="FH1533" s="28"/>
      <c r="FK1533" s="28"/>
      <c r="FN1533" s="28"/>
      <c r="FQ1533" s="28"/>
      <c r="FT1533" s="28"/>
      <c r="FW1533" s="28"/>
      <c r="FZ1533" s="28"/>
      <c r="GC1533" s="28"/>
    </row>
    <row r="1534" spans="1:185" s="25" customFormat="1" x14ac:dyDescent="0.3">
      <c r="A1534" s="27"/>
      <c r="B1534" s="28"/>
      <c r="C1534" s="27"/>
      <c r="D1534" s="26"/>
      <c r="E1534" s="28"/>
      <c r="H1534" s="28"/>
      <c r="K1534" s="28"/>
      <c r="N1534" s="28"/>
      <c r="Q1534" s="28"/>
      <c r="T1534" s="28"/>
      <c r="W1534" s="28"/>
      <c r="Z1534" s="28"/>
      <c r="AC1534" s="28"/>
      <c r="AF1534" s="28"/>
      <c r="AI1534" s="28"/>
      <c r="AL1534" s="28"/>
      <c r="AO1534" s="28"/>
      <c r="AR1534" s="28"/>
      <c r="AU1534" s="28"/>
      <c r="AX1534" s="28"/>
      <c r="BA1534" s="28"/>
      <c r="BD1534" s="28"/>
      <c r="BG1534" s="28"/>
      <c r="BJ1534" s="28"/>
      <c r="BM1534" s="28"/>
      <c r="BP1534" s="28"/>
      <c r="BS1534" s="28"/>
      <c r="BV1534" s="28"/>
      <c r="BY1534" s="28"/>
      <c r="CB1534" s="28"/>
      <c r="CE1534" s="28"/>
      <c r="CH1534" s="28"/>
      <c r="CK1534" s="28"/>
      <c r="CN1534" s="28"/>
      <c r="CQ1534" s="28"/>
      <c r="CT1534" s="28"/>
      <c r="CW1534" s="28"/>
      <c r="CZ1534" s="28"/>
      <c r="DC1534" s="28"/>
      <c r="DF1534" s="28"/>
      <c r="DI1534" s="28"/>
      <c r="DL1534" s="28"/>
      <c r="DO1534" s="28"/>
      <c r="DR1534" s="28"/>
      <c r="DU1534" s="28"/>
      <c r="DX1534" s="28"/>
      <c r="EA1534" s="28"/>
      <c r="ED1534" s="28"/>
      <c r="EG1534" s="28"/>
      <c r="EJ1534" s="28"/>
      <c r="EM1534" s="28"/>
      <c r="EP1534" s="28"/>
      <c r="ES1534" s="28"/>
      <c r="EV1534" s="28"/>
      <c r="EY1534" s="28"/>
      <c r="FB1534" s="28"/>
      <c r="FE1534" s="28"/>
      <c r="FH1534" s="28"/>
      <c r="FK1534" s="28"/>
      <c r="FN1534" s="28"/>
      <c r="FQ1534" s="28"/>
      <c r="FT1534" s="28"/>
      <c r="FW1534" s="28"/>
      <c r="FZ1534" s="28"/>
      <c r="GC1534" s="28"/>
    </row>
    <row r="1535" spans="1:185" s="25" customFormat="1" x14ac:dyDescent="0.3">
      <c r="A1535" s="27"/>
      <c r="B1535" s="28"/>
      <c r="C1535" s="27"/>
      <c r="D1535" s="26"/>
      <c r="E1535" s="28"/>
      <c r="H1535" s="28"/>
      <c r="K1535" s="28"/>
      <c r="N1535" s="28"/>
      <c r="Q1535" s="28"/>
      <c r="T1535" s="28"/>
      <c r="W1535" s="28"/>
      <c r="Z1535" s="28"/>
      <c r="AC1535" s="28"/>
      <c r="AF1535" s="28"/>
      <c r="AI1535" s="28"/>
      <c r="AL1535" s="28"/>
      <c r="AO1535" s="28"/>
      <c r="AR1535" s="28"/>
      <c r="AU1535" s="28"/>
      <c r="AX1535" s="28"/>
      <c r="BA1535" s="28"/>
      <c r="BD1535" s="28"/>
      <c r="BG1535" s="28"/>
      <c r="BJ1535" s="28"/>
      <c r="BM1535" s="28"/>
      <c r="BP1535" s="28"/>
      <c r="BS1535" s="28"/>
      <c r="BV1535" s="28"/>
      <c r="BY1535" s="28"/>
      <c r="CB1535" s="28"/>
      <c r="CE1535" s="28"/>
      <c r="CH1535" s="28"/>
      <c r="CK1535" s="28"/>
      <c r="CN1535" s="28"/>
      <c r="CQ1535" s="28"/>
      <c r="CT1535" s="28"/>
      <c r="CW1535" s="28"/>
      <c r="CZ1535" s="28"/>
      <c r="DC1535" s="28"/>
      <c r="DF1535" s="28"/>
      <c r="DI1535" s="28"/>
      <c r="DL1535" s="28"/>
      <c r="DO1535" s="28"/>
      <c r="DR1535" s="28"/>
      <c r="DU1535" s="28"/>
      <c r="DX1535" s="28"/>
      <c r="EA1535" s="28"/>
      <c r="ED1535" s="28"/>
      <c r="EG1535" s="28"/>
      <c r="EJ1535" s="28"/>
      <c r="EM1535" s="28"/>
      <c r="EP1535" s="28"/>
      <c r="ES1535" s="28"/>
      <c r="EV1535" s="28"/>
      <c r="EY1535" s="28"/>
      <c r="FB1535" s="28"/>
      <c r="FE1535" s="28"/>
      <c r="FH1535" s="28"/>
      <c r="FK1535" s="28"/>
      <c r="FN1535" s="28"/>
      <c r="FQ1535" s="28"/>
      <c r="FT1535" s="28"/>
      <c r="FW1535" s="28"/>
      <c r="FZ1535" s="28"/>
      <c r="GC1535" s="28"/>
    </row>
    <row r="1536" spans="1:185" s="25" customFormat="1" x14ac:dyDescent="0.3">
      <c r="A1536" s="27"/>
      <c r="B1536" s="28"/>
      <c r="C1536" s="27"/>
      <c r="D1536" s="26"/>
      <c r="E1536" s="28"/>
      <c r="H1536" s="28"/>
      <c r="K1536" s="28"/>
      <c r="N1536" s="28"/>
      <c r="Q1536" s="28"/>
      <c r="T1536" s="28"/>
      <c r="W1536" s="28"/>
      <c r="Z1536" s="28"/>
      <c r="AC1536" s="28"/>
      <c r="AF1536" s="28"/>
      <c r="AI1536" s="28"/>
      <c r="AL1536" s="28"/>
      <c r="AO1536" s="28"/>
      <c r="AR1536" s="28"/>
      <c r="AU1536" s="28"/>
      <c r="AX1536" s="28"/>
      <c r="BA1536" s="28"/>
      <c r="BD1536" s="28"/>
      <c r="BG1536" s="28"/>
      <c r="BJ1536" s="28"/>
      <c r="BM1536" s="28"/>
      <c r="BP1536" s="28"/>
      <c r="BS1536" s="28"/>
      <c r="BV1536" s="28"/>
      <c r="BY1536" s="28"/>
      <c r="CB1536" s="28"/>
      <c r="CE1536" s="28"/>
      <c r="CH1536" s="28"/>
      <c r="CK1536" s="28"/>
      <c r="CN1536" s="28"/>
      <c r="CQ1536" s="28"/>
      <c r="CT1536" s="28"/>
      <c r="CW1536" s="28"/>
      <c r="CZ1536" s="28"/>
      <c r="DC1536" s="28"/>
      <c r="DF1536" s="28"/>
      <c r="DI1536" s="28"/>
      <c r="DL1536" s="28"/>
      <c r="DO1536" s="28"/>
      <c r="DR1536" s="28"/>
      <c r="DU1536" s="28"/>
      <c r="DX1536" s="28"/>
      <c r="EA1536" s="28"/>
      <c r="ED1536" s="28"/>
      <c r="EG1536" s="28"/>
      <c r="EJ1536" s="28"/>
      <c r="EM1536" s="28"/>
      <c r="EP1536" s="28"/>
      <c r="ES1536" s="28"/>
      <c r="EV1536" s="28"/>
      <c r="EY1536" s="28"/>
      <c r="FB1536" s="28"/>
      <c r="FE1536" s="28"/>
      <c r="FH1536" s="28"/>
      <c r="FK1536" s="28"/>
      <c r="FN1536" s="28"/>
      <c r="FQ1536" s="28"/>
      <c r="FT1536" s="28"/>
      <c r="FW1536" s="28"/>
      <c r="FZ1536" s="28"/>
      <c r="GC1536" s="28"/>
    </row>
    <row r="1537" spans="1:185" s="25" customFormat="1" x14ac:dyDescent="0.3">
      <c r="A1537" s="27"/>
      <c r="B1537" s="28"/>
      <c r="C1537" s="27"/>
      <c r="D1537" s="26"/>
      <c r="E1537" s="28"/>
      <c r="H1537" s="28"/>
      <c r="K1537" s="28"/>
      <c r="N1537" s="28"/>
      <c r="Q1537" s="28"/>
      <c r="T1537" s="28"/>
      <c r="W1537" s="28"/>
      <c r="Z1537" s="28"/>
      <c r="AC1537" s="28"/>
      <c r="AF1537" s="28"/>
      <c r="AI1537" s="28"/>
      <c r="AL1537" s="28"/>
      <c r="AO1537" s="28"/>
      <c r="AR1537" s="28"/>
      <c r="AU1537" s="28"/>
      <c r="AX1537" s="28"/>
      <c r="BA1537" s="28"/>
      <c r="BD1537" s="28"/>
      <c r="BG1537" s="28"/>
      <c r="BJ1537" s="28"/>
      <c r="BM1537" s="28"/>
      <c r="BP1537" s="28"/>
      <c r="BS1537" s="28"/>
      <c r="BV1537" s="28"/>
      <c r="BY1537" s="28"/>
      <c r="CB1537" s="28"/>
      <c r="CE1537" s="28"/>
      <c r="CH1537" s="28"/>
      <c r="CK1537" s="28"/>
      <c r="CN1537" s="28"/>
      <c r="CQ1537" s="28"/>
      <c r="CT1537" s="28"/>
      <c r="CW1537" s="28"/>
      <c r="CZ1537" s="28"/>
      <c r="DC1537" s="28"/>
      <c r="DF1537" s="28"/>
      <c r="DI1537" s="28"/>
      <c r="DL1537" s="28"/>
      <c r="DO1537" s="28"/>
      <c r="DR1537" s="28"/>
      <c r="DU1537" s="28"/>
      <c r="DX1537" s="28"/>
      <c r="EA1537" s="28"/>
      <c r="ED1537" s="28"/>
      <c r="EG1537" s="28"/>
      <c r="EJ1537" s="28"/>
      <c r="EM1537" s="28"/>
      <c r="EP1537" s="28"/>
      <c r="ES1537" s="28"/>
      <c r="EV1537" s="28"/>
      <c r="EY1537" s="28"/>
      <c r="FB1537" s="28"/>
      <c r="FE1537" s="28"/>
      <c r="FH1537" s="28"/>
      <c r="FK1537" s="28"/>
      <c r="FN1537" s="28"/>
      <c r="FQ1537" s="28"/>
      <c r="FT1537" s="28"/>
      <c r="FW1537" s="28"/>
      <c r="FZ1537" s="28"/>
      <c r="GC1537" s="28"/>
    </row>
    <row r="1538" spans="1:185" s="25" customFormat="1" x14ac:dyDescent="0.3">
      <c r="A1538" s="27"/>
      <c r="B1538" s="28"/>
      <c r="C1538" s="27"/>
      <c r="D1538" s="26"/>
      <c r="E1538" s="28"/>
      <c r="H1538" s="28"/>
      <c r="K1538" s="28"/>
      <c r="N1538" s="28"/>
      <c r="Q1538" s="28"/>
      <c r="T1538" s="28"/>
      <c r="W1538" s="28"/>
      <c r="Z1538" s="28"/>
      <c r="AC1538" s="28"/>
      <c r="AF1538" s="28"/>
      <c r="AI1538" s="28"/>
      <c r="AL1538" s="28"/>
      <c r="AO1538" s="28"/>
      <c r="AR1538" s="28"/>
      <c r="AU1538" s="28"/>
      <c r="AX1538" s="28"/>
      <c r="BA1538" s="28"/>
      <c r="BD1538" s="28"/>
      <c r="BG1538" s="28"/>
      <c r="BJ1538" s="28"/>
      <c r="BM1538" s="28"/>
      <c r="BP1538" s="28"/>
      <c r="BS1538" s="28"/>
      <c r="BV1538" s="28"/>
      <c r="BY1538" s="28"/>
      <c r="CB1538" s="28"/>
      <c r="CE1538" s="28"/>
      <c r="CH1538" s="28"/>
      <c r="CK1538" s="28"/>
      <c r="CN1538" s="28"/>
      <c r="CQ1538" s="28"/>
      <c r="CT1538" s="28"/>
      <c r="CW1538" s="28"/>
      <c r="CZ1538" s="28"/>
      <c r="DC1538" s="28"/>
      <c r="DF1538" s="28"/>
      <c r="DI1538" s="28"/>
      <c r="DL1538" s="28"/>
      <c r="DO1538" s="28"/>
      <c r="DR1538" s="28"/>
      <c r="DU1538" s="28"/>
      <c r="DX1538" s="28"/>
      <c r="EA1538" s="28"/>
      <c r="ED1538" s="28"/>
      <c r="EG1538" s="28"/>
      <c r="EJ1538" s="28"/>
      <c r="EM1538" s="28"/>
      <c r="EP1538" s="28"/>
      <c r="ES1538" s="28"/>
      <c r="EV1538" s="28"/>
      <c r="EY1538" s="28"/>
      <c r="FB1538" s="28"/>
      <c r="FE1538" s="28"/>
      <c r="FH1538" s="28"/>
      <c r="FK1538" s="28"/>
      <c r="FN1538" s="28"/>
      <c r="FQ1538" s="28"/>
      <c r="FT1538" s="28"/>
      <c r="FW1538" s="28"/>
      <c r="FZ1538" s="28"/>
      <c r="GC1538" s="28"/>
    </row>
    <row r="1539" spans="1:185" s="25" customFormat="1" x14ac:dyDescent="0.3">
      <c r="A1539" s="27"/>
      <c r="B1539" s="28"/>
      <c r="C1539" s="27"/>
      <c r="D1539" s="26"/>
      <c r="E1539" s="28"/>
      <c r="H1539" s="28"/>
      <c r="K1539" s="28"/>
      <c r="N1539" s="28"/>
      <c r="Q1539" s="28"/>
      <c r="T1539" s="28"/>
      <c r="W1539" s="28"/>
      <c r="Z1539" s="28"/>
      <c r="AC1539" s="28"/>
      <c r="AF1539" s="28"/>
      <c r="AI1539" s="28"/>
      <c r="AL1539" s="28"/>
      <c r="AO1539" s="28"/>
      <c r="AR1539" s="28"/>
      <c r="AU1539" s="28"/>
      <c r="AX1539" s="28"/>
      <c r="BA1539" s="28"/>
      <c r="BD1539" s="28"/>
      <c r="BG1539" s="28"/>
      <c r="BJ1539" s="28"/>
      <c r="BM1539" s="28"/>
      <c r="BP1539" s="28"/>
      <c r="BS1539" s="28"/>
      <c r="BV1539" s="28"/>
      <c r="BY1539" s="28"/>
      <c r="CB1539" s="28"/>
      <c r="CE1539" s="28"/>
      <c r="CH1539" s="28"/>
      <c r="CK1539" s="28"/>
      <c r="CN1539" s="28"/>
      <c r="CQ1539" s="28"/>
      <c r="CT1539" s="28"/>
      <c r="CW1539" s="28"/>
      <c r="CZ1539" s="28"/>
      <c r="DC1539" s="28"/>
      <c r="DF1539" s="28"/>
      <c r="DI1539" s="28"/>
      <c r="DL1539" s="28"/>
      <c r="DO1539" s="28"/>
      <c r="DR1539" s="28"/>
      <c r="DU1539" s="28"/>
      <c r="DX1539" s="28"/>
      <c r="EA1539" s="28"/>
      <c r="ED1539" s="28"/>
      <c r="EG1539" s="28"/>
      <c r="EJ1539" s="28"/>
      <c r="EM1539" s="28"/>
      <c r="EP1539" s="28"/>
      <c r="ES1539" s="28"/>
      <c r="EV1539" s="28"/>
      <c r="EY1539" s="28"/>
      <c r="FB1539" s="28"/>
      <c r="FE1539" s="28"/>
      <c r="FH1539" s="28"/>
      <c r="FK1539" s="28"/>
      <c r="FN1539" s="28"/>
      <c r="FQ1539" s="28"/>
      <c r="FT1539" s="28"/>
      <c r="FW1539" s="28"/>
      <c r="FZ1539" s="28"/>
      <c r="GC1539" s="28"/>
    </row>
    <row r="1540" spans="1:185" s="25" customFormat="1" x14ac:dyDescent="0.3">
      <c r="A1540" s="27"/>
      <c r="B1540" s="28"/>
      <c r="C1540" s="27"/>
      <c r="D1540" s="26"/>
      <c r="E1540" s="28"/>
      <c r="H1540" s="28"/>
      <c r="K1540" s="28"/>
      <c r="N1540" s="28"/>
      <c r="Q1540" s="28"/>
      <c r="T1540" s="28"/>
      <c r="W1540" s="28"/>
      <c r="Z1540" s="28"/>
      <c r="AC1540" s="28"/>
      <c r="AF1540" s="28"/>
      <c r="AI1540" s="28"/>
      <c r="AL1540" s="28"/>
      <c r="AO1540" s="28"/>
      <c r="AR1540" s="28"/>
      <c r="AU1540" s="28"/>
      <c r="AX1540" s="28"/>
      <c r="BA1540" s="28"/>
      <c r="BD1540" s="28"/>
      <c r="BG1540" s="28"/>
      <c r="BJ1540" s="28"/>
      <c r="BM1540" s="28"/>
      <c r="BP1540" s="28"/>
      <c r="BS1540" s="28"/>
      <c r="BV1540" s="28"/>
      <c r="BY1540" s="28"/>
      <c r="CB1540" s="28"/>
      <c r="CE1540" s="28"/>
      <c r="CH1540" s="28"/>
      <c r="CK1540" s="28"/>
      <c r="CN1540" s="28"/>
      <c r="CQ1540" s="28"/>
      <c r="CT1540" s="28"/>
      <c r="CW1540" s="28"/>
      <c r="CZ1540" s="28"/>
      <c r="DC1540" s="28"/>
      <c r="DF1540" s="28"/>
      <c r="DI1540" s="28"/>
      <c r="DL1540" s="28"/>
      <c r="DO1540" s="28"/>
      <c r="DR1540" s="28"/>
      <c r="DU1540" s="28"/>
      <c r="DX1540" s="28"/>
      <c r="EA1540" s="28"/>
      <c r="ED1540" s="28"/>
      <c r="EG1540" s="28"/>
      <c r="EJ1540" s="28"/>
      <c r="EM1540" s="28"/>
      <c r="EP1540" s="28"/>
      <c r="ES1540" s="28"/>
      <c r="EV1540" s="28"/>
      <c r="EY1540" s="28"/>
      <c r="FB1540" s="28"/>
      <c r="FE1540" s="28"/>
      <c r="FH1540" s="28"/>
      <c r="FK1540" s="28"/>
      <c r="FN1540" s="28"/>
      <c r="FQ1540" s="28"/>
      <c r="FT1540" s="28"/>
      <c r="FW1540" s="28"/>
      <c r="FZ1540" s="28"/>
      <c r="GC1540" s="28"/>
    </row>
    <row r="1541" spans="1:185" s="25" customFormat="1" x14ac:dyDescent="0.3">
      <c r="A1541" s="27"/>
      <c r="B1541" s="28"/>
      <c r="C1541" s="27"/>
      <c r="D1541" s="26"/>
      <c r="E1541" s="28"/>
      <c r="H1541" s="28"/>
      <c r="K1541" s="28"/>
      <c r="N1541" s="28"/>
      <c r="Q1541" s="28"/>
      <c r="T1541" s="28"/>
      <c r="W1541" s="28"/>
      <c r="Z1541" s="28"/>
      <c r="AC1541" s="28"/>
      <c r="AF1541" s="28"/>
      <c r="AI1541" s="28"/>
      <c r="AL1541" s="28"/>
      <c r="AO1541" s="28"/>
      <c r="AR1541" s="28"/>
      <c r="AU1541" s="28"/>
      <c r="AX1541" s="28"/>
      <c r="BA1541" s="28"/>
      <c r="BD1541" s="28"/>
      <c r="BG1541" s="28"/>
      <c r="BJ1541" s="28"/>
      <c r="BM1541" s="28"/>
      <c r="BP1541" s="28"/>
      <c r="BS1541" s="28"/>
      <c r="BV1541" s="28"/>
      <c r="BY1541" s="28"/>
      <c r="CB1541" s="28"/>
      <c r="CE1541" s="28"/>
      <c r="CH1541" s="28"/>
      <c r="CK1541" s="28"/>
      <c r="CN1541" s="28"/>
      <c r="CQ1541" s="28"/>
      <c r="CT1541" s="28"/>
      <c r="CW1541" s="28"/>
      <c r="CZ1541" s="28"/>
      <c r="DC1541" s="28"/>
      <c r="DF1541" s="28"/>
      <c r="DI1541" s="28"/>
      <c r="DL1541" s="28"/>
      <c r="DO1541" s="28"/>
      <c r="DR1541" s="28"/>
      <c r="DU1541" s="28"/>
      <c r="DX1541" s="28"/>
      <c r="EA1541" s="28"/>
      <c r="ED1541" s="28"/>
      <c r="EG1541" s="28"/>
      <c r="EJ1541" s="28"/>
      <c r="EM1541" s="28"/>
      <c r="EP1541" s="28"/>
      <c r="ES1541" s="28"/>
      <c r="EV1541" s="28"/>
      <c r="EY1541" s="28"/>
      <c r="FB1541" s="28"/>
      <c r="FE1541" s="28"/>
      <c r="FH1541" s="28"/>
      <c r="FK1541" s="28"/>
      <c r="FN1541" s="28"/>
      <c r="FQ1541" s="28"/>
      <c r="FT1541" s="28"/>
      <c r="FW1541" s="28"/>
      <c r="FZ1541" s="28"/>
      <c r="GC1541" s="28"/>
    </row>
    <row r="1542" spans="1:185" s="25" customFormat="1" x14ac:dyDescent="0.3">
      <c r="A1542" s="27"/>
      <c r="B1542" s="28"/>
      <c r="C1542" s="27"/>
      <c r="D1542" s="26"/>
      <c r="E1542" s="28"/>
      <c r="H1542" s="28"/>
      <c r="K1542" s="28"/>
      <c r="N1542" s="28"/>
      <c r="Q1542" s="28"/>
      <c r="T1542" s="28"/>
      <c r="W1542" s="28"/>
      <c r="Z1542" s="28"/>
      <c r="AC1542" s="28"/>
      <c r="AF1542" s="28"/>
      <c r="AI1542" s="28"/>
      <c r="AL1542" s="28"/>
      <c r="AO1542" s="28"/>
      <c r="AR1542" s="28"/>
      <c r="AU1542" s="28"/>
      <c r="AX1542" s="28"/>
      <c r="BA1542" s="28"/>
      <c r="BD1542" s="28"/>
      <c r="BG1542" s="28"/>
      <c r="BJ1542" s="28"/>
      <c r="BM1542" s="28"/>
      <c r="BP1542" s="28"/>
      <c r="BS1542" s="28"/>
      <c r="BV1542" s="28"/>
      <c r="BY1542" s="28"/>
      <c r="CB1542" s="28"/>
      <c r="CE1542" s="28"/>
      <c r="CH1542" s="28"/>
      <c r="CK1542" s="28"/>
      <c r="CN1542" s="28"/>
      <c r="CQ1542" s="28"/>
      <c r="CT1542" s="28"/>
      <c r="CW1542" s="28"/>
      <c r="CZ1542" s="28"/>
      <c r="DC1542" s="28"/>
      <c r="DF1542" s="28"/>
      <c r="DI1542" s="28"/>
      <c r="DL1542" s="28"/>
      <c r="DO1542" s="28"/>
      <c r="DR1542" s="28"/>
      <c r="DU1542" s="28"/>
      <c r="DX1542" s="28"/>
      <c r="EA1542" s="28"/>
      <c r="ED1542" s="28"/>
      <c r="EG1542" s="28"/>
      <c r="EJ1542" s="28"/>
      <c r="EM1542" s="28"/>
      <c r="EP1542" s="28"/>
      <c r="ES1542" s="28"/>
      <c r="EV1542" s="28"/>
      <c r="EY1542" s="28"/>
      <c r="FB1542" s="28"/>
      <c r="FE1542" s="28"/>
      <c r="FH1542" s="28"/>
      <c r="FK1542" s="28"/>
      <c r="FN1542" s="28"/>
      <c r="FQ1542" s="28"/>
      <c r="FT1542" s="28"/>
      <c r="FW1542" s="28"/>
      <c r="FZ1542" s="28"/>
      <c r="GC1542" s="28"/>
    </row>
    <row r="1543" spans="1:185" s="25" customFormat="1" x14ac:dyDescent="0.3">
      <c r="A1543" s="27"/>
      <c r="B1543" s="28"/>
      <c r="C1543" s="27"/>
      <c r="D1543" s="26"/>
      <c r="E1543" s="28"/>
      <c r="H1543" s="28"/>
      <c r="K1543" s="28"/>
      <c r="N1543" s="28"/>
      <c r="Q1543" s="28"/>
      <c r="T1543" s="28"/>
      <c r="W1543" s="28"/>
      <c r="Z1543" s="28"/>
      <c r="AC1543" s="28"/>
      <c r="AF1543" s="28"/>
      <c r="AI1543" s="28"/>
      <c r="AL1543" s="28"/>
      <c r="AO1543" s="28"/>
      <c r="AR1543" s="28"/>
      <c r="AU1543" s="28"/>
      <c r="AX1543" s="28"/>
      <c r="BA1543" s="28"/>
      <c r="BD1543" s="28"/>
      <c r="BG1543" s="28"/>
      <c r="BJ1543" s="28"/>
      <c r="BM1543" s="28"/>
      <c r="BP1543" s="28"/>
      <c r="BS1543" s="28"/>
      <c r="BV1543" s="28"/>
      <c r="BY1543" s="28"/>
      <c r="CB1543" s="28"/>
      <c r="CE1543" s="28"/>
      <c r="CH1543" s="28"/>
      <c r="CK1543" s="28"/>
      <c r="CN1543" s="28"/>
      <c r="CQ1543" s="28"/>
      <c r="CT1543" s="28"/>
      <c r="CW1543" s="28"/>
      <c r="CZ1543" s="28"/>
      <c r="DC1543" s="28"/>
      <c r="DF1543" s="28"/>
      <c r="DI1543" s="28"/>
      <c r="DL1543" s="28"/>
      <c r="DO1543" s="28"/>
      <c r="DR1543" s="28"/>
      <c r="DU1543" s="28"/>
      <c r="DX1543" s="28"/>
      <c r="EA1543" s="28"/>
      <c r="ED1543" s="28"/>
      <c r="EG1543" s="28"/>
      <c r="EJ1543" s="28"/>
      <c r="EM1543" s="28"/>
      <c r="EP1543" s="28"/>
      <c r="ES1543" s="28"/>
      <c r="EV1543" s="28"/>
      <c r="EY1543" s="28"/>
      <c r="FB1543" s="28"/>
      <c r="FE1543" s="28"/>
      <c r="FH1543" s="28"/>
      <c r="FK1543" s="28"/>
      <c r="FN1543" s="28"/>
      <c r="FQ1543" s="28"/>
      <c r="FT1543" s="28"/>
      <c r="FW1543" s="28"/>
      <c r="FZ1543" s="28"/>
      <c r="GC1543" s="28"/>
    </row>
    <row r="1544" spans="1:185" s="25" customFormat="1" x14ac:dyDescent="0.3">
      <c r="A1544" s="27"/>
      <c r="B1544" s="28"/>
      <c r="C1544" s="27"/>
      <c r="D1544" s="26"/>
      <c r="E1544" s="28"/>
      <c r="H1544" s="28"/>
      <c r="K1544" s="28"/>
      <c r="N1544" s="28"/>
      <c r="Q1544" s="28"/>
      <c r="T1544" s="28"/>
      <c r="W1544" s="28"/>
      <c r="Z1544" s="28"/>
      <c r="AC1544" s="28"/>
      <c r="AF1544" s="28"/>
      <c r="AI1544" s="28"/>
      <c r="AL1544" s="28"/>
      <c r="AO1544" s="28"/>
      <c r="AR1544" s="28"/>
      <c r="AU1544" s="28"/>
      <c r="AX1544" s="28"/>
      <c r="BA1544" s="28"/>
      <c r="BD1544" s="28"/>
      <c r="BG1544" s="28"/>
      <c r="BJ1544" s="28"/>
      <c r="BM1544" s="28"/>
      <c r="BP1544" s="28"/>
      <c r="BS1544" s="28"/>
      <c r="BV1544" s="28"/>
      <c r="BY1544" s="28"/>
      <c r="CB1544" s="28"/>
      <c r="CE1544" s="28"/>
      <c r="CH1544" s="28"/>
      <c r="CK1544" s="28"/>
      <c r="CN1544" s="28"/>
      <c r="CQ1544" s="28"/>
      <c r="CT1544" s="28"/>
      <c r="CW1544" s="28"/>
      <c r="CZ1544" s="28"/>
      <c r="DC1544" s="28"/>
      <c r="DF1544" s="28"/>
      <c r="DI1544" s="28"/>
      <c r="DL1544" s="28"/>
      <c r="DO1544" s="28"/>
      <c r="DR1544" s="28"/>
      <c r="DU1544" s="28"/>
      <c r="DX1544" s="28"/>
      <c r="EA1544" s="28"/>
      <c r="ED1544" s="28"/>
      <c r="EG1544" s="28"/>
      <c r="EJ1544" s="28"/>
      <c r="EM1544" s="28"/>
      <c r="EP1544" s="28"/>
      <c r="ES1544" s="28"/>
      <c r="EV1544" s="28"/>
      <c r="EY1544" s="28"/>
      <c r="FB1544" s="28"/>
      <c r="FE1544" s="28"/>
      <c r="FH1544" s="28"/>
      <c r="FK1544" s="28"/>
      <c r="FN1544" s="28"/>
      <c r="FQ1544" s="28"/>
      <c r="FT1544" s="28"/>
      <c r="FW1544" s="28"/>
      <c r="FZ1544" s="28"/>
      <c r="GC1544" s="28"/>
    </row>
    <row r="1545" spans="1:185" s="25" customFormat="1" x14ac:dyDescent="0.3">
      <c r="A1545" s="27"/>
      <c r="B1545" s="28"/>
      <c r="C1545" s="27"/>
      <c r="D1545" s="26"/>
      <c r="E1545" s="28"/>
      <c r="H1545" s="28"/>
      <c r="K1545" s="28"/>
      <c r="N1545" s="28"/>
      <c r="Q1545" s="28"/>
      <c r="T1545" s="28"/>
      <c r="W1545" s="28"/>
      <c r="Z1545" s="28"/>
      <c r="AC1545" s="28"/>
      <c r="AF1545" s="28"/>
      <c r="AI1545" s="28"/>
      <c r="AL1545" s="28"/>
      <c r="AO1545" s="28"/>
      <c r="AR1545" s="28"/>
      <c r="AU1545" s="28"/>
      <c r="AX1545" s="28"/>
      <c r="BA1545" s="28"/>
      <c r="BD1545" s="28"/>
      <c r="BG1545" s="28"/>
      <c r="BJ1545" s="28"/>
      <c r="BM1545" s="28"/>
      <c r="BP1545" s="28"/>
      <c r="BS1545" s="28"/>
      <c r="BV1545" s="28"/>
      <c r="BY1545" s="28"/>
      <c r="CB1545" s="28"/>
      <c r="CE1545" s="28"/>
      <c r="CH1545" s="28"/>
      <c r="CK1545" s="28"/>
      <c r="CN1545" s="28"/>
      <c r="CQ1545" s="28"/>
      <c r="CT1545" s="28"/>
      <c r="CW1545" s="28"/>
      <c r="CZ1545" s="28"/>
      <c r="DC1545" s="28"/>
      <c r="DF1545" s="28"/>
      <c r="DI1545" s="28"/>
      <c r="DL1545" s="28"/>
      <c r="DO1545" s="28"/>
      <c r="DR1545" s="28"/>
      <c r="DU1545" s="28"/>
      <c r="DX1545" s="28"/>
      <c r="EA1545" s="28"/>
      <c r="ED1545" s="28"/>
      <c r="EG1545" s="28"/>
      <c r="EJ1545" s="28"/>
      <c r="EM1545" s="28"/>
      <c r="EP1545" s="28"/>
      <c r="ES1545" s="28"/>
      <c r="EV1545" s="28"/>
      <c r="EY1545" s="28"/>
      <c r="FB1545" s="28"/>
      <c r="FE1545" s="28"/>
      <c r="FH1545" s="28"/>
      <c r="FK1545" s="28"/>
      <c r="FN1545" s="28"/>
      <c r="FQ1545" s="28"/>
      <c r="FT1545" s="28"/>
      <c r="FW1545" s="28"/>
      <c r="FZ1545" s="28"/>
      <c r="GC1545" s="28"/>
    </row>
    <row r="1546" spans="1:185" s="25" customFormat="1" x14ac:dyDescent="0.3">
      <c r="A1546" s="27"/>
      <c r="B1546" s="28"/>
      <c r="C1546" s="27"/>
      <c r="D1546" s="26"/>
      <c r="E1546" s="28"/>
      <c r="H1546" s="28"/>
      <c r="K1546" s="28"/>
      <c r="N1546" s="28"/>
      <c r="Q1546" s="28"/>
      <c r="T1546" s="28"/>
      <c r="W1546" s="28"/>
      <c r="Z1546" s="28"/>
      <c r="AC1546" s="28"/>
      <c r="AF1546" s="28"/>
      <c r="AI1546" s="28"/>
      <c r="AL1546" s="28"/>
      <c r="AO1546" s="28"/>
      <c r="AR1546" s="28"/>
      <c r="AU1546" s="28"/>
      <c r="AX1546" s="28"/>
      <c r="BA1546" s="28"/>
      <c r="BD1546" s="28"/>
      <c r="BG1546" s="28"/>
      <c r="BJ1546" s="28"/>
      <c r="BM1546" s="28"/>
      <c r="BP1546" s="28"/>
      <c r="BS1546" s="28"/>
      <c r="BV1546" s="28"/>
      <c r="BY1546" s="28"/>
      <c r="CB1546" s="28"/>
      <c r="CE1546" s="28"/>
      <c r="CH1546" s="28"/>
      <c r="CK1546" s="28"/>
      <c r="CN1546" s="28"/>
      <c r="CQ1546" s="28"/>
      <c r="CT1546" s="28"/>
      <c r="CW1546" s="28"/>
      <c r="CZ1546" s="28"/>
      <c r="DC1546" s="28"/>
      <c r="DF1546" s="28"/>
      <c r="DI1546" s="28"/>
      <c r="DL1546" s="28"/>
      <c r="DO1546" s="28"/>
      <c r="DR1546" s="28"/>
      <c r="DU1546" s="28"/>
      <c r="DX1546" s="28"/>
      <c r="EA1546" s="28"/>
      <c r="ED1546" s="28"/>
      <c r="EG1546" s="28"/>
      <c r="EJ1546" s="28"/>
      <c r="EM1546" s="28"/>
      <c r="EP1546" s="28"/>
      <c r="ES1546" s="28"/>
      <c r="EV1546" s="28"/>
      <c r="EY1546" s="28"/>
      <c r="FB1546" s="28"/>
      <c r="FE1546" s="28"/>
      <c r="FH1546" s="28"/>
      <c r="FK1546" s="28"/>
      <c r="FN1546" s="28"/>
      <c r="FQ1546" s="28"/>
      <c r="FT1546" s="28"/>
      <c r="FW1546" s="28"/>
      <c r="FZ1546" s="28"/>
      <c r="GC1546" s="28"/>
    </row>
    <row r="1547" spans="1:185" s="25" customFormat="1" x14ac:dyDescent="0.3">
      <c r="A1547" s="27"/>
      <c r="B1547" s="28"/>
      <c r="C1547" s="27"/>
      <c r="D1547" s="26"/>
      <c r="E1547" s="28"/>
      <c r="H1547" s="28"/>
      <c r="K1547" s="28"/>
      <c r="N1547" s="28"/>
      <c r="Q1547" s="28"/>
      <c r="T1547" s="28"/>
      <c r="W1547" s="28"/>
      <c r="Z1547" s="28"/>
      <c r="AC1547" s="28"/>
      <c r="AF1547" s="28"/>
      <c r="AI1547" s="28"/>
      <c r="AL1547" s="28"/>
      <c r="AO1547" s="28"/>
      <c r="AR1547" s="28"/>
      <c r="AU1547" s="28"/>
      <c r="AX1547" s="28"/>
      <c r="BA1547" s="28"/>
      <c r="BD1547" s="28"/>
      <c r="BG1547" s="28"/>
      <c r="BJ1547" s="28"/>
      <c r="BM1547" s="28"/>
      <c r="BP1547" s="28"/>
      <c r="BS1547" s="28"/>
      <c r="BV1547" s="28"/>
      <c r="BY1547" s="28"/>
      <c r="CB1547" s="28"/>
      <c r="CE1547" s="28"/>
      <c r="CH1547" s="28"/>
      <c r="CK1547" s="28"/>
      <c r="CN1547" s="28"/>
      <c r="CQ1547" s="28"/>
      <c r="CT1547" s="28"/>
      <c r="CW1547" s="28"/>
      <c r="CZ1547" s="28"/>
      <c r="DC1547" s="28"/>
      <c r="DF1547" s="28"/>
      <c r="DI1547" s="28"/>
      <c r="DL1547" s="28"/>
      <c r="DO1547" s="28"/>
      <c r="DR1547" s="28"/>
      <c r="DU1547" s="28"/>
      <c r="DX1547" s="28"/>
      <c r="EA1547" s="28"/>
      <c r="ED1547" s="28"/>
      <c r="EG1547" s="28"/>
      <c r="EJ1547" s="28"/>
      <c r="EM1547" s="28"/>
      <c r="EP1547" s="28"/>
      <c r="ES1547" s="28"/>
      <c r="EV1547" s="28"/>
      <c r="EY1547" s="28"/>
      <c r="FB1547" s="28"/>
      <c r="FE1547" s="28"/>
      <c r="FH1547" s="28"/>
      <c r="FK1547" s="28"/>
      <c r="FN1547" s="28"/>
      <c r="FQ1547" s="28"/>
      <c r="FT1547" s="28"/>
      <c r="FW1547" s="28"/>
      <c r="FZ1547" s="28"/>
      <c r="GC1547" s="28"/>
    </row>
    <row r="1548" spans="1:185" s="25" customFormat="1" x14ac:dyDescent="0.3">
      <c r="A1548" s="27"/>
      <c r="B1548" s="28"/>
      <c r="C1548" s="27"/>
      <c r="D1548" s="26"/>
      <c r="E1548" s="28"/>
      <c r="H1548" s="28"/>
      <c r="K1548" s="28"/>
      <c r="N1548" s="28"/>
      <c r="Q1548" s="28"/>
      <c r="T1548" s="28"/>
      <c r="W1548" s="28"/>
      <c r="Z1548" s="28"/>
      <c r="AC1548" s="28"/>
      <c r="AF1548" s="28"/>
      <c r="AI1548" s="28"/>
      <c r="AL1548" s="28"/>
      <c r="AO1548" s="28"/>
      <c r="AR1548" s="28"/>
      <c r="AU1548" s="28"/>
      <c r="AX1548" s="28"/>
      <c r="BA1548" s="28"/>
      <c r="BD1548" s="28"/>
      <c r="BG1548" s="28"/>
      <c r="BJ1548" s="28"/>
      <c r="BM1548" s="28"/>
      <c r="BP1548" s="28"/>
      <c r="BS1548" s="28"/>
      <c r="BV1548" s="28"/>
      <c r="BY1548" s="28"/>
      <c r="CB1548" s="28"/>
      <c r="CE1548" s="28"/>
      <c r="CH1548" s="28"/>
      <c r="CK1548" s="28"/>
      <c r="CN1548" s="28"/>
      <c r="CQ1548" s="28"/>
      <c r="CT1548" s="28"/>
      <c r="CW1548" s="28"/>
      <c r="CZ1548" s="28"/>
      <c r="DC1548" s="28"/>
      <c r="DF1548" s="28"/>
      <c r="DI1548" s="28"/>
      <c r="DL1548" s="28"/>
      <c r="DO1548" s="28"/>
      <c r="DR1548" s="28"/>
      <c r="DU1548" s="28"/>
      <c r="DX1548" s="28"/>
      <c r="EA1548" s="28"/>
      <c r="ED1548" s="28"/>
      <c r="EG1548" s="28"/>
      <c r="EJ1548" s="28"/>
      <c r="EM1548" s="28"/>
      <c r="EP1548" s="28"/>
      <c r="ES1548" s="28"/>
      <c r="EV1548" s="28"/>
      <c r="EY1548" s="28"/>
      <c r="FB1548" s="28"/>
      <c r="FE1548" s="28"/>
      <c r="FH1548" s="28"/>
      <c r="FK1548" s="28"/>
      <c r="FN1548" s="28"/>
      <c r="FQ1548" s="28"/>
      <c r="FT1548" s="28"/>
      <c r="FW1548" s="28"/>
      <c r="FZ1548" s="28"/>
      <c r="GC1548" s="28"/>
    </row>
    <row r="1549" spans="1:185" s="25" customFormat="1" x14ac:dyDescent="0.3">
      <c r="A1549" s="27"/>
      <c r="B1549" s="28"/>
      <c r="C1549" s="27"/>
      <c r="D1549" s="26"/>
      <c r="E1549" s="28"/>
      <c r="H1549" s="28"/>
      <c r="K1549" s="28"/>
      <c r="N1549" s="28"/>
      <c r="Q1549" s="28"/>
      <c r="T1549" s="28"/>
      <c r="W1549" s="28"/>
      <c r="Z1549" s="28"/>
      <c r="AC1549" s="28"/>
      <c r="AF1549" s="28"/>
      <c r="AI1549" s="28"/>
      <c r="AL1549" s="28"/>
      <c r="AO1549" s="28"/>
      <c r="AR1549" s="28"/>
      <c r="AU1549" s="28"/>
      <c r="AX1549" s="28"/>
      <c r="BA1549" s="28"/>
      <c r="BD1549" s="28"/>
      <c r="BG1549" s="28"/>
      <c r="BJ1549" s="28"/>
      <c r="BM1549" s="28"/>
      <c r="BP1549" s="28"/>
      <c r="BS1549" s="28"/>
      <c r="BV1549" s="28"/>
      <c r="BY1549" s="28"/>
      <c r="CB1549" s="28"/>
      <c r="CE1549" s="28"/>
      <c r="CH1549" s="28"/>
      <c r="CK1549" s="28"/>
      <c r="CN1549" s="28"/>
      <c r="CQ1549" s="28"/>
      <c r="CT1549" s="28"/>
      <c r="CW1549" s="28"/>
      <c r="CZ1549" s="28"/>
      <c r="DC1549" s="28"/>
      <c r="DF1549" s="28"/>
      <c r="DI1549" s="28"/>
      <c r="DL1549" s="28"/>
      <c r="DO1549" s="28"/>
      <c r="DR1549" s="28"/>
      <c r="DU1549" s="28"/>
      <c r="DX1549" s="28"/>
      <c r="EA1549" s="28"/>
      <c r="ED1549" s="28"/>
      <c r="EG1549" s="28"/>
      <c r="EJ1549" s="28"/>
      <c r="EM1549" s="28"/>
      <c r="EP1549" s="28"/>
      <c r="ES1549" s="28"/>
      <c r="EV1549" s="28"/>
      <c r="EY1549" s="28"/>
      <c r="FB1549" s="28"/>
      <c r="FE1549" s="28"/>
      <c r="FH1549" s="28"/>
      <c r="FK1549" s="28"/>
      <c r="FN1549" s="28"/>
      <c r="FQ1549" s="28"/>
      <c r="FT1549" s="28"/>
      <c r="FW1549" s="28"/>
      <c r="FZ1549" s="28"/>
      <c r="GC1549" s="28"/>
    </row>
    <row r="1550" spans="1:185" s="25" customFormat="1" x14ac:dyDescent="0.3">
      <c r="A1550" s="27"/>
      <c r="B1550" s="28"/>
      <c r="C1550" s="27"/>
      <c r="D1550" s="26"/>
      <c r="E1550" s="28"/>
      <c r="H1550" s="28"/>
      <c r="K1550" s="28"/>
      <c r="N1550" s="28"/>
      <c r="Q1550" s="28"/>
      <c r="T1550" s="28"/>
      <c r="W1550" s="28"/>
      <c r="Z1550" s="28"/>
      <c r="AC1550" s="28"/>
      <c r="AF1550" s="28"/>
      <c r="AI1550" s="28"/>
      <c r="AL1550" s="28"/>
      <c r="AO1550" s="28"/>
      <c r="AR1550" s="28"/>
      <c r="AU1550" s="28"/>
      <c r="AX1550" s="28"/>
      <c r="BA1550" s="28"/>
      <c r="BD1550" s="28"/>
      <c r="BG1550" s="28"/>
      <c r="BJ1550" s="28"/>
      <c r="BM1550" s="28"/>
      <c r="BP1550" s="28"/>
      <c r="BS1550" s="28"/>
      <c r="BV1550" s="28"/>
      <c r="BY1550" s="28"/>
      <c r="CB1550" s="28"/>
      <c r="CE1550" s="28"/>
      <c r="CH1550" s="28"/>
      <c r="CK1550" s="28"/>
      <c r="CN1550" s="28"/>
      <c r="CQ1550" s="28"/>
      <c r="CT1550" s="28"/>
      <c r="CW1550" s="28"/>
      <c r="CZ1550" s="28"/>
      <c r="DC1550" s="28"/>
      <c r="DF1550" s="28"/>
      <c r="DI1550" s="28"/>
      <c r="DL1550" s="28"/>
      <c r="DO1550" s="28"/>
      <c r="DR1550" s="28"/>
      <c r="DU1550" s="28"/>
      <c r="DX1550" s="28"/>
      <c r="EA1550" s="28"/>
      <c r="ED1550" s="28"/>
      <c r="EG1550" s="28"/>
      <c r="EJ1550" s="28"/>
      <c r="EM1550" s="28"/>
      <c r="EP1550" s="28"/>
      <c r="ES1550" s="28"/>
      <c r="EV1550" s="28"/>
      <c r="EY1550" s="28"/>
      <c r="FB1550" s="28"/>
      <c r="FE1550" s="28"/>
      <c r="FH1550" s="28"/>
      <c r="FK1550" s="28"/>
      <c r="FN1550" s="28"/>
      <c r="FQ1550" s="28"/>
      <c r="FT1550" s="28"/>
      <c r="FW1550" s="28"/>
      <c r="FZ1550" s="28"/>
      <c r="GC1550" s="28"/>
    </row>
    <row r="1551" spans="1:185" s="25" customFormat="1" x14ac:dyDescent="0.3">
      <c r="A1551" s="27"/>
      <c r="B1551" s="28"/>
      <c r="C1551" s="27"/>
      <c r="D1551" s="26"/>
      <c r="E1551" s="28"/>
      <c r="H1551" s="28"/>
      <c r="K1551" s="28"/>
      <c r="N1551" s="28"/>
      <c r="Q1551" s="28"/>
      <c r="T1551" s="28"/>
      <c r="W1551" s="28"/>
      <c r="Z1551" s="28"/>
      <c r="AC1551" s="28"/>
      <c r="AF1551" s="28"/>
      <c r="AI1551" s="28"/>
      <c r="AL1551" s="28"/>
      <c r="AO1551" s="28"/>
      <c r="AR1551" s="28"/>
      <c r="AU1551" s="28"/>
      <c r="AX1551" s="28"/>
      <c r="BA1551" s="28"/>
      <c r="BD1551" s="28"/>
      <c r="BG1551" s="28"/>
      <c r="BJ1551" s="28"/>
      <c r="BM1551" s="28"/>
      <c r="BP1551" s="28"/>
      <c r="BS1551" s="28"/>
      <c r="BV1551" s="28"/>
      <c r="BY1551" s="28"/>
      <c r="CB1551" s="28"/>
      <c r="CE1551" s="28"/>
      <c r="CH1551" s="28"/>
      <c r="CK1551" s="28"/>
      <c r="CN1551" s="28"/>
      <c r="CQ1551" s="28"/>
      <c r="CT1551" s="28"/>
      <c r="CW1551" s="28"/>
      <c r="CZ1551" s="28"/>
      <c r="DC1551" s="28"/>
      <c r="DF1551" s="28"/>
      <c r="DI1551" s="28"/>
      <c r="DL1551" s="28"/>
      <c r="DO1551" s="28"/>
      <c r="DR1551" s="28"/>
      <c r="DU1551" s="28"/>
      <c r="DX1551" s="28"/>
      <c r="EA1551" s="28"/>
      <c r="ED1551" s="28"/>
      <c r="EG1551" s="28"/>
      <c r="EJ1551" s="28"/>
      <c r="EM1551" s="28"/>
      <c r="EP1551" s="28"/>
      <c r="ES1551" s="28"/>
      <c r="EV1551" s="28"/>
      <c r="EY1551" s="28"/>
      <c r="FB1551" s="28"/>
      <c r="FE1551" s="28"/>
      <c r="FH1551" s="28"/>
      <c r="FK1551" s="28"/>
      <c r="FN1551" s="28"/>
      <c r="FQ1551" s="28"/>
      <c r="FT1551" s="28"/>
      <c r="FW1551" s="28"/>
      <c r="FZ1551" s="28"/>
      <c r="GC1551" s="28"/>
    </row>
    <row r="1552" spans="1:185" s="25" customFormat="1" x14ac:dyDescent="0.3">
      <c r="A1552" s="27"/>
      <c r="B1552" s="28"/>
      <c r="C1552" s="27"/>
      <c r="D1552" s="26"/>
      <c r="E1552" s="28"/>
      <c r="H1552" s="28"/>
      <c r="K1552" s="28"/>
      <c r="N1552" s="28"/>
      <c r="Q1552" s="28"/>
      <c r="T1552" s="28"/>
      <c r="W1552" s="28"/>
      <c r="Z1552" s="28"/>
      <c r="AC1552" s="28"/>
      <c r="AF1552" s="28"/>
      <c r="AI1552" s="28"/>
      <c r="AL1552" s="28"/>
      <c r="AO1552" s="28"/>
      <c r="AR1552" s="28"/>
      <c r="AU1552" s="28"/>
      <c r="AX1552" s="28"/>
      <c r="BA1552" s="28"/>
      <c r="BD1552" s="28"/>
      <c r="BG1552" s="28"/>
      <c r="BJ1552" s="28"/>
      <c r="BM1552" s="28"/>
      <c r="BP1552" s="28"/>
      <c r="BS1552" s="28"/>
      <c r="BV1552" s="28"/>
      <c r="BY1552" s="28"/>
      <c r="CB1552" s="28"/>
      <c r="CE1552" s="28"/>
      <c r="CH1552" s="28"/>
      <c r="CK1552" s="28"/>
      <c r="CN1552" s="28"/>
      <c r="CQ1552" s="28"/>
      <c r="CT1552" s="28"/>
      <c r="CW1552" s="28"/>
      <c r="CZ1552" s="28"/>
      <c r="DC1552" s="28"/>
      <c r="DF1552" s="28"/>
      <c r="DI1552" s="28"/>
      <c r="DL1552" s="28"/>
      <c r="DO1552" s="28"/>
      <c r="DR1552" s="28"/>
      <c r="DU1552" s="28"/>
      <c r="DX1552" s="28"/>
      <c r="EA1552" s="28"/>
      <c r="ED1552" s="28"/>
      <c r="EG1552" s="28"/>
      <c r="EJ1552" s="28"/>
      <c r="EM1552" s="28"/>
      <c r="EP1552" s="28"/>
      <c r="ES1552" s="28"/>
      <c r="EV1552" s="28"/>
      <c r="EY1552" s="28"/>
      <c r="FB1552" s="28"/>
      <c r="FE1552" s="28"/>
      <c r="FH1552" s="28"/>
      <c r="FK1552" s="28"/>
      <c r="FN1552" s="28"/>
      <c r="FQ1552" s="28"/>
      <c r="FT1552" s="28"/>
      <c r="FW1552" s="28"/>
      <c r="FZ1552" s="28"/>
      <c r="GC1552" s="28"/>
    </row>
    <row r="1553" spans="1:185" s="25" customFormat="1" x14ac:dyDescent="0.3">
      <c r="A1553" s="27"/>
      <c r="B1553" s="28"/>
      <c r="C1553" s="27"/>
      <c r="D1553" s="26"/>
      <c r="E1553" s="28"/>
      <c r="H1553" s="28"/>
      <c r="K1553" s="28"/>
      <c r="N1553" s="28"/>
      <c r="Q1553" s="28"/>
      <c r="T1553" s="28"/>
      <c r="W1553" s="28"/>
      <c r="Z1553" s="28"/>
      <c r="AC1553" s="28"/>
      <c r="AF1553" s="28"/>
      <c r="AI1553" s="28"/>
      <c r="AL1553" s="28"/>
      <c r="AO1553" s="28"/>
      <c r="AR1553" s="28"/>
      <c r="AU1553" s="28"/>
      <c r="AX1553" s="28"/>
      <c r="BA1553" s="28"/>
      <c r="BD1553" s="28"/>
      <c r="BG1553" s="28"/>
      <c r="BJ1553" s="28"/>
      <c r="BM1553" s="28"/>
      <c r="BP1553" s="28"/>
      <c r="BS1553" s="28"/>
      <c r="BV1553" s="28"/>
      <c r="BY1553" s="28"/>
      <c r="CB1553" s="28"/>
      <c r="CE1553" s="28"/>
      <c r="CH1553" s="28"/>
      <c r="CK1553" s="28"/>
      <c r="CN1553" s="28"/>
      <c r="CQ1553" s="28"/>
      <c r="CT1553" s="28"/>
      <c r="CW1553" s="28"/>
      <c r="CZ1553" s="28"/>
      <c r="DC1553" s="28"/>
      <c r="DF1553" s="28"/>
      <c r="DI1553" s="28"/>
      <c r="DL1553" s="28"/>
      <c r="DO1553" s="28"/>
      <c r="DR1553" s="28"/>
      <c r="DU1553" s="28"/>
      <c r="DX1553" s="28"/>
      <c r="EA1553" s="28"/>
      <c r="ED1553" s="28"/>
      <c r="EG1553" s="28"/>
      <c r="EJ1553" s="28"/>
      <c r="EM1553" s="28"/>
      <c r="EP1553" s="28"/>
      <c r="ES1553" s="28"/>
      <c r="EV1553" s="28"/>
      <c r="EY1553" s="28"/>
      <c r="FB1553" s="28"/>
      <c r="FE1553" s="28"/>
      <c r="FH1553" s="28"/>
      <c r="FK1553" s="28"/>
      <c r="FN1553" s="28"/>
      <c r="FQ1553" s="28"/>
      <c r="FT1553" s="28"/>
      <c r="FW1553" s="28"/>
      <c r="FZ1553" s="28"/>
      <c r="GC1553" s="28"/>
    </row>
    <row r="1554" spans="1:185" s="25" customFormat="1" x14ac:dyDescent="0.3">
      <c r="A1554" s="27"/>
      <c r="B1554" s="28"/>
      <c r="C1554" s="27"/>
      <c r="D1554" s="26"/>
      <c r="E1554" s="28"/>
      <c r="H1554" s="28"/>
      <c r="K1554" s="28"/>
      <c r="N1554" s="28"/>
      <c r="Q1554" s="28"/>
      <c r="T1554" s="28"/>
      <c r="W1554" s="28"/>
      <c r="Z1554" s="28"/>
      <c r="AC1554" s="28"/>
      <c r="AF1554" s="28"/>
      <c r="AI1554" s="28"/>
      <c r="AL1554" s="28"/>
      <c r="AO1554" s="28"/>
      <c r="AR1554" s="28"/>
      <c r="AU1554" s="28"/>
      <c r="AX1554" s="28"/>
      <c r="BA1554" s="28"/>
      <c r="BD1554" s="28"/>
      <c r="BG1554" s="28"/>
      <c r="BJ1554" s="28"/>
      <c r="BM1554" s="28"/>
      <c r="BP1554" s="28"/>
      <c r="BS1554" s="28"/>
      <c r="BV1554" s="28"/>
      <c r="BY1554" s="28"/>
      <c r="CB1554" s="28"/>
      <c r="CE1554" s="28"/>
      <c r="CH1554" s="28"/>
      <c r="CK1554" s="28"/>
      <c r="CN1554" s="28"/>
      <c r="CQ1554" s="28"/>
      <c r="CT1554" s="28"/>
      <c r="CW1554" s="28"/>
      <c r="CZ1554" s="28"/>
      <c r="DC1554" s="28"/>
      <c r="DF1554" s="28"/>
      <c r="DI1554" s="28"/>
      <c r="DL1554" s="28"/>
      <c r="DO1554" s="28"/>
      <c r="DR1554" s="28"/>
      <c r="DU1554" s="28"/>
      <c r="DX1554" s="28"/>
      <c r="EA1554" s="28"/>
      <c r="ED1554" s="28"/>
      <c r="EG1554" s="28"/>
      <c r="EJ1554" s="28"/>
      <c r="EM1554" s="28"/>
      <c r="EP1554" s="28"/>
      <c r="ES1554" s="28"/>
      <c r="EV1554" s="28"/>
      <c r="EY1554" s="28"/>
      <c r="FB1554" s="28"/>
      <c r="FE1554" s="28"/>
      <c r="FH1554" s="28"/>
      <c r="FK1554" s="28"/>
      <c r="FN1554" s="28"/>
      <c r="FQ1554" s="28"/>
      <c r="FT1554" s="28"/>
      <c r="FW1554" s="28"/>
      <c r="FZ1554" s="28"/>
      <c r="GC1554" s="28"/>
    </row>
    <row r="1555" spans="1:185" s="25" customFormat="1" x14ac:dyDescent="0.3">
      <c r="A1555" s="27"/>
      <c r="B1555" s="28"/>
      <c r="C1555" s="27"/>
      <c r="D1555" s="26"/>
      <c r="E1555" s="28"/>
      <c r="H1555" s="28"/>
      <c r="K1555" s="28"/>
      <c r="N1555" s="28"/>
      <c r="Q1555" s="28"/>
      <c r="T1555" s="28"/>
      <c r="W1555" s="28"/>
      <c r="Z1555" s="28"/>
      <c r="AC1555" s="28"/>
      <c r="AF1555" s="28"/>
      <c r="AI1555" s="28"/>
      <c r="AL1555" s="28"/>
      <c r="AO1555" s="28"/>
      <c r="AR1555" s="28"/>
      <c r="AU1555" s="28"/>
      <c r="AX1555" s="28"/>
      <c r="BA1555" s="28"/>
      <c r="BD1555" s="28"/>
      <c r="BG1555" s="28"/>
      <c r="BJ1555" s="28"/>
      <c r="BM1555" s="28"/>
      <c r="BP1555" s="28"/>
      <c r="BS1555" s="28"/>
      <c r="BV1555" s="28"/>
      <c r="BY1555" s="28"/>
      <c r="CB1555" s="28"/>
      <c r="CE1555" s="28"/>
      <c r="CH1555" s="28"/>
      <c r="CK1555" s="28"/>
      <c r="CN1555" s="28"/>
      <c r="CQ1555" s="28"/>
      <c r="CT1555" s="28"/>
      <c r="CW1555" s="28"/>
      <c r="CZ1555" s="28"/>
      <c r="DC1555" s="28"/>
      <c r="DF1555" s="28"/>
      <c r="DI1555" s="28"/>
      <c r="DL1555" s="28"/>
      <c r="DO1555" s="28"/>
      <c r="DR1555" s="28"/>
      <c r="DU1555" s="28"/>
      <c r="DX1555" s="28"/>
      <c r="EA1555" s="28"/>
      <c r="ED1555" s="28"/>
      <c r="EG1555" s="28"/>
      <c r="EJ1555" s="28"/>
      <c r="EM1555" s="28"/>
      <c r="EP1555" s="28"/>
      <c r="ES1555" s="28"/>
      <c r="EV1555" s="28"/>
      <c r="EY1555" s="28"/>
      <c r="FB1555" s="28"/>
      <c r="FE1555" s="28"/>
      <c r="FH1555" s="28"/>
      <c r="FK1555" s="28"/>
      <c r="FN1555" s="28"/>
      <c r="FQ1555" s="28"/>
      <c r="FT1555" s="28"/>
      <c r="FW1555" s="28"/>
      <c r="FZ1555" s="28"/>
      <c r="GC1555" s="28"/>
    </row>
    <row r="1556" spans="1:185" s="25" customFormat="1" x14ac:dyDescent="0.3">
      <c r="A1556" s="27"/>
      <c r="B1556" s="28"/>
      <c r="C1556" s="27"/>
      <c r="D1556" s="26"/>
      <c r="E1556" s="28"/>
      <c r="H1556" s="28"/>
      <c r="K1556" s="28"/>
      <c r="N1556" s="28"/>
      <c r="Q1556" s="28"/>
      <c r="T1556" s="28"/>
      <c r="W1556" s="28"/>
      <c r="Z1556" s="28"/>
      <c r="AC1556" s="28"/>
      <c r="AF1556" s="28"/>
      <c r="AI1556" s="28"/>
      <c r="AL1556" s="28"/>
      <c r="AO1556" s="28"/>
      <c r="AR1556" s="28"/>
      <c r="AU1556" s="28"/>
      <c r="AX1556" s="28"/>
      <c r="BA1556" s="28"/>
      <c r="BD1556" s="28"/>
      <c r="BG1556" s="28"/>
      <c r="BJ1556" s="28"/>
      <c r="BM1556" s="28"/>
      <c r="BP1556" s="28"/>
      <c r="BS1556" s="28"/>
      <c r="BV1556" s="28"/>
      <c r="BY1556" s="28"/>
      <c r="CB1556" s="28"/>
      <c r="CE1556" s="28"/>
      <c r="CH1556" s="28"/>
      <c r="CK1556" s="28"/>
      <c r="CN1556" s="28"/>
      <c r="CQ1556" s="28"/>
      <c r="CT1556" s="28"/>
      <c r="CW1556" s="28"/>
      <c r="CZ1556" s="28"/>
      <c r="DC1556" s="28"/>
      <c r="DF1556" s="28"/>
      <c r="DI1556" s="28"/>
      <c r="DL1556" s="28"/>
      <c r="DO1556" s="28"/>
      <c r="DR1556" s="28"/>
      <c r="DU1556" s="28"/>
      <c r="DX1556" s="28"/>
      <c r="EA1556" s="28"/>
      <c r="ED1556" s="28"/>
      <c r="EG1556" s="28"/>
      <c r="EJ1556" s="28"/>
      <c r="EM1556" s="28"/>
      <c r="EP1556" s="28"/>
      <c r="ES1556" s="28"/>
      <c r="EV1556" s="28"/>
      <c r="EY1556" s="28"/>
      <c r="FB1556" s="28"/>
      <c r="FE1556" s="28"/>
      <c r="FH1556" s="28"/>
      <c r="FK1556" s="28"/>
      <c r="FN1556" s="28"/>
      <c r="FQ1556" s="28"/>
      <c r="FT1556" s="28"/>
      <c r="FW1556" s="28"/>
      <c r="FZ1556" s="28"/>
      <c r="GC1556" s="28"/>
    </row>
    <row r="1557" spans="1:185" s="25" customFormat="1" x14ac:dyDescent="0.3">
      <c r="A1557" s="27"/>
      <c r="B1557" s="28"/>
      <c r="C1557" s="27"/>
      <c r="D1557" s="26"/>
      <c r="E1557" s="28"/>
      <c r="H1557" s="28"/>
      <c r="K1557" s="28"/>
      <c r="N1557" s="28"/>
      <c r="Q1557" s="28"/>
      <c r="T1557" s="28"/>
      <c r="W1557" s="28"/>
      <c r="Z1557" s="28"/>
      <c r="AC1557" s="28"/>
      <c r="AF1557" s="28"/>
      <c r="AI1557" s="28"/>
      <c r="AL1557" s="28"/>
      <c r="AO1557" s="28"/>
      <c r="AR1557" s="28"/>
      <c r="AU1557" s="28"/>
      <c r="AX1557" s="28"/>
      <c r="BA1557" s="28"/>
      <c r="BD1557" s="28"/>
      <c r="BG1557" s="28"/>
      <c r="BJ1557" s="28"/>
      <c r="BM1557" s="28"/>
      <c r="BP1557" s="28"/>
      <c r="BS1557" s="28"/>
      <c r="BV1557" s="28"/>
      <c r="BY1557" s="28"/>
      <c r="CB1557" s="28"/>
      <c r="CE1557" s="28"/>
      <c r="CH1557" s="28"/>
      <c r="CK1557" s="28"/>
      <c r="CN1557" s="28"/>
      <c r="CQ1557" s="28"/>
      <c r="CT1557" s="28"/>
      <c r="CW1557" s="28"/>
      <c r="CZ1557" s="28"/>
      <c r="DC1557" s="28"/>
      <c r="DF1557" s="28"/>
      <c r="DI1557" s="28"/>
      <c r="DL1557" s="28"/>
      <c r="DO1557" s="28"/>
      <c r="DR1557" s="28"/>
      <c r="DU1557" s="28"/>
      <c r="DX1557" s="28"/>
      <c r="EA1557" s="28"/>
      <c r="ED1557" s="28"/>
      <c r="EG1557" s="28"/>
      <c r="EJ1557" s="28"/>
      <c r="EM1557" s="28"/>
      <c r="EP1557" s="28"/>
      <c r="ES1557" s="28"/>
      <c r="EV1557" s="28"/>
      <c r="EY1557" s="28"/>
      <c r="FB1557" s="28"/>
      <c r="FE1557" s="28"/>
      <c r="FH1557" s="28"/>
      <c r="FK1557" s="28"/>
      <c r="FN1557" s="28"/>
      <c r="FQ1557" s="28"/>
      <c r="FT1557" s="28"/>
      <c r="FW1557" s="28"/>
      <c r="FZ1557" s="28"/>
      <c r="GC1557" s="28"/>
    </row>
    <row r="1558" spans="1:185" s="25" customFormat="1" x14ac:dyDescent="0.3">
      <c r="A1558" s="27"/>
      <c r="B1558" s="28"/>
      <c r="C1558" s="27"/>
      <c r="D1558" s="26"/>
      <c r="E1558" s="28"/>
      <c r="H1558" s="28"/>
      <c r="K1558" s="28"/>
      <c r="N1558" s="28"/>
      <c r="Q1558" s="28"/>
      <c r="T1558" s="28"/>
      <c r="W1558" s="28"/>
      <c r="Z1558" s="28"/>
      <c r="AC1558" s="28"/>
      <c r="AF1558" s="28"/>
      <c r="AI1558" s="28"/>
      <c r="AL1558" s="28"/>
      <c r="AO1558" s="28"/>
      <c r="AR1558" s="28"/>
      <c r="AU1558" s="28"/>
      <c r="AX1558" s="28"/>
      <c r="BA1558" s="28"/>
      <c r="BD1558" s="28"/>
      <c r="BG1558" s="28"/>
      <c r="BJ1558" s="28"/>
      <c r="BM1558" s="28"/>
      <c r="BP1558" s="28"/>
      <c r="BS1558" s="28"/>
      <c r="BV1558" s="28"/>
      <c r="BY1558" s="28"/>
      <c r="CB1558" s="28"/>
      <c r="CE1558" s="28"/>
      <c r="CH1558" s="28"/>
      <c r="CK1558" s="28"/>
      <c r="CN1558" s="28"/>
      <c r="CQ1558" s="28"/>
      <c r="CT1558" s="28"/>
      <c r="CW1558" s="28"/>
      <c r="CZ1558" s="28"/>
      <c r="DC1558" s="28"/>
      <c r="DF1558" s="28"/>
      <c r="DI1558" s="28"/>
      <c r="DL1558" s="28"/>
      <c r="DO1558" s="28"/>
      <c r="DR1558" s="28"/>
      <c r="DU1558" s="28"/>
      <c r="DX1558" s="28"/>
      <c r="EA1558" s="28"/>
      <c r="ED1558" s="28"/>
      <c r="EG1558" s="28"/>
      <c r="EJ1558" s="28"/>
      <c r="EM1558" s="28"/>
      <c r="EP1558" s="28"/>
      <c r="ES1558" s="28"/>
      <c r="EV1558" s="28"/>
      <c r="EY1558" s="28"/>
      <c r="FB1558" s="28"/>
      <c r="FE1558" s="28"/>
      <c r="FH1558" s="28"/>
      <c r="FK1558" s="28"/>
      <c r="FN1558" s="28"/>
      <c r="FQ1558" s="28"/>
      <c r="FT1558" s="28"/>
      <c r="FW1558" s="28"/>
      <c r="FZ1558" s="28"/>
      <c r="GC1558" s="28"/>
    </row>
    <row r="1559" spans="1:185" s="25" customFormat="1" x14ac:dyDescent="0.3">
      <c r="A1559" s="27"/>
      <c r="B1559" s="28"/>
      <c r="C1559" s="27"/>
      <c r="D1559" s="26"/>
      <c r="E1559" s="28"/>
      <c r="H1559" s="28"/>
      <c r="K1559" s="28"/>
      <c r="N1559" s="28"/>
      <c r="Q1559" s="28"/>
      <c r="T1559" s="28"/>
      <c r="W1559" s="28"/>
      <c r="Z1559" s="28"/>
      <c r="AC1559" s="28"/>
      <c r="AF1559" s="28"/>
      <c r="AI1559" s="28"/>
      <c r="AL1559" s="28"/>
      <c r="AO1559" s="28"/>
      <c r="AR1559" s="28"/>
      <c r="AU1559" s="28"/>
      <c r="AX1559" s="28"/>
      <c r="BA1559" s="28"/>
      <c r="BD1559" s="28"/>
      <c r="BG1559" s="28"/>
      <c r="BJ1559" s="28"/>
      <c r="BM1559" s="28"/>
      <c r="BP1559" s="28"/>
      <c r="BS1559" s="28"/>
      <c r="BV1559" s="28"/>
      <c r="BY1559" s="28"/>
      <c r="CB1559" s="28"/>
      <c r="CE1559" s="28"/>
      <c r="CH1559" s="28"/>
      <c r="CK1559" s="28"/>
      <c r="CN1559" s="28"/>
      <c r="CQ1559" s="28"/>
      <c r="CT1559" s="28"/>
      <c r="CW1559" s="28"/>
      <c r="CZ1559" s="28"/>
      <c r="DC1559" s="28"/>
      <c r="DF1559" s="28"/>
      <c r="DI1559" s="28"/>
      <c r="DL1559" s="28"/>
      <c r="DO1559" s="28"/>
      <c r="DR1559" s="28"/>
      <c r="DU1559" s="28"/>
      <c r="DX1559" s="28"/>
      <c r="EA1559" s="28"/>
      <c r="ED1559" s="28"/>
      <c r="EG1559" s="28"/>
      <c r="EJ1559" s="28"/>
      <c r="EM1559" s="28"/>
      <c r="EP1559" s="28"/>
      <c r="ES1559" s="28"/>
      <c r="EV1559" s="28"/>
      <c r="EY1559" s="28"/>
      <c r="FB1559" s="28"/>
      <c r="FE1559" s="28"/>
      <c r="FH1559" s="28"/>
      <c r="FK1559" s="28"/>
      <c r="FN1559" s="28"/>
      <c r="FQ1559" s="28"/>
      <c r="FT1559" s="28"/>
      <c r="FW1559" s="28"/>
      <c r="FZ1559" s="28"/>
      <c r="GC1559" s="28"/>
    </row>
    <row r="1560" spans="1:185" s="25" customFormat="1" x14ac:dyDescent="0.3">
      <c r="A1560" s="27"/>
      <c r="B1560" s="28"/>
      <c r="C1560" s="27"/>
      <c r="D1560" s="26"/>
      <c r="E1560" s="28"/>
      <c r="H1560" s="28"/>
      <c r="K1560" s="28"/>
      <c r="N1560" s="28"/>
      <c r="Q1560" s="28"/>
      <c r="T1560" s="28"/>
      <c r="W1560" s="28"/>
      <c r="Z1560" s="28"/>
      <c r="AC1560" s="28"/>
      <c r="AF1560" s="28"/>
      <c r="AI1560" s="28"/>
      <c r="AL1560" s="28"/>
      <c r="AO1560" s="28"/>
      <c r="AR1560" s="28"/>
      <c r="AU1560" s="28"/>
      <c r="AX1560" s="28"/>
      <c r="BA1560" s="28"/>
      <c r="BD1560" s="28"/>
      <c r="BG1560" s="28"/>
      <c r="BJ1560" s="28"/>
      <c r="BM1560" s="28"/>
      <c r="BP1560" s="28"/>
      <c r="BS1560" s="28"/>
      <c r="BV1560" s="28"/>
      <c r="BY1560" s="28"/>
      <c r="CB1560" s="28"/>
      <c r="CE1560" s="28"/>
      <c r="CH1560" s="28"/>
      <c r="CK1560" s="28"/>
      <c r="CN1560" s="28"/>
      <c r="CQ1560" s="28"/>
      <c r="CT1560" s="28"/>
      <c r="CW1560" s="28"/>
      <c r="CZ1560" s="28"/>
      <c r="DC1560" s="28"/>
      <c r="DF1560" s="28"/>
      <c r="DI1560" s="28"/>
      <c r="DL1560" s="28"/>
      <c r="DO1560" s="28"/>
      <c r="DR1560" s="28"/>
      <c r="DU1560" s="28"/>
      <c r="DX1560" s="28"/>
      <c r="EA1560" s="28"/>
      <c r="ED1560" s="28"/>
      <c r="EG1560" s="28"/>
      <c r="EJ1560" s="28"/>
      <c r="EM1560" s="28"/>
      <c r="EP1560" s="28"/>
      <c r="ES1560" s="28"/>
      <c r="EV1560" s="28"/>
      <c r="EY1560" s="28"/>
      <c r="FB1560" s="28"/>
      <c r="FE1560" s="28"/>
      <c r="FH1560" s="28"/>
      <c r="FK1560" s="28"/>
      <c r="FN1560" s="28"/>
      <c r="FQ1560" s="28"/>
      <c r="FT1560" s="28"/>
      <c r="FW1560" s="28"/>
      <c r="FZ1560" s="28"/>
      <c r="GC1560" s="28"/>
    </row>
    <row r="1561" spans="1:185" s="25" customFormat="1" x14ac:dyDescent="0.3">
      <c r="A1561" s="27"/>
      <c r="B1561" s="28"/>
      <c r="C1561" s="27"/>
      <c r="D1561" s="26"/>
      <c r="E1561" s="28"/>
      <c r="H1561" s="28"/>
      <c r="K1561" s="28"/>
      <c r="N1561" s="28"/>
      <c r="Q1561" s="28"/>
      <c r="T1561" s="28"/>
      <c r="W1561" s="28"/>
      <c r="Z1561" s="28"/>
      <c r="AC1561" s="28"/>
      <c r="AF1561" s="28"/>
      <c r="AI1561" s="28"/>
      <c r="AL1561" s="28"/>
      <c r="AO1561" s="28"/>
      <c r="AR1561" s="28"/>
      <c r="AU1561" s="28"/>
      <c r="AX1561" s="28"/>
      <c r="BA1561" s="28"/>
      <c r="BD1561" s="28"/>
      <c r="BG1561" s="28"/>
      <c r="BJ1561" s="28"/>
      <c r="BM1561" s="28"/>
      <c r="BP1561" s="28"/>
      <c r="BS1561" s="28"/>
      <c r="BV1561" s="28"/>
      <c r="BY1561" s="28"/>
      <c r="CB1561" s="28"/>
      <c r="CE1561" s="28"/>
      <c r="CH1561" s="28"/>
      <c r="CK1561" s="28"/>
      <c r="CN1561" s="28"/>
      <c r="CQ1561" s="28"/>
      <c r="CT1561" s="28"/>
      <c r="CW1561" s="28"/>
      <c r="CZ1561" s="28"/>
      <c r="DC1561" s="28"/>
      <c r="DF1561" s="28"/>
      <c r="DI1561" s="28"/>
      <c r="DL1561" s="28"/>
      <c r="DO1561" s="28"/>
      <c r="DR1561" s="28"/>
      <c r="DU1561" s="28"/>
      <c r="DX1561" s="28"/>
      <c r="EA1561" s="28"/>
      <c r="ED1561" s="28"/>
      <c r="EG1561" s="28"/>
      <c r="EJ1561" s="28"/>
      <c r="EM1561" s="28"/>
      <c r="EP1561" s="28"/>
      <c r="ES1561" s="28"/>
      <c r="EV1561" s="28"/>
      <c r="EY1561" s="28"/>
      <c r="FB1561" s="28"/>
      <c r="FE1561" s="28"/>
      <c r="FH1561" s="28"/>
      <c r="FK1561" s="28"/>
      <c r="FN1561" s="28"/>
      <c r="FQ1561" s="28"/>
      <c r="FT1561" s="28"/>
      <c r="FW1561" s="28"/>
      <c r="FZ1561" s="28"/>
      <c r="GC1561" s="28"/>
    </row>
    <row r="1562" spans="1:185" s="25" customFormat="1" x14ac:dyDescent="0.3">
      <c r="A1562" s="27"/>
      <c r="B1562" s="28"/>
      <c r="C1562" s="27"/>
      <c r="D1562" s="26"/>
      <c r="E1562" s="28"/>
      <c r="H1562" s="28"/>
      <c r="K1562" s="28"/>
      <c r="N1562" s="28"/>
      <c r="Q1562" s="28"/>
      <c r="T1562" s="28"/>
      <c r="W1562" s="28"/>
      <c r="Z1562" s="28"/>
      <c r="AC1562" s="28"/>
      <c r="AF1562" s="28"/>
      <c r="AI1562" s="28"/>
      <c r="AL1562" s="28"/>
      <c r="AO1562" s="28"/>
      <c r="AR1562" s="28"/>
      <c r="AU1562" s="28"/>
      <c r="AX1562" s="28"/>
      <c r="BA1562" s="28"/>
      <c r="BD1562" s="28"/>
      <c r="BG1562" s="28"/>
      <c r="BJ1562" s="28"/>
      <c r="BM1562" s="28"/>
      <c r="BP1562" s="28"/>
      <c r="BS1562" s="28"/>
      <c r="BV1562" s="28"/>
      <c r="BY1562" s="28"/>
      <c r="CB1562" s="28"/>
      <c r="CE1562" s="28"/>
      <c r="CH1562" s="28"/>
      <c r="CK1562" s="28"/>
      <c r="CN1562" s="28"/>
      <c r="CQ1562" s="28"/>
      <c r="CT1562" s="28"/>
      <c r="CW1562" s="28"/>
      <c r="CZ1562" s="28"/>
      <c r="DC1562" s="28"/>
      <c r="DF1562" s="28"/>
      <c r="DI1562" s="28"/>
      <c r="DL1562" s="28"/>
      <c r="DO1562" s="28"/>
      <c r="DR1562" s="28"/>
      <c r="DU1562" s="28"/>
      <c r="DX1562" s="28"/>
      <c r="EA1562" s="28"/>
      <c r="ED1562" s="28"/>
      <c r="EG1562" s="28"/>
      <c r="EJ1562" s="28"/>
      <c r="EM1562" s="28"/>
      <c r="EP1562" s="28"/>
      <c r="ES1562" s="28"/>
      <c r="EV1562" s="28"/>
      <c r="EY1562" s="28"/>
      <c r="FB1562" s="28"/>
      <c r="FE1562" s="28"/>
      <c r="FH1562" s="28"/>
      <c r="FK1562" s="28"/>
      <c r="FN1562" s="28"/>
      <c r="FQ1562" s="28"/>
      <c r="FT1562" s="28"/>
      <c r="FW1562" s="28"/>
      <c r="FZ1562" s="28"/>
      <c r="GC1562" s="28"/>
    </row>
    <row r="1563" spans="1:185" s="25" customFormat="1" x14ac:dyDescent="0.3">
      <c r="A1563" s="27"/>
      <c r="B1563" s="28"/>
      <c r="C1563" s="27"/>
      <c r="D1563" s="26"/>
      <c r="E1563" s="28"/>
      <c r="H1563" s="28"/>
      <c r="K1563" s="28"/>
      <c r="N1563" s="28"/>
      <c r="Q1563" s="28"/>
      <c r="T1563" s="28"/>
      <c r="W1563" s="28"/>
      <c r="Z1563" s="28"/>
      <c r="AC1563" s="28"/>
      <c r="AF1563" s="28"/>
      <c r="AI1563" s="28"/>
      <c r="AL1563" s="28"/>
      <c r="AO1563" s="28"/>
      <c r="AR1563" s="28"/>
      <c r="AU1563" s="28"/>
      <c r="AX1563" s="28"/>
      <c r="BA1563" s="28"/>
      <c r="BD1563" s="28"/>
      <c r="BG1563" s="28"/>
      <c r="BJ1563" s="28"/>
      <c r="BM1563" s="28"/>
      <c r="BP1563" s="28"/>
      <c r="BS1563" s="28"/>
      <c r="BV1563" s="28"/>
      <c r="BY1563" s="28"/>
      <c r="CB1563" s="28"/>
      <c r="CE1563" s="28"/>
      <c r="CH1563" s="28"/>
      <c r="CK1563" s="28"/>
      <c r="CN1563" s="28"/>
      <c r="CQ1563" s="28"/>
      <c r="CT1563" s="28"/>
      <c r="CW1563" s="28"/>
      <c r="CZ1563" s="28"/>
      <c r="DC1563" s="28"/>
      <c r="DF1563" s="28"/>
      <c r="DI1563" s="28"/>
      <c r="DL1563" s="28"/>
      <c r="DO1563" s="28"/>
      <c r="DR1563" s="28"/>
      <c r="DU1563" s="28"/>
      <c r="DX1563" s="28"/>
      <c r="EA1563" s="28"/>
      <c r="ED1563" s="28"/>
      <c r="EG1563" s="28"/>
      <c r="EJ1563" s="28"/>
      <c r="EM1563" s="28"/>
      <c r="EP1563" s="28"/>
      <c r="ES1563" s="28"/>
      <c r="EV1563" s="28"/>
      <c r="EY1563" s="28"/>
      <c r="FB1563" s="28"/>
      <c r="FE1563" s="28"/>
      <c r="FH1563" s="28"/>
      <c r="FK1563" s="28"/>
      <c r="FN1563" s="28"/>
      <c r="FQ1563" s="28"/>
      <c r="FT1563" s="28"/>
      <c r="FW1563" s="28"/>
      <c r="FZ1563" s="28"/>
      <c r="GC1563" s="28"/>
    </row>
    <row r="1564" spans="1:185" s="25" customFormat="1" x14ac:dyDescent="0.3">
      <c r="A1564" s="27"/>
      <c r="B1564" s="28"/>
      <c r="C1564" s="27"/>
      <c r="D1564" s="26"/>
      <c r="E1564" s="28"/>
      <c r="H1564" s="28"/>
      <c r="K1564" s="28"/>
      <c r="N1564" s="28"/>
      <c r="Q1564" s="28"/>
      <c r="T1564" s="28"/>
      <c r="W1564" s="28"/>
      <c r="Z1564" s="28"/>
      <c r="AC1564" s="28"/>
      <c r="AF1564" s="28"/>
      <c r="AI1564" s="28"/>
      <c r="AL1564" s="28"/>
      <c r="AO1564" s="28"/>
      <c r="AR1564" s="28"/>
      <c r="AU1564" s="28"/>
      <c r="AX1564" s="28"/>
      <c r="BA1564" s="28"/>
      <c r="BD1564" s="28"/>
      <c r="BG1564" s="28"/>
      <c r="BJ1564" s="28"/>
      <c r="BM1564" s="28"/>
      <c r="BP1564" s="28"/>
      <c r="BS1564" s="28"/>
      <c r="BV1564" s="28"/>
      <c r="BY1564" s="28"/>
      <c r="CB1564" s="28"/>
      <c r="CE1564" s="28"/>
      <c r="CH1564" s="28"/>
      <c r="CK1564" s="28"/>
      <c r="CN1564" s="28"/>
      <c r="CQ1564" s="28"/>
      <c r="CT1564" s="28"/>
      <c r="CW1564" s="28"/>
      <c r="CZ1564" s="28"/>
      <c r="DC1564" s="28"/>
      <c r="DF1564" s="28"/>
      <c r="DI1564" s="28"/>
      <c r="DL1564" s="28"/>
      <c r="DO1564" s="28"/>
      <c r="DR1564" s="28"/>
      <c r="DU1564" s="28"/>
      <c r="DX1564" s="28"/>
      <c r="EA1564" s="28"/>
      <c r="ED1564" s="28"/>
      <c r="EG1564" s="28"/>
      <c r="EJ1564" s="28"/>
      <c r="EM1564" s="28"/>
      <c r="EP1564" s="28"/>
      <c r="ES1564" s="28"/>
      <c r="EV1564" s="28"/>
      <c r="EY1564" s="28"/>
      <c r="FB1564" s="28"/>
      <c r="FE1564" s="28"/>
      <c r="FH1564" s="28"/>
      <c r="FK1564" s="28"/>
      <c r="FN1564" s="28"/>
      <c r="FQ1564" s="28"/>
      <c r="FT1564" s="28"/>
      <c r="FW1564" s="28"/>
      <c r="FZ1564" s="28"/>
      <c r="GC1564" s="28"/>
    </row>
    <row r="1565" spans="1:185" s="25" customFormat="1" x14ac:dyDescent="0.3">
      <c r="A1565" s="27"/>
      <c r="B1565" s="28"/>
      <c r="C1565" s="27"/>
      <c r="D1565" s="26"/>
      <c r="E1565" s="28"/>
      <c r="H1565" s="28"/>
      <c r="K1565" s="28"/>
      <c r="N1565" s="28"/>
      <c r="Q1565" s="28"/>
      <c r="T1565" s="28"/>
      <c r="W1565" s="28"/>
      <c r="Z1565" s="28"/>
      <c r="AC1565" s="28"/>
      <c r="AF1565" s="28"/>
      <c r="AI1565" s="28"/>
      <c r="AL1565" s="28"/>
      <c r="AO1565" s="28"/>
      <c r="AR1565" s="28"/>
      <c r="AU1565" s="28"/>
      <c r="AX1565" s="28"/>
      <c r="BA1565" s="28"/>
      <c r="BD1565" s="28"/>
      <c r="BG1565" s="28"/>
      <c r="BJ1565" s="28"/>
      <c r="BM1565" s="28"/>
      <c r="BP1565" s="28"/>
      <c r="BS1565" s="28"/>
      <c r="BV1565" s="28"/>
      <c r="BY1565" s="28"/>
      <c r="CB1565" s="28"/>
      <c r="CE1565" s="28"/>
      <c r="CH1565" s="28"/>
      <c r="CK1565" s="28"/>
      <c r="CN1565" s="28"/>
      <c r="CQ1565" s="28"/>
      <c r="CT1565" s="28"/>
      <c r="CW1565" s="28"/>
      <c r="CZ1565" s="28"/>
      <c r="DC1565" s="28"/>
      <c r="DF1565" s="28"/>
      <c r="DI1565" s="28"/>
      <c r="DL1565" s="28"/>
      <c r="DO1565" s="28"/>
      <c r="DR1565" s="28"/>
      <c r="DU1565" s="28"/>
      <c r="DX1565" s="28"/>
      <c r="EA1565" s="28"/>
      <c r="ED1565" s="28"/>
      <c r="EG1565" s="28"/>
      <c r="EJ1565" s="28"/>
      <c r="EM1565" s="28"/>
      <c r="EP1565" s="28"/>
      <c r="ES1565" s="28"/>
      <c r="EV1565" s="28"/>
      <c r="EY1565" s="28"/>
      <c r="FB1565" s="28"/>
      <c r="FE1565" s="28"/>
      <c r="FH1565" s="28"/>
      <c r="FK1565" s="28"/>
      <c r="FN1565" s="28"/>
      <c r="FQ1565" s="28"/>
      <c r="FT1565" s="28"/>
      <c r="FW1565" s="28"/>
      <c r="FZ1565" s="28"/>
      <c r="GC1565" s="28"/>
    </row>
    <row r="1566" spans="1:185" s="25" customFormat="1" x14ac:dyDescent="0.3">
      <c r="A1566" s="27"/>
      <c r="B1566" s="28"/>
      <c r="C1566" s="27"/>
      <c r="D1566" s="26"/>
      <c r="E1566" s="28"/>
      <c r="H1566" s="28"/>
      <c r="K1566" s="28"/>
      <c r="N1566" s="28"/>
      <c r="Q1566" s="28"/>
      <c r="T1566" s="28"/>
      <c r="W1566" s="28"/>
      <c r="Z1566" s="28"/>
      <c r="AC1566" s="28"/>
      <c r="AF1566" s="28"/>
      <c r="AI1566" s="28"/>
      <c r="AL1566" s="28"/>
      <c r="AO1566" s="28"/>
      <c r="AR1566" s="28"/>
      <c r="AU1566" s="28"/>
      <c r="AX1566" s="28"/>
      <c r="BA1566" s="28"/>
      <c r="BD1566" s="28"/>
      <c r="BG1566" s="28"/>
      <c r="BJ1566" s="28"/>
      <c r="BM1566" s="28"/>
      <c r="BP1566" s="28"/>
      <c r="BS1566" s="28"/>
      <c r="BV1566" s="28"/>
      <c r="BY1566" s="28"/>
      <c r="CB1566" s="28"/>
      <c r="CE1566" s="28"/>
      <c r="CH1566" s="28"/>
      <c r="CK1566" s="28"/>
      <c r="CN1566" s="28"/>
      <c r="CQ1566" s="28"/>
      <c r="CT1566" s="28"/>
      <c r="CW1566" s="28"/>
      <c r="CZ1566" s="28"/>
      <c r="DC1566" s="28"/>
      <c r="DF1566" s="28"/>
      <c r="DI1566" s="28"/>
      <c r="DL1566" s="28"/>
      <c r="DO1566" s="28"/>
      <c r="DR1566" s="28"/>
      <c r="DU1566" s="28"/>
      <c r="DX1566" s="28"/>
      <c r="EA1566" s="28"/>
      <c r="ED1566" s="28"/>
      <c r="EG1566" s="28"/>
      <c r="EJ1566" s="28"/>
      <c r="EM1566" s="28"/>
      <c r="EP1566" s="28"/>
      <c r="ES1566" s="28"/>
      <c r="EV1566" s="28"/>
      <c r="EY1566" s="28"/>
      <c r="FB1566" s="28"/>
      <c r="FE1566" s="28"/>
      <c r="FH1566" s="28"/>
      <c r="FK1566" s="28"/>
      <c r="FN1566" s="28"/>
      <c r="FQ1566" s="28"/>
      <c r="FT1566" s="28"/>
      <c r="FW1566" s="28"/>
      <c r="FZ1566" s="28"/>
      <c r="GC1566" s="28"/>
    </row>
    <row r="1567" spans="1:185" s="25" customFormat="1" x14ac:dyDescent="0.3">
      <c r="A1567" s="27"/>
      <c r="B1567" s="28"/>
      <c r="C1567" s="27"/>
      <c r="D1567" s="26"/>
      <c r="E1567" s="28"/>
      <c r="H1567" s="28"/>
      <c r="K1567" s="28"/>
      <c r="N1567" s="28"/>
      <c r="Q1567" s="28"/>
      <c r="T1567" s="28"/>
      <c r="W1567" s="28"/>
      <c r="Z1567" s="28"/>
      <c r="AC1567" s="28"/>
      <c r="AF1567" s="28"/>
      <c r="AI1567" s="28"/>
      <c r="AL1567" s="28"/>
      <c r="AO1567" s="28"/>
      <c r="AR1567" s="28"/>
      <c r="AU1567" s="28"/>
      <c r="AX1567" s="28"/>
      <c r="BA1567" s="28"/>
      <c r="BD1567" s="28"/>
      <c r="BG1567" s="28"/>
      <c r="BJ1567" s="28"/>
      <c r="BM1567" s="28"/>
      <c r="BP1567" s="28"/>
      <c r="BS1567" s="28"/>
      <c r="BV1567" s="28"/>
      <c r="BY1567" s="28"/>
      <c r="CB1567" s="28"/>
      <c r="CE1567" s="28"/>
      <c r="CH1567" s="28"/>
      <c r="CK1567" s="28"/>
      <c r="CN1567" s="28"/>
      <c r="CQ1567" s="28"/>
      <c r="CT1567" s="28"/>
      <c r="CW1567" s="28"/>
      <c r="CZ1567" s="28"/>
      <c r="DC1567" s="28"/>
      <c r="DF1567" s="28"/>
      <c r="DI1567" s="28"/>
      <c r="DL1567" s="28"/>
      <c r="DO1567" s="28"/>
      <c r="DR1567" s="28"/>
      <c r="DU1567" s="28"/>
      <c r="DX1567" s="28"/>
      <c r="EA1567" s="28"/>
      <c r="ED1567" s="28"/>
      <c r="EG1567" s="28"/>
      <c r="EJ1567" s="28"/>
      <c r="EM1567" s="28"/>
      <c r="EP1567" s="28"/>
      <c r="ES1567" s="28"/>
      <c r="EV1567" s="28"/>
      <c r="EY1567" s="28"/>
      <c r="FB1567" s="28"/>
      <c r="FE1567" s="28"/>
      <c r="FH1567" s="28"/>
      <c r="FK1567" s="28"/>
      <c r="FN1567" s="28"/>
      <c r="FQ1567" s="28"/>
      <c r="FT1567" s="28"/>
      <c r="FW1567" s="28"/>
      <c r="FZ1567" s="28"/>
      <c r="GC1567" s="28"/>
    </row>
    <row r="1568" spans="1:185" s="25" customFormat="1" x14ac:dyDescent="0.3">
      <c r="A1568" s="27"/>
      <c r="B1568" s="28"/>
      <c r="C1568" s="27"/>
      <c r="D1568" s="26"/>
      <c r="E1568" s="28"/>
      <c r="H1568" s="28"/>
      <c r="K1568" s="28"/>
      <c r="N1568" s="28"/>
      <c r="Q1568" s="28"/>
      <c r="T1568" s="28"/>
      <c r="W1568" s="28"/>
      <c r="Z1568" s="28"/>
      <c r="AC1568" s="28"/>
      <c r="AF1568" s="28"/>
      <c r="AI1568" s="28"/>
      <c r="AL1568" s="28"/>
      <c r="AO1568" s="28"/>
      <c r="AR1568" s="28"/>
      <c r="AU1568" s="28"/>
      <c r="AX1568" s="28"/>
      <c r="BA1568" s="28"/>
      <c r="BD1568" s="28"/>
      <c r="BG1568" s="28"/>
      <c r="BJ1568" s="28"/>
      <c r="BM1568" s="28"/>
      <c r="BP1568" s="28"/>
      <c r="BS1568" s="28"/>
      <c r="BV1568" s="28"/>
      <c r="BY1568" s="28"/>
      <c r="CB1568" s="28"/>
      <c r="CE1568" s="28"/>
      <c r="CH1568" s="28"/>
      <c r="CK1568" s="28"/>
      <c r="CN1568" s="28"/>
      <c r="CQ1568" s="28"/>
      <c r="CT1568" s="28"/>
      <c r="CW1568" s="28"/>
      <c r="CZ1568" s="28"/>
      <c r="DC1568" s="28"/>
      <c r="DF1568" s="28"/>
      <c r="DI1568" s="28"/>
      <c r="DL1568" s="28"/>
      <c r="DO1568" s="28"/>
      <c r="DR1568" s="28"/>
      <c r="DU1568" s="28"/>
      <c r="DX1568" s="28"/>
      <c r="EA1568" s="28"/>
      <c r="ED1568" s="28"/>
      <c r="EG1568" s="28"/>
      <c r="EJ1568" s="28"/>
      <c r="EM1568" s="28"/>
      <c r="EP1568" s="28"/>
      <c r="ES1568" s="28"/>
      <c r="EV1568" s="28"/>
      <c r="EY1568" s="28"/>
      <c r="FB1568" s="28"/>
      <c r="FE1568" s="28"/>
      <c r="FH1568" s="28"/>
      <c r="FK1568" s="28"/>
      <c r="FN1568" s="28"/>
      <c r="FQ1568" s="28"/>
      <c r="FT1568" s="28"/>
      <c r="FW1568" s="28"/>
      <c r="FZ1568" s="28"/>
      <c r="GC1568" s="28"/>
    </row>
    <row r="1569" spans="1:185" s="25" customFormat="1" x14ac:dyDescent="0.3">
      <c r="A1569" s="27"/>
      <c r="B1569" s="28"/>
      <c r="C1569" s="27"/>
      <c r="D1569" s="26"/>
      <c r="E1569" s="28"/>
      <c r="H1569" s="28"/>
      <c r="K1569" s="28"/>
      <c r="N1569" s="28"/>
      <c r="Q1569" s="28"/>
      <c r="T1569" s="28"/>
      <c r="W1569" s="28"/>
      <c r="Z1569" s="28"/>
      <c r="AC1569" s="28"/>
      <c r="AF1569" s="28"/>
      <c r="AI1569" s="28"/>
      <c r="AL1569" s="28"/>
      <c r="AO1569" s="28"/>
      <c r="AR1569" s="28"/>
      <c r="AU1569" s="28"/>
      <c r="AX1569" s="28"/>
      <c r="BA1569" s="28"/>
      <c r="BD1569" s="28"/>
      <c r="BG1569" s="28"/>
      <c r="BJ1569" s="28"/>
      <c r="BM1569" s="28"/>
      <c r="BP1569" s="28"/>
      <c r="BS1569" s="28"/>
      <c r="BV1569" s="28"/>
      <c r="BY1569" s="28"/>
      <c r="CB1569" s="28"/>
      <c r="CE1569" s="28"/>
      <c r="CH1569" s="28"/>
      <c r="CK1569" s="28"/>
      <c r="CN1569" s="28"/>
      <c r="CQ1569" s="28"/>
      <c r="CT1569" s="28"/>
      <c r="CW1569" s="28"/>
      <c r="CZ1569" s="28"/>
      <c r="DC1569" s="28"/>
      <c r="DF1569" s="28"/>
      <c r="DI1569" s="28"/>
      <c r="DL1569" s="28"/>
      <c r="DO1569" s="28"/>
      <c r="DR1569" s="28"/>
      <c r="DU1569" s="28"/>
      <c r="DX1569" s="28"/>
      <c r="EA1569" s="28"/>
      <c r="ED1569" s="28"/>
      <c r="EG1569" s="28"/>
      <c r="EJ1569" s="28"/>
      <c r="EM1569" s="28"/>
      <c r="EP1569" s="28"/>
      <c r="ES1569" s="28"/>
      <c r="EV1569" s="28"/>
      <c r="EY1569" s="28"/>
      <c r="FB1569" s="28"/>
      <c r="FE1569" s="28"/>
      <c r="FH1569" s="28"/>
      <c r="FK1569" s="28"/>
      <c r="FN1569" s="28"/>
      <c r="FQ1569" s="28"/>
      <c r="FT1569" s="28"/>
      <c r="FW1569" s="28"/>
      <c r="FZ1569" s="28"/>
      <c r="GC1569" s="28"/>
    </row>
    <row r="1570" spans="1:185" s="25" customFormat="1" x14ac:dyDescent="0.3">
      <c r="A1570" s="27"/>
      <c r="B1570" s="28"/>
      <c r="C1570" s="27"/>
      <c r="D1570" s="26"/>
      <c r="E1570" s="28"/>
      <c r="H1570" s="28"/>
      <c r="K1570" s="28"/>
      <c r="N1570" s="28"/>
      <c r="Q1570" s="28"/>
      <c r="T1570" s="28"/>
      <c r="W1570" s="28"/>
      <c r="Z1570" s="28"/>
      <c r="AC1570" s="28"/>
      <c r="AF1570" s="28"/>
      <c r="AI1570" s="28"/>
      <c r="AL1570" s="28"/>
      <c r="AO1570" s="28"/>
      <c r="AR1570" s="28"/>
      <c r="AU1570" s="28"/>
      <c r="AX1570" s="28"/>
      <c r="BA1570" s="28"/>
      <c r="BD1570" s="28"/>
      <c r="BG1570" s="28"/>
      <c r="BJ1570" s="28"/>
      <c r="BM1570" s="28"/>
      <c r="BP1570" s="28"/>
      <c r="BS1570" s="28"/>
      <c r="BV1570" s="28"/>
      <c r="BY1570" s="28"/>
      <c r="CB1570" s="28"/>
      <c r="CE1570" s="28"/>
      <c r="CH1570" s="28"/>
      <c r="CK1570" s="28"/>
      <c r="CN1570" s="28"/>
      <c r="CQ1570" s="28"/>
      <c r="CT1570" s="28"/>
      <c r="CW1570" s="28"/>
      <c r="CZ1570" s="28"/>
      <c r="DC1570" s="28"/>
      <c r="DF1570" s="28"/>
      <c r="DI1570" s="28"/>
      <c r="DL1570" s="28"/>
      <c r="DO1570" s="28"/>
      <c r="DR1570" s="28"/>
      <c r="DU1570" s="28"/>
      <c r="DX1570" s="28"/>
      <c r="EA1570" s="28"/>
      <c r="ED1570" s="28"/>
      <c r="EG1570" s="28"/>
      <c r="EJ1570" s="28"/>
      <c r="EM1570" s="28"/>
      <c r="EP1570" s="28"/>
      <c r="ES1570" s="28"/>
      <c r="EV1570" s="28"/>
      <c r="EY1570" s="28"/>
      <c r="FB1570" s="28"/>
      <c r="FE1570" s="28"/>
      <c r="FH1570" s="28"/>
      <c r="FK1570" s="28"/>
      <c r="FN1570" s="28"/>
      <c r="FQ1570" s="28"/>
      <c r="FT1570" s="28"/>
      <c r="FW1570" s="28"/>
      <c r="FZ1570" s="28"/>
      <c r="GC1570" s="28"/>
    </row>
    <row r="1571" spans="1:185" s="25" customFormat="1" x14ac:dyDescent="0.3">
      <c r="A1571" s="27"/>
      <c r="B1571" s="28"/>
      <c r="C1571" s="27"/>
      <c r="D1571" s="26"/>
      <c r="E1571" s="28"/>
      <c r="H1571" s="28"/>
      <c r="K1571" s="28"/>
      <c r="N1571" s="28"/>
      <c r="Q1571" s="28"/>
      <c r="T1571" s="28"/>
      <c r="W1571" s="28"/>
      <c r="Z1571" s="28"/>
      <c r="AC1571" s="28"/>
      <c r="AF1571" s="28"/>
      <c r="AI1571" s="28"/>
      <c r="AL1571" s="28"/>
      <c r="AO1571" s="28"/>
      <c r="AR1571" s="28"/>
      <c r="AU1571" s="28"/>
      <c r="AX1571" s="28"/>
      <c r="BA1571" s="28"/>
      <c r="BD1571" s="28"/>
      <c r="BG1571" s="28"/>
      <c r="BJ1571" s="28"/>
      <c r="BM1571" s="28"/>
      <c r="BP1571" s="28"/>
      <c r="BS1571" s="28"/>
      <c r="BV1571" s="28"/>
      <c r="BY1571" s="28"/>
      <c r="CB1571" s="28"/>
      <c r="CE1571" s="28"/>
      <c r="CH1571" s="28"/>
      <c r="CK1571" s="28"/>
      <c r="CN1571" s="28"/>
      <c r="CQ1571" s="28"/>
      <c r="CT1571" s="28"/>
      <c r="CW1571" s="28"/>
      <c r="CZ1571" s="28"/>
      <c r="DC1571" s="28"/>
      <c r="DF1571" s="28"/>
      <c r="DI1571" s="28"/>
      <c r="DL1571" s="28"/>
      <c r="DO1571" s="28"/>
      <c r="DR1571" s="28"/>
      <c r="DU1571" s="28"/>
      <c r="DX1571" s="28"/>
      <c r="EA1571" s="28"/>
      <c r="ED1571" s="28"/>
      <c r="EG1571" s="28"/>
      <c r="EJ1571" s="28"/>
      <c r="EM1571" s="28"/>
      <c r="EP1571" s="28"/>
      <c r="ES1571" s="28"/>
      <c r="EV1571" s="28"/>
      <c r="EY1571" s="28"/>
      <c r="FB1571" s="28"/>
      <c r="FE1571" s="28"/>
      <c r="FH1571" s="28"/>
      <c r="FK1571" s="28"/>
      <c r="FN1571" s="28"/>
      <c r="FQ1571" s="28"/>
      <c r="FT1571" s="28"/>
      <c r="FW1571" s="28"/>
      <c r="FZ1571" s="28"/>
      <c r="GC1571" s="28"/>
    </row>
    <row r="1572" spans="1:185" s="25" customFormat="1" x14ac:dyDescent="0.3">
      <c r="A1572" s="27"/>
      <c r="B1572" s="28"/>
      <c r="C1572" s="27"/>
      <c r="D1572" s="26"/>
      <c r="E1572" s="28"/>
      <c r="H1572" s="28"/>
      <c r="K1572" s="28"/>
      <c r="N1572" s="28"/>
      <c r="Q1572" s="28"/>
      <c r="T1572" s="28"/>
      <c r="W1572" s="28"/>
      <c r="Z1572" s="28"/>
      <c r="AC1572" s="28"/>
      <c r="AF1572" s="28"/>
      <c r="AI1572" s="28"/>
      <c r="AL1572" s="28"/>
      <c r="AO1572" s="28"/>
      <c r="AR1572" s="28"/>
      <c r="AU1572" s="28"/>
      <c r="AX1572" s="28"/>
      <c r="BA1572" s="28"/>
      <c r="BD1572" s="28"/>
      <c r="BG1572" s="28"/>
      <c r="BJ1572" s="28"/>
      <c r="BM1572" s="28"/>
      <c r="BP1572" s="28"/>
      <c r="BS1572" s="28"/>
      <c r="BV1572" s="28"/>
      <c r="BY1572" s="28"/>
      <c r="CB1572" s="28"/>
      <c r="CE1572" s="28"/>
      <c r="CH1572" s="28"/>
      <c r="CK1572" s="28"/>
      <c r="CN1572" s="28"/>
      <c r="CQ1572" s="28"/>
      <c r="CT1572" s="28"/>
      <c r="CW1572" s="28"/>
      <c r="CZ1572" s="28"/>
      <c r="DC1572" s="28"/>
      <c r="DF1572" s="28"/>
      <c r="DI1572" s="28"/>
      <c r="DL1572" s="28"/>
      <c r="DO1572" s="28"/>
      <c r="DR1572" s="28"/>
      <c r="DU1572" s="28"/>
      <c r="DX1572" s="28"/>
      <c r="EA1572" s="28"/>
      <c r="ED1572" s="28"/>
      <c r="EG1572" s="28"/>
      <c r="EJ1572" s="28"/>
      <c r="EM1572" s="28"/>
      <c r="EP1572" s="28"/>
      <c r="ES1572" s="28"/>
      <c r="EV1572" s="28"/>
      <c r="EY1572" s="28"/>
      <c r="FB1572" s="28"/>
      <c r="FE1572" s="28"/>
      <c r="FH1572" s="28"/>
      <c r="FK1572" s="28"/>
      <c r="FN1572" s="28"/>
      <c r="FQ1572" s="28"/>
      <c r="FT1572" s="28"/>
      <c r="FW1572" s="28"/>
      <c r="FZ1572" s="28"/>
      <c r="GC1572" s="28"/>
    </row>
    <row r="1573" spans="1:185" s="25" customFormat="1" x14ac:dyDescent="0.3">
      <c r="A1573" s="27"/>
      <c r="B1573" s="28"/>
      <c r="C1573" s="27"/>
      <c r="D1573" s="26"/>
      <c r="E1573" s="28"/>
      <c r="H1573" s="28"/>
      <c r="K1573" s="28"/>
      <c r="N1573" s="28"/>
      <c r="Q1573" s="28"/>
      <c r="T1573" s="28"/>
      <c r="W1573" s="28"/>
      <c r="Z1573" s="28"/>
      <c r="AC1573" s="28"/>
      <c r="AF1573" s="28"/>
      <c r="AI1573" s="28"/>
      <c r="AL1573" s="28"/>
      <c r="AO1573" s="28"/>
      <c r="AR1573" s="28"/>
      <c r="AU1573" s="28"/>
      <c r="AX1573" s="28"/>
      <c r="BA1573" s="28"/>
      <c r="BD1573" s="28"/>
      <c r="BG1573" s="28"/>
      <c r="BJ1573" s="28"/>
      <c r="BM1573" s="28"/>
      <c r="BP1573" s="28"/>
      <c r="BS1573" s="28"/>
      <c r="BV1573" s="28"/>
      <c r="BY1573" s="28"/>
      <c r="CB1573" s="28"/>
      <c r="CE1573" s="28"/>
      <c r="CH1573" s="28"/>
      <c r="CK1573" s="28"/>
      <c r="CN1573" s="28"/>
      <c r="CQ1573" s="28"/>
      <c r="CT1573" s="28"/>
      <c r="CW1573" s="28"/>
      <c r="CZ1573" s="28"/>
      <c r="DC1573" s="28"/>
      <c r="DF1573" s="28"/>
      <c r="DI1573" s="28"/>
      <c r="DL1573" s="28"/>
      <c r="DO1573" s="28"/>
      <c r="DR1573" s="28"/>
      <c r="DU1573" s="28"/>
      <c r="DX1573" s="28"/>
      <c r="EA1573" s="28"/>
      <c r="ED1573" s="28"/>
      <c r="EG1573" s="28"/>
      <c r="EJ1573" s="28"/>
      <c r="EM1573" s="28"/>
      <c r="EP1573" s="28"/>
      <c r="ES1573" s="28"/>
      <c r="EV1573" s="28"/>
      <c r="EY1573" s="28"/>
      <c r="FB1573" s="28"/>
      <c r="FE1573" s="28"/>
      <c r="FH1573" s="28"/>
      <c r="FK1573" s="28"/>
      <c r="FN1573" s="28"/>
      <c r="FQ1573" s="28"/>
      <c r="FT1573" s="28"/>
      <c r="FW1573" s="28"/>
      <c r="FZ1573" s="28"/>
      <c r="GC1573" s="28"/>
    </row>
    <row r="1574" spans="1:185" s="25" customFormat="1" x14ac:dyDescent="0.3">
      <c r="A1574" s="27"/>
      <c r="B1574" s="28"/>
      <c r="C1574" s="27"/>
      <c r="D1574" s="26"/>
      <c r="E1574" s="28"/>
      <c r="H1574" s="28"/>
      <c r="K1574" s="28"/>
      <c r="N1574" s="28"/>
      <c r="Q1574" s="28"/>
      <c r="T1574" s="28"/>
      <c r="W1574" s="28"/>
      <c r="Z1574" s="28"/>
      <c r="AC1574" s="28"/>
      <c r="AF1574" s="28"/>
      <c r="AI1574" s="28"/>
      <c r="AL1574" s="28"/>
      <c r="AO1574" s="28"/>
      <c r="AR1574" s="28"/>
      <c r="AU1574" s="28"/>
      <c r="AX1574" s="28"/>
      <c r="BA1574" s="28"/>
      <c r="BD1574" s="28"/>
      <c r="BG1574" s="28"/>
      <c r="BJ1574" s="28"/>
      <c r="BM1574" s="28"/>
      <c r="BP1574" s="28"/>
      <c r="BS1574" s="28"/>
      <c r="BV1574" s="28"/>
      <c r="BY1574" s="28"/>
      <c r="CB1574" s="28"/>
      <c r="CE1574" s="28"/>
      <c r="CH1574" s="28"/>
      <c r="CK1574" s="28"/>
      <c r="CN1574" s="28"/>
      <c r="CQ1574" s="28"/>
      <c r="CT1574" s="28"/>
      <c r="CW1574" s="28"/>
      <c r="CZ1574" s="28"/>
      <c r="DC1574" s="28"/>
      <c r="DF1574" s="28"/>
      <c r="DI1574" s="28"/>
      <c r="DL1574" s="28"/>
      <c r="DO1574" s="28"/>
      <c r="DR1574" s="28"/>
      <c r="DU1574" s="28"/>
      <c r="DX1574" s="28"/>
      <c r="EA1574" s="28"/>
      <c r="ED1574" s="28"/>
      <c r="EG1574" s="28"/>
      <c r="EJ1574" s="28"/>
      <c r="EM1574" s="28"/>
      <c r="EP1574" s="28"/>
      <c r="ES1574" s="28"/>
      <c r="EV1574" s="28"/>
      <c r="EY1574" s="28"/>
      <c r="FB1574" s="28"/>
      <c r="FE1574" s="28"/>
      <c r="FH1574" s="28"/>
      <c r="FK1574" s="28"/>
      <c r="FN1574" s="28"/>
      <c r="FQ1574" s="28"/>
      <c r="FT1574" s="28"/>
      <c r="FW1574" s="28"/>
      <c r="FZ1574" s="28"/>
      <c r="GC1574" s="28"/>
    </row>
    <row r="1575" spans="1:185" s="25" customFormat="1" x14ac:dyDescent="0.3">
      <c r="A1575" s="27"/>
      <c r="B1575" s="28"/>
      <c r="C1575" s="27"/>
      <c r="D1575" s="26"/>
      <c r="E1575" s="28"/>
      <c r="H1575" s="28"/>
      <c r="K1575" s="28"/>
      <c r="N1575" s="28"/>
      <c r="Q1575" s="28"/>
      <c r="T1575" s="28"/>
      <c r="W1575" s="28"/>
      <c r="Z1575" s="28"/>
      <c r="AC1575" s="28"/>
      <c r="AF1575" s="28"/>
      <c r="AI1575" s="28"/>
      <c r="AL1575" s="28"/>
      <c r="AO1575" s="28"/>
      <c r="AR1575" s="28"/>
      <c r="AU1575" s="28"/>
      <c r="AX1575" s="28"/>
      <c r="BA1575" s="28"/>
      <c r="BD1575" s="28"/>
      <c r="BG1575" s="28"/>
      <c r="BJ1575" s="28"/>
      <c r="BM1575" s="28"/>
      <c r="BP1575" s="28"/>
      <c r="BS1575" s="28"/>
      <c r="BV1575" s="28"/>
      <c r="BY1575" s="28"/>
      <c r="CB1575" s="28"/>
      <c r="CE1575" s="28"/>
      <c r="CH1575" s="28"/>
      <c r="CK1575" s="28"/>
      <c r="CN1575" s="28"/>
      <c r="CQ1575" s="28"/>
      <c r="CT1575" s="28"/>
      <c r="CW1575" s="28"/>
      <c r="CZ1575" s="28"/>
      <c r="DC1575" s="28"/>
      <c r="DF1575" s="28"/>
      <c r="DI1575" s="28"/>
      <c r="DL1575" s="28"/>
      <c r="DO1575" s="28"/>
      <c r="DR1575" s="28"/>
      <c r="DU1575" s="28"/>
      <c r="DX1575" s="28"/>
      <c r="EA1575" s="28"/>
      <c r="ED1575" s="28"/>
      <c r="EG1575" s="28"/>
      <c r="EJ1575" s="28"/>
      <c r="EM1575" s="28"/>
      <c r="EP1575" s="28"/>
      <c r="ES1575" s="28"/>
      <c r="EV1575" s="28"/>
      <c r="EY1575" s="28"/>
      <c r="FB1575" s="28"/>
      <c r="FE1575" s="28"/>
      <c r="FH1575" s="28"/>
      <c r="FK1575" s="28"/>
      <c r="FN1575" s="28"/>
      <c r="FQ1575" s="28"/>
      <c r="FT1575" s="28"/>
      <c r="FW1575" s="28"/>
      <c r="FZ1575" s="28"/>
      <c r="GC1575" s="28"/>
    </row>
    <row r="1576" spans="1:185" s="25" customFormat="1" x14ac:dyDescent="0.3">
      <c r="A1576" s="27"/>
      <c r="B1576" s="28"/>
      <c r="C1576" s="27"/>
      <c r="D1576" s="26"/>
      <c r="E1576" s="28"/>
      <c r="H1576" s="28"/>
      <c r="K1576" s="28"/>
      <c r="N1576" s="28"/>
      <c r="Q1576" s="28"/>
      <c r="T1576" s="28"/>
      <c r="W1576" s="28"/>
      <c r="Z1576" s="28"/>
      <c r="AC1576" s="28"/>
      <c r="AF1576" s="28"/>
      <c r="AI1576" s="28"/>
      <c r="AL1576" s="28"/>
      <c r="AO1576" s="28"/>
      <c r="AR1576" s="28"/>
      <c r="AU1576" s="28"/>
      <c r="AX1576" s="28"/>
      <c r="BA1576" s="28"/>
      <c r="BD1576" s="28"/>
      <c r="BG1576" s="28"/>
      <c r="BJ1576" s="28"/>
      <c r="BM1576" s="28"/>
      <c r="BP1576" s="28"/>
      <c r="BS1576" s="28"/>
      <c r="BV1576" s="28"/>
      <c r="BY1576" s="28"/>
      <c r="CB1576" s="28"/>
      <c r="CE1576" s="28"/>
      <c r="CH1576" s="28"/>
      <c r="CK1576" s="28"/>
      <c r="CN1576" s="28"/>
      <c r="CQ1576" s="28"/>
      <c r="CT1576" s="28"/>
      <c r="CW1576" s="28"/>
      <c r="CZ1576" s="28"/>
      <c r="DC1576" s="28"/>
      <c r="DF1576" s="28"/>
      <c r="DI1576" s="28"/>
      <c r="DL1576" s="28"/>
      <c r="DO1576" s="28"/>
      <c r="DR1576" s="28"/>
      <c r="DU1576" s="28"/>
      <c r="DX1576" s="28"/>
      <c r="EA1576" s="28"/>
      <c r="ED1576" s="28"/>
      <c r="EG1576" s="28"/>
      <c r="EJ1576" s="28"/>
      <c r="EM1576" s="28"/>
      <c r="EP1576" s="28"/>
      <c r="ES1576" s="28"/>
      <c r="EV1576" s="28"/>
      <c r="EY1576" s="28"/>
      <c r="FB1576" s="28"/>
      <c r="FE1576" s="28"/>
      <c r="FH1576" s="28"/>
      <c r="FK1576" s="28"/>
      <c r="FN1576" s="28"/>
      <c r="FQ1576" s="28"/>
      <c r="FT1576" s="28"/>
      <c r="FW1576" s="28"/>
      <c r="FZ1576" s="28"/>
      <c r="GC1576" s="28"/>
    </row>
    <row r="1577" spans="1:185" s="25" customFormat="1" x14ac:dyDescent="0.3">
      <c r="A1577" s="27"/>
      <c r="B1577" s="28"/>
      <c r="C1577" s="27"/>
      <c r="D1577" s="26"/>
      <c r="E1577" s="28"/>
      <c r="H1577" s="28"/>
      <c r="K1577" s="28"/>
      <c r="N1577" s="28"/>
      <c r="Q1577" s="28"/>
      <c r="T1577" s="28"/>
      <c r="W1577" s="28"/>
      <c r="Z1577" s="28"/>
      <c r="AC1577" s="28"/>
      <c r="AF1577" s="28"/>
      <c r="AI1577" s="28"/>
      <c r="AL1577" s="28"/>
      <c r="AO1577" s="28"/>
      <c r="AR1577" s="28"/>
      <c r="AU1577" s="28"/>
      <c r="AX1577" s="28"/>
      <c r="BA1577" s="28"/>
      <c r="BD1577" s="28"/>
      <c r="BG1577" s="28"/>
      <c r="BJ1577" s="28"/>
      <c r="BM1577" s="28"/>
      <c r="BP1577" s="28"/>
      <c r="BS1577" s="28"/>
      <c r="BV1577" s="28"/>
      <c r="BY1577" s="28"/>
      <c r="CB1577" s="28"/>
      <c r="CE1577" s="28"/>
      <c r="CH1577" s="28"/>
      <c r="CK1577" s="28"/>
      <c r="CN1577" s="28"/>
      <c r="CQ1577" s="28"/>
      <c r="CT1577" s="28"/>
      <c r="CW1577" s="28"/>
      <c r="CZ1577" s="28"/>
      <c r="DC1577" s="28"/>
      <c r="DF1577" s="28"/>
      <c r="DI1577" s="28"/>
      <c r="DL1577" s="28"/>
      <c r="DO1577" s="28"/>
      <c r="DR1577" s="28"/>
      <c r="DU1577" s="28"/>
      <c r="DX1577" s="28"/>
      <c r="EA1577" s="28"/>
      <c r="ED1577" s="28"/>
      <c r="EG1577" s="28"/>
      <c r="EJ1577" s="28"/>
      <c r="EM1577" s="28"/>
      <c r="EP1577" s="28"/>
      <c r="ES1577" s="28"/>
      <c r="EV1577" s="28"/>
      <c r="EY1577" s="28"/>
      <c r="FB1577" s="28"/>
      <c r="FE1577" s="28"/>
      <c r="FH1577" s="28"/>
      <c r="FK1577" s="28"/>
      <c r="FN1577" s="28"/>
      <c r="FQ1577" s="28"/>
      <c r="FT1577" s="28"/>
      <c r="FW1577" s="28"/>
      <c r="FZ1577" s="28"/>
      <c r="GC1577" s="28"/>
    </row>
    <row r="1578" spans="1:185" s="25" customFormat="1" x14ac:dyDescent="0.3">
      <c r="A1578" s="27"/>
      <c r="B1578" s="28"/>
      <c r="C1578" s="27"/>
      <c r="D1578" s="26"/>
      <c r="E1578" s="28"/>
      <c r="H1578" s="28"/>
      <c r="K1578" s="28"/>
      <c r="N1578" s="28"/>
      <c r="Q1578" s="28"/>
      <c r="T1578" s="28"/>
      <c r="W1578" s="28"/>
      <c r="Z1578" s="28"/>
      <c r="AC1578" s="28"/>
      <c r="AF1578" s="28"/>
      <c r="AI1578" s="28"/>
      <c r="AL1578" s="28"/>
      <c r="AO1578" s="28"/>
      <c r="AR1578" s="28"/>
      <c r="AU1578" s="28"/>
      <c r="AX1578" s="28"/>
      <c r="BA1578" s="28"/>
      <c r="BD1578" s="28"/>
      <c r="BG1578" s="28"/>
      <c r="BJ1578" s="28"/>
      <c r="BM1578" s="28"/>
      <c r="BP1578" s="28"/>
      <c r="BS1578" s="28"/>
      <c r="BV1578" s="28"/>
      <c r="BY1578" s="28"/>
      <c r="CB1578" s="28"/>
      <c r="CE1578" s="28"/>
      <c r="CH1578" s="28"/>
      <c r="CK1578" s="28"/>
      <c r="CN1578" s="28"/>
      <c r="CQ1578" s="28"/>
      <c r="CT1578" s="28"/>
      <c r="CW1578" s="28"/>
      <c r="CZ1578" s="28"/>
      <c r="DC1578" s="28"/>
      <c r="DF1578" s="28"/>
      <c r="DI1578" s="28"/>
      <c r="DL1578" s="28"/>
      <c r="DO1578" s="28"/>
      <c r="DR1578" s="28"/>
      <c r="DU1578" s="28"/>
      <c r="DX1578" s="28"/>
      <c r="EA1578" s="28"/>
      <c r="ED1578" s="28"/>
      <c r="EG1578" s="28"/>
      <c r="EJ1578" s="28"/>
      <c r="EM1578" s="28"/>
      <c r="EP1578" s="28"/>
      <c r="ES1578" s="28"/>
      <c r="EV1578" s="28"/>
      <c r="EY1578" s="28"/>
      <c r="FB1578" s="28"/>
      <c r="FE1578" s="28"/>
      <c r="FH1578" s="28"/>
      <c r="FK1578" s="28"/>
      <c r="FN1578" s="28"/>
      <c r="FQ1578" s="28"/>
      <c r="FT1578" s="28"/>
      <c r="FW1578" s="28"/>
      <c r="FZ1578" s="28"/>
      <c r="GC1578" s="28"/>
    </row>
    <row r="1579" spans="1:185" s="25" customFormat="1" x14ac:dyDescent="0.3">
      <c r="A1579" s="27"/>
      <c r="B1579" s="28"/>
      <c r="C1579" s="27"/>
      <c r="D1579" s="26"/>
      <c r="E1579" s="28"/>
      <c r="H1579" s="28"/>
      <c r="K1579" s="28"/>
      <c r="N1579" s="28"/>
      <c r="Q1579" s="28"/>
      <c r="T1579" s="28"/>
      <c r="W1579" s="28"/>
      <c r="Z1579" s="28"/>
      <c r="AC1579" s="28"/>
      <c r="AF1579" s="28"/>
      <c r="AI1579" s="28"/>
      <c r="AL1579" s="28"/>
      <c r="AO1579" s="28"/>
      <c r="AR1579" s="28"/>
      <c r="AU1579" s="28"/>
      <c r="AX1579" s="28"/>
      <c r="BA1579" s="28"/>
      <c r="BD1579" s="28"/>
      <c r="BG1579" s="28"/>
      <c r="BJ1579" s="28"/>
      <c r="BM1579" s="28"/>
      <c r="BP1579" s="28"/>
      <c r="BS1579" s="28"/>
      <c r="BV1579" s="28"/>
      <c r="BY1579" s="28"/>
      <c r="CB1579" s="28"/>
      <c r="CE1579" s="28"/>
      <c r="CH1579" s="28"/>
      <c r="CK1579" s="28"/>
      <c r="CN1579" s="28"/>
      <c r="CQ1579" s="28"/>
      <c r="CT1579" s="28"/>
      <c r="CW1579" s="28"/>
      <c r="CZ1579" s="28"/>
      <c r="DC1579" s="28"/>
      <c r="DF1579" s="28"/>
      <c r="DI1579" s="28"/>
      <c r="DL1579" s="28"/>
      <c r="DO1579" s="28"/>
      <c r="DR1579" s="28"/>
      <c r="DU1579" s="28"/>
      <c r="DX1579" s="28"/>
      <c r="EA1579" s="28"/>
      <c r="ED1579" s="28"/>
      <c r="EG1579" s="28"/>
      <c r="EJ1579" s="28"/>
      <c r="EM1579" s="28"/>
      <c r="EP1579" s="28"/>
      <c r="ES1579" s="28"/>
      <c r="EV1579" s="28"/>
      <c r="EY1579" s="28"/>
      <c r="FB1579" s="28"/>
      <c r="FE1579" s="28"/>
      <c r="FH1579" s="28"/>
      <c r="FK1579" s="28"/>
      <c r="FN1579" s="28"/>
      <c r="FQ1579" s="28"/>
      <c r="FT1579" s="28"/>
      <c r="FW1579" s="28"/>
      <c r="FZ1579" s="28"/>
      <c r="GC1579" s="28"/>
    </row>
    <row r="1580" spans="1:185" s="25" customFormat="1" x14ac:dyDescent="0.3">
      <c r="A1580" s="27"/>
      <c r="B1580" s="28"/>
      <c r="C1580" s="27"/>
      <c r="D1580" s="26"/>
      <c r="E1580" s="28"/>
      <c r="H1580" s="28"/>
      <c r="K1580" s="28"/>
      <c r="N1580" s="28"/>
      <c r="Q1580" s="28"/>
      <c r="T1580" s="28"/>
      <c r="W1580" s="28"/>
      <c r="Z1580" s="28"/>
      <c r="AC1580" s="28"/>
      <c r="AF1580" s="28"/>
      <c r="AI1580" s="28"/>
      <c r="AL1580" s="28"/>
      <c r="AO1580" s="28"/>
      <c r="AR1580" s="28"/>
      <c r="AU1580" s="28"/>
      <c r="AX1580" s="28"/>
      <c r="BA1580" s="28"/>
      <c r="BD1580" s="28"/>
      <c r="BG1580" s="28"/>
      <c r="BJ1580" s="28"/>
      <c r="BM1580" s="28"/>
      <c r="BP1580" s="28"/>
      <c r="BS1580" s="28"/>
      <c r="BV1580" s="28"/>
      <c r="BY1580" s="28"/>
      <c r="CB1580" s="28"/>
      <c r="CE1580" s="28"/>
      <c r="CH1580" s="28"/>
      <c r="CK1580" s="28"/>
      <c r="CN1580" s="28"/>
      <c r="CQ1580" s="28"/>
      <c r="CT1580" s="28"/>
      <c r="CW1580" s="28"/>
      <c r="CZ1580" s="28"/>
      <c r="DC1580" s="28"/>
      <c r="DF1580" s="28"/>
      <c r="DI1580" s="28"/>
      <c r="DL1580" s="28"/>
      <c r="DO1580" s="28"/>
      <c r="DR1580" s="28"/>
      <c r="DU1580" s="28"/>
      <c r="DX1580" s="28"/>
      <c r="EA1580" s="28"/>
      <c r="ED1580" s="28"/>
      <c r="EG1580" s="28"/>
      <c r="EJ1580" s="28"/>
      <c r="EM1580" s="28"/>
      <c r="EP1580" s="28"/>
      <c r="ES1580" s="28"/>
      <c r="EV1580" s="28"/>
      <c r="EY1580" s="28"/>
      <c r="FB1580" s="28"/>
      <c r="FE1580" s="28"/>
      <c r="FH1580" s="28"/>
      <c r="FK1580" s="28"/>
      <c r="FN1580" s="28"/>
      <c r="FQ1580" s="28"/>
      <c r="FT1580" s="28"/>
      <c r="FW1580" s="28"/>
      <c r="FZ1580" s="28"/>
      <c r="GC1580" s="28"/>
    </row>
    <row r="1581" spans="1:185" s="25" customFormat="1" x14ac:dyDescent="0.3">
      <c r="A1581" s="27"/>
      <c r="B1581" s="28"/>
      <c r="C1581" s="27"/>
      <c r="D1581" s="26"/>
      <c r="E1581" s="28"/>
      <c r="H1581" s="28"/>
      <c r="K1581" s="28"/>
      <c r="N1581" s="28"/>
      <c r="Q1581" s="28"/>
      <c r="T1581" s="28"/>
      <c r="W1581" s="28"/>
      <c r="Z1581" s="28"/>
      <c r="AC1581" s="28"/>
      <c r="AF1581" s="28"/>
      <c r="AI1581" s="28"/>
      <c r="AL1581" s="28"/>
      <c r="AO1581" s="28"/>
      <c r="AR1581" s="28"/>
      <c r="AU1581" s="28"/>
      <c r="AX1581" s="28"/>
      <c r="BA1581" s="28"/>
      <c r="BD1581" s="28"/>
      <c r="BG1581" s="28"/>
      <c r="BJ1581" s="28"/>
      <c r="BM1581" s="28"/>
      <c r="BP1581" s="28"/>
      <c r="BS1581" s="28"/>
      <c r="BV1581" s="28"/>
      <c r="BY1581" s="28"/>
      <c r="CB1581" s="28"/>
      <c r="CE1581" s="28"/>
      <c r="CH1581" s="28"/>
      <c r="CK1581" s="28"/>
      <c r="CN1581" s="28"/>
      <c r="CQ1581" s="28"/>
      <c r="CT1581" s="28"/>
      <c r="CW1581" s="28"/>
      <c r="CZ1581" s="28"/>
      <c r="DC1581" s="28"/>
      <c r="DF1581" s="28"/>
      <c r="DI1581" s="28"/>
      <c r="DL1581" s="28"/>
      <c r="DO1581" s="28"/>
      <c r="DR1581" s="28"/>
      <c r="DU1581" s="28"/>
      <c r="DX1581" s="28"/>
      <c r="EA1581" s="28"/>
      <c r="ED1581" s="28"/>
      <c r="EG1581" s="28"/>
      <c r="EJ1581" s="28"/>
      <c r="EM1581" s="28"/>
      <c r="EP1581" s="28"/>
      <c r="ES1581" s="28"/>
      <c r="EV1581" s="28"/>
      <c r="EY1581" s="28"/>
      <c r="FB1581" s="28"/>
      <c r="FE1581" s="28"/>
      <c r="FH1581" s="28"/>
      <c r="FK1581" s="28"/>
      <c r="FN1581" s="28"/>
      <c r="FQ1581" s="28"/>
      <c r="FT1581" s="28"/>
      <c r="FW1581" s="28"/>
      <c r="FZ1581" s="28"/>
      <c r="GC1581" s="28"/>
    </row>
    <row r="1582" spans="1:185" s="25" customFormat="1" x14ac:dyDescent="0.3">
      <c r="A1582" s="27"/>
      <c r="B1582" s="28"/>
      <c r="C1582" s="27"/>
      <c r="D1582" s="26"/>
      <c r="E1582" s="28"/>
      <c r="H1582" s="28"/>
      <c r="K1582" s="28"/>
      <c r="N1582" s="28"/>
      <c r="Q1582" s="28"/>
      <c r="T1582" s="28"/>
      <c r="W1582" s="28"/>
      <c r="Z1582" s="28"/>
      <c r="AC1582" s="28"/>
      <c r="AF1582" s="28"/>
      <c r="AI1582" s="28"/>
      <c r="AL1582" s="28"/>
      <c r="AO1582" s="28"/>
      <c r="AR1582" s="28"/>
      <c r="AU1582" s="28"/>
      <c r="AX1582" s="28"/>
      <c r="BA1582" s="28"/>
      <c r="BD1582" s="28"/>
      <c r="BG1582" s="28"/>
      <c r="BJ1582" s="28"/>
      <c r="BM1582" s="28"/>
      <c r="BP1582" s="28"/>
      <c r="BS1582" s="28"/>
      <c r="BV1582" s="28"/>
      <c r="BY1582" s="28"/>
      <c r="CB1582" s="28"/>
      <c r="CE1582" s="28"/>
      <c r="CH1582" s="28"/>
      <c r="CK1582" s="28"/>
      <c r="CN1582" s="28"/>
      <c r="CQ1582" s="28"/>
      <c r="CT1582" s="28"/>
      <c r="CW1582" s="28"/>
      <c r="CZ1582" s="28"/>
      <c r="DC1582" s="28"/>
      <c r="DF1582" s="28"/>
      <c r="DI1582" s="28"/>
      <c r="DL1582" s="28"/>
      <c r="DO1582" s="28"/>
      <c r="DR1582" s="28"/>
      <c r="DU1582" s="28"/>
      <c r="DX1582" s="28"/>
      <c r="EA1582" s="28"/>
      <c r="ED1582" s="28"/>
      <c r="EG1582" s="28"/>
      <c r="EJ1582" s="28"/>
      <c r="EM1582" s="28"/>
      <c r="EP1582" s="28"/>
      <c r="ES1582" s="28"/>
      <c r="EV1582" s="28"/>
      <c r="EY1582" s="28"/>
      <c r="FB1582" s="28"/>
      <c r="FE1582" s="28"/>
      <c r="FH1582" s="28"/>
      <c r="FK1582" s="28"/>
      <c r="FN1582" s="28"/>
      <c r="FQ1582" s="28"/>
      <c r="FT1582" s="28"/>
      <c r="FW1582" s="28"/>
      <c r="FZ1582" s="28"/>
      <c r="GC1582" s="28"/>
    </row>
    <row r="1583" spans="1:185" s="25" customFormat="1" x14ac:dyDescent="0.3">
      <c r="A1583" s="27"/>
      <c r="B1583" s="28"/>
      <c r="C1583" s="27"/>
      <c r="D1583" s="26"/>
      <c r="E1583" s="28"/>
      <c r="H1583" s="28"/>
      <c r="K1583" s="28"/>
      <c r="N1583" s="28"/>
      <c r="Q1583" s="28"/>
      <c r="T1583" s="28"/>
      <c r="W1583" s="28"/>
      <c r="Z1583" s="28"/>
      <c r="AC1583" s="28"/>
      <c r="AF1583" s="28"/>
      <c r="AI1583" s="28"/>
      <c r="AL1583" s="28"/>
      <c r="AO1583" s="28"/>
      <c r="AR1583" s="28"/>
      <c r="AU1583" s="28"/>
      <c r="AX1583" s="28"/>
      <c r="BA1583" s="28"/>
      <c r="BD1583" s="28"/>
      <c r="BG1583" s="28"/>
      <c r="BJ1583" s="28"/>
      <c r="BM1583" s="28"/>
      <c r="BP1583" s="28"/>
      <c r="BS1583" s="28"/>
      <c r="BV1583" s="28"/>
      <c r="BY1583" s="28"/>
      <c r="CB1583" s="28"/>
      <c r="CE1583" s="28"/>
      <c r="CH1583" s="28"/>
      <c r="CK1583" s="28"/>
      <c r="CN1583" s="28"/>
      <c r="CQ1583" s="28"/>
      <c r="CT1583" s="28"/>
      <c r="CW1583" s="28"/>
      <c r="CZ1583" s="28"/>
      <c r="DC1583" s="28"/>
      <c r="DF1583" s="28"/>
      <c r="DI1583" s="28"/>
      <c r="DL1583" s="28"/>
      <c r="DO1583" s="28"/>
      <c r="DR1583" s="28"/>
      <c r="DU1583" s="28"/>
      <c r="DX1583" s="28"/>
      <c r="EA1583" s="28"/>
      <c r="ED1583" s="28"/>
      <c r="EG1583" s="28"/>
      <c r="EJ1583" s="28"/>
      <c r="EM1583" s="28"/>
      <c r="EP1583" s="28"/>
      <c r="ES1583" s="28"/>
      <c r="EV1583" s="28"/>
      <c r="EY1583" s="28"/>
      <c r="FB1583" s="28"/>
      <c r="FE1583" s="28"/>
      <c r="FH1583" s="28"/>
      <c r="FK1583" s="28"/>
      <c r="FN1583" s="28"/>
      <c r="FQ1583" s="28"/>
      <c r="FT1583" s="28"/>
      <c r="FW1583" s="28"/>
      <c r="FZ1583" s="28"/>
      <c r="GC1583" s="28"/>
    </row>
    <row r="1584" spans="1:185" s="25" customFormat="1" x14ac:dyDescent="0.3">
      <c r="A1584" s="27"/>
      <c r="B1584" s="28"/>
      <c r="C1584" s="27"/>
      <c r="D1584" s="26"/>
      <c r="E1584" s="28"/>
      <c r="H1584" s="28"/>
      <c r="K1584" s="28"/>
      <c r="N1584" s="28"/>
      <c r="Q1584" s="28"/>
      <c r="T1584" s="28"/>
      <c r="W1584" s="28"/>
      <c r="Z1584" s="28"/>
      <c r="AC1584" s="28"/>
      <c r="AF1584" s="28"/>
      <c r="AI1584" s="28"/>
      <c r="AL1584" s="28"/>
      <c r="AO1584" s="28"/>
      <c r="AR1584" s="28"/>
      <c r="AU1584" s="28"/>
      <c r="AX1584" s="28"/>
      <c r="BA1584" s="28"/>
      <c r="BD1584" s="28"/>
      <c r="BG1584" s="28"/>
      <c r="BJ1584" s="28"/>
      <c r="BM1584" s="28"/>
      <c r="BP1584" s="28"/>
      <c r="BS1584" s="28"/>
      <c r="BV1584" s="28"/>
      <c r="BY1584" s="28"/>
      <c r="CB1584" s="28"/>
      <c r="CE1584" s="28"/>
      <c r="CH1584" s="28"/>
      <c r="CK1584" s="28"/>
      <c r="CN1584" s="28"/>
      <c r="CQ1584" s="28"/>
      <c r="CT1584" s="28"/>
      <c r="CW1584" s="28"/>
      <c r="CZ1584" s="28"/>
      <c r="DC1584" s="28"/>
      <c r="DF1584" s="28"/>
      <c r="DI1584" s="28"/>
      <c r="DL1584" s="28"/>
      <c r="DO1584" s="28"/>
      <c r="DR1584" s="28"/>
      <c r="DU1584" s="28"/>
      <c r="DX1584" s="28"/>
      <c r="EA1584" s="28"/>
      <c r="ED1584" s="28"/>
      <c r="EG1584" s="28"/>
      <c r="EJ1584" s="28"/>
      <c r="EM1584" s="28"/>
      <c r="EP1584" s="28"/>
      <c r="ES1584" s="28"/>
      <c r="EV1584" s="28"/>
      <c r="EY1584" s="28"/>
      <c r="FB1584" s="28"/>
      <c r="FE1584" s="28"/>
      <c r="FH1584" s="28"/>
      <c r="FK1584" s="28"/>
      <c r="FN1584" s="28"/>
      <c r="FQ1584" s="28"/>
      <c r="FT1584" s="28"/>
      <c r="FW1584" s="28"/>
      <c r="FZ1584" s="28"/>
      <c r="GC1584" s="28"/>
    </row>
    <row r="1585" spans="1:185" s="25" customFormat="1" x14ac:dyDescent="0.3">
      <c r="A1585" s="27"/>
      <c r="B1585" s="28"/>
      <c r="C1585" s="27"/>
      <c r="D1585" s="26"/>
      <c r="E1585" s="28"/>
      <c r="H1585" s="28"/>
      <c r="K1585" s="28"/>
      <c r="N1585" s="28"/>
      <c r="Q1585" s="28"/>
      <c r="T1585" s="28"/>
      <c r="W1585" s="28"/>
      <c r="Z1585" s="28"/>
      <c r="AC1585" s="28"/>
      <c r="AF1585" s="28"/>
      <c r="AI1585" s="28"/>
      <c r="AL1585" s="28"/>
      <c r="AO1585" s="28"/>
      <c r="AR1585" s="28"/>
      <c r="AU1585" s="28"/>
      <c r="AX1585" s="28"/>
      <c r="BA1585" s="28"/>
      <c r="BD1585" s="28"/>
      <c r="BG1585" s="28"/>
      <c r="BJ1585" s="28"/>
      <c r="BM1585" s="28"/>
      <c r="BP1585" s="28"/>
      <c r="BS1585" s="28"/>
      <c r="BV1585" s="28"/>
      <c r="BY1585" s="28"/>
      <c r="CB1585" s="28"/>
      <c r="CE1585" s="28"/>
      <c r="CH1585" s="28"/>
      <c r="CK1585" s="28"/>
      <c r="CN1585" s="28"/>
      <c r="CQ1585" s="28"/>
      <c r="CT1585" s="28"/>
      <c r="CW1585" s="28"/>
      <c r="CZ1585" s="28"/>
      <c r="DC1585" s="28"/>
      <c r="DF1585" s="28"/>
      <c r="DI1585" s="28"/>
      <c r="DL1585" s="28"/>
      <c r="DO1585" s="28"/>
      <c r="DR1585" s="28"/>
      <c r="DU1585" s="28"/>
      <c r="DX1585" s="28"/>
      <c r="EA1585" s="28"/>
      <c r="ED1585" s="28"/>
      <c r="EG1585" s="28"/>
      <c r="EJ1585" s="28"/>
      <c r="EM1585" s="28"/>
      <c r="EP1585" s="28"/>
      <c r="ES1585" s="28"/>
      <c r="EV1585" s="28"/>
      <c r="EY1585" s="28"/>
      <c r="FB1585" s="28"/>
      <c r="FE1585" s="28"/>
      <c r="FH1585" s="28"/>
      <c r="FK1585" s="28"/>
      <c r="FN1585" s="28"/>
      <c r="FQ1585" s="28"/>
      <c r="FT1585" s="28"/>
      <c r="FW1585" s="28"/>
      <c r="FZ1585" s="28"/>
      <c r="GC1585" s="28"/>
    </row>
    <row r="1586" spans="1:185" s="25" customFormat="1" x14ac:dyDescent="0.3">
      <c r="A1586" s="27"/>
      <c r="B1586" s="28"/>
      <c r="C1586" s="27"/>
      <c r="D1586" s="26"/>
      <c r="E1586" s="28"/>
      <c r="H1586" s="28"/>
      <c r="K1586" s="28"/>
      <c r="N1586" s="28"/>
      <c r="Q1586" s="28"/>
      <c r="T1586" s="28"/>
      <c r="W1586" s="28"/>
      <c r="Z1586" s="28"/>
      <c r="AC1586" s="28"/>
      <c r="AF1586" s="28"/>
      <c r="AI1586" s="28"/>
      <c r="AL1586" s="28"/>
      <c r="AO1586" s="28"/>
      <c r="AR1586" s="28"/>
      <c r="AU1586" s="28"/>
      <c r="AX1586" s="28"/>
      <c r="BA1586" s="28"/>
      <c r="BD1586" s="28"/>
      <c r="BG1586" s="28"/>
      <c r="BJ1586" s="28"/>
      <c r="BM1586" s="28"/>
      <c r="BP1586" s="28"/>
      <c r="BS1586" s="28"/>
      <c r="BV1586" s="28"/>
      <c r="BY1586" s="28"/>
      <c r="CB1586" s="28"/>
      <c r="CE1586" s="28"/>
      <c r="CH1586" s="28"/>
      <c r="CK1586" s="28"/>
      <c r="CN1586" s="28"/>
      <c r="CQ1586" s="28"/>
      <c r="CT1586" s="28"/>
      <c r="CW1586" s="28"/>
      <c r="CZ1586" s="28"/>
      <c r="DC1586" s="28"/>
      <c r="DF1586" s="28"/>
      <c r="DI1586" s="28"/>
      <c r="DL1586" s="28"/>
      <c r="DO1586" s="28"/>
      <c r="DR1586" s="28"/>
      <c r="DU1586" s="28"/>
      <c r="DX1586" s="28"/>
      <c r="EA1586" s="28"/>
      <c r="ED1586" s="28"/>
      <c r="EG1586" s="28"/>
      <c r="EJ1586" s="28"/>
      <c r="EM1586" s="28"/>
      <c r="EP1586" s="28"/>
      <c r="ES1586" s="28"/>
      <c r="EV1586" s="28"/>
      <c r="EY1586" s="28"/>
      <c r="FB1586" s="28"/>
      <c r="FE1586" s="28"/>
      <c r="FH1586" s="28"/>
      <c r="FK1586" s="28"/>
      <c r="FN1586" s="28"/>
      <c r="FQ1586" s="28"/>
      <c r="FT1586" s="28"/>
      <c r="FW1586" s="28"/>
      <c r="FZ1586" s="28"/>
      <c r="GC1586" s="28"/>
    </row>
    <row r="1587" spans="1:185" s="25" customFormat="1" x14ac:dyDescent="0.3">
      <c r="A1587" s="27"/>
      <c r="B1587" s="28"/>
      <c r="C1587" s="27"/>
      <c r="D1587" s="26"/>
      <c r="E1587" s="28"/>
      <c r="H1587" s="28"/>
      <c r="K1587" s="28"/>
      <c r="N1587" s="28"/>
      <c r="Q1587" s="28"/>
      <c r="T1587" s="28"/>
      <c r="W1587" s="28"/>
      <c r="Z1587" s="28"/>
      <c r="AC1587" s="28"/>
      <c r="AF1587" s="28"/>
      <c r="AI1587" s="28"/>
      <c r="AL1587" s="28"/>
      <c r="AO1587" s="28"/>
      <c r="AR1587" s="28"/>
      <c r="AU1587" s="28"/>
      <c r="AX1587" s="28"/>
      <c r="BA1587" s="28"/>
      <c r="BD1587" s="28"/>
      <c r="BG1587" s="28"/>
      <c r="BJ1587" s="28"/>
      <c r="BM1587" s="28"/>
      <c r="BP1587" s="28"/>
      <c r="BS1587" s="28"/>
      <c r="BV1587" s="28"/>
      <c r="BY1587" s="28"/>
      <c r="CB1587" s="28"/>
      <c r="CE1587" s="28"/>
      <c r="CH1587" s="28"/>
      <c r="CK1587" s="28"/>
      <c r="CN1587" s="28"/>
      <c r="CQ1587" s="28"/>
      <c r="CT1587" s="28"/>
      <c r="CW1587" s="28"/>
      <c r="CZ1587" s="28"/>
      <c r="DC1587" s="28"/>
      <c r="DF1587" s="28"/>
      <c r="DI1587" s="28"/>
      <c r="DL1587" s="28"/>
      <c r="DO1587" s="28"/>
      <c r="DR1587" s="28"/>
      <c r="DU1587" s="28"/>
      <c r="DX1587" s="28"/>
      <c r="EA1587" s="28"/>
      <c r="ED1587" s="28"/>
      <c r="EG1587" s="28"/>
      <c r="EJ1587" s="28"/>
      <c r="EM1587" s="28"/>
      <c r="EP1587" s="28"/>
      <c r="ES1587" s="28"/>
      <c r="EV1587" s="28"/>
      <c r="EY1587" s="28"/>
      <c r="FB1587" s="28"/>
      <c r="FE1587" s="28"/>
      <c r="FH1587" s="28"/>
      <c r="FK1587" s="28"/>
      <c r="FN1587" s="28"/>
      <c r="FQ1587" s="28"/>
      <c r="FT1587" s="28"/>
      <c r="FW1587" s="28"/>
      <c r="FZ1587" s="28"/>
      <c r="GC1587" s="28"/>
    </row>
    <row r="1588" spans="1:185" s="25" customFormat="1" x14ac:dyDescent="0.3">
      <c r="A1588" s="27"/>
      <c r="B1588" s="28"/>
      <c r="C1588" s="27"/>
      <c r="D1588" s="26"/>
      <c r="E1588" s="28"/>
      <c r="H1588" s="28"/>
      <c r="K1588" s="28"/>
      <c r="N1588" s="28"/>
      <c r="Q1588" s="28"/>
      <c r="T1588" s="28"/>
      <c r="W1588" s="28"/>
      <c r="Z1588" s="28"/>
      <c r="AC1588" s="28"/>
      <c r="AF1588" s="28"/>
      <c r="AI1588" s="28"/>
      <c r="AL1588" s="28"/>
      <c r="AO1588" s="28"/>
      <c r="AR1588" s="28"/>
      <c r="AU1588" s="28"/>
      <c r="AX1588" s="28"/>
      <c r="BA1588" s="28"/>
      <c r="BD1588" s="28"/>
      <c r="BG1588" s="28"/>
      <c r="BJ1588" s="28"/>
      <c r="BM1588" s="28"/>
      <c r="BP1588" s="28"/>
      <c r="BS1588" s="28"/>
      <c r="BV1588" s="28"/>
      <c r="BY1588" s="28"/>
      <c r="CB1588" s="28"/>
      <c r="CE1588" s="28"/>
      <c r="CH1588" s="28"/>
      <c r="CK1588" s="28"/>
      <c r="CN1588" s="28"/>
      <c r="CQ1588" s="28"/>
      <c r="CT1588" s="28"/>
      <c r="CW1588" s="28"/>
      <c r="CZ1588" s="28"/>
      <c r="DC1588" s="28"/>
      <c r="DF1588" s="28"/>
      <c r="DI1588" s="28"/>
      <c r="DL1588" s="28"/>
      <c r="DO1588" s="28"/>
      <c r="DR1588" s="28"/>
      <c r="DU1588" s="28"/>
      <c r="DX1588" s="28"/>
      <c r="EA1588" s="28"/>
      <c r="ED1588" s="28"/>
      <c r="EG1588" s="28"/>
      <c r="EJ1588" s="28"/>
      <c r="EM1588" s="28"/>
      <c r="EP1588" s="28"/>
      <c r="ES1588" s="28"/>
      <c r="EV1588" s="28"/>
      <c r="EY1588" s="28"/>
      <c r="FB1588" s="28"/>
      <c r="FE1588" s="28"/>
      <c r="FH1588" s="28"/>
      <c r="FK1588" s="28"/>
      <c r="FN1588" s="28"/>
      <c r="FQ1588" s="28"/>
      <c r="FT1588" s="28"/>
      <c r="FW1588" s="28"/>
      <c r="FZ1588" s="28"/>
      <c r="GC1588" s="28"/>
    </row>
    <row r="1589" spans="1:185" s="25" customFormat="1" x14ac:dyDescent="0.3">
      <c r="A1589" s="27"/>
      <c r="B1589" s="28"/>
      <c r="C1589" s="27"/>
      <c r="D1589" s="26"/>
      <c r="E1589" s="28"/>
      <c r="H1589" s="28"/>
      <c r="K1589" s="28"/>
      <c r="N1589" s="28"/>
      <c r="Q1589" s="28"/>
      <c r="T1589" s="28"/>
      <c r="W1589" s="28"/>
      <c r="Z1589" s="28"/>
      <c r="AC1589" s="28"/>
      <c r="AF1589" s="28"/>
      <c r="AI1589" s="28"/>
      <c r="AL1589" s="28"/>
      <c r="AO1589" s="28"/>
      <c r="AR1589" s="28"/>
      <c r="AU1589" s="28"/>
      <c r="AX1589" s="28"/>
      <c r="BA1589" s="28"/>
      <c r="BD1589" s="28"/>
      <c r="BG1589" s="28"/>
      <c r="BJ1589" s="28"/>
      <c r="BM1589" s="28"/>
      <c r="BP1589" s="28"/>
      <c r="BS1589" s="28"/>
      <c r="BV1589" s="28"/>
      <c r="BY1589" s="28"/>
      <c r="CB1589" s="28"/>
      <c r="CE1589" s="28"/>
      <c r="CH1589" s="28"/>
      <c r="CK1589" s="28"/>
      <c r="CN1589" s="28"/>
      <c r="CQ1589" s="28"/>
      <c r="CT1589" s="28"/>
      <c r="CW1589" s="28"/>
      <c r="CZ1589" s="28"/>
      <c r="DC1589" s="28"/>
      <c r="DF1589" s="28"/>
      <c r="DI1589" s="28"/>
      <c r="DL1589" s="28"/>
      <c r="DO1589" s="28"/>
      <c r="DR1589" s="28"/>
      <c r="DU1589" s="28"/>
      <c r="DX1589" s="28"/>
      <c r="EA1589" s="28"/>
      <c r="ED1589" s="28"/>
      <c r="EG1589" s="28"/>
      <c r="EJ1589" s="28"/>
      <c r="EM1589" s="28"/>
      <c r="EP1589" s="28"/>
      <c r="ES1589" s="28"/>
      <c r="EV1589" s="28"/>
      <c r="EY1589" s="28"/>
      <c r="FB1589" s="28"/>
      <c r="FE1589" s="28"/>
      <c r="FH1589" s="28"/>
      <c r="FK1589" s="28"/>
      <c r="FN1589" s="28"/>
      <c r="FQ1589" s="28"/>
      <c r="FT1589" s="28"/>
      <c r="FW1589" s="28"/>
      <c r="FZ1589" s="28"/>
      <c r="GC1589" s="28"/>
    </row>
    <row r="1590" spans="1:185" s="25" customFormat="1" x14ac:dyDescent="0.3">
      <c r="A1590" s="27"/>
      <c r="B1590" s="28"/>
      <c r="C1590" s="27"/>
      <c r="D1590" s="26"/>
      <c r="E1590" s="28"/>
      <c r="H1590" s="28"/>
      <c r="K1590" s="28"/>
      <c r="N1590" s="28"/>
      <c r="Q1590" s="28"/>
      <c r="T1590" s="28"/>
      <c r="W1590" s="28"/>
      <c r="Z1590" s="28"/>
      <c r="AC1590" s="28"/>
      <c r="AF1590" s="28"/>
      <c r="AI1590" s="28"/>
      <c r="AL1590" s="28"/>
      <c r="AO1590" s="28"/>
      <c r="AR1590" s="28"/>
      <c r="AU1590" s="28"/>
      <c r="AX1590" s="28"/>
      <c r="BA1590" s="28"/>
      <c r="BD1590" s="28"/>
      <c r="BG1590" s="28"/>
      <c r="BJ1590" s="28"/>
      <c r="BM1590" s="28"/>
      <c r="BP1590" s="28"/>
      <c r="BS1590" s="28"/>
      <c r="BV1590" s="28"/>
      <c r="BY1590" s="28"/>
      <c r="CB1590" s="28"/>
      <c r="CE1590" s="28"/>
      <c r="CH1590" s="28"/>
      <c r="CK1590" s="28"/>
      <c r="CN1590" s="28"/>
      <c r="CQ1590" s="28"/>
      <c r="CT1590" s="28"/>
      <c r="CW1590" s="28"/>
      <c r="CZ1590" s="28"/>
      <c r="DC1590" s="28"/>
      <c r="DF1590" s="28"/>
      <c r="DI1590" s="28"/>
      <c r="DL1590" s="28"/>
      <c r="DO1590" s="28"/>
      <c r="DR1590" s="28"/>
      <c r="DU1590" s="28"/>
      <c r="DX1590" s="28"/>
      <c r="EA1590" s="28"/>
      <c r="ED1590" s="28"/>
      <c r="EG1590" s="28"/>
      <c r="EJ1590" s="28"/>
      <c r="EM1590" s="28"/>
      <c r="EP1590" s="28"/>
      <c r="ES1590" s="28"/>
      <c r="EV1590" s="28"/>
      <c r="EY1590" s="28"/>
      <c r="FB1590" s="28"/>
      <c r="FE1590" s="28"/>
      <c r="FH1590" s="28"/>
      <c r="FK1590" s="28"/>
      <c r="FN1590" s="28"/>
      <c r="FQ1590" s="28"/>
      <c r="FT1590" s="28"/>
      <c r="FW1590" s="28"/>
      <c r="FZ1590" s="28"/>
      <c r="GC1590" s="28"/>
    </row>
    <row r="1591" spans="1:185" s="25" customFormat="1" x14ac:dyDescent="0.3">
      <c r="A1591" s="27"/>
      <c r="B1591" s="28"/>
      <c r="C1591" s="27"/>
      <c r="D1591" s="26"/>
      <c r="E1591" s="28"/>
      <c r="H1591" s="28"/>
      <c r="K1591" s="28"/>
      <c r="N1591" s="28"/>
      <c r="Q1591" s="28"/>
      <c r="T1591" s="28"/>
      <c r="W1591" s="28"/>
      <c r="Z1591" s="28"/>
      <c r="AC1591" s="28"/>
      <c r="AF1591" s="28"/>
      <c r="AI1591" s="28"/>
      <c r="AL1591" s="28"/>
      <c r="AO1591" s="28"/>
      <c r="AR1591" s="28"/>
      <c r="AU1591" s="28"/>
      <c r="AX1591" s="28"/>
      <c r="BA1591" s="28"/>
      <c r="BD1591" s="28"/>
      <c r="BG1591" s="28"/>
      <c r="BJ1591" s="28"/>
      <c r="BM1591" s="28"/>
      <c r="BP1591" s="28"/>
      <c r="BS1591" s="28"/>
      <c r="BV1591" s="28"/>
      <c r="BY1591" s="28"/>
      <c r="CB1591" s="28"/>
      <c r="CE1591" s="28"/>
      <c r="CH1591" s="28"/>
      <c r="CK1591" s="28"/>
      <c r="CN1591" s="28"/>
      <c r="CQ1591" s="28"/>
      <c r="CT1591" s="28"/>
      <c r="CW1591" s="28"/>
      <c r="CZ1591" s="28"/>
      <c r="DC1591" s="28"/>
      <c r="DF1591" s="28"/>
      <c r="DI1591" s="28"/>
      <c r="DL1591" s="28"/>
      <c r="DO1591" s="28"/>
      <c r="DR1591" s="28"/>
      <c r="DU1591" s="28"/>
      <c r="DX1591" s="28"/>
      <c r="EA1591" s="28"/>
      <c r="ED1591" s="28"/>
      <c r="EG1591" s="28"/>
      <c r="EJ1591" s="28"/>
      <c r="EM1591" s="28"/>
      <c r="EP1591" s="28"/>
      <c r="ES1591" s="28"/>
      <c r="EV1591" s="28"/>
      <c r="EY1591" s="28"/>
      <c r="FB1591" s="28"/>
      <c r="FE1591" s="28"/>
      <c r="FH1591" s="28"/>
      <c r="FK1591" s="28"/>
      <c r="FN1591" s="28"/>
      <c r="FQ1591" s="28"/>
      <c r="FT1591" s="28"/>
      <c r="FW1591" s="28"/>
      <c r="FZ1591" s="28"/>
      <c r="GC1591" s="28"/>
    </row>
    <row r="1592" spans="1:185" s="25" customFormat="1" x14ac:dyDescent="0.3">
      <c r="A1592" s="27"/>
      <c r="B1592" s="28"/>
      <c r="C1592" s="27"/>
      <c r="D1592" s="26"/>
      <c r="E1592" s="28"/>
      <c r="H1592" s="28"/>
      <c r="K1592" s="28"/>
      <c r="N1592" s="28"/>
      <c r="Q1592" s="28"/>
      <c r="T1592" s="28"/>
      <c r="W1592" s="28"/>
      <c r="Z1592" s="28"/>
      <c r="AC1592" s="28"/>
      <c r="AF1592" s="28"/>
      <c r="AI1592" s="28"/>
      <c r="AL1592" s="28"/>
      <c r="AO1592" s="28"/>
      <c r="AR1592" s="28"/>
      <c r="AU1592" s="28"/>
      <c r="AX1592" s="28"/>
      <c r="BA1592" s="28"/>
      <c r="BD1592" s="28"/>
      <c r="BG1592" s="28"/>
      <c r="BJ1592" s="28"/>
      <c r="BM1592" s="28"/>
      <c r="BP1592" s="28"/>
      <c r="BS1592" s="28"/>
      <c r="BV1592" s="28"/>
      <c r="BY1592" s="28"/>
      <c r="CB1592" s="28"/>
      <c r="CE1592" s="28"/>
      <c r="CH1592" s="28"/>
      <c r="CK1592" s="28"/>
      <c r="CN1592" s="28"/>
      <c r="CQ1592" s="28"/>
      <c r="CT1592" s="28"/>
      <c r="CW1592" s="28"/>
      <c r="CZ1592" s="28"/>
      <c r="DC1592" s="28"/>
      <c r="DF1592" s="28"/>
      <c r="DI1592" s="28"/>
      <c r="DL1592" s="28"/>
      <c r="DO1592" s="28"/>
      <c r="DR1592" s="28"/>
      <c r="DU1592" s="28"/>
      <c r="DX1592" s="28"/>
      <c r="EA1592" s="28"/>
      <c r="ED1592" s="28"/>
      <c r="EG1592" s="28"/>
      <c r="EJ1592" s="28"/>
      <c r="EM1592" s="28"/>
      <c r="EP1592" s="28"/>
      <c r="ES1592" s="28"/>
      <c r="EV1592" s="28"/>
      <c r="EY1592" s="28"/>
      <c r="FB1592" s="28"/>
      <c r="FE1592" s="28"/>
      <c r="FH1592" s="28"/>
      <c r="FK1592" s="28"/>
      <c r="FN1592" s="28"/>
      <c r="FQ1592" s="28"/>
      <c r="FT1592" s="28"/>
      <c r="FW1592" s="28"/>
      <c r="FZ1592" s="28"/>
      <c r="GC1592" s="28"/>
    </row>
    <row r="1593" spans="1:185" s="25" customFormat="1" x14ac:dyDescent="0.3">
      <c r="A1593" s="27"/>
      <c r="B1593" s="28"/>
      <c r="C1593" s="27"/>
      <c r="D1593" s="26"/>
      <c r="E1593" s="28"/>
      <c r="H1593" s="28"/>
      <c r="K1593" s="28"/>
      <c r="N1593" s="28"/>
      <c r="Q1593" s="28"/>
      <c r="T1593" s="28"/>
      <c r="W1593" s="28"/>
      <c r="Z1593" s="28"/>
      <c r="AC1593" s="28"/>
      <c r="AF1593" s="28"/>
      <c r="AI1593" s="28"/>
      <c r="AL1593" s="28"/>
      <c r="AO1593" s="28"/>
      <c r="AR1593" s="28"/>
      <c r="AU1593" s="28"/>
      <c r="AX1593" s="28"/>
      <c r="BA1593" s="28"/>
      <c r="BD1593" s="28"/>
      <c r="BG1593" s="28"/>
      <c r="BJ1593" s="28"/>
      <c r="BM1593" s="28"/>
      <c r="BP1593" s="28"/>
      <c r="BS1593" s="28"/>
      <c r="BV1593" s="28"/>
      <c r="BY1593" s="28"/>
      <c r="CB1593" s="28"/>
      <c r="CE1593" s="28"/>
      <c r="CH1593" s="28"/>
      <c r="CK1593" s="28"/>
      <c r="CN1593" s="28"/>
      <c r="CQ1593" s="28"/>
      <c r="CT1593" s="28"/>
      <c r="CW1593" s="28"/>
      <c r="CZ1593" s="28"/>
      <c r="DC1593" s="28"/>
      <c r="DF1593" s="28"/>
      <c r="DI1593" s="28"/>
      <c r="DL1593" s="28"/>
      <c r="DO1593" s="28"/>
      <c r="DR1593" s="28"/>
      <c r="DU1593" s="28"/>
      <c r="DX1593" s="28"/>
      <c r="EA1593" s="28"/>
      <c r="ED1593" s="28"/>
      <c r="EG1593" s="28"/>
      <c r="EJ1593" s="28"/>
      <c r="EM1593" s="28"/>
      <c r="EP1593" s="28"/>
      <c r="ES1593" s="28"/>
      <c r="EV1593" s="28"/>
      <c r="EY1593" s="28"/>
      <c r="FB1593" s="28"/>
      <c r="FE1593" s="28"/>
      <c r="FH1593" s="28"/>
      <c r="FK1593" s="28"/>
      <c r="FN1593" s="28"/>
      <c r="FQ1593" s="28"/>
      <c r="FT1593" s="28"/>
      <c r="FW1593" s="28"/>
      <c r="FZ1593" s="28"/>
      <c r="GC1593" s="28"/>
    </row>
    <row r="1594" spans="1:185" s="25" customFormat="1" x14ac:dyDescent="0.3">
      <c r="A1594" s="27"/>
      <c r="B1594" s="28"/>
      <c r="C1594" s="27"/>
      <c r="D1594" s="26"/>
      <c r="E1594" s="28"/>
      <c r="H1594" s="28"/>
      <c r="K1594" s="28"/>
      <c r="N1594" s="28"/>
      <c r="Q1594" s="28"/>
      <c r="T1594" s="28"/>
      <c r="W1594" s="28"/>
      <c r="Z1594" s="28"/>
      <c r="AC1594" s="28"/>
      <c r="AF1594" s="28"/>
      <c r="AI1594" s="28"/>
      <c r="AL1594" s="28"/>
      <c r="AO1594" s="28"/>
      <c r="AR1594" s="28"/>
      <c r="AU1594" s="28"/>
      <c r="AX1594" s="28"/>
      <c r="BA1594" s="28"/>
      <c r="BD1594" s="28"/>
      <c r="BG1594" s="28"/>
      <c r="BJ1594" s="28"/>
      <c r="BM1594" s="28"/>
      <c r="BP1594" s="28"/>
      <c r="BS1594" s="28"/>
      <c r="BV1594" s="28"/>
      <c r="BY1594" s="28"/>
      <c r="CB1594" s="28"/>
      <c r="CE1594" s="28"/>
      <c r="CH1594" s="28"/>
      <c r="CK1594" s="28"/>
      <c r="CN1594" s="28"/>
      <c r="CQ1594" s="28"/>
      <c r="CT1594" s="28"/>
      <c r="CW1594" s="28"/>
      <c r="CZ1594" s="28"/>
      <c r="DC1594" s="28"/>
      <c r="DF1594" s="28"/>
      <c r="DI1594" s="28"/>
      <c r="DL1594" s="28"/>
      <c r="DO1594" s="28"/>
      <c r="DR1594" s="28"/>
      <c r="DU1594" s="28"/>
      <c r="DX1594" s="28"/>
      <c r="EA1594" s="28"/>
      <c r="ED1594" s="28"/>
      <c r="EG1594" s="28"/>
      <c r="EJ1594" s="28"/>
      <c r="EM1594" s="28"/>
      <c r="EP1594" s="28"/>
      <c r="ES1594" s="28"/>
      <c r="EV1594" s="28"/>
      <c r="EY1594" s="28"/>
      <c r="FB1594" s="28"/>
      <c r="FE1594" s="28"/>
      <c r="FH1594" s="28"/>
      <c r="FK1594" s="28"/>
      <c r="FN1594" s="28"/>
      <c r="FQ1594" s="28"/>
      <c r="FT1594" s="28"/>
      <c r="FW1594" s="28"/>
      <c r="FZ1594" s="28"/>
      <c r="GC1594" s="28"/>
    </row>
    <row r="1595" spans="1:185" s="25" customFormat="1" x14ac:dyDescent="0.3">
      <c r="A1595" s="27"/>
      <c r="B1595" s="28"/>
      <c r="C1595" s="27"/>
      <c r="D1595" s="26"/>
      <c r="E1595" s="28"/>
      <c r="H1595" s="28"/>
      <c r="K1595" s="28"/>
      <c r="N1595" s="28"/>
      <c r="Q1595" s="28"/>
      <c r="T1595" s="28"/>
      <c r="W1595" s="28"/>
      <c r="Z1595" s="28"/>
      <c r="AC1595" s="28"/>
      <c r="AF1595" s="28"/>
      <c r="AI1595" s="28"/>
      <c r="AL1595" s="28"/>
      <c r="AO1595" s="28"/>
      <c r="AR1595" s="28"/>
      <c r="AU1595" s="28"/>
      <c r="AX1595" s="28"/>
      <c r="BA1595" s="28"/>
      <c r="BD1595" s="28"/>
      <c r="BG1595" s="28"/>
      <c r="BJ1595" s="28"/>
      <c r="BM1595" s="28"/>
      <c r="BP1595" s="28"/>
      <c r="BS1595" s="28"/>
      <c r="BV1595" s="28"/>
      <c r="BY1595" s="28"/>
      <c r="CB1595" s="28"/>
      <c r="CE1595" s="28"/>
      <c r="CH1595" s="28"/>
      <c r="CK1595" s="28"/>
      <c r="CN1595" s="28"/>
      <c r="CQ1595" s="28"/>
      <c r="CT1595" s="28"/>
      <c r="CW1595" s="28"/>
      <c r="CZ1595" s="28"/>
      <c r="DC1595" s="28"/>
      <c r="DF1595" s="28"/>
      <c r="DI1595" s="28"/>
      <c r="DL1595" s="28"/>
      <c r="DO1595" s="28"/>
      <c r="DR1595" s="28"/>
      <c r="DU1595" s="28"/>
      <c r="DX1595" s="28"/>
      <c r="EA1595" s="28"/>
      <c r="ED1595" s="28"/>
      <c r="EG1595" s="28"/>
      <c r="EJ1595" s="28"/>
      <c r="EM1595" s="28"/>
      <c r="EP1595" s="28"/>
      <c r="ES1595" s="28"/>
      <c r="EV1595" s="28"/>
      <c r="EY1595" s="28"/>
      <c r="FB1595" s="28"/>
      <c r="FE1595" s="28"/>
      <c r="FH1595" s="28"/>
      <c r="FK1595" s="28"/>
      <c r="FN1595" s="28"/>
      <c r="FQ1595" s="28"/>
      <c r="FT1595" s="28"/>
      <c r="FW1595" s="28"/>
      <c r="FZ1595" s="28"/>
      <c r="GC1595" s="28"/>
    </row>
    <row r="1596" spans="1:185" s="25" customFormat="1" x14ac:dyDescent="0.3">
      <c r="A1596" s="27"/>
      <c r="B1596" s="28"/>
      <c r="C1596" s="27"/>
      <c r="D1596" s="26"/>
      <c r="E1596" s="28"/>
      <c r="H1596" s="28"/>
      <c r="K1596" s="28"/>
      <c r="N1596" s="28"/>
      <c r="Q1596" s="28"/>
      <c r="T1596" s="28"/>
      <c r="W1596" s="28"/>
      <c r="Z1596" s="28"/>
      <c r="AC1596" s="28"/>
      <c r="AF1596" s="28"/>
      <c r="AI1596" s="28"/>
      <c r="AL1596" s="28"/>
      <c r="AO1596" s="28"/>
      <c r="AR1596" s="28"/>
      <c r="AU1596" s="28"/>
      <c r="AX1596" s="28"/>
      <c r="BA1596" s="28"/>
      <c r="BD1596" s="28"/>
      <c r="BG1596" s="28"/>
      <c r="BJ1596" s="28"/>
      <c r="BM1596" s="28"/>
      <c r="BP1596" s="28"/>
      <c r="BS1596" s="28"/>
      <c r="BV1596" s="28"/>
      <c r="BY1596" s="28"/>
      <c r="CB1596" s="28"/>
      <c r="CE1596" s="28"/>
      <c r="CH1596" s="28"/>
      <c r="CK1596" s="28"/>
      <c r="CN1596" s="28"/>
      <c r="CQ1596" s="28"/>
      <c r="CT1596" s="28"/>
      <c r="CW1596" s="28"/>
      <c r="CZ1596" s="28"/>
      <c r="DC1596" s="28"/>
      <c r="DF1596" s="28"/>
      <c r="DI1596" s="28"/>
      <c r="DL1596" s="28"/>
      <c r="DO1596" s="28"/>
      <c r="DR1596" s="28"/>
      <c r="DU1596" s="28"/>
      <c r="DX1596" s="28"/>
      <c r="EA1596" s="28"/>
      <c r="ED1596" s="28"/>
      <c r="EG1596" s="28"/>
      <c r="EJ1596" s="28"/>
      <c r="EM1596" s="28"/>
      <c r="EP1596" s="28"/>
      <c r="ES1596" s="28"/>
      <c r="EV1596" s="28"/>
      <c r="EY1596" s="28"/>
      <c r="FB1596" s="28"/>
      <c r="FE1596" s="28"/>
      <c r="FH1596" s="28"/>
      <c r="FK1596" s="28"/>
      <c r="FN1596" s="28"/>
      <c r="FQ1596" s="28"/>
      <c r="FT1596" s="28"/>
      <c r="FW1596" s="28"/>
      <c r="FZ1596" s="28"/>
      <c r="GC1596" s="28"/>
    </row>
    <row r="1597" spans="1:185" s="25" customFormat="1" x14ac:dyDescent="0.3">
      <c r="A1597" s="27"/>
      <c r="B1597" s="28"/>
      <c r="C1597" s="27"/>
      <c r="D1597" s="26"/>
      <c r="E1597" s="28"/>
      <c r="H1597" s="28"/>
      <c r="K1597" s="28"/>
      <c r="N1597" s="28"/>
      <c r="Q1597" s="28"/>
      <c r="T1597" s="28"/>
      <c r="W1597" s="28"/>
      <c r="Z1597" s="28"/>
      <c r="AC1597" s="28"/>
      <c r="AF1597" s="28"/>
      <c r="AI1597" s="28"/>
      <c r="AL1597" s="28"/>
      <c r="AO1597" s="28"/>
      <c r="AR1597" s="28"/>
      <c r="AU1597" s="28"/>
      <c r="AX1597" s="28"/>
      <c r="BA1597" s="28"/>
      <c r="BD1597" s="28"/>
      <c r="BG1597" s="28"/>
      <c r="BJ1597" s="28"/>
      <c r="BM1597" s="28"/>
      <c r="BP1597" s="28"/>
      <c r="BS1597" s="28"/>
      <c r="BV1597" s="28"/>
      <c r="BY1597" s="28"/>
      <c r="CB1597" s="28"/>
      <c r="CE1597" s="28"/>
      <c r="CH1597" s="28"/>
      <c r="CK1597" s="28"/>
      <c r="CN1597" s="28"/>
      <c r="CQ1597" s="28"/>
      <c r="CT1597" s="28"/>
      <c r="CW1597" s="28"/>
      <c r="CZ1597" s="28"/>
      <c r="DC1597" s="28"/>
      <c r="DF1597" s="28"/>
      <c r="DI1597" s="28"/>
      <c r="DL1597" s="28"/>
      <c r="DO1597" s="28"/>
      <c r="DR1597" s="28"/>
      <c r="DU1597" s="28"/>
      <c r="DX1597" s="28"/>
      <c r="EA1597" s="28"/>
      <c r="ED1597" s="28"/>
      <c r="EG1597" s="28"/>
      <c r="EJ1597" s="28"/>
      <c r="EM1597" s="28"/>
      <c r="EP1597" s="28"/>
      <c r="ES1597" s="28"/>
      <c r="EV1597" s="28"/>
      <c r="EY1597" s="28"/>
      <c r="FB1597" s="28"/>
      <c r="FE1597" s="28"/>
      <c r="FH1597" s="28"/>
      <c r="FK1597" s="28"/>
      <c r="FN1597" s="28"/>
      <c r="FQ1597" s="28"/>
      <c r="FT1597" s="28"/>
      <c r="FW1597" s="28"/>
      <c r="FZ1597" s="28"/>
      <c r="GC1597" s="28"/>
    </row>
    <row r="1598" spans="1:185" s="25" customFormat="1" x14ac:dyDescent="0.3">
      <c r="A1598" s="27"/>
      <c r="B1598" s="28"/>
      <c r="C1598" s="27"/>
      <c r="D1598" s="26"/>
      <c r="E1598" s="28"/>
      <c r="H1598" s="28"/>
      <c r="K1598" s="28"/>
      <c r="N1598" s="28"/>
      <c r="Q1598" s="28"/>
      <c r="T1598" s="28"/>
      <c r="W1598" s="28"/>
      <c r="Z1598" s="28"/>
      <c r="AC1598" s="28"/>
      <c r="AF1598" s="28"/>
      <c r="AI1598" s="28"/>
      <c r="AL1598" s="28"/>
      <c r="AO1598" s="28"/>
      <c r="AR1598" s="28"/>
      <c r="AU1598" s="28"/>
      <c r="AX1598" s="28"/>
      <c r="BA1598" s="28"/>
      <c r="BD1598" s="28"/>
      <c r="BG1598" s="28"/>
      <c r="BJ1598" s="28"/>
      <c r="BM1598" s="28"/>
      <c r="BP1598" s="28"/>
      <c r="BS1598" s="28"/>
      <c r="BV1598" s="28"/>
      <c r="BY1598" s="28"/>
      <c r="CB1598" s="28"/>
      <c r="CE1598" s="28"/>
      <c r="CH1598" s="28"/>
      <c r="CK1598" s="28"/>
      <c r="CN1598" s="28"/>
      <c r="CQ1598" s="28"/>
      <c r="CT1598" s="28"/>
      <c r="CW1598" s="28"/>
      <c r="CZ1598" s="28"/>
      <c r="DC1598" s="28"/>
      <c r="DF1598" s="28"/>
      <c r="DI1598" s="28"/>
      <c r="DL1598" s="28"/>
      <c r="DO1598" s="28"/>
      <c r="DR1598" s="28"/>
      <c r="DU1598" s="28"/>
      <c r="DX1598" s="28"/>
      <c r="EA1598" s="28"/>
      <c r="ED1598" s="28"/>
      <c r="EG1598" s="28"/>
      <c r="EJ1598" s="28"/>
      <c r="EM1598" s="28"/>
      <c r="EP1598" s="28"/>
      <c r="ES1598" s="28"/>
      <c r="EV1598" s="28"/>
      <c r="EY1598" s="28"/>
      <c r="FB1598" s="28"/>
      <c r="FE1598" s="28"/>
      <c r="FH1598" s="28"/>
      <c r="FK1598" s="28"/>
      <c r="FN1598" s="28"/>
      <c r="FQ1598" s="28"/>
      <c r="FT1598" s="28"/>
      <c r="FW1598" s="28"/>
      <c r="FZ1598" s="28"/>
      <c r="GC1598" s="28"/>
    </row>
    <row r="1599" spans="1:185" s="25" customFormat="1" x14ac:dyDescent="0.3">
      <c r="A1599" s="27"/>
      <c r="B1599" s="28"/>
      <c r="C1599" s="27"/>
      <c r="D1599" s="26"/>
      <c r="E1599" s="28"/>
      <c r="H1599" s="28"/>
      <c r="K1599" s="28"/>
      <c r="N1599" s="28"/>
      <c r="Q1599" s="28"/>
      <c r="T1599" s="28"/>
      <c r="W1599" s="28"/>
      <c r="Z1599" s="28"/>
      <c r="AC1599" s="28"/>
      <c r="AF1599" s="28"/>
      <c r="AI1599" s="28"/>
      <c r="AL1599" s="28"/>
      <c r="AO1599" s="28"/>
      <c r="AR1599" s="28"/>
      <c r="AU1599" s="28"/>
      <c r="AX1599" s="28"/>
      <c r="BA1599" s="28"/>
      <c r="BD1599" s="28"/>
      <c r="BG1599" s="28"/>
      <c r="BJ1599" s="28"/>
      <c r="BM1599" s="28"/>
      <c r="BP1599" s="28"/>
      <c r="BS1599" s="28"/>
      <c r="BV1599" s="28"/>
      <c r="BY1599" s="28"/>
      <c r="CB1599" s="28"/>
      <c r="CE1599" s="28"/>
      <c r="CH1599" s="28"/>
      <c r="CK1599" s="28"/>
      <c r="CN1599" s="28"/>
      <c r="CQ1599" s="28"/>
      <c r="CT1599" s="28"/>
      <c r="CW1599" s="28"/>
      <c r="CZ1599" s="28"/>
      <c r="DC1599" s="28"/>
      <c r="DF1599" s="28"/>
      <c r="DI1599" s="28"/>
      <c r="DL1599" s="28"/>
      <c r="DO1599" s="28"/>
      <c r="DR1599" s="28"/>
      <c r="DU1599" s="28"/>
      <c r="DX1599" s="28"/>
      <c r="EA1599" s="28"/>
      <c r="ED1599" s="28"/>
      <c r="EG1599" s="28"/>
      <c r="EJ1599" s="28"/>
      <c r="EM1599" s="28"/>
      <c r="EP1599" s="28"/>
      <c r="ES1599" s="28"/>
      <c r="EV1599" s="28"/>
      <c r="EY1599" s="28"/>
      <c r="FB1599" s="28"/>
      <c r="FE1599" s="28"/>
      <c r="FH1599" s="28"/>
      <c r="FK1599" s="28"/>
      <c r="FN1599" s="28"/>
      <c r="FQ1599" s="28"/>
      <c r="FT1599" s="28"/>
      <c r="FW1599" s="28"/>
      <c r="FZ1599" s="28"/>
      <c r="GC1599" s="28"/>
    </row>
    <row r="1600" spans="1:185" s="25" customFormat="1" x14ac:dyDescent="0.3">
      <c r="A1600" s="27"/>
      <c r="B1600" s="28"/>
      <c r="C1600" s="27"/>
      <c r="D1600" s="26"/>
      <c r="E1600" s="28"/>
      <c r="H1600" s="28"/>
      <c r="K1600" s="28"/>
      <c r="N1600" s="28"/>
      <c r="Q1600" s="28"/>
      <c r="T1600" s="28"/>
      <c r="W1600" s="28"/>
      <c r="Z1600" s="28"/>
      <c r="AC1600" s="28"/>
      <c r="AF1600" s="28"/>
      <c r="AI1600" s="28"/>
      <c r="AL1600" s="28"/>
      <c r="AO1600" s="28"/>
      <c r="AR1600" s="28"/>
      <c r="AU1600" s="28"/>
      <c r="AX1600" s="28"/>
      <c r="BA1600" s="28"/>
      <c r="BD1600" s="28"/>
      <c r="BG1600" s="28"/>
      <c r="BJ1600" s="28"/>
      <c r="BM1600" s="28"/>
      <c r="BP1600" s="28"/>
      <c r="BS1600" s="28"/>
      <c r="BV1600" s="28"/>
      <c r="BY1600" s="28"/>
      <c r="CB1600" s="28"/>
      <c r="CE1600" s="28"/>
      <c r="CH1600" s="28"/>
      <c r="CK1600" s="28"/>
      <c r="CN1600" s="28"/>
      <c r="CQ1600" s="28"/>
      <c r="CT1600" s="28"/>
      <c r="CW1600" s="28"/>
      <c r="CZ1600" s="28"/>
      <c r="DC1600" s="28"/>
      <c r="DF1600" s="28"/>
      <c r="DI1600" s="28"/>
      <c r="DL1600" s="28"/>
      <c r="DO1600" s="28"/>
      <c r="DR1600" s="28"/>
      <c r="DU1600" s="28"/>
      <c r="DX1600" s="28"/>
      <c r="EA1600" s="28"/>
      <c r="ED1600" s="28"/>
      <c r="EG1600" s="28"/>
      <c r="EJ1600" s="28"/>
      <c r="EM1600" s="28"/>
      <c r="EP1600" s="28"/>
      <c r="ES1600" s="28"/>
      <c r="EV1600" s="28"/>
      <c r="EY1600" s="28"/>
      <c r="FB1600" s="28"/>
      <c r="FE1600" s="28"/>
      <c r="FH1600" s="28"/>
      <c r="FK1600" s="28"/>
      <c r="FN1600" s="28"/>
      <c r="FQ1600" s="28"/>
      <c r="FT1600" s="28"/>
      <c r="FW1600" s="28"/>
      <c r="FZ1600" s="28"/>
      <c r="GC1600" s="28"/>
    </row>
    <row r="1601" spans="1:185" s="25" customFormat="1" x14ac:dyDescent="0.3">
      <c r="A1601" s="27"/>
      <c r="B1601" s="28"/>
      <c r="C1601" s="27"/>
      <c r="D1601" s="26"/>
      <c r="E1601" s="28"/>
      <c r="H1601" s="28"/>
      <c r="K1601" s="28"/>
      <c r="N1601" s="28"/>
      <c r="Q1601" s="28"/>
      <c r="T1601" s="28"/>
      <c r="W1601" s="28"/>
      <c r="Z1601" s="28"/>
      <c r="AC1601" s="28"/>
      <c r="AF1601" s="28"/>
      <c r="AI1601" s="28"/>
      <c r="AL1601" s="28"/>
      <c r="AO1601" s="28"/>
      <c r="AR1601" s="28"/>
      <c r="AU1601" s="28"/>
      <c r="AX1601" s="28"/>
      <c r="BA1601" s="28"/>
      <c r="BD1601" s="28"/>
      <c r="BG1601" s="28"/>
      <c r="BJ1601" s="28"/>
      <c r="BM1601" s="28"/>
      <c r="BP1601" s="28"/>
      <c r="BS1601" s="28"/>
      <c r="BV1601" s="28"/>
      <c r="BY1601" s="28"/>
      <c r="CB1601" s="28"/>
      <c r="CE1601" s="28"/>
      <c r="CH1601" s="28"/>
      <c r="CK1601" s="28"/>
      <c r="CN1601" s="28"/>
      <c r="CQ1601" s="28"/>
      <c r="CT1601" s="28"/>
      <c r="CW1601" s="28"/>
      <c r="CZ1601" s="28"/>
      <c r="DC1601" s="28"/>
      <c r="DF1601" s="28"/>
      <c r="DI1601" s="28"/>
      <c r="DL1601" s="28"/>
      <c r="DO1601" s="28"/>
      <c r="DR1601" s="28"/>
      <c r="DU1601" s="28"/>
      <c r="DX1601" s="28"/>
      <c r="EA1601" s="28"/>
      <c r="ED1601" s="28"/>
      <c r="EG1601" s="28"/>
      <c r="EJ1601" s="28"/>
      <c r="EM1601" s="28"/>
      <c r="EP1601" s="28"/>
      <c r="ES1601" s="28"/>
      <c r="EV1601" s="28"/>
      <c r="EY1601" s="28"/>
      <c r="FB1601" s="28"/>
      <c r="FE1601" s="28"/>
      <c r="FH1601" s="28"/>
      <c r="FK1601" s="28"/>
      <c r="FN1601" s="28"/>
      <c r="FQ1601" s="28"/>
      <c r="FT1601" s="28"/>
      <c r="FW1601" s="28"/>
      <c r="FZ1601" s="28"/>
      <c r="GC1601" s="28"/>
    </row>
    <row r="1602" spans="1:185" s="25" customFormat="1" x14ac:dyDescent="0.3">
      <c r="A1602" s="27"/>
      <c r="B1602" s="28"/>
      <c r="C1602" s="27"/>
      <c r="D1602" s="26"/>
      <c r="E1602" s="28"/>
      <c r="H1602" s="28"/>
      <c r="K1602" s="28"/>
      <c r="N1602" s="28"/>
      <c r="Q1602" s="28"/>
      <c r="T1602" s="28"/>
      <c r="W1602" s="28"/>
      <c r="Z1602" s="28"/>
      <c r="AC1602" s="28"/>
      <c r="AF1602" s="28"/>
      <c r="AI1602" s="28"/>
      <c r="AL1602" s="28"/>
      <c r="AO1602" s="28"/>
      <c r="AR1602" s="28"/>
      <c r="AU1602" s="28"/>
      <c r="AX1602" s="28"/>
      <c r="BA1602" s="28"/>
      <c r="BD1602" s="28"/>
      <c r="BG1602" s="28"/>
      <c r="BJ1602" s="28"/>
      <c r="BM1602" s="28"/>
      <c r="BP1602" s="28"/>
      <c r="BS1602" s="28"/>
      <c r="BV1602" s="28"/>
      <c r="BY1602" s="28"/>
      <c r="CB1602" s="28"/>
      <c r="CE1602" s="28"/>
      <c r="CH1602" s="28"/>
      <c r="CK1602" s="28"/>
      <c r="CN1602" s="28"/>
      <c r="CQ1602" s="28"/>
      <c r="CT1602" s="28"/>
      <c r="CW1602" s="28"/>
      <c r="CZ1602" s="28"/>
      <c r="DC1602" s="28"/>
      <c r="DF1602" s="28"/>
      <c r="DI1602" s="28"/>
      <c r="DL1602" s="28"/>
      <c r="DO1602" s="28"/>
      <c r="DR1602" s="28"/>
      <c r="DU1602" s="28"/>
      <c r="DX1602" s="28"/>
      <c r="EA1602" s="28"/>
      <c r="ED1602" s="28"/>
      <c r="EG1602" s="28"/>
      <c r="EJ1602" s="28"/>
      <c r="EM1602" s="28"/>
      <c r="EP1602" s="28"/>
      <c r="ES1602" s="28"/>
      <c r="EV1602" s="28"/>
      <c r="EY1602" s="28"/>
      <c r="FB1602" s="28"/>
      <c r="FE1602" s="28"/>
      <c r="FH1602" s="28"/>
      <c r="FK1602" s="28"/>
      <c r="FN1602" s="28"/>
      <c r="FQ1602" s="28"/>
      <c r="FT1602" s="28"/>
      <c r="FW1602" s="28"/>
      <c r="FZ1602" s="28"/>
      <c r="GC1602" s="28"/>
    </row>
    <row r="1603" spans="1:185" s="25" customFormat="1" x14ac:dyDescent="0.3">
      <c r="A1603" s="27"/>
      <c r="B1603" s="28"/>
      <c r="C1603" s="27"/>
      <c r="D1603" s="26"/>
      <c r="E1603" s="28"/>
      <c r="H1603" s="28"/>
      <c r="K1603" s="28"/>
      <c r="N1603" s="28"/>
      <c r="Q1603" s="28"/>
      <c r="T1603" s="28"/>
      <c r="W1603" s="28"/>
      <c r="Z1603" s="28"/>
      <c r="AC1603" s="28"/>
      <c r="AF1603" s="28"/>
      <c r="AI1603" s="28"/>
      <c r="AL1603" s="28"/>
      <c r="AO1603" s="28"/>
      <c r="AR1603" s="28"/>
      <c r="AU1603" s="28"/>
      <c r="AX1603" s="28"/>
      <c r="BA1603" s="28"/>
      <c r="BD1603" s="28"/>
      <c r="BG1603" s="28"/>
      <c r="BJ1603" s="28"/>
      <c r="BM1603" s="28"/>
      <c r="BP1603" s="28"/>
      <c r="BS1603" s="28"/>
      <c r="BV1603" s="28"/>
      <c r="BY1603" s="28"/>
      <c r="CB1603" s="28"/>
      <c r="CE1603" s="28"/>
      <c r="CH1603" s="28"/>
      <c r="CK1603" s="28"/>
      <c r="CN1603" s="28"/>
      <c r="CQ1603" s="28"/>
      <c r="CT1603" s="28"/>
      <c r="CW1603" s="28"/>
      <c r="CZ1603" s="28"/>
      <c r="DC1603" s="28"/>
      <c r="DF1603" s="28"/>
      <c r="DI1603" s="28"/>
      <c r="DL1603" s="28"/>
      <c r="DO1603" s="28"/>
      <c r="DR1603" s="28"/>
      <c r="DU1603" s="28"/>
      <c r="DX1603" s="28"/>
      <c r="EA1603" s="28"/>
      <c r="ED1603" s="28"/>
      <c r="EG1603" s="28"/>
      <c r="EJ1603" s="28"/>
      <c r="EM1603" s="28"/>
      <c r="EP1603" s="28"/>
      <c r="ES1603" s="28"/>
      <c r="EV1603" s="28"/>
      <c r="EY1603" s="28"/>
      <c r="FB1603" s="28"/>
      <c r="FE1603" s="28"/>
      <c r="FH1603" s="28"/>
      <c r="FK1603" s="28"/>
      <c r="FN1603" s="28"/>
      <c r="FQ1603" s="28"/>
      <c r="FT1603" s="28"/>
      <c r="FW1603" s="28"/>
      <c r="FZ1603" s="28"/>
      <c r="GC1603" s="28"/>
    </row>
    <row r="1604" spans="1:185" s="25" customFormat="1" x14ac:dyDescent="0.3">
      <c r="A1604" s="27"/>
      <c r="B1604" s="28"/>
      <c r="C1604" s="27"/>
      <c r="D1604" s="26"/>
      <c r="E1604" s="28"/>
      <c r="H1604" s="28"/>
      <c r="K1604" s="28"/>
      <c r="N1604" s="28"/>
      <c r="Q1604" s="28"/>
      <c r="T1604" s="28"/>
      <c r="W1604" s="28"/>
      <c r="Z1604" s="28"/>
      <c r="AC1604" s="28"/>
      <c r="AF1604" s="28"/>
      <c r="AI1604" s="28"/>
      <c r="AL1604" s="28"/>
      <c r="AO1604" s="28"/>
      <c r="AR1604" s="28"/>
      <c r="AU1604" s="28"/>
      <c r="AX1604" s="28"/>
      <c r="BA1604" s="28"/>
      <c r="BD1604" s="28"/>
      <c r="BG1604" s="28"/>
      <c r="BJ1604" s="28"/>
      <c r="BM1604" s="28"/>
      <c r="BP1604" s="28"/>
      <c r="BS1604" s="28"/>
      <c r="BV1604" s="28"/>
      <c r="BY1604" s="28"/>
      <c r="CB1604" s="28"/>
      <c r="CE1604" s="28"/>
      <c r="CH1604" s="28"/>
      <c r="CK1604" s="28"/>
      <c r="CN1604" s="28"/>
      <c r="CQ1604" s="28"/>
      <c r="CT1604" s="28"/>
      <c r="CW1604" s="28"/>
      <c r="CZ1604" s="28"/>
      <c r="DC1604" s="28"/>
      <c r="DF1604" s="28"/>
      <c r="DI1604" s="28"/>
      <c r="DL1604" s="28"/>
      <c r="DO1604" s="28"/>
      <c r="DR1604" s="28"/>
      <c r="DU1604" s="28"/>
      <c r="DX1604" s="28"/>
      <c r="EA1604" s="28"/>
      <c r="ED1604" s="28"/>
      <c r="EG1604" s="28"/>
      <c r="EJ1604" s="28"/>
      <c r="EM1604" s="28"/>
      <c r="EP1604" s="28"/>
      <c r="ES1604" s="28"/>
      <c r="EV1604" s="28"/>
      <c r="EY1604" s="28"/>
      <c r="FB1604" s="28"/>
      <c r="FE1604" s="28"/>
      <c r="FH1604" s="28"/>
      <c r="FK1604" s="28"/>
      <c r="FN1604" s="28"/>
      <c r="FQ1604" s="28"/>
      <c r="FT1604" s="28"/>
      <c r="FW1604" s="28"/>
      <c r="FZ1604" s="28"/>
      <c r="GC1604" s="28"/>
    </row>
    <row r="1605" spans="1:185" s="25" customFormat="1" x14ac:dyDescent="0.3">
      <c r="A1605" s="27"/>
      <c r="B1605" s="28"/>
      <c r="C1605" s="27"/>
      <c r="D1605" s="26"/>
      <c r="E1605" s="28"/>
      <c r="H1605" s="28"/>
      <c r="K1605" s="28"/>
      <c r="N1605" s="28"/>
      <c r="Q1605" s="28"/>
      <c r="T1605" s="28"/>
      <c r="W1605" s="28"/>
      <c r="Z1605" s="28"/>
      <c r="AC1605" s="28"/>
      <c r="AF1605" s="28"/>
      <c r="AI1605" s="28"/>
      <c r="AL1605" s="28"/>
      <c r="AO1605" s="28"/>
      <c r="AR1605" s="28"/>
      <c r="AU1605" s="28"/>
      <c r="AX1605" s="28"/>
      <c r="BA1605" s="28"/>
      <c r="BD1605" s="28"/>
      <c r="BG1605" s="28"/>
      <c r="BJ1605" s="28"/>
      <c r="BM1605" s="28"/>
      <c r="BP1605" s="28"/>
      <c r="BS1605" s="28"/>
      <c r="BV1605" s="28"/>
      <c r="BY1605" s="28"/>
      <c r="CB1605" s="28"/>
      <c r="CE1605" s="28"/>
      <c r="CH1605" s="28"/>
      <c r="CK1605" s="28"/>
      <c r="CN1605" s="28"/>
      <c r="CQ1605" s="28"/>
      <c r="CT1605" s="28"/>
      <c r="CW1605" s="28"/>
      <c r="CZ1605" s="28"/>
      <c r="DC1605" s="28"/>
      <c r="DF1605" s="28"/>
      <c r="DI1605" s="28"/>
      <c r="DL1605" s="28"/>
      <c r="DO1605" s="28"/>
      <c r="DR1605" s="28"/>
      <c r="DU1605" s="28"/>
      <c r="DX1605" s="28"/>
      <c r="EA1605" s="28"/>
      <c r="ED1605" s="28"/>
      <c r="EG1605" s="28"/>
      <c r="EJ1605" s="28"/>
      <c r="EM1605" s="28"/>
      <c r="EP1605" s="28"/>
      <c r="ES1605" s="28"/>
      <c r="EV1605" s="28"/>
      <c r="EY1605" s="28"/>
      <c r="FB1605" s="28"/>
      <c r="FE1605" s="28"/>
      <c r="FH1605" s="28"/>
      <c r="FK1605" s="28"/>
      <c r="FN1605" s="28"/>
      <c r="FQ1605" s="28"/>
      <c r="FT1605" s="28"/>
      <c r="FW1605" s="28"/>
      <c r="FZ1605" s="28"/>
      <c r="GC1605" s="28"/>
    </row>
    <row r="1606" spans="1:185" s="25" customFormat="1" x14ac:dyDescent="0.3">
      <c r="A1606" s="27"/>
      <c r="B1606" s="28"/>
      <c r="C1606" s="27"/>
      <c r="D1606" s="26"/>
      <c r="E1606" s="28"/>
      <c r="H1606" s="28"/>
      <c r="K1606" s="28"/>
      <c r="N1606" s="28"/>
      <c r="Q1606" s="28"/>
      <c r="T1606" s="28"/>
      <c r="W1606" s="28"/>
      <c r="Z1606" s="28"/>
      <c r="AC1606" s="28"/>
      <c r="AF1606" s="28"/>
      <c r="AI1606" s="28"/>
      <c r="AL1606" s="28"/>
      <c r="AO1606" s="28"/>
      <c r="AR1606" s="28"/>
      <c r="AU1606" s="28"/>
      <c r="AX1606" s="28"/>
      <c r="BA1606" s="28"/>
      <c r="BD1606" s="28"/>
      <c r="BG1606" s="28"/>
      <c r="BJ1606" s="28"/>
      <c r="BM1606" s="28"/>
      <c r="BP1606" s="28"/>
      <c r="BS1606" s="28"/>
      <c r="BV1606" s="28"/>
      <c r="BY1606" s="28"/>
      <c r="CB1606" s="28"/>
      <c r="CE1606" s="28"/>
      <c r="CH1606" s="28"/>
      <c r="CK1606" s="28"/>
      <c r="CN1606" s="28"/>
      <c r="CQ1606" s="28"/>
      <c r="CT1606" s="28"/>
      <c r="CW1606" s="28"/>
      <c r="CZ1606" s="28"/>
      <c r="DC1606" s="28"/>
      <c r="DF1606" s="28"/>
      <c r="DI1606" s="28"/>
      <c r="DL1606" s="28"/>
      <c r="DO1606" s="28"/>
      <c r="DR1606" s="28"/>
      <c r="DU1606" s="28"/>
      <c r="DX1606" s="28"/>
      <c r="EA1606" s="28"/>
      <c r="ED1606" s="28"/>
      <c r="EG1606" s="28"/>
      <c r="EJ1606" s="28"/>
      <c r="EM1606" s="28"/>
      <c r="EP1606" s="28"/>
      <c r="ES1606" s="28"/>
      <c r="EV1606" s="28"/>
      <c r="EY1606" s="28"/>
      <c r="FB1606" s="28"/>
      <c r="FE1606" s="28"/>
      <c r="FH1606" s="28"/>
      <c r="FK1606" s="28"/>
      <c r="FN1606" s="28"/>
      <c r="FQ1606" s="28"/>
      <c r="FT1606" s="28"/>
      <c r="FW1606" s="28"/>
      <c r="FZ1606" s="28"/>
      <c r="GC1606" s="28"/>
    </row>
    <row r="1607" spans="1:185" s="25" customFormat="1" x14ac:dyDescent="0.3">
      <c r="A1607" s="27"/>
      <c r="B1607" s="28"/>
      <c r="C1607" s="27"/>
      <c r="D1607" s="26"/>
      <c r="E1607" s="28"/>
      <c r="H1607" s="28"/>
      <c r="K1607" s="28"/>
      <c r="N1607" s="28"/>
      <c r="Q1607" s="28"/>
      <c r="T1607" s="28"/>
      <c r="W1607" s="28"/>
      <c r="Z1607" s="28"/>
      <c r="AC1607" s="28"/>
      <c r="AF1607" s="28"/>
      <c r="AI1607" s="28"/>
      <c r="AL1607" s="28"/>
      <c r="AO1607" s="28"/>
      <c r="AR1607" s="28"/>
      <c r="AU1607" s="28"/>
      <c r="AX1607" s="28"/>
      <c r="BA1607" s="28"/>
      <c r="BD1607" s="28"/>
      <c r="BG1607" s="28"/>
      <c r="BJ1607" s="28"/>
      <c r="BM1607" s="28"/>
      <c r="BP1607" s="28"/>
      <c r="BS1607" s="28"/>
      <c r="BV1607" s="28"/>
      <c r="BY1607" s="28"/>
      <c r="CB1607" s="28"/>
      <c r="CE1607" s="28"/>
      <c r="CH1607" s="28"/>
      <c r="CK1607" s="28"/>
      <c r="CN1607" s="28"/>
      <c r="CQ1607" s="28"/>
      <c r="CT1607" s="28"/>
      <c r="CW1607" s="28"/>
      <c r="CZ1607" s="28"/>
      <c r="DC1607" s="28"/>
      <c r="DF1607" s="28"/>
      <c r="DI1607" s="28"/>
      <c r="DL1607" s="28"/>
      <c r="DO1607" s="28"/>
      <c r="DR1607" s="28"/>
      <c r="DU1607" s="28"/>
      <c r="DX1607" s="28"/>
      <c r="EA1607" s="28"/>
      <c r="ED1607" s="28"/>
      <c r="EG1607" s="28"/>
      <c r="EJ1607" s="28"/>
      <c r="EM1607" s="28"/>
      <c r="EP1607" s="28"/>
      <c r="ES1607" s="28"/>
      <c r="EV1607" s="28"/>
      <c r="EY1607" s="28"/>
      <c r="FB1607" s="28"/>
      <c r="FE1607" s="28"/>
      <c r="FH1607" s="28"/>
      <c r="FK1607" s="28"/>
      <c r="FN1607" s="28"/>
      <c r="FQ1607" s="28"/>
      <c r="FT1607" s="28"/>
      <c r="FW1607" s="28"/>
      <c r="FZ1607" s="28"/>
      <c r="GC1607" s="28"/>
    </row>
    <row r="1608" spans="1:185" s="25" customFormat="1" x14ac:dyDescent="0.3">
      <c r="A1608" s="27"/>
      <c r="B1608" s="28"/>
      <c r="C1608" s="27"/>
      <c r="D1608" s="26"/>
      <c r="E1608" s="28"/>
      <c r="H1608" s="28"/>
      <c r="K1608" s="28"/>
      <c r="N1608" s="28"/>
      <c r="Q1608" s="28"/>
      <c r="T1608" s="28"/>
      <c r="W1608" s="28"/>
      <c r="Z1608" s="28"/>
      <c r="AC1608" s="28"/>
      <c r="AF1608" s="28"/>
      <c r="AI1608" s="28"/>
      <c r="AL1608" s="28"/>
      <c r="AO1608" s="28"/>
      <c r="AR1608" s="28"/>
      <c r="AU1608" s="28"/>
      <c r="AX1608" s="28"/>
      <c r="BA1608" s="28"/>
      <c r="BD1608" s="28"/>
      <c r="BG1608" s="28"/>
      <c r="BJ1608" s="28"/>
      <c r="BM1608" s="28"/>
      <c r="BP1608" s="28"/>
      <c r="BS1608" s="28"/>
      <c r="BV1608" s="28"/>
      <c r="BY1608" s="28"/>
      <c r="CB1608" s="28"/>
      <c r="CE1608" s="28"/>
      <c r="CH1608" s="28"/>
      <c r="CK1608" s="28"/>
      <c r="CN1608" s="28"/>
      <c r="CQ1608" s="28"/>
      <c r="CT1608" s="28"/>
      <c r="CW1608" s="28"/>
      <c r="CZ1608" s="28"/>
      <c r="DC1608" s="28"/>
      <c r="DF1608" s="28"/>
      <c r="DI1608" s="28"/>
      <c r="DL1608" s="28"/>
      <c r="DO1608" s="28"/>
      <c r="DR1608" s="28"/>
      <c r="DU1608" s="28"/>
      <c r="DX1608" s="28"/>
      <c r="EA1608" s="28"/>
      <c r="ED1608" s="28"/>
      <c r="EG1608" s="28"/>
      <c r="EJ1608" s="28"/>
      <c r="EM1608" s="28"/>
      <c r="EP1608" s="28"/>
      <c r="ES1608" s="28"/>
      <c r="EV1608" s="28"/>
      <c r="EY1608" s="28"/>
      <c r="FB1608" s="28"/>
      <c r="FE1608" s="28"/>
      <c r="FH1608" s="28"/>
      <c r="FK1608" s="28"/>
      <c r="FN1608" s="28"/>
      <c r="FQ1608" s="28"/>
      <c r="FT1608" s="28"/>
      <c r="FW1608" s="28"/>
      <c r="FZ1608" s="28"/>
      <c r="GC1608" s="28"/>
    </row>
    <row r="1609" spans="1:185" s="25" customFormat="1" x14ac:dyDescent="0.3">
      <c r="A1609" s="27"/>
      <c r="B1609" s="28"/>
      <c r="C1609" s="27"/>
      <c r="D1609" s="26"/>
      <c r="E1609" s="28"/>
      <c r="H1609" s="28"/>
      <c r="K1609" s="28"/>
      <c r="N1609" s="28"/>
      <c r="Q1609" s="28"/>
      <c r="T1609" s="28"/>
      <c r="W1609" s="28"/>
      <c r="Z1609" s="28"/>
      <c r="AC1609" s="28"/>
      <c r="AF1609" s="28"/>
      <c r="AI1609" s="28"/>
      <c r="AL1609" s="28"/>
      <c r="AO1609" s="28"/>
      <c r="AR1609" s="28"/>
      <c r="AU1609" s="28"/>
      <c r="AX1609" s="28"/>
      <c r="BA1609" s="28"/>
      <c r="BD1609" s="28"/>
      <c r="BG1609" s="28"/>
      <c r="BJ1609" s="28"/>
      <c r="BM1609" s="28"/>
      <c r="BP1609" s="28"/>
      <c r="BS1609" s="28"/>
      <c r="BV1609" s="28"/>
      <c r="BY1609" s="28"/>
      <c r="CB1609" s="28"/>
      <c r="CE1609" s="28"/>
      <c r="CH1609" s="28"/>
      <c r="CK1609" s="28"/>
      <c r="CN1609" s="28"/>
      <c r="CQ1609" s="28"/>
      <c r="CT1609" s="28"/>
      <c r="CW1609" s="28"/>
      <c r="CZ1609" s="28"/>
      <c r="DC1609" s="28"/>
      <c r="DF1609" s="28"/>
      <c r="DI1609" s="28"/>
      <c r="DL1609" s="28"/>
      <c r="DO1609" s="28"/>
      <c r="DR1609" s="28"/>
      <c r="DU1609" s="28"/>
      <c r="DX1609" s="28"/>
      <c r="EA1609" s="28"/>
      <c r="ED1609" s="28"/>
      <c r="EG1609" s="28"/>
      <c r="EJ1609" s="28"/>
      <c r="EM1609" s="28"/>
      <c r="EP1609" s="28"/>
      <c r="ES1609" s="28"/>
      <c r="EV1609" s="28"/>
      <c r="EY1609" s="28"/>
      <c r="FB1609" s="28"/>
      <c r="FE1609" s="28"/>
      <c r="FH1609" s="28"/>
      <c r="FK1609" s="28"/>
      <c r="FN1609" s="28"/>
      <c r="FQ1609" s="28"/>
      <c r="FT1609" s="28"/>
      <c r="FW1609" s="28"/>
      <c r="FZ1609" s="28"/>
      <c r="GC1609" s="28"/>
    </row>
    <row r="1610" spans="1:185" s="25" customFormat="1" x14ac:dyDescent="0.3">
      <c r="A1610" s="27"/>
      <c r="B1610" s="28"/>
      <c r="C1610" s="27"/>
      <c r="D1610" s="26"/>
      <c r="E1610" s="28"/>
      <c r="H1610" s="28"/>
      <c r="K1610" s="28"/>
      <c r="N1610" s="28"/>
      <c r="Q1610" s="28"/>
      <c r="T1610" s="28"/>
      <c r="W1610" s="28"/>
      <c r="Z1610" s="28"/>
      <c r="AC1610" s="28"/>
      <c r="AF1610" s="28"/>
      <c r="AI1610" s="28"/>
      <c r="AL1610" s="28"/>
      <c r="AO1610" s="28"/>
      <c r="AR1610" s="28"/>
      <c r="AU1610" s="28"/>
      <c r="AX1610" s="28"/>
      <c r="BA1610" s="28"/>
      <c r="BD1610" s="28"/>
      <c r="BG1610" s="28"/>
      <c r="BJ1610" s="28"/>
      <c r="BM1610" s="28"/>
      <c r="BP1610" s="28"/>
      <c r="BS1610" s="28"/>
      <c r="BV1610" s="28"/>
      <c r="BY1610" s="28"/>
      <c r="CB1610" s="28"/>
      <c r="CE1610" s="28"/>
      <c r="CH1610" s="28"/>
      <c r="CK1610" s="28"/>
      <c r="CN1610" s="28"/>
      <c r="CQ1610" s="28"/>
      <c r="CT1610" s="28"/>
      <c r="CW1610" s="28"/>
      <c r="CZ1610" s="28"/>
      <c r="DC1610" s="28"/>
      <c r="DF1610" s="28"/>
      <c r="DI1610" s="28"/>
      <c r="DL1610" s="28"/>
      <c r="DO1610" s="28"/>
      <c r="DR1610" s="28"/>
      <c r="DU1610" s="28"/>
      <c r="DX1610" s="28"/>
      <c r="EA1610" s="28"/>
      <c r="ED1610" s="28"/>
      <c r="EG1610" s="28"/>
      <c r="EJ1610" s="28"/>
      <c r="EM1610" s="28"/>
      <c r="EP1610" s="28"/>
      <c r="ES1610" s="28"/>
      <c r="EV1610" s="28"/>
      <c r="EY1610" s="28"/>
      <c r="FB1610" s="28"/>
      <c r="FE1610" s="28"/>
      <c r="FH1610" s="28"/>
      <c r="FK1610" s="28"/>
      <c r="FN1610" s="28"/>
      <c r="FQ1610" s="28"/>
      <c r="FT1610" s="28"/>
      <c r="FW1610" s="28"/>
      <c r="FZ1610" s="28"/>
      <c r="GC1610" s="28"/>
    </row>
    <row r="1611" spans="1:185" s="25" customFormat="1" x14ac:dyDescent="0.3">
      <c r="A1611" s="27"/>
      <c r="B1611" s="28"/>
      <c r="C1611" s="27"/>
      <c r="D1611" s="26"/>
      <c r="E1611" s="28"/>
      <c r="H1611" s="28"/>
      <c r="K1611" s="28"/>
      <c r="N1611" s="28"/>
      <c r="Q1611" s="28"/>
      <c r="T1611" s="28"/>
      <c r="W1611" s="28"/>
      <c r="Z1611" s="28"/>
      <c r="AC1611" s="28"/>
      <c r="AF1611" s="28"/>
      <c r="AI1611" s="28"/>
      <c r="AL1611" s="28"/>
      <c r="AO1611" s="28"/>
      <c r="AR1611" s="28"/>
      <c r="AU1611" s="28"/>
      <c r="AX1611" s="28"/>
      <c r="BA1611" s="28"/>
      <c r="BD1611" s="28"/>
      <c r="BG1611" s="28"/>
      <c r="BJ1611" s="28"/>
      <c r="BM1611" s="28"/>
      <c r="BP1611" s="28"/>
      <c r="BS1611" s="28"/>
      <c r="BV1611" s="28"/>
      <c r="BY1611" s="28"/>
      <c r="CB1611" s="28"/>
      <c r="CE1611" s="28"/>
      <c r="CH1611" s="28"/>
      <c r="CK1611" s="28"/>
      <c r="CN1611" s="28"/>
      <c r="CQ1611" s="28"/>
      <c r="CT1611" s="28"/>
      <c r="CW1611" s="28"/>
      <c r="CZ1611" s="28"/>
      <c r="DC1611" s="28"/>
      <c r="DF1611" s="28"/>
      <c r="DI1611" s="28"/>
      <c r="DL1611" s="28"/>
      <c r="DO1611" s="28"/>
      <c r="DR1611" s="28"/>
      <c r="DU1611" s="28"/>
      <c r="DX1611" s="28"/>
      <c r="EA1611" s="28"/>
      <c r="ED1611" s="28"/>
      <c r="EG1611" s="28"/>
      <c r="EJ1611" s="28"/>
      <c r="EM1611" s="28"/>
      <c r="EP1611" s="28"/>
      <c r="ES1611" s="28"/>
      <c r="EV1611" s="28"/>
      <c r="EY1611" s="28"/>
      <c r="FB1611" s="28"/>
      <c r="FE1611" s="28"/>
      <c r="FH1611" s="28"/>
      <c r="FK1611" s="28"/>
      <c r="FN1611" s="28"/>
      <c r="FQ1611" s="28"/>
      <c r="FT1611" s="28"/>
      <c r="FW1611" s="28"/>
      <c r="FZ1611" s="28"/>
      <c r="GC1611" s="28"/>
    </row>
    <row r="1612" spans="1:185" s="25" customFormat="1" x14ac:dyDescent="0.3">
      <c r="A1612" s="27"/>
      <c r="B1612" s="28"/>
      <c r="C1612" s="27"/>
      <c r="D1612" s="26"/>
      <c r="E1612" s="28"/>
      <c r="H1612" s="28"/>
      <c r="K1612" s="28"/>
      <c r="N1612" s="28"/>
      <c r="Q1612" s="28"/>
      <c r="T1612" s="28"/>
      <c r="W1612" s="28"/>
      <c r="Z1612" s="28"/>
      <c r="AC1612" s="28"/>
      <c r="AF1612" s="28"/>
      <c r="AI1612" s="28"/>
      <c r="AL1612" s="28"/>
      <c r="AO1612" s="28"/>
      <c r="AR1612" s="28"/>
      <c r="AU1612" s="28"/>
      <c r="AX1612" s="28"/>
      <c r="BA1612" s="28"/>
      <c r="BD1612" s="28"/>
      <c r="BG1612" s="28"/>
      <c r="BJ1612" s="28"/>
      <c r="BM1612" s="28"/>
      <c r="BP1612" s="28"/>
      <c r="BS1612" s="28"/>
      <c r="BV1612" s="28"/>
      <c r="BY1612" s="28"/>
      <c r="CB1612" s="28"/>
      <c r="CE1612" s="28"/>
      <c r="CH1612" s="28"/>
      <c r="CK1612" s="28"/>
      <c r="CN1612" s="28"/>
      <c r="CQ1612" s="28"/>
      <c r="CT1612" s="28"/>
      <c r="CW1612" s="28"/>
      <c r="CZ1612" s="28"/>
      <c r="DC1612" s="28"/>
      <c r="DF1612" s="28"/>
      <c r="DI1612" s="28"/>
      <c r="DL1612" s="28"/>
      <c r="DO1612" s="28"/>
      <c r="DR1612" s="28"/>
      <c r="DU1612" s="28"/>
      <c r="DX1612" s="28"/>
      <c r="EA1612" s="28"/>
      <c r="ED1612" s="28"/>
      <c r="EG1612" s="28"/>
      <c r="EJ1612" s="28"/>
      <c r="EM1612" s="28"/>
      <c r="EP1612" s="28"/>
      <c r="ES1612" s="28"/>
      <c r="EV1612" s="28"/>
      <c r="EY1612" s="28"/>
      <c r="FB1612" s="28"/>
      <c r="FE1612" s="28"/>
      <c r="FH1612" s="28"/>
      <c r="FK1612" s="28"/>
      <c r="FN1612" s="28"/>
      <c r="FQ1612" s="28"/>
      <c r="FT1612" s="28"/>
      <c r="FW1612" s="28"/>
      <c r="FZ1612" s="28"/>
      <c r="GC1612" s="28"/>
    </row>
    <row r="1613" spans="1:185" s="25" customFormat="1" x14ac:dyDescent="0.3">
      <c r="A1613" s="27"/>
      <c r="B1613" s="28"/>
      <c r="C1613" s="27"/>
      <c r="D1613" s="26"/>
      <c r="E1613" s="28"/>
      <c r="H1613" s="28"/>
      <c r="K1613" s="28"/>
      <c r="N1613" s="28"/>
      <c r="Q1613" s="28"/>
      <c r="T1613" s="28"/>
      <c r="W1613" s="28"/>
      <c r="Z1613" s="28"/>
      <c r="AC1613" s="28"/>
      <c r="AF1613" s="28"/>
      <c r="AI1613" s="28"/>
      <c r="AL1613" s="28"/>
      <c r="AO1613" s="28"/>
      <c r="AR1613" s="28"/>
      <c r="AU1613" s="28"/>
      <c r="AX1613" s="28"/>
      <c r="BA1613" s="28"/>
      <c r="BD1613" s="28"/>
      <c r="BG1613" s="28"/>
      <c r="BJ1613" s="28"/>
      <c r="BM1613" s="28"/>
      <c r="BP1613" s="28"/>
      <c r="BS1613" s="28"/>
      <c r="BV1613" s="28"/>
      <c r="BY1613" s="28"/>
      <c r="CB1613" s="28"/>
      <c r="CE1613" s="28"/>
      <c r="CH1613" s="28"/>
      <c r="CK1613" s="28"/>
      <c r="CN1613" s="28"/>
      <c r="CQ1613" s="28"/>
      <c r="CT1613" s="28"/>
      <c r="CW1613" s="28"/>
      <c r="CZ1613" s="28"/>
      <c r="DC1613" s="28"/>
      <c r="DF1613" s="28"/>
      <c r="DI1613" s="28"/>
      <c r="DL1613" s="28"/>
      <c r="DO1613" s="28"/>
      <c r="DR1613" s="28"/>
      <c r="DU1613" s="28"/>
      <c r="DX1613" s="28"/>
      <c r="EA1613" s="28"/>
      <c r="ED1613" s="28"/>
      <c r="EG1613" s="28"/>
      <c r="EJ1613" s="28"/>
      <c r="EM1613" s="28"/>
      <c r="EP1613" s="28"/>
      <c r="ES1613" s="28"/>
      <c r="EV1613" s="28"/>
      <c r="EY1613" s="28"/>
      <c r="FB1613" s="28"/>
      <c r="FE1613" s="28"/>
      <c r="FH1613" s="28"/>
      <c r="FK1613" s="28"/>
      <c r="FN1613" s="28"/>
      <c r="FQ1613" s="28"/>
      <c r="FT1613" s="28"/>
      <c r="FW1613" s="28"/>
      <c r="FZ1613" s="28"/>
      <c r="GC1613" s="28"/>
    </row>
    <row r="1614" spans="1:185" s="25" customFormat="1" x14ac:dyDescent="0.3">
      <c r="A1614" s="27"/>
      <c r="B1614" s="28"/>
      <c r="C1614" s="27"/>
      <c r="D1614" s="26"/>
      <c r="E1614" s="28"/>
      <c r="H1614" s="28"/>
      <c r="K1614" s="28"/>
      <c r="N1614" s="28"/>
      <c r="Q1614" s="28"/>
      <c r="T1614" s="28"/>
      <c r="W1614" s="28"/>
      <c r="Z1614" s="28"/>
      <c r="AC1614" s="28"/>
      <c r="AF1614" s="28"/>
      <c r="AI1614" s="28"/>
      <c r="AL1614" s="28"/>
      <c r="AO1614" s="28"/>
      <c r="AR1614" s="28"/>
      <c r="AU1614" s="28"/>
      <c r="AX1614" s="28"/>
      <c r="BA1614" s="28"/>
      <c r="BD1614" s="28"/>
      <c r="BG1614" s="28"/>
      <c r="BJ1614" s="28"/>
      <c r="BM1614" s="28"/>
      <c r="BP1614" s="28"/>
      <c r="BS1614" s="28"/>
      <c r="BV1614" s="28"/>
      <c r="BY1614" s="28"/>
      <c r="CB1614" s="28"/>
      <c r="CE1614" s="28"/>
      <c r="CH1614" s="28"/>
      <c r="CK1614" s="28"/>
      <c r="CN1614" s="28"/>
      <c r="CQ1614" s="28"/>
      <c r="CT1614" s="28"/>
      <c r="CW1614" s="28"/>
      <c r="CZ1614" s="28"/>
      <c r="DC1614" s="28"/>
      <c r="DF1614" s="28"/>
      <c r="DI1614" s="28"/>
      <c r="DL1614" s="28"/>
      <c r="DO1614" s="28"/>
      <c r="DR1614" s="28"/>
      <c r="DU1614" s="28"/>
      <c r="DX1614" s="28"/>
      <c r="EA1614" s="28"/>
      <c r="ED1614" s="28"/>
      <c r="EG1614" s="28"/>
      <c r="EJ1614" s="28"/>
      <c r="EM1614" s="28"/>
      <c r="EP1614" s="28"/>
      <c r="ES1614" s="28"/>
      <c r="EV1614" s="28"/>
      <c r="EY1614" s="28"/>
      <c r="FB1614" s="28"/>
      <c r="FE1614" s="28"/>
      <c r="FH1614" s="28"/>
      <c r="FK1614" s="28"/>
      <c r="FN1614" s="28"/>
      <c r="FQ1614" s="28"/>
      <c r="FT1614" s="28"/>
      <c r="FW1614" s="28"/>
      <c r="FZ1614" s="28"/>
      <c r="GC1614" s="28"/>
    </row>
    <row r="1615" spans="1:185" s="25" customFormat="1" x14ac:dyDescent="0.3">
      <c r="A1615" s="27"/>
      <c r="B1615" s="28"/>
      <c r="C1615" s="27"/>
      <c r="D1615" s="26"/>
      <c r="E1615" s="28"/>
      <c r="H1615" s="28"/>
      <c r="K1615" s="28"/>
      <c r="N1615" s="28"/>
      <c r="Q1615" s="28"/>
      <c r="T1615" s="28"/>
      <c r="W1615" s="28"/>
      <c r="Z1615" s="28"/>
      <c r="AC1615" s="28"/>
      <c r="AF1615" s="28"/>
      <c r="AI1615" s="28"/>
      <c r="AL1615" s="28"/>
      <c r="AO1615" s="28"/>
      <c r="AR1615" s="28"/>
      <c r="AU1615" s="28"/>
      <c r="AX1615" s="28"/>
      <c r="BA1615" s="28"/>
      <c r="BD1615" s="28"/>
      <c r="BG1615" s="28"/>
      <c r="BJ1615" s="28"/>
      <c r="BM1615" s="28"/>
      <c r="BP1615" s="28"/>
      <c r="BS1615" s="28"/>
      <c r="BV1615" s="28"/>
      <c r="BY1615" s="28"/>
      <c r="CB1615" s="28"/>
      <c r="CE1615" s="28"/>
      <c r="CH1615" s="28"/>
      <c r="CK1615" s="28"/>
      <c r="CN1615" s="28"/>
      <c r="CQ1615" s="28"/>
      <c r="CT1615" s="28"/>
      <c r="CW1615" s="28"/>
      <c r="CZ1615" s="28"/>
      <c r="DC1615" s="28"/>
      <c r="DF1615" s="28"/>
      <c r="DI1615" s="28"/>
      <c r="DL1615" s="28"/>
      <c r="DO1615" s="28"/>
      <c r="DR1615" s="28"/>
      <c r="DU1615" s="28"/>
      <c r="DX1615" s="28"/>
      <c r="EA1615" s="28"/>
      <c r="ED1615" s="28"/>
      <c r="EG1615" s="28"/>
      <c r="EJ1615" s="28"/>
      <c r="EM1615" s="28"/>
      <c r="EP1615" s="28"/>
      <c r="ES1615" s="28"/>
      <c r="EV1615" s="28"/>
      <c r="EY1615" s="28"/>
      <c r="FB1615" s="28"/>
      <c r="FE1615" s="28"/>
      <c r="FH1615" s="28"/>
      <c r="FK1615" s="28"/>
      <c r="FN1615" s="28"/>
      <c r="FQ1615" s="28"/>
      <c r="FT1615" s="28"/>
      <c r="FW1615" s="28"/>
      <c r="FZ1615" s="28"/>
      <c r="GC1615" s="28"/>
    </row>
    <row r="1616" spans="1:185" s="25" customFormat="1" x14ac:dyDescent="0.3">
      <c r="A1616" s="27"/>
      <c r="B1616" s="28"/>
      <c r="C1616" s="27"/>
      <c r="D1616" s="26"/>
      <c r="E1616" s="28"/>
      <c r="H1616" s="28"/>
      <c r="K1616" s="28"/>
      <c r="N1616" s="28"/>
      <c r="Q1616" s="28"/>
      <c r="T1616" s="28"/>
      <c r="W1616" s="28"/>
      <c r="Z1616" s="28"/>
      <c r="AC1616" s="28"/>
      <c r="AF1616" s="28"/>
      <c r="AI1616" s="28"/>
      <c r="AL1616" s="28"/>
      <c r="AO1616" s="28"/>
      <c r="AR1616" s="28"/>
      <c r="AU1616" s="28"/>
      <c r="AX1616" s="28"/>
      <c r="BA1616" s="28"/>
      <c r="BD1616" s="28"/>
      <c r="BG1616" s="28"/>
      <c r="BJ1616" s="28"/>
      <c r="BM1616" s="28"/>
      <c r="BP1616" s="28"/>
      <c r="BS1616" s="28"/>
      <c r="BV1616" s="28"/>
      <c r="BY1616" s="28"/>
      <c r="CB1616" s="28"/>
      <c r="CE1616" s="28"/>
      <c r="CH1616" s="28"/>
      <c r="CK1616" s="28"/>
      <c r="CN1616" s="28"/>
      <c r="CQ1616" s="28"/>
      <c r="CT1616" s="28"/>
      <c r="CW1616" s="28"/>
      <c r="CZ1616" s="28"/>
      <c r="DC1616" s="28"/>
      <c r="DF1616" s="28"/>
      <c r="DI1616" s="28"/>
      <c r="DL1616" s="28"/>
      <c r="DO1616" s="28"/>
      <c r="DR1616" s="28"/>
      <c r="DU1616" s="28"/>
      <c r="DX1616" s="28"/>
      <c r="EA1616" s="28"/>
      <c r="ED1616" s="28"/>
      <c r="EG1616" s="28"/>
      <c r="EJ1616" s="28"/>
      <c r="EM1616" s="28"/>
      <c r="EP1616" s="28"/>
      <c r="ES1616" s="28"/>
      <c r="EV1616" s="28"/>
      <c r="EY1616" s="28"/>
      <c r="FB1616" s="28"/>
      <c r="FE1616" s="28"/>
      <c r="FH1616" s="28"/>
      <c r="FK1616" s="28"/>
      <c r="FN1616" s="28"/>
      <c r="FQ1616" s="28"/>
      <c r="FT1616" s="28"/>
      <c r="FW1616" s="28"/>
      <c r="FZ1616" s="28"/>
      <c r="GC1616" s="28"/>
    </row>
    <row r="1617" spans="1:185" s="25" customFormat="1" x14ac:dyDescent="0.3">
      <c r="A1617" s="27"/>
      <c r="B1617" s="28"/>
      <c r="C1617" s="27"/>
      <c r="D1617" s="26"/>
      <c r="E1617" s="28"/>
      <c r="H1617" s="28"/>
      <c r="K1617" s="28"/>
      <c r="N1617" s="28"/>
      <c r="Q1617" s="28"/>
      <c r="T1617" s="28"/>
      <c r="W1617" s="28"/>
      <c r="Z1617" s="28"/>
      <c r="AC1617" s="28"/>
      <c r="AF1617" s="28"/>
      <c r="AI1617" s="28"/>
      <c r="AL1617" s="28"/>
      <c r="AO1617" s="28"/>
      <c r="AR1617" s="28"/>
      <c r="AU1617" s="28"/>
      <c r="AX1617" s="28"/>
      <c r="BA1617" s="28"/>
      <c r="BD1617" s="28"/>
      <c r="BG1617" s="28"/>
      <c r="BJ1617" s="28"/>
      <c r="BM1617" s="28"/>
      <c r="BP1617" s="28"/>
      <c r="BS1617" s="28"/>
      <c r="BV1617" s="28"/>
      <c r="BY1617" s="28"/>
      <c r="CB1617" s="28"/>
      <c r="CE1617" s="28"/>
      <c r="CH1617" s="28"/>
      <c r="CK1617" s="28"/>
      <c r="CN1617" s="28"/>
      <c r="CQ1617" s="28"/>
      <c r="CT1617" s="28"/>
      <c r="CW1617" s="28"/>
      <c r="CZ1617" s="28"/>
      <c r="DC1617" s="28"/>
      <c r="DF1617" s="28"/>
      <c r="DI1617" s="28"/>
      <c r="DL1617" s="28"/>
      <c r="DO1617" s="28"/>
      <c r="DR1617" s="28"/>
      <c r="DU1617" s="28"/>
      <c r="DX1617" s="28"/>
      <c r="EA1617" s="28"/>
      <c r="ED1617" s="28"/>
      <c r="EG1617" s="28"/>
      <c r="EJ1617" s="28"/>
      <c r="EM1617" s="28"/>
      <c r="EP1617" s="28"/>
      <c r="ES1617" s="28"/>
      <c r="EV1617" s="28"/>
      <c r="EY1617" s="28"/>
      <c r="FB1617" s="28"/>
      <c r="FE1617" s="28"/>
      <c r="FH1617" s="28"/>
      <c r="FK1617" s="28"/>
      <c r="FN1617" s="28"/>
      <c r="FQ1617" s="28"/>
      <c r="FT1617" s="28"/>
      <c r="FW1617" s="28"/>
      <c r="FZ1617" s="28"/>
      <c r="GC1617" s="28"/>
    </row>
    <row r="1618" spans="1:185" s="25" customFormat="1" x14ac:dyDescent="0.3">
      <c r="A1618" s="27"/>
      <c r="B1618" s="28"/>
      <c r="C1618" s="27"/>
      <c r="D1618" s="26"/>
      <c r="E1618" s="28"/>
      <c r="H1618" s="28"/>
      <c r="K1618" s="28"/>
      <c r="N1618" s="28"/>
      <c r="Q1618" s="28"/>
      <c r="T1618" s="28"/>
      <c r="W1618" s="28"/>
      <c r="Z1618" s="28"/>
      <c r="AC1618" s="28"/>
      <c r="AF1618" s="28"/>
      <c r="AI1618" s="28"/>
      <c r="AL1618" s="28"/>
      <c r="AO1618" s="28"/>
      <c r="AR1618" s="28"/>
      <c r="AU1618" s="28"/>
      <c r="AX1618" s="28"/>
      <c r="BA1618" s="28"/>
      <c r="BD1618" s="28"/>
      <c r="BG1618" s="28"/>
      <c r="BJ1618" s="28"/>
      <c r="BM1618" s="28"/>
      <c r="BP1618" s="28"/>
      <c r="BS1618" s="28"/>
      <c r="BV1618" s="28"/>
      <c r="BY1618" s="28"/>
      <c r="CB1618" s="28"/>
      <c r="CE1618" s="28"/>
      <c r="CH1618" s="28"/>
      <c r="CK1618" s="28"/>
      <c r="CN1618" s="28"/>
      <c r="CQ1618" s="28"/>
      <c r="CT1618" s="28"/>
      <c r="CW1618" s="28"/>
      <c r="CZ1618" s="28"/>
      <c r="DC1618" s="28"/>
      <c r="DF1618" s="28"/>
      <c r="DI1618" s="28"/>
      <c r="DL1618" s="28"/>
      <c r="DO1618" s="28"/>
      <c r="DR1618" s="28"/>
      <c r="DU1618" s="28"/>
      <c r="DX1618" s="28"/>
      <c r="EA1618" s="28"/>
      <c r="ED1618" s="28"/>
      <c r="EG1618" s="28"/>
      <c r="EJ1618" s="28"/>
      <c r="EM1618" s="28"/>
      <c r="EP1618" s="28"/>
      <c r="ES1618" s="28"/>
      <c r="EV1618" s="28"/>
      <c r="EY1618" s="28"/>
      <c r="FB1618" s="28"/>
      <c r="FE1618" s="28"/>
      <c r="FH1618" s="28"/>
      <c r="FK1618" s="28"/>
      <c r="FN1618" s="28"/>
      <c r="FQ1618" s="28"/>
      <c r="FT1618" s="28"/>
      <c r="FW1618" s="28"/>
      <c r="FZ1618" s="28"/>
      <c r="GC1618" s="28"/>
    </row>
    <row r="1619" spans="1:185" s="25" customFormat="1" x14ac:dyDescent="0.3">
      <c r="A1619" s="27"/>
      <c r="B1619" s="28"/>
      <c r="C1619" s="27"/>
      <c r="D1619" s="26"/>
      <c r="E1619" s="28"/>
      <c r="H1619" s="28"/>
      <c r="K1619" s="28"/>
      <c r="N1619" s="28"/>
      <c r="Q1619" s="28"/>
      <c r="T1619" s="28"/>
      <c r="W1619" s="28"/>
      <c r="Z1619" s="28"/>
      <c r="AC1619" s="28"/>
      <c r="AF1619" s="28"/>
      <c r="AI1619" s="28"/>
      <c r="AL1619" s="28"/>
      <c r="AO1619" s="28"/>
      <c r="AR1619" s="28"/>
      <c r="AU1619" s="28"/>
      <c r="AX1619" s="28"/>
      <c r="BA1619" s="28"/>
      <c r="BD1619" s="28"/>
      <c r="BG1619" s="28"/>
      <c r="BJ1619" s="28"/>
      <c r="BM1619" s="28"/>
      <c r="BP1619" s="28"/>
      <c r="BS1619" s="28"/>
      <c r="BV1619" s="28"/>
      <c r="BY1619" s="28"/>
      <c r="CB1619" s="28"/>
      <c r="CE1619" s="28"/>
      <c r="CH1619" s="28"/>
      <c r="CK1619" s="28"/>
      <c r="CN1619" s="28"/>
      <c r="CQ1619" s="28"/>
      <c r="CT1619" s="28"/>
      <c r="CW1619" s="28"/>
      <c r="CZ1619" s="28"/>
      <c r="DC1619" s="28"/>
      <c r="DF1619" s="28"/>
      <c r="DI1619" s="28"/>
      <c r="DL1619" s="28"/>
      <c r="DO1619" s="28"/>
      <c r="DR1619" s="28"/>
      <c r="DU1619" s="28"/>
      <c r="DX1619" s="28"/>
      <c r="EA1619" s="28"/>
      <c r="ED1619" s="28"/>
      <c r="EG1619" s="28"/>
      <c r="EJ1619" s="28"/>
      <c r="EM1619" s="28"/>
      <c r="EP1619" s="28"/>
      <c r="ES1619" s="28"/>
      <c r="EV1619" s="28"/>
      <c r="EY1619" s="28"/>
      <c r="FB1619" s="28"/>
      <c r="FE1619" s="28"/>
      <c r="FH1619" s="28"/>
      <c r="FK1619" s="28"/>
      <c r="FN1619" s="28"/>
      <c r="FQ1619" s="28"/>
      <c r="FT1619" s="28"/>
      <c r="FW1619" s="28"/>
      <c r="FZ1619" s="28"/>
      <c r="GC1619" s="28"/>
    </row>
    <row r="1620" spans="1:185" s="25" customFormat="1" x14ac:dyDescent="0.3">
      <c r="A1620" s="27"/>
      <c r="B1620" s="28"/>
      <c r="C1620" s="27"/>
      <c r="D1620" s="26"/>
      <c r="E1620" s="28"/>
      <c r="H1620" s="28"/>
      <c r="K1620" s="28"/>
      <c r="N1620" s="28"/>
      <c r="Q1620" s="28"/>
      <c r="T1620" s="28"/>
      <c r="W1620" s="28"/>
      <c r="Z1620" s="28"/>
      <c r="AC1620" s="28"/>
      <c r="AF1620" s="28"/>
      <c r="AI1620" s="28"/>
      <c r="AL1620" s="28"/>
      <c r="AO1620" s="28"/>
      <c r="AR1620" s="28"/>
      <c r="AU1620" s="28"/>
      <c r="AX1620" s="28"/>
      <c r="BA1620" s="28"/>
      <c r="BD1620" s="28"/>
      <c r="BG1620" s="28"/>
      <c r="BJ1620" s="28"/>
      <c r="BM1620" s="28"/>
      <c r="BP1620" s="28"/>
      <c r="BS1620" s="28"/>
      <c r="BV1620" s="28"/>
      <c r="BY1620" s="28"/>
      <c r="CB1620" s="28"/>
      <c r="CE1620" s="28"/>
      <c r="CH1620" s="28"/>
      <c r="CK1620" s="28"/>
      <c r="CN1620" s="28"/>
      <c r="CQ1620" s="28"/>
      <c r="CT1620" s="28"/>
      <c r="CW1620" s="28"/>
      <c r="CZ1620" s="28"/>
      <c r="DC1620" s="28"/>
      <c r="DF1620" s="28"/>
      <c r="DI1620" s="28"/>
      <c r="DL1620" s="28"/>
      <c r="DO1620" s="28"/>
      <c r="DR1620" s="28"/>
      <c r="DU1620" s="28"/>
      <c r="DX1620" s="28"/>
      <c r="EA1620" s="28"/>
      <c r="ED1620" s="28"/>
      <c r="EG1620" s="28"/>
      <c r="EJ1620" s="28"/>
      <c r="EM1620" s="28"/>
      <c r="EP1620" s="28"/>
      <c r="ES1620" s="28"/>
      <c r="EV1620" s="28"/>
      <c r="EY1620" s="28"/>
      <c r="FB1620" s="28"/>
      <c r="FE1620" s="28"/>
      <c r="FH1620" s="28"/>
      <c r="FK1620" s="28"/>
      <c r="FN1620" s="28"/>
      <c r="FQ1620" s="28"/>
      <c r="FT1620" s="28"/>
      <c r="FW1620" s="28"/>
      <c r="FZ1620" s="28"/>
      <c r="GC1620" s="28"/>
    </row>
    <row r="1621" spans="1:185" s="25" customFormat="1" x14ac:dyDescent="0.3">
      <c r="A1621" s="27"/>
      <c r="B1621" s="28"/>
      <c r="C1621" s="27"/>
      <c r="D1621" s="26"/>
      <c r="E1621" s="28"/>
      <c r="H1621" s="28"/>
      <c r="K1621" s="28"/>
      <c r="N1621" s="28"/>
      <c r="Q1621" s="28"/>
      <c r="T1621" s="28"/>
      <c r="W1621" s="28"/>
      <c r="Z1621" s="28"/>
      <c r="AC1621" s="28"/>
      <c r="AF1621" s="28"/>
      <c r="AI1621" s="28"/>
      <c r="AL1621" s="28"/>
      <c r="AO1621" s="28"/>
      <c r="AR1621" s="28"/>
      <c r="AU1621" s="28"/>
      <c r="AX1621" s="28"/>
      <c r="BA1621" s="28"/>
      <c r="BD1621" s="28"/>
      <c r="BG1621" s="28"/>
      <c r="BJ1621" s="28"/>
      <c r="BM1621" s="28"/>
      <c r="BP1621" s="28"/>
      <c r="BS1621" s="28"/>
      <c r="BV1621" s="28"/>
      <c r="BY1621" s="28"/>
      <c r="CB1621" s="28"/>
      <c r="CE1621" s="28"/>
      <c r="CH1621" s="28"/>
      <c r="CK1621" s="28"/>
      <c r="CN1621" s="28"/>
      <c r="CQ1621" s="28"/>
      <c r="CT1621" s="28"/>
      <c r="CW1621" s="28"/>
      <c r="CZ1621" s="28"/>
      <c r="DC1621" s="28"/>
      <c r="DF1621" s="28"/>
      <c r="DI1621" s="28"/>
      <c r="DL1621" s="28"/>
      <c r="DO1621" s="28"/>
      <c r="DR1621" s="28"/>
      <c r="DU1621" s="28"/>
      <c r="DX1621" s="28"/>
      <c r="EA1621" s="28"/>
      <c r="ED1621" s="28"/>
      <c r="EG1621" s="28"/>
      <c r="EJ1621" s="28"/>
      <c r="EM1621" s="28"/>
      <c r="EP1621" s="28"/>
      <c r="ES1621" s="28"/>
      <c r="EV1621" s="28"/>
      <c r="EY1621" s="28"/>
      <c r="FB1621" s="28"/>
      <c r="FE1621" s="28"/>
      <c r="FH1621" s="28"/>
      <c r="FK1621" s="28"/>
      <c r="FN1621" s="28"/>
      <c r="FQ1621" s="28"/>
      <c r="FT1621" s="28"/>
      <c r="FW1621" s="28"/>
      <c r="FZ1621" s="28"/>
      <c r="GC1621" s="28"/>
    </row>
    <row r="1622" spans="1:185" s="25" customFormat="1" x14ac:dyDescent="0.3">
      <c r="A1622" s="27"/>
      <c r="B1622" s="28"/>
      <c r="C1622" s="27"/>
      <c r="D1622" s="26"/>
      <c r="E1622" s="28"/>
      <c r="H1622" s="28"/>
      <c r="K1622" s="28"/>
      <c r="N1622" s="28"/>
      <c r="Q1622" s="28"/>
      <c r="T1622" s="28"/>
      <c r="W1622" s="28"/>
      <c r="Z1622" s="28"/>
      <c r="AC1622" s="28"/>
      <c r="AF1622" s="28"/>
      <c r="AI1622" s="28"/>
      <c r="AL1622" s="28"/>
      <c r="AO1622" s="28"/>
      <c r="AR1622" s="28"/>
      <c r="AU1622" s="28"/>
      <c r="AX1622" s="28"/>
      <c r="BA1622" s="28"/>
      <c r="BD1622" s="28"/>
      <c r="BG1622" s="28"/>
      <c r="BJ1622" s="28"/>
      <c r="BM1622" s="28"/>
      <c r="BP1622" s="28"/>
      <c r="BS1622" s="28"/>
      <c r="BV1622" s="28"/>
      <c r="BY1622" s="28"/>
      <c r="CB1622" s="28"/>
      <c r="CE1622" s="28"/>
      <c r="CH1622" s="28"/>
      <c r="CK1622" s="28"/>
      <c r="CN1622" s="28"/>
      <c r="CQ1622" s="28"/>
      <c r="CT1622" s="28"/>
      <c r="CW1622" s="28"/>
      <c r="CZ1622" s="28"/>
      <c r="DC1622" s="28"/>
      <c r="DF1622" s="28"/>
      <c r="DI1622" s="28"/>
      <c r="DL1622" s="28"/>
      <c r="DO1622" s="28"/>
      <c r="DR1622" s="28"/>
      <c r="DU1622" s="28"/>
      <c r="DX1622" s="28"/>
      <c r="EA1622" s="28"/>
      <c r="ED1622" s="28"/>
      <c r="EG1622" s="28"/>
      <c r="EJ1622" s="28"/>
      <c r="EM1622" s="28"/>
      <c r="EP1622" s="28"/>
      <c r="ES1622" s="28"/>
      <c r="EV1622" s="28"/>
      <c r="EY1622" s="28"/>
      <c r="FB1622" s="28"/>
      <c r="FE1622" s="28"/>
      <c r="FH1622" s="28"/>
      <c r="FK1622" s="28"/>
      <c r="FN1622" s="28"/>
      <c r="FQ1622" s="28"/>
      <c r="FT1622" s="28"/>
      <c r="FW1622" s="28"/>
      <c r="FZ1622" s="28"/>
      <c r="GC1622" s="28"/>
    </row>
    <row r="1623" spans="1:185" s="25" customFormat="1" x14ac:dyDescent="0.3">
      <c r="A1623" s="27"/>
      <c r="B1623" s="28"/>
      <c r="C1623" s="27"/>
      <c r="D1623" s="26"/>
      <c r="E1623" s="28"/>
      <c r="H1623" s="28"/>
      <c r="K1623" s="28"/>
      <c r="N1623" s="28"/>
      <c r="Q1623" s="28"/>
      <c r="T1623" s="28"/>
      <c r="W1623" s="28"/>
      <c r="Z1623" s="28"/>
      <c r="AC1623" s="28"/>
      <c r="AF1623" s="28"/>
      <c r="AI1623" s="28"/>
      <c r="AL1623" s="28"/>
      <c r="AO1623" s="28"/>
      <c r="AR1623" s="28"/>
      <c r="AU1623" s="28"/>
      <c r="AX1623" s="28"/>
      <c r="BA1623" s="28"/>
      <c r="BD1623" s="28"/>
      <c r="BG1623" s="28"/>
      <c r="BJ1623" s="28"/>
      <c r="BM1623" s="28"/>
      <c r="BP1623" s="28"/>
      <c r="BS1623" s="28"/>
      <c r="BV1623" s="28"/>
      <c r="BY1623" s="28"/>
      <c r="CB1623" s="28"/>
      <c r="CE1623" s="28"/>
      <c r="CH1623" s="28"/>
      <c r="CK1623" s="28"/>
      <c r="CN1623" s="28"/>
      <c r="CQ1623" s="28"/>
      <c r="CT1623" s="28"/>
      <c r="CW1623" s="28"/>
      <c r="CZ1623" s="28"/>
      <c r="DC1623" s="28"/>
      <c r="DF1623" s="28"/>
      <c r="DI1623" s="28"/>
      <c r="DL1623" s="28"/>
      <c r="DO1623" s="28"/>
      <c r="DR1623" s="28"/>
      <c r="DU1623" s="28"/>
      <c r="DX1623" s="28"/>
      <c r="EA1623" s="28"/>
      <c r="ED1623" s="28"/>
      <c r="EG1623" s="28"/>
      <c r="EJ1623" s="28"/>
      <c r="EM1623" s="28"/>
      <c r="EP1623" s="28"/>
      <c r="ES1623" s="28"/>
      <c r="EV1623" s="28"/>
      <c r="EY1623" s="28"/>
      <c r="FB1623" s="28"/>
      <c r="FE1623" s="28"/>
      <c r="FH1623" s="28"/>
      <c r="FK1623" s="28"/>
      <c r="FN1623" s="28"/>
      <c r="FQ1623" s="28"/>
      <c r="FT1623" s="28"/>
      <c r="FW1623" s="28"/>
      <c r="FZ1623" s="28"/>
      <c r="GC1623" s="28"/>
    </row>
    <row r="1624" spans="1:185" s="25" customFormat="1" x14ac:dyDescent="0.3">
      <c r="A1624" s="27"/>
      <c r="B1624" s="28"/>
      <c r="C1624" s="27"/>
      <c r="D1624" s="26"/>
      <c r="E1624" s="28"/>
      <c r="H1624" s="28"/>
      <c r="K1624" s="28"/>
      <c r="N1624" s="28"/>
      <c r="Q1624" s="28"/>
      <c r="T1624" s="28"/>
      <c r="W1624" s="28"/>
      <c r="Z1624" s="28"/>
      <c r="AC1624" s="28"/>
      <c r="AF1624" s="28"/>
      <c r="AI1624" s="28"/>
      <c r="AL1624" s="28"/>
      <c r="AO1624" s="28"/>
      <c r="AR1624" s="28"/>
      <c r="AU1624" s="28"/>
      <c r="AX1624" s="28"/>
      <c r="BA1624" s="28"/>
      <c r="BD1624" s="28"/>
      <c r="BG1624" s="28"/>
      <c r="BJ1624" s="28"/>
      <c r="BM1624" s="28"/>
      <c r="BP1624" s="28"/>
      <c r="BS1624" s="28"/>
      <c r="BV1624" s="28"/>
      <c r="BY1624" s="28"/>
      <c r="CB1624" s="28"/>
      <c r="CE1624" s="28"/>
      <c r="CH1624" s="28"/>
      <c r="CK1624" s="28"/>
      <c r="CN1624" s="28"/>
      <c r="CQ1624" s="28"/>
      <c r="CT1624" s="28"/>
      <c r="CW1624" s="28"/>
      <c r="CZ1624" s="28"/>
      <c r="DC1624" s="28"/>
      <c r="DF1624" s="28"/>
      <c r="DI1624" s="28"/>
      <c r="DL1624" s="28"/>
      <c r="DO1624" s="28"/>
      <c r="DR1624" s="28"/>
      <c r="DU1624" s="28"/>
      <c r="DX1624" s="28"/>
      <c r="EA1624" s="28"/>
      <c r="ED1624" s="28"/>
      <c r="EG1624" s="28"/>
      <c r="EJ1624" s="28"/>
      <c r="EM1624" s="28"/>
      <c r="EP1624" s="28"/>
      <c r="ES1624" s="28"/>
      <c r="EV1624" s="28"/>
      <c r="EY1624" s="28"/>
      <c r="FB1624" s="28"/>
      <c r="FE1624" s="28"/>
      <c r="FH1624" s="28"/>
      <c r="FK1624" s="28"/>
      <c r="FN1624" s="28"/>
      <c r="FQ1624" s="28"/>
      <c r="FT1624" s="28"/>
      <c r="FW1624" s="28"/>
      <c r="FZ1624" s="28"/>
      <c r="GC1624" s="28"/>
    </row>
    <row r="1625" spans="1:185" s="25" customFormat="1" x14ac:dyDescent="0.3">
      <c r="A1625" s="27"/>
      <c r="B1625" s="28"/>
      <c r="C1625" s="27"/>
      <c r="D1625" s="26"/>
      <c r="E1625" s="28"/>
      <c r="H1625" s="28"/>
      <c r="K1625" s="28"/>
      <c r="N1625" s="28"/>
      <c r="Q1625" s="28"/>
      <c r="T1625" s="28"/>
      <c r="W1625" s="28"/>
      <c r="Z1625" s="28"/>
      <c r="AC1625" s="28"/>
      <c r="AF1625" s="28"/>
      <c r="AI1625" s="28"/>
      <c r="AL1625" s="28"/>
      <c r="AO1625" s="28"/>
      <c r="AR1625" s="28"/>
      <c r="AU1625" s="28"/>
      <c r="AX1625" s="28"/>
      <c r="BA1625" s="28"/>
      <c r="BD1625" s="28"/>
      <c r="BG1625" s="28"/>
      <c r="BJ1625" s="28"/>
      <c r="BM1625" s="28"/>
      <c r="BP1625" s="28"/>
      <c r="BS1625" s="28"/>
      <c r="BV1625" s="28"/>
      <c r="BY1625" s="28"/>
      <c r="CB1625" s="28"/>
      <c r="CE1625" s="28"/>
      <c r="CH1625" s="28"/>
      <c r="CK1625" s="28"/>
      <c r="CN1625" s="28"/>
      <c r="CQ1625" s="28"/>
      <c r="CT1625" s="28"/>
      <c r="CW1625" s="28"/>
      <c r="CZ1625" s="28"/>
      <c r="DC1625" s="28"/>
      <c r="DF1625" s="28"/>
      <c r="DI1625" s="28"/>
      <c r="DL1625" s="28"/>
      <c r="DO1625" s="28"/>
      <c r="DR1625" s="28"/>
      <c r="DU1625" s="28"/>
      <c r="DX1625" s="28"/>
      <c r="EA1625" s="28"/>
      <c r="ED1625" s="28"/>
      <c r="EG1625" s="28"/>
      <c r="EJ1625" s="28"/>
      <c r="EM1625" s="28"/>
      <c r="EP1625" s="28"/>
      <c r="ES1625" s="28"/>
      <c r="EV1625" s="28"/>
      <c r="EY1625" s="28"/>
      <c r="FB1625" s="28"/>
      <c r="FE1625" s="28"/>
      <c r="FH1625" s="28"/>
      <c r="FK1625" s="28"/>
      <c r="FN1625" s="28"/>
      <c r="FQ1625" s="28"/>
      <c r="FT1625" s="28"/>
      <c r="FW1625" s="28"/>
      <c r="FZ1625" s="28"/>
      <c r="GC1625" s="28"/>
    </row>
    <row r="1626" spans="1:185" s="25" customFormat="1" x14ac:dyDescent="0.3">
      <c r="A1626" s="27"/>
      <c r="B1626" s="28"/>
      <c r="C1626" s="27"/>
      <c r="D1626" s="26"/>
      <c r="E1626" s="28"/>
      <c r="H1626" s="28"/>
      <c r="K1626" s="28"/>
      <c r="N1626" s="28"/>
      <c r="Q1626" s="28"/>
      <c r="T1626" s="28"/>
      <c r="W1626" s="28"/>
      <c r="Z1626" s="28"/>
      <c r="AC1626" s="28"/>
      <c r="AF1626" s="28"/>
      <c r="AI1626" s="28"/>
      <c r="AL1626" s="28"/>
      <c r="AO1626" s="28"/>
      <c r="AR1626" s="28"/>
      <c r="AU1626" s="28"/>
      <c r="AX1626" s="28"/>
      <c r="BA1626" s="28"/>
      <c r="BD1626" s="28"/>
      <c r="BG1626" s="28"/>
      <c r="BJ1626" s="28"/>
      <c r="BM1626" s="28"/>
      <c r="BP1626" s="28"/>
      <c r="BS1626" s="28"/>
      <c r="BV1626" s="28"/>
      <c r="BY1626" s="28"/>
      <c r="CB1626" s="28"/>
      <c r="CE1626" s="28"/>
      <c r="CH1626" s="28"/>
      <c r="CK1626" s="28"/>
      <c r="CN1626" s="28"/>
      <c r="CQ1626" s="28"/>
      <c r="CT1626" s="28"/>
      <c r="CW1626" s="28"/>
      <c r="CZ1626" s="28"/>
      <c r="DC1626" s="28"/>
      <c r="DF1626" s="28"/>
      <c r="DI1626" s="28"/>
      <c r="DL1626" s="28"/>
      <c r="DO1626" s="28"/>
      <c r="DR1626" s="28"/>
      <c r="DU1626" s="28"/>
      <c r="DX1626" s="28"/>
      <c r="EA1626" s="28"/>
      <c r="ED1626" s="28"/>
      <c r="EG1626" s="28"/>
      <c r="EJ1626" s="28"/>
      <c r="EM1626" s="28"/>
      <c r="EP1626" s="28"/>
      <c r="ES1626" s="28"/>
      <c r="EV1626" s="28"/>
      <c r="EY1626" s="28"/>
      <c r="FB1626" s="28"/>
      <c r="FE1626" s="28"/>
      <c r="FH1626" s="28"/>
      <c r="FK1626" s="28"/>
      <c r="FN1626" s="28"/>
      <c r="FQ1626" s="28"/>
      <c r="FT1626" s="28"/>
      <c r="FW1626" s="28"/>
      <c r="FZ1626" s="28"/>
      <c r="GC1626" s="28"/>
    </row>
    <row r="1627" spans="1:185" s="25" customFormat="1" x14ac:dyDescent="0.3">
      <c r="A1627" s="27"/>
      <c r="B1627" s="28"/>
      <c r="C1627" s="27"/>
      <c r="D1627" s="26"/>
      <c r="E1627" s="28"/>
      <c r="H1627" s="28"/>
      <c r="K1627" s="28"/>
      <c r="N1627" s="28"/>
      <c r="Q1627" s="28"/>
      <c r="T1627" s="28"/>
      <c r="W1627" s="28"/>
      <c r="Z1627" s="28"/>
      <c r="AC1627" s="28"/>
      <c r="AF1627" s="28"/>
      <c r="AI1627" s="28"/>
      <c r="AL1627" s="28"/>
      <c r="AO1627" s="28"/>
      <c r="AR1627" s="28"/>
      <c r="AU1627" s="28"/>
      <c r="AX1627" s="28"/>
      <c r="BA1627" s="28"/>
      <c r="BD1627" s="28"/>
      <c r="BG1627" s="28"/>
      <c r="BJ1627" s="28"/>
      <c r="BM1627" s="28"/>
      <c r="BP1627" s="28"/>
      <c r="BS1627" s="28"/>
      <c r="BV1627" s="28"/>
      <c r="BY1627" s="28"/>
      <c r="CB1627" s="28"/>
      <c r="CE1627" s="28"/>
      <c r="CH1627" s="28"/>
      <c r="CK1627" s="28"/>
      <c r="CN1627" s="28"/>
      <c r="CQ1627" s="28"/>
      <c r="CT1627" s="28"/>
      <c r="CW1627" s="28"/>
      <c r="CZ1627" s="28"/>
      <c r="DC1627" s="28"/>
      <c r="DF1627" s="28"/>
      <c r="DI1627" s="28"/>
      <c r="DL1627" s="28"/>
      <c r="DO1627" s="28"/>
      <c r="DR1627" s="28"/>
      <c r="DU1627" s="28"/>
      <c r="DX1627" s="28"/>
      <c r="EA1627" s="28"/>
      <c r="ED1627" s="28"/>
      <c r="EG1627" s="28"/>
      <c r="EJ1627" s="28"/>
      <c r="EM1627" s="28"/>
      <c r="EP1627" s="28"/>
      <c r="ES1627" s="28"/>
      <c r="EV1627" s="28"/>
      <c r="EY1627" s="28"/>
      <c r="FB1627" s="28"/>
      <c r="FE1627" s="28"/>
      <c r="FH1627" s="28"/>
      <c r="FK1627" s="28"/>
      <c r="FN1627" s="28"/>
      <c r="FQ1627" s="28"/>
      <c r="FT1627" s="28"/>
      <c r="FW1627" s="28"/>
      <c r="FZ1627" s="28"/>
      <c r="GC1627" s="28"/>
    </row>
    <row r="1628" spans="1:185" s="25" customFormat="1" x14ac:dyDescent="0.3">
      <c r="A1628" s="27"/>
      <c r="B1628" s="28"/>
      <c r="C1628" s="27"/>
      <c r="D1628" s="26"/>
      <c r="E1628" s="28"/>
      <c r="H1628" s="28"/>
      <c r="K1628" s="28"/>
      <c r="N1628" s="28"/>
      <c r="Q1628" s="28"/>
      <c r="T1628" s="28"/>
      <c r="W1628" s="28"/>
      <c r="Z1628" s="28"/>
      <c r="AC1628" s="28"/>
      <c r="AF1628" s="28"/>
      <c r="AI1628" s="28"/>
      <c r="AL1628" s="28"/>
      <c r="AO1628" s="28"/>
      <c r="AR1628" s="28"/>
      <c r="AU1628" s="28"/>
      <c r="AX1628" s="28"/>
      <c r="BA1628" s="28"/>
      <c r="BD1628" s="28"/>
      <c r="BG1628" s="28"/>
      <c r="BJ1628" s="28"/>
      <c r="BM1628" s="28"/>
      <c r="BP1628" s="28"/>
      <c r="BS1628" s="28"/>
      <c r="BV1628" s="28"/>
      <c r="BY1628" s="28"/>
      <c r="CB1628" s="28"/>
      <c r="CE1628" s="28"/>
      <c r="CH1628" s="28"/>
      <c r="CK1628" s="28"/>
      <c r="CN1628" s="28"/>
      <c r="CQ1628" s="28"/>
      <c r="CT1628" s="28"/>
      <c r="CW1628" s="28"/>
      <c r="CZ1628" s="28"/>
      <c r="DC1628" s="28"/>
      <c r="DF1628" s="28"/>
      <c r="DI1628" s="28"/>
      <c r="DL1628" s="28"/>
      <c r="DO1628" s="28"/>
      <c r="DR1628" s="28"/>
      <c r="DU1628" s="28"/>
      <c r="DX1628" s="28"/>
      <c r="EA1628" s="28"/>
      <c r="ED1628" s="28"/>
      <c r="EG1628" s="28"/>
      <c r="EJ1628" s="28"/>
      <c r="EM1628" s="28"/>
      <c r="EP1628" s="28"/>
      <c r="ES1628" s="28"/>
      <c r="EV1628" s="28"/>
      <c r="EY1628" s="28"/>
      <c r="FB1628" s="28"/>
      <c r="FE1628" s="28"/>
      <c r="FH1628" s="28"/>
      <c r="FK1628" s="28"/>
      <c r="FN1628" s="28"/>
      <c r="FQ1628" s="28"/>
      <c r="FT1628" s="28"/>
      <c r="FW1628" s="28"/>
      <c r="FZ1628" s="28"/>
      <c r="GC1628" s="28"/>
    </row>
    <row r="1629" spans="1:185" s="25" customFormat="1" x14ac:dyDescent="0.3">
      <c r="A1629" s="27"/>
      <c r="B1629" s="28"/>
      <c r="C1629" s="27"/>
      <c r="D1629" s="26"/>
      <c r="E1629" s="28"/>
      <c r="H1629" s="28"/>
      <c r="K1629" s="28"/>
      <c r="N1629" s="28"/>
      <c r="Q1629" s="28"/>
      <c r="T1629" s="28"/>
      <c r="W1629" s="28"/>
      <c r="Z1629" s="28"/>
      <c r="AC1629" s="28"/>
      <c r="AF1629" s="28"/>
      <c r="AI1629" s="28"/>
      <c r="AL1629" s="28"/>
      <c r="AO1629" s="28"/>
      <c r="AR1629" s="28"/>
      <c r="AU1629" s="28"/>
      <c r="AX1629" s="28"/>
      <c r="BA1629" s="28"/>
      <c r="BD1629" s="28"/>
      <c r="BG1629" s="28"/>
      <c r="BJ1629" s="28"/>
      <c r="BM1629" s="28"/>
      <c r="BP1629" s="28"/>
      <c r="BS1629" s="28"/>
      <c r="BV1629" s="28"/>
      <c r="BY1629" s="28"/>
      <c r="CB1629" s="28"/>
      <c r="CE1629" s="28"/>
      <c r="CH1629" s="28"/>
      <c r="CK1629" s="28"/>
      <c r="CN1629" s="28"/>
      <c r="CQ1629" s="28"/>
      <c r="CT1629" s="28"/>
      <c r="CW1629" s="28"/>
      <c r="CZ1629" s="28"/>
      <c r="DC1629" s="28"/>
      <c r="DF1629" s="28"/>
      <c r="DI1629" s="28"/>
      <c r="DL1629" s="28"/>
      <c r="DO1629" s="28"/>
      <c r="DR1629" s="28"/>
      <c r="DU1629" s="28"/>
      <c r="DX1629" s="28"/>
      <c r="EA1629" s="28"/>
      <c r="ED1629" s="28"/>
      <c r="EG1629" s="28"/>
      <c r="EJ1629" s="28"/>
      <c r="EM1629" s="28"/>
      <c r="EP1629" s="28"/>
      <c r="ES1629" s="28"/>
      <c r="EV1629" s="28"/>
      <c r="EY1629" s="28"/>
      <c r="FB1629" s="28"/>
      <c r="FE1629" s="28"/>
      <c r="FH1629" s="28"/>
      <c r="FK1629" s="28"/>
      <c r="FN1629" s="28"/>
      <c r="FQ1629" s="28"/>
      <c r="FT1629" s="28"/>
      <c r="FW1629" s="28"/>
      <c r="FZ1629" s="28"/>
      <c r="GC1629" s="28"/>
    </row>
    <row r="1630" spans="1:185" s="25" customFormat="1" x14ac:dyDescent="0.3">
      <c r="A1630" s="27"/>
      <c r="B1630" s="28"/>
      <c r="C1630" s="27"/>
      <c r="D1630" s="26"/>
      <c r="E1630" s="28"/>
      <c r="H1630" s="28"/>
      <c r="K1630" s="28"/>
      <c r="N1630" s="28"/>
      <c r="Q1630" s="28"/>
      <c r="T1630" s="28"/>
      <c r="W1630" s="28"/>
      <c r="Z1630" s="28"/>
      <c r="AC1630" s="28"/>
      <c r="AF1630" s="28"/>
      <c r="AI1630" s="28"/>
      <c r="AL1630" s="28"/>
      <c r="AO1630" s="28"/>
      <c r="AR1630" s="28"/>
      <c r="AU1630" s="28"/>
      <c r="AX1630" s="28"/>
      <c r="BA1630" s="28"/>
      <c r="BD1630" s="28"/>
      <c r="BG1630" s="28"/>
      <c r="BJ1630" s="28"/>
      <c r="BM1630" s="28"/>
      <c r="BP1630" s="28"/>
      <c r="BS1630" s="28"/>
      <c r="BV1630" s="28"/>
      <c r="BY1630" s="28"/>
      <c r="CB1630" s="28"/>
      <c r="CE1630" s="28"/>
      <c r="CH1630" s="28"/>
      <c r="CK1630" s="28"/>
      <c r="CN1630" s="28"/>
      <c r="CQ1630" s="28"/>
      <c r="CT1630" s="28"/>
      <c r="CW1630" s="28"/>
      <c r="CZ1630" s="28"/>
      <c r="DC1630" s="28"/>
      <c r="DF1630" s="28"/>
      <c r="DI1630" s="28"/>
      <c r="DL1630" s="28"/>
      <c r="DO1630" s="28"/>
      <c r="DR1630" s="28"/>
      <c r="DU1630" s="28"/>
      <c r="DX1630" s="28"/>
      <c r="EA1630" s="28"/>
      <c r="ED1630" s="28"/>
      <c r="EG1630" s="28"/>
      <c r="EJ1630" s="28"/>
      <c r="EM1630" s="28"/>
      <c r="EP1630" s="28"/>
      <c r="ES1630" s="28"/>
      <c r="EV1630" s="28"/>
      <c r="EY1630" s="28"/>
      <c r="FB1630" s="28"/>
      <c r="FE1630" s="28"/>
      <c r="FH1630" s="28"/>
      <c r="FK1630" s="28"/>
      <c r="FN1630" s="28"/>
      <c r="FQ1630" s="28"/>
      <c r="FT1630" s="28"/>
      <c r="FW1630" s="28"/>
      <c r="FZ1630" s="28"/>
      <c r="GC1630" s="28"/>
    </row>
    <row r="1631" spans="1:185" s="25" customFormat="1" x14ac:dyDescent="0.3">
      <c r="A1631" s="27"/>
      <c r="B1631" s="28"/>
      <c r="C1631" s="27"/>
      <c r="D1631" s="26"/>
      <c r="E1631" s="28"/>
      <c r="H1631" s="28"/>
      <c r="K1631" s="28"/>
      <c r="N1631" s="28"/>
      <c r="Q1631" s="28"/>
      <c r="T1631" s="28"/>
      <c r="W1631" s="28"/>
      <c r="Z1631" s="28"/>
      <c r="AC1631" s="28"/>
      <c r="AF1631" s="28"/>
      <c r="AI1631" s="28"/>
      <c r="AL1631" s="28"/>
      <c r="AO1631" s="28"/>
      <c r="AR1631" s="28"/>
      <c r="AU1631" s="28"/>
      <c r="AX1631" s="28"/>
      <c r="BA1631" s="28"/>
      <c r="BD1631" s="28"/>
      <c r="BG1631" s="28"/>
      <c r="BJ1631" s="28"/>
      <c r="BM1631" s="28"/>
      <c r="BP1631" s="28"/>
      <c r="BS1631" s="28"/>
      <c r="BV1631" s="28"/>
      <c r="BY1631" s="28"/>
      <c r="CB1631" s="28"/>
      <c r="CE1631" s="28"/>
      <c r="CH1631" s="28"/>
      <c r="CK1631" s="28"/>
      <c r="CN1631" s="28"/>
      <c r="CQ1631" s="28"/>
      <c r="CT1631" s="28"/>
      <c r="CW1631" s="28"/>
      <c r="CZ1631" s="28"/>
      <c r="DC1631" s="28"/>
      <c r="DF1631" s="28"/>
      <c r="DI1631" s="28"/>
      <c r="DL1631" s="28"/>
      <c r="DO1631" s="28"/>
      <c r="DR1631" s="28"/>
      <c r="DU1631" s="28"/>
      <c r="DX1631" s="28"/>
      <c r="EA1631" s="28"/>
      <c r="ED1631" s="28"/>
      <c r="EG1631" s="28"/>
      <c r="EJ1631" s="28"/>
      <c r="EM1631" s="28"/>
      <c r="EP1631" s="28"/>
      <c r="ES1631" s="28"/>
      <c r="EV1631" s="28"/>
      <c r="EY1631" s="28"/>
      <c r="FB1631" s="28"/>
      <c r="FE1631" s="28"/>
      <c r="FH1631" s="28"/>
      <c r="FK1631" s="28"/>
      <c r="FN1631" s="28"/>
      <c r="FQ1631" s="28"/>
      <c r="FT1631" s="28"/>
      <c r="FW1631" s="28"/>
      <c r="FZ1631" s="28"/>
      <c r="GC1631" s="28"/>
    </row>
    <row r="1632" spans="1:185" s="25" customFormat="1" x14ac:dyDescent="0.3">
      <c r="A1632" s="27"/>
      <c r="B1632" s="28"/>
      <c r="C1632" s="27"/>
      <c r="D1632" s="26"/>
      <c r="E1632" s="28"/>
      <c r="H1632" s="28"/>
      <c r="K1632" s="28"/>
      <c r="N1632" s="28"/>
      <c r="Q1632" s="28"/>
      <c r="T1632" s="28"/>
      <c r="W1632" s="28"/>
      <c r="Z1632" s="28"/>
      <c r="AC1632" s="28"/>
      <c r="AF1632" s="28"/>
      <c r="AI1632" s="28"/>
      <c r="AL1632" s="28"/>
      <c r="AO1632" s="28"/>
      <c r="AR1632" s="28"/>
      <c r="AU1632" s="28"/>
      <c r="AX1632" s="28"/>
      <c r="BA1632" s="28"/>
      <c r="BD1632" s="28"/>
      <c r="BG1632" s="28"/>
      <c r="BJ1632" s="28"/>
      <c r="BM1632" s="28"/>
      <c r="BP1632" s="28"/>
      <c r="BS1632" s="28"/>
      <c r="BV1632" s="28"/>
      <c r="BY1632" s="28"/>
      <c r="CB1632" s="28"/>
      <c r="CE1632" s="28"/>
      <c r="CH1632" s="28"/>
      <c r="CK1632" s="28"/>
      <c r="CN1632" s="28"/>
      <c r="CQ1632" s="28"/>
      <c r="CT1632" s="28"/>
      <c r="CW1632" s="28"/>
      <c r="CZ1632" s="28"/>
      <c r="DC1632" s="28"/>
      <c r="DF1632" s="28"/>
      <c r="DI1632" s="28"/>
      <c r="DL1632" s="28"/>
      <c r="DO1632" s="28"/>
      <c r="DR1632" s="28"/>
      <c r="DU1632" s="28"/>
      <c r="DX1632" s="28"/>
      <c r="EA1632" s="28"/>
      <c r="ED1632" s="28"/>
      <c r="EG1632" s="28"/>
      <c r="EJ1632" s="28"/>
      <c r="EM1632" s="28"/>
      <c r="EP1632" s="28"/>
      <c r="ES1632" s="28"/>
      <c r="EV1632" s="28"/>
      <c r="EY1632" s="28"/>
      <c r="FB1632" s="28"/>
      <c r="FE1632" s="28"/>
      <c r="FH1632" s="28"/>
      <c r="FK1632" s="28"/>
      <c r="FN1632" s="28"/>
      <c r="FQ1632" s="28"/>
      <c r="FT1632" s="28"/>
      <c r="FW1632" s="28"/>
      <c r="FZ1632" s="28"/>
      <c r="GC1632" s="28"/>
    </row>
    <row r="1633" spans="1:185" s="25" customFormat="1" x14ac:dyDescent="0.3">
      <c r="A1633" s="27"/>
      <c r="B1633" s="28"/>
      <c r="C1633" s="27"/>
      <c r="D1633" s="26"/>
      <c r="E1633" s="28"/>
      <c r="H1633" s="28"/>
      <c r="K1633" s="28"/>
      <c r="N1633" s="28"/>
      <c r="Q1633" s="28"/>
      <c r="T1633" s="28"/>
      <c r="W1633" s="28"/>
      <c r="Z1633" s="28"/>
      <c r="AC1633" s="28"/>
      <c r="AF1633" s="28"/>
      <c r="AI1633" s="28"/>
      <c r="AL1633" s="28"/>
      <c r="AO1633" s="28"/>
      <c r="AR1633" s="28"/>
      <c r="AU1633" s="28"/>
      <c r="AX1633" s="28"/>
      <c r="BA1633" s="28"/>
      <c r="BD1633" s="28"/>
      <c r="BG1633" s="28"/>
      <c r="BJ1633" s="28"/>
      <c r="BM1633" s="28"/>
      <c r="BP1633" s="28"/>
      <c r="BS1633" s="28"/>
      <c r="BV1633" s="28"/>
      <c r="BY1633" s="28"/>
      <c r="CB1633" s="28"/>
      <c r="CE1633" s="28"/>
      <c r="CH1633" s="28"/>
      <c r="CK1633" s="28"/>
      <c r="CN1633" s="28"/>
      <c r="CQ1633" s="28"/>
      <c r="CT1633" s="28"/>
      <c r="CW1633" s="28"/>
      <c r="CZ1633" s="28"/>
      <c r="DC1633" s="28"/>
      <c r="DF1633" s="28"/>
      <c r="DI1633" s="28"/>
      <c r="DL1633" s="28"/>
      <c r="DO1633" s="28"/>
      <c r="DR1633" s="28"/>
      <c r="DU1633" s="28"/>
      <c r="DX1633" s="28"/>
      <c r="EA1633" s="28"/>
      <c r="ED1633" s="28"/>
      <c r="EG1633" s="28"/>
      <c r="EJ1633" s="28"/>
      <c r="EM1633" s="28"/>
      <c r="EP1633" s="28"/>
      <c r="ES1633" s="28"/>
      <c r="EV1633" s="28"/>
      <c r="EY1633" s="28"/>
      <c r="FB1633" s="28"/>
      <c r="FE1633" s="28"/>
      <c r="FH1633" s="28"/>
      <c r="FK1633" s="28"/>
      <c r="FN1633" s="28"/>
      <c r="FQ1633" s="28"/>
      <c r="FT1633" s="28"/>
      <c r="FW1633" s="28"/>
      <c r="FZ1633" s="28"/>
      <c r="GC1633" s="28"/>
    </row>
    <row r="1634" spans="1:185" s="25" customFormat="1" x14ac:dyDescent="0.3">
      <c r="A1634" s="27"/>
      <c r="B1634" s="28"/>
      <c r="C1634" s="27"/>
      <c r="D1634" s="26"/>
      <c r="E1634" s="28"/>
      <c r="H1634" s="28"/>
      <c r="K1634" s="28"/>
      <c r="N1634" s="28"/>
      <c r="Q1634" s="28"/>
      <c r="T1634" s="28"/>
      <c r="W1634" s="28"/>
      <c r="Z1634" s="28"/>
      <c r="AC1634" s="28"/>
      <c r="AF1634" s="28"/>
      <c r="AI1634" s="28"/>
      <c r="AL1634" s="28"/>
      <c r="AO1634" s="28"/>
      <c r="AR1634" s="28"/>
      <c r="AU1634" s="28"/>
      <c r="AX1634" s="28"/>
      <c r="BA1634" s="28"/>
      <c r="BD1634" s="28"/>
      <c r="BG1634" s="28"/>
      <c r="BJ1634" s="28"/>
      <c r="BM1634" s="28"/>
      <c r="BP1634" s="28"/>
      <c r="BS1634" s="28"/>
      <c r="BV1634" s="28"/>
      <c r="BY1634" s="28"/>
      <c r="CB1634" s="28"/>
      <c r="CE1634" s="28"/>
      <c r="CH1634" s="28"/>
      <c r="CK1634" s="28"/>
      <c r="CN1634" s="28"/>
      <c r="CQ1634" s="28"/>
      <c r="CT1634" s="28"/>
      <c r="CW1634" s="28"/>
      <c r="CZ1634" s="28"/>
      <c r="DC1634" s="28"/>
      <c r="DF1634" s="28"/>
      <c r="DI1634" s="28"/>
      <c r="DL1634" s="28"/>
      <c r="DO1634" s="28"/>
      <c r="DR1634" s="28"/>
      <c r="DU1634" s="28"/>
      <c r="DX1634" s="28"/>
      <c r="EA1634" s="28"/>
      <c r="ED1634" s="28"/>
      <c r="EG1634" s="28"/>
      <c r="EJ1634" s="28"/>
      <c r="EM1634" s="28"/>
      <c r="EP1634" s="28"/>
      <c r="ES1634" s="28"/>
      <c r="EV1634" s="28"/>
      <c r="EY1634" s="28"/>
      <c r="FB1634" s="28"/>
      <c r="FE1634" s="28"/>
      <c r="FH1634" s="28"/>
      <c r="FK1634" s="28"/>
      <c r="FN1634" s="28"/>
      <c r="FQ1634" s="28"/>
      <c r="FT1634" s="28"/>
      <c r="FW1634" s="28"/>
      <c r="FZ1634" s="28"/>
      <c r="GC1634" s="28"/>
    </row>
    <row r="1635" spans="1:185" s="25" customFormat="1" x14ac:dyDescent="0.3">
      <c r="A1635" s="27"/>
      <c r="B1635" s="28"/>
      <c r="C1635" s="27"/>
      <c r="D1635" s="26"/>
      <c r="E1635" s="28"/>
      <c r="H1635" s="28"/>
      <c r="K1635" s="28"/>
      <c r="N1635" s="28"/>
      <c r="Q1635" s="28"/>
      <c r="T1635" s="28"/>
      <c r="W1635" s="28"/>
      <c r="Z1635" s="28"/>
      <c r="AC1635" s="28"/>
      <c r="AF1635" s="28"/>
      <c r="AI1635" s="28"/>
      <c r="AL1635" s="28"/>
      <c r="AO1635" s="28"/>
      <c r="AR1635" s="28"/>
      <c r="AU1635" s="28"/>
      <c r="AX1635" s="28"/>
      <c r="BA1635" s="28"/>
      <c r="BD1635" s="28"/>
      <c r="BG1635" s="28"/>
      <c r="BJ1635" s="28"/>
      <c r="BM1635" s="28"/>
      <c r="BP1635" s="28"/>
      <c r="BS1635" s="28"/>
      <c r="BV1635" s="28"/>
      <c r="BY1635" s="28"/>
      <c r="CB1635" s="28"/>
      <c r="CE1635" s="28"/>
      <c r="CH1635" s="28"/>
      <c r="CK1635" s="28"/>
      <c r="CN1635" s="28"/>
      <c r="CQ1635" s="28"/>
      <c r="CT1635" s="28"/>
      <c r="CW1635" s="28"/>
      <c r="CZ1635" s="28"/>
      <c r="DC1635" s="28"/>
      <c r="DF1635" s="28"/>
      <c r="DI1635" s="28"/>
      <c r="DL1635" s="28"/>
      <c r="DO1635" s="28"/>
      <c r="DR1635" s="28"/>
      <c r="DU1635" s="28"/>
      <c r="DX1635" s="28"/>
      <c r="EA1635" s="28"/>
      <c r="ED1635" s="28"/>
      <c r="EG1635" s="28"/>
      <c r="EJ1635" s="28"/>
      <c r="EM1635" s="28"/>
      <c r="EP1635" s="28"/>
      <c r="ES1635" s="28"/>
      <c r="EV1635" s="28"/>
      <c r="EY1635" s="28"/>
      <c r="FB1635" s="28"/>
      <c r="FE1635" s="28"/>
      <c r="FH1635" s="28"/>
      <c r="FK1635" s="28"/>
      <c r="FN1635" s="28"/>
      <c r="FQ1635" s="28"/>
      <c r="FT1635" s="28"/>
      <c r="FW1635" s="28"/>
      <c r="FZ1635" s="28"/>
      <c r="GC1635" s="28"/>
    </row>
    <row r="1636" spans="1:185" s="25" customFormat="1" x14ac:dyDescent="0.3">
      <c r="A1636" s="27"/>
      <c r="B1636" s="28"/>
      <c r="C1636" s="27"/>
      <c r="D1636" s="26"/>
      <c r="E1636" s="28"/>
      <c r="H1636" s="28"/>
      <c r="K1636" s="28"/>
      <c r="N1636" s="28"/>
      <c r="Q1636" s="28"/>
      <c r="T1636" s="28"/>
      <c r="W1636" s="28"/>
      <c r="Z1636" s="28"/>
      <c r="AC1636" s="28"/>
      <c r="AF1636" s="28"/>
      <c r="AI1636" s="28"/>
      <c r="AL1636" s="28"/>
      <c r="AO1636" s="28"/>
      <c r="AR1636" s="28"/>
      <c r="AU1636" s="28"/>
      <c r="AX1636" s="28"/>
      <c r="BA1636" s="28"/>
      <c r="BD1636" s="28"/>
      <c r="BG1636" s="28"/>
      <c r="BJ1636" s="28"/>
      <c r="BM1636" s="28"/>
      <c r="BP1636" s="28"/>
      <c r="BS1636" s="28"/>
      <c r="BV1636" s="28"/>
      <c r="BY1636" s="28"/>
      <c r="CB1636" s="28"/>
      <c r="CE1636" s="28"/>
      <c r="CH1636" s="28"/>
      <c r="CK1636" s="28"/>
      <c r="CN1636" s="28"/>
      <c r="CQ1636" s="28"/>
      <c r="CT1636" s="28"/>
      <c r="CW1636" s="28"/>
      <c r="CZ1636" s="28"/>
      <c r="DC1636" s="28"/>
      <c r="DF1636" s="28"/>
      <c r="DI1636" s="28"/>
      <c r="DL1636" s="28"/>
      <c r="DO1636" s="28"/>
      <c r="DR1636" s="28"/>
      <c r="DU1636" s="28"/>
      <c r="DX1636" s="28"/>
      <c r="EA1636" s="28"/>
      <c r="ED1636" s="28"/>
      <c r="EG1636" s="28"/>
      <c r="EJ1636" s="28"/>
      <c r="EM1636" s="28"/>
      <c r="EP1636" s="28"/>
      <c r="ES1636" s="28"/>
      <c r="EV1636" s="28"/>
      <c r="EY1636" s="28"/>
      <c r="FB1636" s="28"/>
      <c r="FE1636" s="28"/>
      <c r="FH1636" s="28"/>
      <c r="FK1636" s="28"/>
      <c r="FN1636" s="28"/>
      <c r="FQ1636" s="28"/>
      <c r="FT1636" s="28"/>
      <c r="FW1636" s="28"/>
      <c r="FZ1636" s="28"/>
      <c r="GC1636" s="28"/>
    </row>
    <row r="1637" spans="1:185" s="25" customFormat="1" x14ac:dyDescent="0.3">
      <c r="A1637" s="27"/>
      <c r="B1637" s="28"/>
      <c r="C1637" s="27"/>
      <c r="D1637" s="26"/>
      <c r="E1637" s="28"/>
      <c r="H1637" s="28"/>
      <c r="K1637" s="28"/>
      <c r="N1637" s="28"/>
      <c r="Q1637" s="28"/>
      <c r="T1637" s="28"/>
      <c r="W1637" s="28"/>
      <c r="Z1637" s="28"/>
      <c r="AC1637" s="28"/>
      <c r="AF1637" s="28"/>
      <c r="AI1637" s="28"/>
      <c r="AL1637" s="28"/>
      <c r="AO1637" s="28"/>
      <c r="AR1637" s="28"/>
      <c r="AU1637" s="28"/>
      <c r="AX1637" s="28"/>
      <c r="BA1637" s="28"/>
      <c r="BD1637" s="28"/>
      <c r="BG1637" s="28"/>
      <c r="BJ1637" s="28"/>
      <c r="BM1637" s="28"/>
      <c r="BP1637" s="28"/>
      <c r="BS1637" s="28"/>
      <c r="BV1637" s="28"/>
      <c r="BY1637" s="28"/>
      <c r="CB1637" s="28"/>
      <c r="CE1637" s="28"/>
      <c r="CH1637" s="28"/>
      <c r="CK1637" s="28"/>
      <c r="CN1637" s="28"/>
      <c r="CQ1637" s="28"/>
      <c r="CT1637" s="28"/>
      <c r="CW1637" s="28"/>
      <c r="CZ1637" s="28"/>
      <c r="DC1637" s="28"/>
      <c r="DF1637" s="28"/>
      <c r="DI1637" s="28"/>
      <c r="DL1637" s="28"/>
      <c r="DO1637" s="28"/>
      <c r="DR1637" s="28"/>
      <c r="DU1637" s="28"/>
      <c r="DX1637" s="28"/>
      <c r="EA1637" s="28"/>
      <c r="ED1637" s="28"/>
      <c r="EG1637" s="28"/>
      <c r="EJ1637" s="28"/>
      <c r="EM1637" s="28"/>
      <c r="EP1637" s="28"/>
      <c r="ES1637" s="28"/>
      <c r="EV1637" s="28"/>
      <c r="EY1637" s="28"/>
      <c r="FB1637" s="28"/>
      <c r="FE1637" s="28"/>
      <c r="FH1637" s="28"/>
      <c r="FK1637" s="28"/>
      <c r="FN1637" s="28"/>
      <c r="FQ1637" s="28"/>
      <c r="FT1637" s="28"/>
      <c r="FW1637" s="28"/>
      <c r="FZ1637" s="28"/>
      <c r="GC1637" s="28"/>
    </row>
    <row r="1638" spans="1:185" s="25" customFormat="1" x14ac:dyDescent="0.3">
      <c r="A1638" s="27"/>
      <c r="B1638" s="28"/>
      <c r="C1638" s="27"/>
      <c r="D1638" s="26"/>
      <c r="E1638" s="28"/>
      <c r="H1638" s="28"/>
      <c r="K1638" s="28"/>
      <c r="N1638" s="28"/>
      <c r="Q1638" s="28"/>
      <c r="T1638" s="28"/>
      <c r="W1638" s="28"/>
      <c r="Z1638" s="28"/>
      <c r="AC1638" s="28"/>
      <c r="AF1638" s="28"/>
      <c r="AI1638" s="28"/>
      <c r="AL1638" s="28"/>
      <c r="AO1638" s="28"/>
      <c r="AR1638" s="28"/>
      <c r="AU1638" s="28"/>
      <c r="AX1638" s="28"/>
      <c r="BA1638" s="28"/>
      <c r="BD1638" s="28"/>
      <c r="BG1638" s="28"/>
      <c r="BJ1638" s="28"/>
      <c r="BM1638" s="28"/>
      <c r="BP1638" s="28"/>
      <c r="BS1638" s="28"/>
      <c r="BV1638" s="28"/>
      <c r="BY1638" s="28"/>
      <c r="CB1638" s="28"/>
      <c r="CE1638" s="28"/>
      <c r="CH1638" s="28"/>
      <c r="CK1638" s="28"/>
      <c r="CN1638" s="28"/>
      <c r="CQ1638" s="28"/>
      <c r="CT1638" s="28"/>
      <c r="CW1638" s="28"/>
      <c r="CZ1638" s="28"/>
      <c r="DC1638" s="28"/>
      <c r="DF1638" s="28"/>
      <c r="DI1638" s="28"/>
      <c r="DL1638" s="28"/>
      <c r="DO1638" s="28"/>
      <c r="DR1638" s="28"/>
      <c r="DU1638" s="28"/>
      <c r="DX1638" s="28"/>
      <c r="EA1638" s="28"/>
      <c r="ED1638" s="28"/>
      <c r="EG1638" s="28"/>
      <c r="EJ1638" s="28"/>
      <c r="EM1638" s="28"/>
      <c r="EP1638" s="28"/>
      <c r="ES1638" s="28"/>
      <c r="EV1638" s="28"/>
      <c r="EY1638" s="28"/>
      <c r="FB1638" s="28"/>
      <c r="FE1638" s="28"/>
      <c r="FH1638" s="28"/>
      <c r="FK1638" s="28"/>
      <c r="FN1638" s="28"/>
      <c r="FQ1638" s="28"/>
      <c r="FT1638" s="28"/>
      <c r="FW1638" s="28"/>
      <c r="FZ1638" s="28"/>
      <c r="GC1638" s="28"/>
    </row>
    <row r="1639" spans="1:185" s="25" customFormat="1" x14ac:dyDescent="0.3">
      <c r="A1639" s="27"/>
      <c r="B1639" s="28"/>
      <c r="C1639" s="27"/>
      <c r="D1639" s="26"/>
      <c r="E1639" s="28"/>
      <c r="H1639" s="28"/>
      <c r="K1639" s="28"/>
      <c r="N1639" s="28"/>
      <c r="Q1639" s="28"/>
      <c r="T1639" s="28"/>
      <c r="W1639" s="28"/>
      <c r="Z1639" s="28"/>
      <c r="AC1639" s="28"/>
      <c r="AF1639" s="28"/>
      <c r="AI1639" s="28"/>
      <c r="AL1639" s="28"/>
      <c r="AO1639" s="28"/>
      <c r="AR1639" s="28"/>
      <c r="AU1639" s="28"/>
      <c r="AX1639" s="28"/>
      <c r="BA1639" s="28"/>
      <c r="BD1639" s="28"/>
      <c r="BG1639" s="28"/>
      <c r="BJ1639" s="28"/>
      <c r="BM1639" s="28"/>
      <c r="BP1639" s="28"/>
      <c r="BS1639" s="28"/>
      <c r="BV1639" s="28"/>
      <c r="BY1639" s="28"/>
      <c r="CB1639" s="28"/>
      <c r="CE1639" s="28"/>
      <c r="CH1639" s="28"/>
      <c r="CK1639" s="28"/>
      <c r="CN1639" s="28"/>
      <c r="CQ1639" s="28"/>
      <c r="CT1639" s="28"/>
      <c r="CW1639" s="28"/>
      <c r="CZ1639" s="28"/>
      <c r="DC1639" s="28"/>
      <c r="DF1639" s="28"/>
      <c r="DI1639" s="28"/>
      <c r="DL1639" s="28"/>
      <c r="DO1639" s="28"/>
      <c r="DR1639" s="28"/>
      <c r="DU1639" s="28"/>
      <c r="DX1639" s="28"/>
      <c r="EA1639" s="28"/>
      <c r="ED1639" s="28"/>
      <c r="EG1639" s="28"/>
      <c r="EJ1639" s="28"/>
      <c r="EM1639" s="28"/>
      <c r="EP1639" s="28"/>
      <c r="ES1639" s="28"/>
      <c r="EV1639" s="28"/>
      <c r="EY1639" s="28"/>
      <c r="FB1639" s="28"/>
      <c r="FE1639" s="28"/>
      <c r="FH1639" s="28"/>
      <c r="FK1639" s="28"/>
      <c r="FN1639" s="28"/>
      <c r="FQ1639" s="28"/>
      <c r="FT1639" s="28"/>
      <c r="FW1639" s="28"/>
      <c r="FZ1639" s="28"/>
      <c r="GC1639" s="28"/>
    </row>
    <row r="1640" spans="1:185" s="25" customFormat="1" x14ac:dyDescent="0.3">
      <c r="A1640" s="27"/>
      <c r="B1640" s="28"/>
      <c r="C1640" s="27"/>
      <c r="D1640" s="26"/>
      <c r="E1640" s="28"/>
      <c r="H1640" s="28"/>
      <c r="K1640" s="28"/>
      <c r="N1640" s="28"/>
      <c r="Q1640" s="28"/>
      <c r="T1640" s="28"/>
      <c r="W1640" s="28"/>
      <c r="Z1640" s="28"/>
      <c r="AC1640" s="28"/>
      <c r="AF1640" s="28"/>
      <c r="AI1640" s="28"/>
      <c r="AL1640" s="28"/>
      <c r="AO1640" s="28"/>
      <c r="AR1640" s="28"/>
      <c r="AU1640" s="28"/>
      <c r="AX1640" s="28"/>
      <c r="BA1640" s="28"/>
      <c r="BD1640" s="28"/>
      <c r="BG1640" s="28"/>
      <c r="BJ1640" s="28"/>
      <c r="BM1640" s="28"/>
      <c r="BP1640" s="28"/>
      <c r="BS1640" s="28"/>
      <c r="BV1640" s="28"/>
      <c r="BY1640" s="28"/>
      <c r="CB1640" s="28"/>
      <c r="CE1640" s="28"/>
      <c r="CH1640" s="28"/>
      <c r="CK1640" s="28"/>
      <c r="CN1640" s="28"/>
      <c r="CQ1640" s="28"/>
      <c r="CT1640" s="28"/>
      <c r="CW1640" s="28"/>
      <c r="CZ1640" s="28"/>
      <c r="DC1640" s="28"/>
      <c r="DF1640" s="28"/>
      <c r="DI1640" s="28"/>
      <c r="DL1640" s="28"/>
      <c r="DO1640" s="28"/>
      <c r="DR1640" s="28"/>
      <c r="DU1640" s="28"/>
      <c r="DX1640" s="28"/>
      <c r="EA1640" s="28"/>
      <c r="ED1640" s="28"/>
      <c r="EG1640" s="28"/>
      <c r="EJ1640" s="28"/>
      <c r="EM1640" s="28"/>
      <c r="EP1640" s="28"/>
      <c r="ES1640" s="28"/>
      <c r="EV1640" s="28"/>
      <c r="EY1640" s="28"/>
      <c r="FB1640" s="28"/>
      <c r="FE1640" s="28"/>
      <c r="FH1640" s="28"/>
      <c r="FK1640" s="28"/>
      <c r="FN1640" s="28"/>
      <c r="FQ1640" s="28"/>
      <c r="FT1640" s="28"/>
      <c r="FW1640" s="28"/>
      <c r="FZ1640" s="28"/>
      <c r="GC1640" s="28"/>
    </row>
    <row r="1641" spans="1:185" s="25" customFormat="1" x14ac:dyDescent="0.3">
      <c r="A1641" s="27"/>
      <c r="B1641" s="28"/>
      <c r="C1641" s="27"/>
      <c r="D1641" s="26"/>
      <c r="E1641" s="28"/>
      <c r="H1641" s="28"/>
      <c r="K1641" s="28"/>
      <c r="N1641" s="28"/>
      <c r="Q1641" s="28"/>
      <c r="T1641" s="28"/>
      <c r="W1641" s="28"/>
      <c r="Z1641" s="28"/>
      <c r="AC1641" s="28"/>
      <c r="AF1641" s="28"/>
      <c r="AI1641" s="28"/>
      <c r="AL1641" s="28"/>
      <c r="AO1641" s="28"/>
      <c r="AR1641" s="28"/>
      <c r="AU1641" s="28"/>
      <c r="AX1641" s="28"/>
      <c r="BA1641" s="28"/>
      <c r="BD1641" s="28"/>
      <c r="BG1641" s="28"/>
      <c r="BJ1641" s="28"/>
      <c r="BM1641" s="28"/>
      <c r="BP1641" s="28"/>
      <c r="BS1641" s="28"/>
      <c r="BV1641" s="28"/>
      <c r="BY1641" s="28"/>
      <c r="CB1641" s="28"/>
      <c r="CE1641" s="28"/>
      <c r="CH1641" s="28"/>
      <c r="CK1641" s="28"/>
      <c r="CN1641" s="28"/>
      <c r="CQ1641" s="28"/>
      <c r="CT1641" s="28"/>
      <c r="CW1641" s="28"/>
      <c r="CZ1641" s="28"/>
      <c r="DC1641" s="28"/>
      <c r="DF1641" s="28"/>
      <c r="DI1641" s="28"/>
      <c r="DL1641" s="28"/>
      <c r="DO1641" s="28"/>
      <c r="DR1641" s="28"/>
      <c r="DU1641" s="28"/>
      <c r="DX1641" s="28"/>
      <c r="EA1641" s="28"/>
      <c r="ED1641" s="28"/>
      <c r="EG1641" s="28"/>
      <c r="EJ1641" s="28"/>
      <c r="EM1641" s="28"/>
      <c r="EP1641" s="28"/>
      <c r="ES1641" s="28"/>
      <c r="EV1641" s="28"/>
      <c r="EY1641" s="28"/>
      <c r="FB1641" s="28"/>
      <c r="FE1641" s="28"/>
      <c r="FH1641" s="28"/>
      <c r="FK1641" s="28"/>
      <c r="FN1641" s="28"/>
      <c r="FQ1641" s="28"/>
      <c r="FT1641" s="28"/>
      <c r="FW1641" s="28"/>
      <c r="FZ1641" s="28"/>
      <c r="GC1641" s="28"/>
    </row>
    <row r="1642" spans="1:185" s="25" customFormat="1" x14ac:dyDescent="0.3">
      <c r="A1642" s="27"/>
      <c r="B1642" s="28"/>
      <c r="C1642" s="27"/>
      <c r="D1642" s="26"/>
      <c r="E1642" s="28"/>
      <c r="H1642" s="28"/>
      <c r="K1642" s="28"/>
      <c r="N1642" s="28"/>
      <c r="Q1642" s="28"/>
      <c r="T1642" s="28"/>
      <c r="W1642" s="28"/>
      <c r="Z1642" s="28"/>
      <c r="AC1642" s="28"/>
      <c r="AF1642" s="28"/>
      <c r="AI1642" s="28"/>
      <c r="AL1642" s="28"/>
      <c r="AO1642" s="28"/>
      <c r="AR1642" s="28"/>
      <c r="AU1642" s="28"/>
      <c r="AX1642" s="28"/>
      <c r="BA1642" s="28"/>
      <c r="BD1642" s="28"/>
      <c r="BG1642" s="28"/>
      <c r="BJ1642" s="28"/>
      <c r="BM1642" s="28"/>
      <c r="BP1642" s="28"/>
      <c r="BS1642" s="28"/>
      <c r="BV1642" s="28"/>
      <c r="BY1642" s="28"/>
      <c r="CB1642" s="28"/>
      <c r="CE1642" s="28"/>
      <c r="CH1642" s="28"/>
      <c r="CK1642" s="28"/>
      <c r="CN1642" s="28"/>
      <c r="CQ1642" s="28"/>
      <c r="CT1642" s="28"/>
      <c r="CW1642" s="28"/>
      <c r="CZ1642" s="28"/>
      <c r="DC1642" s="28"/>
      <c r="DF1642" s="28"/>
      <c r="DI1642" s="28"/>
      <c r="DL1642" s="28"/>
      <c r="DO1642" s="28"/>
      <c r="DR1642" s="28"/>
      <c r="DU1642" s="28"/>
      <c r="DX1642" s="28"/>
      <c r="EA1642" s="28"/>
      <c r="ED1642" s="28"/>
      <c r="EG1642" s="28"/>
      <c r="EJ1642" s="28"/>
      <c r="EM1642" s="28"/>
      <c r="EP1642" s="28"/>
      <c r="ES1642" s="28"/>
      <c r="EV1642" s="28"/>
      <c r="EY1642" s="28"/>
      <c r="FB1642" s="28"/>
      <c r="FE1642" s="28"/>
      <c r="FH1642" s="28"/>
      <c r="FK1642" s="28"/>
      <c r="FN1642" s="28"/>
      <c r="FQ1642" s="28"/>
      <c r="FT1642" s="28"/>
      <c r="FW1642" s="28"/>
      <c r="FZ1642" s="28"/>
      <c r="GC1642" s="28"/>
    </row>
    <row r="1643" spans="1:185" s="25" customFormat="1" x14ac:dyDescent="0.3">
      <c r="A1643" s="27"/>
      <c r="B1643" s="28"/>
      <c r="C1643" s="27"/>
      <c r="D1643" s="26"/>
      <c r="E1643" s="28"/>
      <c r="H1643" s="28"/>
      <c r="K1643" s="28"/>
      <c r="N1643" s="28"/>
      <c r="Q1643" s="28"/>
      <c r="T1643" s="28"/>
      <c r="W1643" s="28"/>
      <c r="Z1643" s="28"/>
      <c r="AC1643" s="28"/>
      <c r="AF1643" s="28"/>
      <c r="AI1643" s="28"/>
      <c r="AL1643" s="28"/>
      <c r="AO1643" s="28"/>
      <c r="AR1643" s="28"/>
      <c r="AU1643" s="28"/>
      <c r="AX1643" s="28"/>
      <c r="BA1643" s="28"/>
      <c r="BD1643" s="28"/>
      <c r="BG1643" s="28"/>
      <c r="BJ1643" s="28"/>
      <c r="BM1643" s="28"/>
      <c r="BP1643" s="28"/>
      <c r="BS1643" s="28"/>
      <c r="BV1643" s="28"/>
      <c r="BY1643" s="28"/>
      <c r="CB1643" s="28"/>
      <c r="CE1643" s="28"/>
      <c r="CH1643" s="28"/>
      <c r="CK1643" s="28"/>
      <c r="CN1643" s="28"/>
      <c r="CQ1643" s="28"/>
      <c r="CT1643" s="28"/>
      <c r="CW1643" s="28"/>
      <c r="CZ1643" s="28"/>
      <c r="DC1643" s="28"/>
      <c r="DF1643" s="28"/>
      <c r="DI1643" s="28"/>
      <c r="DL1643" s="28"/>
      <c r="DO1643" s="28"/>
      <c r="DR1643" s="28"/>
      <c r="DU1643" s="28"/>
      <c r="DX1643" s="28"/>
      <c r="EA1643" s="28"/>
      <c r="ED1643" s="28"/>
      <c r="EG1643" s="28"/>
      <c r="EJ1643" s="28"/>
      <c r="EM1643" s="28"/>
      <c r="EP1643" s="28"/>
      <c r="ES1643" s="28"/>
      <c r="EV1643" s="28"/>
      <c r="EY1643" s="28"/>
      <c r="FB1643" s="28"/>
      <c r="FE1643" s="28"/>
      <c r="FH1643" s="28"/>
      <c r="FK1643" s="28"/>
      <c r="FN1643" s="28"/>
      <c r="FQ1643" s="28"/>
      <c r="FT1643" s="28"/>
      <c r="FW1643" s="28"/>
      <c r="FZ1643" s="28"/>
      <c r="GC1643" s="28"/>
    </row>
    <row r="1644" spans="1:185" s="25" customFormat="1" x14ac:dyDescent="0.3">
      <c r="A1644" s="27"/>
      <c r="B1644" s="28"/>
      <c r="C1644" s="27"/>
      <c r="D1644" s="26"/>
      <c r="E1644" s="28"/>
      <c r="H1644" s="28"/>
      <c r="K1644" s="28"/>
      <c r="N1644" s="28"/>
      <c r="Q1644" s="28"/>
      <c r="T1644" s="28"/>
      <c r="W1644" s="28"/>
      <c r="Z1644" s="28"/>
      <c r="AC1644" s="28"/>
      <c r="AF1644" s="28"/>
      <c r="AI1644" s="28"/>
      <c r="AL1644" s="28"/>
      <c r="AO1644" s="28"/>
      <c r="AR1644" s="28"/>
      <c r="AU1644" s="28"/>
      <c r="AX1644" s="28"/>
      <c r="BA1644" s="28"/>
      <c r="BD1644" s="28"/>
      <c r="BG1644" s="28"/>
      <c r="BJ1644" s="28"/>
      <c r="BM1644" s="28"/>
      <c r="BP1644" s="28"/>
      <c r="BS1644" s="28"/>
      <c r="BV1644" s="28"/>
      <c r="BY1644" s="28"/>
      <c r="CB1644" s="28"/>
      <c r="CE1644" s="28"/>
      <c r="CH1644" s="28"/>
      <c r="CK1644" s="28"/>
      <c r="CN1644" s="28"/>
      <c r="CQ1644" s="28"/>
      <c r="CT1644" s="28"/>
      <c r="CW1644" s="28"/>
      <c r="CZ1644" s="28"/>
      <c r="DC1644" s="28"/>
      <c r="DF1644" s="28"/>
      <c r="DI1644" s="28"/>
      <c r="DL1644" s="28"/>
      <c r="DO1644" s="28"/>
      <c r="DR1644" s="28"/>
      <c r="DU1644" s="28"/>
      <c r="DX1644" s="28"/>
      <c r="EA1644" s="28"/>
      <c r="ED1644" s="28"/>
      <c r="EG1644" s="28"/>
      <c r="EJ1644" s="28"/>
      <c r="EM1644" s="28"/>
      <c r="EP1644" s="28"/>
      <c r="ES1644" s="28"/>
      <c r="EV1644" s="28"/>
      <c r="EY1644" s="28"/>
      <c r="FB1644" s="28"/>
      <c r="FE1644" s="28"/>
      <c r="FH1644" s="28"/>
      <c r="FK1644" s="28"/>
      <c r="FN1644" s="28"/>
      <c r="FQ1644" s="28"/>
      <c r="FT1644" s="28"/>
      <c r="FW1644" s="28"/>
      <c r="FZ1644" s="28"/>
      <c r="GC1644" s="28"/>
    </row>
    <row r="1645" spans="1:185" s="25" customFormat="1" x14ac:dyDescent="0.3">
      <c r="A1645" s="27"/>
      <c r="B1645" s="28"/>
      <c r="C1645" s="27"/>
      <c r="D1645" s="26"/>
      <c r="E1645" s="28"/>
      <c r="H1645" s="28"/>
      <c r="K1645" s="28"/>
      <c r="N1645" s="28"/>
      <c r="Q1645" s="28"/>
      <c r="T1645" s="28"/>
      <c r="W1645" s="28"/>
      <c r="Z1645" s="28"/>
      <c r="AC1645" s="28"/>
      <c r="AF1645" s="28"/>
      <c r="AI1645" s="28"/>
      <c r="AL1645" s="28"/>
      <c r="AO1645" s="28"/>
      <c r="AR1645" s="28"/>
      <c r="AU1645" s="28"/>
      <c r="AX1645" s="28"/>
      <c r="BA1645" s="28"/>
      <c r="BD1645" s="28"/>
      <c r="BG1645" s="28"/>
      <c r="BJ1645" s="28"/>
      <c r="BM1645" s="28"/>
      <c r="BP1645" s="28"/>
      <c r="BS1645" s="28"/>
      <c r="BV1645" s="28"/>
      <c r="BY1645" s="28"/>
      <c r="CB1645" s="28"/>
      <c r="CE1645" s="28"/>
      <c r="CH1645" s="28"/>
      <c r="CK1645" s="28"/>
      <c r="CN1645" s="28"/>
      <c r="CQ1645" s="28"/>
      <c r="CT1645" s="28"/>
      <c r="CW1645" s="28"/>
      <c r="CZ1645" s="28"/>
      <c r="DC1645" s="28"/>
      <c r="DF1645" s="28"/>
      <c r="DI1645" s="28"/>
      <c r="DL1645" s="28"/>
      <c r="DO1645" s="28"/>
      <c r="DR1645" s="28"/>
      <c r="DU1645" s="28"/>
      <c r="DX1645" s="28"/>
      <c r="EA1645" s="28"/>
      <c r="ED1645" s="28"/>
      <c r="EG1645" s="28"/>
      <c r="EJ1645" s="28"/>
      <c r="EM1645" s="28"/>
      <c r="EP1645" s="28"/>
      <c r="ES1645" s="28"/>
      <c r="EV1645" s="28"/>
      <c r="EY1645" s="28"/>
      <c r="FB1645" s="28"/>
      <c r="FE1645" s="28"/>
      <c r="FH1645" s="28"/>
      <c r="FK1645" s="28"/>
      <c r="FN1645" s="28"/>
      <c r="FQ1645" s="28"/>
      <c r="FT1645" s="28"/>
      <c r="FW1645" s="28"/>
      <c r="FZ1645" s="28"/>
      <c r="GC1645" s="28"/>
    </row>
    <row r="1646" spans="1:185" s="25" customFormat="1" x14ac:dyDescent="0.3">
      <c r="A1646" s="27"/>
      <c r="B1646" s="28"/>
      <c r="C1646" s="27"/>
      <c r="D1646" s="26"/>
      <c r="E1646" s="28"/>
      <c r="H1646" s="28"/>
      <c r="K1646" s="28"/>
      <c r="N1646" s="28"/>
      <c r="Q1646" s="28"/>
      <c r="T1646" s="28"/>
      <c r="W1646" s="28"/>
      <c r="Z1646" s="28"/>
      <c r="AC1646" s="28"/>
      <c r="AF1646" s="28"/>
      <c r="AI1646" s="28"/>
      <c r="AL1646" s="28"/>
      <c r="AO1646" s="28"/>
      <c r="AR1646" s="28"/>
      <c r="AU1646" s="28"/>
      <c r="AX1646" s="28"/>
      <c r="BA1646" s="28"/>
      <c r="BD1646" s="28"/>
      <c r="BG1646" s="28"/>
      <c r="BJ1646" s="28"/>
      <c r="BM1646" s="28"/>
      <c r="BP1646" s="28"/>
      <c r="BS1646" s="28"/>
      <c r="BV1646" s="28"/>
      <c r="BY1646" s="28"/>
      <c r="CB1646" s="28"/>
      <c r="CE1646" s="28"/>
      <c r="CH1646" s="28"/>
      <c r="CK1646" s="28"/>
      <c r="CN1646" s="28"/>
      <c r="CQ1646" s="28"/>
      <c r="CT1646" s="28"/>
      <c r="CW1646" s="28"/>
      <c r="CZ1646" s="28"/>
      <c r="DC1646" s="28"/>
      <c r="DF1646" s="28"/>
      <c r="DI1646" s="28"/>
      <c r="DL1646" s="28"/>
      <c r="DO1646" s="28"/>
      <c r="DR1646" s="28"/>
      <c r="DU1646" s="28"/>
      <c r="DX1646" s="28"/>
      <c r="EA1646" s="28"/>
      <c r="ED1646" s="28"/>
      <c r="EG1646" s="28"/>
      <c r="EJ1646" s="28"/>
      <c r="EM1646" s="28"/>
      <c r="EP1646" s="28"/>
      <c r="ES1646" s="28"/>
      <c r="EV1646" s="28"/>
      <c r="EY1646" s="28"/>
      <c r="FB1646" s="28"/>
      <c r="FE1646" s="28"/>
      <c r="FH1646" s="28"/>
      <c r="FK1646" s="28"/>
      <c r="FN1646" s="28"/>
      <c r="FQ1646" s="28"/>
      <c r="FT1646" s="28"/>
      <c r="FW1646" s="28"/>
      <c r="FZ1646" s="28"/>
      <c r="GC1646" s="28"/>
    </row>
    <row r="1647" spans="1:185" s="25" customFormat="1" x14ac:dyDescent="0.3">
      <c r="A1647" s="27"/>
      <c r="B1647" s="28"/>
      <c r="C1647" s="27"/>
      <c r="D1647" s="26"/>
      <c r="E1647" s="28"/>
      <c r="H1647" s="28"/>
      <c r="K1647" s="28"/>
      <c r="N1647" s="28"/>
      <c r="Q1647" s="28"/>
      <c r="T1647" s="28"/>
      <c r="W1647" s="28"/>
      <c r="Z1647" s="28"/>
      <c r="AC1647" s="28"/>
      <c r="AF1647" s="28"/>
      <c r="AI1647" s="28"/>
      <c r="AL1647" s="28"/>
      <c r="AO1647" s="28"/>
      <c r="AR1647" s="28"/>
      <c r="AU1647" s="28"/>
      <c r="AX1647" s="28"/>
      <c r="BA1647" s="28"/>
      <c r="BD1647" s="28"/>
      <c r="BG1647" s="28"/>
      <c r="BJ1647" s="28"/>
      <c r="BM1647" s="28"/>
      <c r="BP1647" s="28"/>
      <c r="BS1647" s="28"/>
      <c r="BV1647" s="28"/>
      <c r="BY1647" s="28"/>
      <c r="CB1647" s="28"/>
      <c r="CE1647" s="28"/>
      <c r="CH1647" s="28"/>
      <c r="CK1647" s="28"/>
      <c r="CN1647" s="28"/>
      <c r="CQ1647" s="28"/>
      <c r="CT1647" s="28"/>
      <c r="CW1647" s="28"/>
      <c r="CZ1647" s="28"/>
      <c r="DC1647" s="28"/>
      <c r="DF1647" s="28"/>
      <c r="DI1647" s="28"/>
      <c r="DL1647" s="28"/>
      <c r="DO1647" s="28"/>
      <c r="DR1647" s="28"/>
      <c r="DU1647" s="28"/>
      <c r="DX1647" s="28"/>
      <c r="EA1647" s="28"/>
      <c r="ED1647" s="28"/>
      <c r="EG1647" s="28"/>
      <c r="EJ1647" s="28"/>
      <c r="EM1647" s="28"/>
      <c r="EP1647" s="28"/>
      <c r="ES1647" s="28"/>
      <c r="EV1647" s="28"/>
      <c r="EY1647" s="28"/>
      <c r="FB1647" s="28"/>
      <c r="FE1647" s="28"/>
      <c r="FH1647" s="28"/>
      <c r="FK1647" s="28"/>
      <c r="FN1647" s="28"/>
      <c r="FQ1647" s="28"/>
      <c r="FT1647" s="28"/>
      <c r="FW1647" s="28"/>
      <c r="FZ1647" s="28"/>
      <c r="GC1647" s="28"/>
    </row>
    <row r="1648" spans="1:185" s="25" customFormat="1" x14ac:dyDescent="0.3">
      <c r="A1648" s="27"/>
      <c r="B1648" s="28"/>
      <c r="C1648" s="27"/>
      <c r="D1648" s="26"/>
      <c r="E1648" s="28"/>
      <c r="H1648" s="28"/>
      <c r="K1648" s="28"/>
      <c r="N1648" s="28"/>
      <c r="Q1648" s="28"/>
      <c r="T1648" s="28"/>
      <c r="W1648" s="28"/>
      <c r="Z1648" s="28"/>
      <c r="AC1648" s="28"/>
      <c r="AF1648" s="28"/>
      <c r="AI1648" s="28"/>
      <c r="AL1648" s="28"/>
      <c r="AO1648" s="28"/>
      <c r="AR1648" s="28"/>
      <c r="AU1648" s="28"/>
      <c r="AX1648" s="28"/>
      <c r="BA1648" s="28"/>
      <c r="BD1648" s="28"/>
      <c r="BG1648" s="28"/>
      <c r="BJ1648" s="28"/>
      <c r="BM1648" s="28"/>
      <c r="BP1648" s="28"/>
      <c r="BS1648" s="28"/>
      <c r="BV1648" s="28"/>
      <c r="BY1648" s="28"/>
      <c r="CB1648" s="28"/>
      <c r="CE1648" s="28"/>
      <c r="CH1648" s="28"/>
      <c r="CK1648" s="28"/>
      <c r="CN1648" s="28"/>
      <c r="CQ1648" s="28"/>
      <c r="CT1648" s="28"/>
      <c r="CW1648" s="28"/>
      <c r="CZ1648" s="28"/>
      <c r="DC1648" s="28"/>
      <c r="DF1648" s="28"/>
      <c r="DI1648" s="28"/>
      <c r="DL1648" s="28"/>
      <c r="DO1648" s="28"/>
      <c r="DR1648" s="28"/>
      <c r="DU1648" s="28"/>
      <c r="DX1648" s="28"/>
      <c r="EA1648" s="28"/>
      <c r="ED1648" s="28"/>
      <c r="EG1648" s="28"/>
      <c r="EJ1648" s="28"/>
      <c r="EM1648" s="28"/>
      <c r="EP1648" s="28"/>
      <c r="ES1648" s="28"/>
      <c r="EV1648" s="28"/>
      <c r="EY1648" s="28"/>
      <c r="FB1648" s="28"/>
      <c r="FE1648" s="28"/>
      <c r="FH1648" s="28"/>
      <c r="FK1648" s="28"/>
      <c r="FN1648" s="28"/>
      <c r="FQ1648" s="28"/>
      <c r="FT1648" s="28"/>
      <c r="FW1648" s="28"/>
      <c r="FZ1648" s="28"/>
      <c r="GC1648" s="28"/>
    </row>
    <row r="1649" spans="1:185" s="25" customFormat="1" x14ac:dyDescent="0.3">
      <c r="A1649" s="27"/>
      <c r="B1649" s="28"/>
      <c r="C1649" s="27"/>
      <c r="D1649" s="26"/>
      <c r="E1649" s="28"/>
      <c r="H1649" s="28"/>
      <c r="K1649" s="28"/>
      <c r="N1649" s="28"/>
      <c r="Q1649" s="28"/>
      <c r="T1649" s="28"/>
      <c r="W1649" s="28"/>
      <c r="Z1649" s="28"/>
      <c r="AC1649" s="28"/>
      <c r="AF1649" s="28"/>
      <c r="AI1649" s="28"/>
      <c r="AL1649" s="28"/>
      <c r="AO1649" s="28"/>
      <c r="AR1649" s="28"/>
      <c r="AU1649" s="28"/>
      <c r="AX1649" s="28"/>
      <c r="BA1649" s="28"/>
      <c r="BD1649" s="28"/>
      <c r="BG1649" s="28"/>
      <c r="BJ1649" s="28"/>
      <c r="BM1649" s="28"/>
      <c r="BP1649" s="28"/>
      <c r="BS1649" s="28"/>
      <c r="BV1649" s="28"/>
      <c r="BY1649" s="28"/>
      <c r="CB1649" s="28"/>
      <c r="CE1649" s="28"/>
      <c r="CH1649" s="28"/>
      <c r="CK1649" s="28"/>
      <c r="CN1649" s="28"/>
      <c r="CQ1649" s="28"/>
      <c r="CT1649" s="28"/>
      <c r="CW1649" s="28"/>
      <c r="CZ1649" s="28"/>
      <c r="DC1649" s="28"/>
      <c r="DF1649" s="28"/>
      <c r="DI1649" s="28"/>
      <c r="DL1649" s="28"/>
      <c r="DO1649" s="28"/>
      <c r="DR1649" s="28"/>
      <c r="DU1649" s="28"/>
      <c r="DX1649" s="28"/>
      <c r="EA1649" s="28"/>
      <c r="ED1649" s="28"/>
      <c r="EG1649" s="28"/>
      <c r="EJ1649" s="28"/>
      <c r="EM1649" s="28"/>
      <c r="EP1649" s="28"/>
      <c r="ES1649" s="28"/>
      <c r="EV1649" s="28"/>
      <c r="EY1649" s="28"/>
      <c r="FB1649" s="28"/>
      <c r="FE1649" s="28"/>
      <c r="FH1649" s="28"/>
      <c r="FK1649" s="28"/>
      <c r="FN1649" s="28"/>
      <c r="FQ1649" s="28"/>
      <c r="FT1649" s="28"/>
      <c r="FW1649" s="28"/>
      <c r="FZ1649" s="28"/>
      <c r="GC1649" s="28"/>
    </row>
    <row r="1650" spans="1:185" s="25" customFormat="1" x14ac:dyDescent="0.3">
      <c r="A1650" s="27"/>
      <c r="B1650" s="28"/>
      <c r="C1650" s="27"/>
      <c r="D1650" s="26"/>
      <c r="E1650" s="28"/>
      <c r="H1650" s="28"/>
      <c r="K1650" s="28"/>
      <c r="N1650" s="28"/>
      <c r="Q1650" s="28"/>
      <c r="T1650" s="28"/>
      <c r="W1650" s="28"/>
      <c r="Z1650" s="28"/>
      <c r="AC1650" s="28"/>
      <c r="AF1650" s="28"/>
      <c r="AI1650" s="28"/>
      <c r="AL1650" s="28"/>
      <c r="AO1650" s="28"/>
      <c r="AR1650" s="28"/>
      <c r="AU1650" s="28"/>
      <c r="AX1650" s="28"/>
      <c r="BA1650" s="28"/>
      <c r="BD1650" s="28"/>
      <c r="BG1650" s="28"/>
      <c r="BJ1650" s="28"/>
      <c r="BM1650" s="28"/>
      <c r="BP1650" s="28"/>
      <c r="BS1650" s="28"/>
      <c r="BV1650" s="28"/>
      <c r="BY1650" s="28"/>
      <c r="CB1650" s="28"/>
      <c r="CE1650" s="28"/>
      <c r="CH1650" s="28"/>
      <c r="CK1650" s="28"/>
      <c r="CN1650" s="28"/>
      <c r="CQ1650" s="28"/>
      <c r="CT1650" s="28"/>
      <c r="CW1650" s="28"/>
      <c r="CZ1650" s="28"/>
      <c r="DC1650" s="28"/>
      <c r="DF1650" s="28"/>
      <c r="DI1650" s="28"/>
      <c r="DL1650" s="28"/>
      <c r="DO1650" s="28"/>
      <c r="DR1650" s="28"/>
      <c r="DU1650" s="28"/>
      <c r="DX1650" s="28"/>
      <c r="EA1650" s="28"/>
      <c r="ED1650" s="28"/>
      <c r="EG1650" s="28"/>
      <c r="EJ1650" s="28"/>
      <c r="EM1650" s="28"/>
      <c r="EP1650" s="28"/>
      <c r="ES1650" s="28"/>
      <c r="EV1650" s="28"/>
      <c r="EY1650" s="28"/>
      <c r="FB1650" s="28"/>
      <c r="FE1650" s="28"/>
      <c r="FH1650" s="28"/>
      <c r="FK1650" s="28"/>
      <c r="FN1650" s="28"/>
      <c r="FQ1650" s="28"/>
      <c r="FT1650" s="28"/>
      <c r="FW1650" s="28"/>
      <c r="FZ1650" s="28"/>
      <c r="GC1650" s="28"/>
    </row>
    <row r="1651" spans="1:185" s="25" customFormat="1" x14ac:dyDescent="0.3">
      <c r="A1651" s="27"/>
      <c r="B1651" s="28"/>
      <c r="C1651" s="27"/>
      <c r="D1651" s="26"/>
      <c r="E1651" s="28"/>
      <c r="H1651" s="28"/>
      <c r="K1651" s="28"/>
      <c r="N1651" s="28"/>
      <c r="Q1651" s="28"/>
      <c r="T1651" s="28"/>
      <c r="W1651" s="28"/>
      <c r="Z1651" s="28"/>
      <c r="AC1651" s="28"/>
      <c r="AF1651" s="28"/>
      <c r="AI1651" s="28"/>
      <c r="AL1651" s="28"/>
      <c r="AO1651" s="28"/>
      <c r="AR1651" s="28"/>
      <c r="AU1651" s="28"/>
      <c r="AX1651" s="28"/>
      <c r="BA1651" s="28"/>
      <c r="BD1651" s="28"/>
      <c r="BG1651" s="28"/>
      <c r="BJ1651" s="28"/>
      <c r="BM1651" s="28"/>
      <c r="BP1651" s="28"/>
      <c r="BS1651" s="28"/>
      <c r="BV1651" s="28"/>
      <c r="BY1651" s="28"/>
      <c r="CB1651" s="28"/>
      <c r="CE1651" s="28"/>
      <c r="CH1651" s="28"/>
      <c r="CK1651" s="28"/>
      <c r="CN1651" s="28"/>
      <c r="CQ1651" s="28"/>
      <c r="CT1651" s="28"/>
      <c r="CW1651" s="28"/>
      <c r="CZ1651" s="28"/>
      <c r="DC1651" s="28"/>
      <c r="DF1651" s="28"/>
      <c r="DI1651" s="28"/>
      <c r="DL1651" s="28"/>
      <c r="DO1651" s="28"/>
      <c r="DR1651" s="28"/>
      <c r="DU1651" s="28"/>
      <c r="DX1651" s="28"/>
      <c r="EA1651" s="28"/>
      <c r="ED1651" s="28"/>
      <c r="EG1651" s="28"/>
      <c r="EJ1651" s="28"/>
      <c r="EM1651" s="28"/>
      <c r="EP1651" s="28"/>
      <c r="ES1651" s="28"/>
      <c r="EV1651" s="28"/>
      <c r="EY1651" s="28"/>
      <c r="FB1651" s="28"/>
      <c r="FE1651" s="28"/>
      <c r="FH1651" s="28"/>
      <c r="FK1651" s="28"/>
      <c r="FN1651" s="28"/>
      <c r="FQ1651" s="28"/>
      <c r="FT1651" s="28"/>
      <c r="FW1651" s="28"/>
      <c r="FZ1651" s="28"/>
      <c r="GC1651" s="28"/>
    </row>
    <row r="1652" spans="1:185" s="25" customFormat="1" x14ac:dyDescent="0.3">
      <c r="A1652" s="27"/>
      <c r="B1652" s="28"/>
      <c r="C1652" s="27"/>
      <c r="D1652" s="26"/>
      <c r="E1652" s="28"/>
      <c r="H1652" s="28"/>
      <c r="K1652" s="28"/>
      <c r="N1652" s="28"/>
      <c r="Q1652" s="28"/>
      <c r="T1652" s="28"/>
      <c r="W1652" s="28"/>
      <c r="Z1652" s="28"/>
      <c r="AC1652" s="28"/>
      <c r="AF1652" s="28"/>
      <c r="AI1652" s="28"/>
      <c r="AL1652" s="28"/>
      <c r="AO1652" s="28"/>
      <c r="AR1652" s="28"/>
      <c r="AU1652" s="28"/>
      <c r="AX1652" s="28"/>
      <c r="BA1652" s="28"/>
      <c r="BD1652" s="28"/>
      <c r="BG1652" s="28"/>
      <c r="BJ1652" s="28"/>
      <c r="BM1652" s="28"/>
      <c r="BP1652" s="28"/>
      <c r="BS1652" s="28"/>
      <c r="BV1652" s="28"/>
      <c r="BY1652" s="28"/>
      <c r="CB1652" s="28"/>
      <c r="CE1652" s="28"/>
      <c r="CH1652" s="28"/>
      <c r="CK1652" s="28"/>
      <c r="CN1652" s="28"/>
      <c r="CQ1652" s="28"/>
      <c r="CT1652" s="28"/>
      <c r="CW1652" s="28"/>
      <c r="CZ1652" s="28"/>
      <c r="DC1652" s="28"/>
      <c r="DF1652" s="28"/>
      <c r="DI1652" s="28"/>
      <c r="DL1652" s="28"/>
      <c r="DO1652" s="28"/>
      <c r="DR1652" s="28"/>
      <c r="DU1652" s="28"/>
      <c r="DX1652" s="28"/>
      <c r="EA1652" s="28"/>
      <c r="ED1652" s="28"/>
      <c r="EG1652" s="28"/>
      <c r="EJ1652" s="28"/>
      <c r="EM1652" s="28"/>
      <c r="EP1652" s="28"/>
      <c r="ES1652" s="28"/>
      <c r="EV1652" s="28"/>
      <c r="EY1652" s="28"/>
      <c r="FB1652" s="28"/>
      <c r="FE1652" s="28"/>
      <c r="FH1652" s="28"/>
      <c r="FK1652" s="28"/>
      <c r="FN1652" s="28"/>
      <c r="FQ1652" s="28"/>
      <c r="FT1652" s="28"/>
      <c r="FW1652" s="28"/>
      <c r="FZ1652" s="28"/>
      <c r="GC1652" s="28"/>
    </row>
    <row r="1653" spans="1:185" s="25" customFormat="1" x14ac:dyDescent="0.3">
      <c r="A1653" s="27"/>
      <c r="B1653" s="28"/>
      <c r="C1653" s="27"/>
      <c r="D1653" s="26"/>
      <c r="E1653" s="28"/>
      <c r="H1653" s="28"/>
      <c r="K1653" s="28"/>
      <c r="N1653" s="28"/>
      <c r="Q1653" s="28"/>
      <c r="T1653" s="28"/>
      <c r="W1653" s="28"/>
      <c r="Z1653" s="28"/>
      <c r="AC1653" s="28"/>
      <c r="AF1653" s="28"/>
      <c r="AI1653" s="28"/>
      <c r="AL1653" s="28"/>
      <c r="AO1653" s="28"/>
      <c r="AR1653" s="28"/>
      <c r="AU1653" s="28"/>
      <c r="AX1653" s="28"/>
      <c r="BA1653" s="28"/>
      <c r="BD1653" s="28"/>
      <c r="BG1653" s="28"/>
      <c r="BJ1653" s="28"/>
      <c r="BM1653" s="28"/>
      <c r="BP1653" s="28"/>
      <c r="BS1653" s="28"/>
      <c r="BV1653" s="28"/>
      <c r="BY1653" s="28"/>
      <c r="CB1653" s="28"/>
      <c r="CE1653" s="28"/>
      <c r="CH1653" s="28"/>
      <c r="CK1653" s="28"/>
      <c r="CN1653" s="28"/>
      <c r="CQ1653" s="28"/>
      <c r="CT1653" s="28"/>
      <c r="CW1653" s="28"/>
      <c r="CZ1653" s="28"/>
      <c r="DC1653" s="28"/>
      <c r="DF1653" s="28"/>
      <c r="DI1653" s="28"/>
      <c r="DL1653" s="28"/>
      <c r="DO1653" s="28"/>
      <c r="DR1653" s="28"/>
      <c r="DU1653" s="28"/>
      <c r="DX1653" s="28"/>
      <c r="EA1653" s="28"/>
      <c r="ED1653" s="28"/>
      <c r="EG1653" s="28"/>
      <c r="EJ1653" s="28"/>
      <c r="EM1653" s="28"/>
      <c r="EP1653" s="28"/>
      <c r="ES1653" s="28"/>
      <c r="EV1653" s="28"/>
      <c r="EY1653" s="28"/>
      <c r="FB1653" s="28"/>
      <c r="FE1653" s="28"/>
      <c r="FH1653" s="28"/>
      <c r="FK1653" s="28"/>
      <c r="FN1653" s="28"/>
      <c r="FQ1653" s="28"/>
      <c r="FT1653" s="28"/>
      <c r="FW1653" s="28"/>
      <c r="FZ1653" s="28"/>
      <c r="GC1653" s="28"/>
    </row>
    <row r="1654" spans="1:185" s="25" customFormat="1" x14ac:dyDescent="0.3">
      <c r="A1654" s="27"/>
      <c r="B1654" s="28"/>
      <c r="C1654" s="27"/>
      <c r="D1654" s="26"/>
      <c r="E1654" s="28"/>
      <c r="H1654" s="28"/>
      <c r="K1654" s="28"/>
      <c r="N1654" s="28"/>
      <c r="Q1654" s="28"/>
      <c r="T1654" s="28"/>
      <c r="W1654" s="28"/>
      <c r="Z1654" s="28"/>
      <c r="AC1654" s="28"/>
      <c r="AF1654" s="28"/>
      <c r="AI1654" s="28"/>
      <c r="AL1654" s="28"/>
      <c r="AO1654" s="28"/>
      <c r="AR1654" s="28"/>
      <c r="AU1654" s="28"/>
      <c r="AX1654" s="28"/>
      <c r="BA1654" s="28"/>
      <c r="BD1654" s="28"/>
      <c r="BG1654" s="28"/>
      <c r="BJ1654" s="28"/>
      <c r="BM1654" s="28"/>
      <c r="BP1654" s="28"/>
      <c r="BS1654" s="28"/>
      <c r="BV1654" s="28"/>
      <c r="BY1654" s="28"/>
      <c r="CB1654" s="28"/>
      <c r="CE1654" s="28"/>
      <c r="CH1654" s="28"/>
      <c r="CK1654" s="28"/>
      <c r="CN1654" s="28"/>
      <c r="CQ1654" s="28"/>
      <c r="CT1654" s="28"/>
      <c r="CW1654" s="28"/>
      <c r="CZ1654" s="28"/>
      <c r="DC1654" s="28"/>
      <c r="DF1654" s="28"/>
      <c r="DI1654" s="28"/>
      <c r="DL1654" s="28"/>
      <c r="DO1654" s="28"/>
      <c r="DR1654" s="28"/>
      <c r="DU1654" s="28"/>
      <c r="DX1654" s="28"/>
      <c r="EA1654" s="28"/>
      <c r="ED1654" s="28"/>
      <c r="EG1654" s="28"/>
      <c r="EJ1654" s="28"/>
      <c r="EM1654" s="28"/>
      <c r="EP1654" s="28"/>
      <c r="ES1654" s="28"/>
      <c r="EV1654" s="28"/>
      <c r="EY1654" s="28"/>
      <c r="FB1654" s="28"/>
      <c r="FE1654" s="28"/>
      <c r="FH1654" s="28"/>
      <c r="FK1654" s="28"/>
      <c r="FN1654" s="28"/>
      <c r="FQ1654" s="28"/>
      <c r="FT1654" s="28"/>
      <c r="FW1654" s="28"/>
      <c r="FZ1654" s="28"/>
      <c r="GC1654" s="28"/>
    </row>
    <row r="1655" spans="1:185" s="25" customFormat="1" x14ac:dyDescent="0.3">
      <c r="A1655" s="27"/>
      <c r="B1655" s="28"/>
      <c r="C1655" s="27"/>
      <c r="D1655" s="26"/>
      <c r="E1655" s="28"/>
      <c r="H1655" s="28"/>
      <c r="K1655" s="28"/>
      <c r="N1655" s="28"/>
      <c r="Q1655" s="28"/>
      <c r="T1655" s="28"/>
      <c r="W1655" s="28"/>
      <c r="Z1655" s="28"/>
      <c r="AC1655" s="28"/>
      <c r="AF1655" s="28"/>
      <c r="AI1655" s="28"/>
      <c r="AL1655" s="28"/>
      <c r="AO1655" s="28"/>
      <c r="AR1655" s="28"/>
      <c r="AU1655" s="28"/>
      <c r="AX1655" s="28"/>
      <c r="BA1655" s="28"/>
      <c r="BD1655" s="28"/>
      <c r="BG1655" s="28"/>
      <c r="BJ1655" s="28"/>
      <c r="BM1655" s="28"/>
      <c r="BP1655" s="28"/>
      <c r="BS1655" s="28"/>
      <c r="BV1655" s="28"/>
      <c r="BY1655" s="28"/>
      <c r="CB1655" s="28"/>
      <c r="CE1655" s="28"/>
      <c r="CH1655" s="28"/>
      <c r="CK1655" s="28"/>
      <c r="CN1655" s="28"/>
      <c r="CQ1655" s="28"/>
      <c r="CT1655" s="28"/>
      <c r="CW1655" s="28"/>
      <c r="CZ1655" s="28"/>
      <c r="DC1655" s="28"/>
      <c r="DF1655" s="28"/>
      <c r="DI1655" s="28"/>
      <c r="DL1655" s="28"/>
      <c r="DO1655" s="28"/>
      <c r="DR1655" s="28"/>
      <c r="DU1655" s="28"/>
      <c r="DX1655" s="28"/>
      <c r="EA1655" s="28"/>
      <c r="ED1655" s="28"/>
      <c r="EG1655" s="28"/>
      <c r="EJ1655" s="28"/>
      <c r="EM1655" s="28"/>
      <c r="EP1655" s="28"/>
      <c r="ES1655" s="28"/>
      <c r="EV1655" s="28"/>
      <c r="EY1655" s="28"/>
      <c r="FB1655" s="28"/>
      <c r="FE1655" s="28"/>
      <c r="FH1655" s="28"/>
      <c r="FK1655" s="28"/>
      <c r="FN1655" s="28"/>
      <c r="FQ1655" s="28"/>
      <c r="FT1655" s="28"/>
      <c r="FW1655" s="28"/>
      <c r="FZ1655" s="28"/>
      <c r="GC1655" s="28"/>
    </row>
    <row r="1656" spans="1:185" s="25" customFormat="1" x14ac:dyDescent="0.3">
      <c r="A1656" s="27"/>
      <c r="B1656" s="28"/>
      <c r="C1656" s="27"/>
      <c r="D1656" s="26"/>
      <c r="E1656" s="28"/>
      <c r="H1656" s="28"/>
      <c r="K1656" s="28"/>
      <c r="N1656" s="28"/>
      <c r="Q1656" s="28"/>
      <c r="T1656" s="28"/>
      <c r="W1656" s="28"/>
      <c r="Z1656" s="28"/>
      <c r="AC1656" s="28"/>
      <c r="AF1656" s="28"/>
      <c r="AI1656" s="28"/>
      <c r="AL1656" s="28"/>
      <c r="AO1656" s="28"/>
      <c r="AR1656" s="28"/>
      <c r="AU1656" s="28"/>
      <c r="AX1656" s="28"/>
      <c r="BA1656" s="28"/>
      <c r="BD1656" s="28"/>
      <c r="BG1656" s="28"/>
      <c r="BJ1656" s="28"/>
      <c r="BM1656" s="28"/>
      <c r="BP1656" s="28"/>
      <c r="BS1656" s="28"/>
      <c r="BV1656" s="28"/>
      <c r="BY1656" s="28"/>
      <c r="CB1656" s="28"/>
      <c r="CE1656" s="28"/>
      <c r="CH1656" s="28"/>
      <c r="CK1656" s="28"/>
      <c r="CN1656" s="28"/>
      <c r="CQ1656" s="28"/>
      <c r="CT1656" s="28"/>
      <c r="CW1656" s="28"/>
      <c r="CZ1656" s="28"/>
      <c r="DC1656" s="28"/>
      <c r="DF1656" s="28"/>
      <c r="DI1656" s="28"/>
      <c r="DL1656" s="28"/>
      <c r="DO1656" s="28"/>
      <c r="DR1656" s="28"/>
      <c r="DU1656" s="28"/>
      <c r="DX1656" s="28"/>
      <c r="EA1656" s="28"/>
      <c r="ED1656" s="28"/>
      <c r="EG1656" s="28"/>
      <c r="EJ1656" s="28"/>
      <c r="EM1656" s="28"/>
      <c r="EP1656" s="28"/>
      <c r="ES1656" s="28"/>
      <c r="EV1656" s="28"/>
      <c r="EY1656" s="28"/>
      <c r="FB1656" s="28"/>
      <c r="FE1656" s="28"/>
      <c r="FH1656" s="28"/>
      <c r="FK1656" s="28"/>
      <c r="FN1656" s="28"/>
      <c r="FQ1656" s="28"/>
      <c r="FT1656" s="28"/>
      <c r="FW1656" s="28"/>
      <c r="FZ1656" s="28"/>
      <c r="GC1656" s="28"/>
    </row>
    <row r="1657" spans="1:185" s="25" customFormat="1" x14ac:dyDescent="0.3">
      <c r="A1657" s="27"/>
      <c r="B1657" s="28"/>
      <c r="C1657" s="27"/>
      <c r="D1657" s="26"/>
      <c r="E1657" s="28"/>
      <c r="H1657" s="28"/>
      <c r="K1657" s="28"/>
      <c r="N1657" s="28"/>
      <c r="Q1657" s="28"/>
      <c r="T1657" s="28"/>
      <c r="W1657" s="28"/>
      <c r="Z1657" s="28"/>
      <c r="AC1657" s="28"/>
      <c r="AF1657" s="28"/>
      <c r="AI1657" s="28"/>
      <c r="AL1657" s="28"/>
      <c r="AO1657" s="28"/>
      <c r="AR1657" s="28"/>
      <c r="AU1657" s="28"/>
      <c r="AX1657" s="28"/>
      <c r="BA1657" s="28"/>
      <c r="BD1657" s="28"/>
      <c r="BG1657" s="28"/>
      <c r="BJ1657" s="28"/>
      <c r="BM1657" s="28"/>
      <c r="BP1657" s="28"/>
      <c r="BS1657" s="28"/>
      <c r="BV1657" s="28"/>
      <c r="BY1657" s="28"/>
      <c r="CB1657" s="28"/>
      <c r="CE1657" s="28"/>
      <c r="CH1657" s="28"/>
      <c r="CK1657" s="28"/>
      <c r="CN1657" s="28"/>
      <c r="CQ1657" s="28"/>
      <c r="CT1657" s="28"/>
      <c r="CW1657" s="28"/>
      <c r="CZ1657" s="28"/>
      <c r="DC1657" s="28"/>
      <c r="DF1657" s="28"/>
      <c r="DI1657" s="28"/>
      <c r="DL1657" s="28"/>
      <c r="DO1657" s="28"/>
      <c r="DR1657" s="28"/>
      <c r="DU1657" s="28"/>
      <c r="DX1657" s="28"/>
      <c r="EA1657" s="28"/>
      <c r="ED1657" s="28"/>
      <c r="EG1657" s="28"/>
      <c r="EJ1657" s="28"/>
      <c r="EM1657" s="28"/>
      <c r="EP1657" s="28"/>
      <c r="ES1657" s="28"/>
      <c r="EV1657" s="28"/>
      <c r="EY1657" s="28"/>
      <c r="FB1657" s="28"/>
      <c r="FE1657" s="28"/>
      <c r="FH1657" s="28"/>
      <c r="FK1657" s="28"/>
      <c r="FN1657" s="28"/>
      <c r="FQ1657" s="28"/>
      <c r="FT1657" s="28"/>
      <c r="FW1657" s="28"/>
      <c r="FZ1657" s="28"/>
      <c r="GC1657" s="28"/>
    </row>
    <row r="1658" spans="1:185" s="25" customFormat="1" x14ac:dyDescent="0.3">
      <c r="A1658" s="27"/>
      <c r="B1658" s="28"/>
      <c r="C1658" s="27"/>
      <c r="D1658" s="26"/>
      <c r="E1658" s="28"/>
      <c r="H1658" s="28"/>
      <c r="K1658" s="28"/>
      <c r="N1658" s="28"/>
      <c r="Q1658" s="28"/>
      <c r="T1658" s="28"/>
      <c r="W1658" s="28"/>
      <c r="Z1658" s="28"/>
      <c r="AC1658" s="28"/>
      <c r="AF1658" s="28"/>
      <c r="AI1658" s="28"/>
      <c r="AL1658" s="28"/>
      <c r="AO1658" s="28"/>
      <c r="AR1658" s="28"/>
      <c r="AU1658" s="28"/>
      <c r="AX1658" s="28"/>
      <c r="BA1658" s="28"/>
      <c r="BD1658" s="28"/>
      <c r="BG1658" s="28"/>
      <c r="BJ1658" s="28"/>
      <c r="BM1658" s="28"/>
      <c r="BP1658" s="28"/>
      <c r="BS1658" s="28"/>
      <c r="BV1658" s="28"/>
      <c r="BY1658" s="28"/>
      <c r="CB1658" s="28"/>
      <c r="CE1658" s="28"/>
      <c r="CH1658" s="28"/>
      <c r="CK1658" s="28"/>
      <c r="CN1658" s="28"/>
      <c r="CQ1658" s="28"/>
      <c r="CT1658" s="28"/>
      <c r="CW1658" s="28"/>
      <c r="CZ1658" s="28"/>
      <c r="DC1658" s="28"/>
      <c r="DF1658" s="28"/>
      <c r="DI1658" s="28"/>
      <c r="DL1658" s="28"/>
      <c r="DO1658" s="28"/>
      <c r="DR1658" s="28"/>
      <c r="DU1658" s="28"/>
      <c r="DX1658" s="28"/>
      <c r="EA1658" s="28"/>
      <c r="ED1658" s="28"/>
      <c r="EG1658" s="28"/>
      <c r="EJ1658" s="28"/>
      <c r="EM1658" s="28"/>
      <c r="EP1658" s="28"/>
      <c r="ES1658" s="28"/>
      <c r="EV1658" s="28"/>
      <c r="EY1658" s="28"/>
      <c r="FB1658" s="28"/>
      <c r="FE1658" s="28"/>
      <c r="FH1658" s="28"/>
      <c r="FK1658" s="28"/>
      <c r="FN1658" s="28"/>
      <c r="FQ1658" s="28"/>
      <c r="FT1658" s="28"/>
      <c r="FW1658" s="28"/>
      <c r="FZ1658" s="28"/>
      <c r="GC1658" s="28"/>
    </row>
    <row r="1659" spans="1:185" s="25" customFormat="1" x14ac:dyDescent="0.3">
      <c r="A1659" s="27"/>
      <c r="B1659" s="28"/>
      <c r="C1659" s="27"/>
      <c r="D1659" s="26"/>
      <c r="E1659" s="28"/>
      <c r="H1659" s="28"/>
      <c r="K1659" s="28"/>
      <c r="N1659" s="28"/>
      <c r="Q1659" s="28"/>
      <c r="T1659" s="28"/>
      <c r="W1659" s="28"/>
      <c r="Z1659" s="28"/>
      <c r="AC1659" s="28"/>
      <c r="AF1659" s="28"/>
      <c r="AI1659" s="28"/>
      <c r="AL1659" s="28"/>
      <c r="AO1659" s="28"/>
      <c r="AR1659" s="28"/>
      <c r="AU1659" s="28"/>
      <c r="AX1659" s="28"/>
      <c r="BA1659" s="28"/>
      <c r="BD1659" s="28"/>
      <c r="BG1659" s="28"/>
      <c r="BJ1659" s="28"/>
      <c r="BM1659" s="28"/>
      <c r="BP1659" s="28"/>
      <c r="BS1659" s="28"/>
      <c r="BV1659" s="28"/>
      <c r="BY1659" s="28"/>
      <c r="CB1659" s="28"/>
      <c r="CE1659" s="28"/>
      <c r="CH1659" s="28"/>
      <c r="CK1659" s="28"/>
      <c r="CN1659" s="28"/>
      <c r="CQ1659" s="28"/>
      <c r="CT1659" s="28"/>
      <c r="CW1659" s="28"/>
      <c r="CZ1659" s="28"/>
      <c r="DC1659" s="28"/>
      <c r="DF1659" s="28"/>
      <c r="DI1659" s="28"/>
      <c r="DL1659" s="28"/>
      <c r="DO1659" s="28"/>
      <c r="DR1659" s="28"/>
      <c r="DU1659" s="28"/>
      <c r="DX1659" s="28"/>
      <c r="EA1659" s="28"/>
      <c r="ED1659" s="28"/>
      <c r="EG1659" s="28"/>
      <c r="EJ1659" s="28"/>
      <c r="EM1659" s="28"/>
      <c r="EP1659" s="28"/>
      <c r="ES1659" s="28"/>
      <c r="EV1659" s="28"/>
      <c r="EY1659" s="28"/>
      <c r="FB1659" s="28"/>
      <c r="FE1659" s="28"/>
      <c r="FH1659" s="28"/>
      <c r="FK1659" s="28"/>
      <c r="FN1659" s="28"/>
      <c r="FQ1659" s="28"/>
      <c r="FT1659" s="28"/>
      <c r="FW1659" s="28"/>
      <c r="FZ1659" s="28"/>
      <c r="GC1659" s="28"/>
    </row>
    <row r="1660" spans="1:185" s="25" customFormat="1" x14ac:dyDescent="0.3">
      <c r="A1660" s="27"/>
      <c r="B1660" s="28"/>
      <c r="C1660" s="27"/>
      <c r="D1660" s="26"/>
      <c r="E1660" s="28"/>
      <c r="H1660" s="28"/>
      <c r="K1660" s="28"/>
      <c r="N1660" s="28"/>
      <c r="Q1660" s="28"/>
      <c r="T1660" s="28"/>
      <c r="W1660" s="28"/>
      <c r="Z1660" s="28"/>
      <c r="AC1660" s="28"/>
      <c r="AF1660" s="28"/>
      <c r="AI1660" s="28"/>
      <c r="AL1660" s="28"/>
      <c r="AO1660" s="28"/>
      <c r="AR1660" s="28"/>
      <c r="AU1660" s="28"/>
      <c r="AX1660" s="28"/>
      <c r="BA1660" s="28"/>
      <c r="BD1660" s="28"/>
      <c r="BG1660" s="28"/>
      <c r="BJ1660" s="28"/>
      <c r="BM1660" s="28"/>
      <c r="BP1660" s="28"/>
      <c r="BS1660" s="28"/>
      <c r="BV1660" s="28"/>
      <c r="BY1660" s="28"/>
      <c r="CB1660" s="28"/>
      <c r="CE1660" s="28"/>
      <c r="CH1660" s="28"/>
      <c r="CK1660" s="28"/>
      <c r="CN1660" s="28"/>
      <c r="CQ1660" s="28"/>
      <c r="CT1660" s="28"/>
      <c r="CW1660" s="28"/>
      <c r="CZ1660" s="28"/>
      <c r="DC1660" s="28"/>
      <c r="DF1660" s="28"/>
      <c r="DI1660" s="28"/>
      <c r="DL1660" s="28"/>
      <c r="DO1660" s="28"/>
      <c r="DR1660" s="28"/>
      <c r="DU1660" s="28"/>
      <c r="DX1660" s="28"/>
      <c r="EA1660" s="28"/>
      <c r="ED1660" s="28"/>
      <c r="EG1660" s="28"/>
      <c r="EJ1660" s="28"/>
      <c r="EM1660" s="28"/>
      <c r="EP1660" s="28"/>
      <c r="ES1660" s="28"/>
      <c r="EV1660" s="28"/>
      <c r="EY1660" s="28"/>
      <c r="FB1660" s="28"/>
      <c r="FE1660" s="28"/>
      <c r="FH1660" s="28"/>
      <c r="FK1660" s="28"/>
      <c r="FN1660" s="28"/>
      <c r="FQ1660" s="28"/>
      <c r="FT1660" s="28"/>
      <c r="FW1660" s="28"/>
      <c r="FZ1660" s="28"/>
      <c r="GC1660" s="28"/>
    </row>
    <row r="1661" spans="1:185" s="25" customFormat="1" x14ac:dyDescent="0.3">
      <c r="A1661" s="27"/>
      <c r="B1661" s="28"/>
      <c r="C1661" s="27"/>
      <c r="D1661" s="26"/>
      <c r="E1661" s="28"/>
      <c r="H1661" s="28"/>
      <c r="K1661" s="28"/>
      <c r="N1661" s="28"/>
      <c r="Q1661" s="28"/>
      <c r="T1661" s="28"/>
      <c r="W1661" s="28"/>
      <c r="Z1661" s="28"/>
      <c r="AC1661" s="28"/>
      <c r="AF1661" s="28"/>
      <c r="AI1661" s="28"/>
      <c r="AL1661" s="28"/>
      <c r="AO1661" s="28"/>
      <c r="AR1661" s="28"/>
      <c r="AU1661" s="28"/>
      <c r="AX1661" s="28"/>
      <c r="BA1661" s="28"/>
      <c r="BD1661" s="28"/>
      <c r="BG1661" s="28"/>
      <c r="BJ1661" s="28"/>
      <c r="BM1661" s="28"/>
      <c r="BP1661" s="28"/>
      <c r="BS1661" s="28"/>
      <c r="BV1661" s="28"/>
      <c r="BY1661" s="28"/>
      <c r="CB1661" s="28"/>
      <c r="CE1661" s="28"/>
      <c r="CH1661" s="28"/>
      <c r="CK1661" s="28"/>
      <c r="CN1661" s="28"/>
      <c r="CQ1661" s="28"/>
      <c r="CT1661" s="28"/>
      <c r="CW1661" s="28"/>
      <c r="CZ1661" s="28"/>
      <c r="DC1661" s="28"/>
      <c r="DF1661" s="28"/>
      <c r="DI1661" s="28"/>
      <c r="DL1661" s="28"/>
      <c r="DO1661" s="28"/>
      <c r="DR1661" s="28"/>
      <c r="DU1661" s="28"/>
      <c r="DX1661" s="28"/>
      <c r="EA1661" s="28"/>
      <c r="ED1661" s="28"/>
      <c r="EG1661" s="28"/>
      <c r="EJ1661" s="28"/>
      <c r="EM1661" s="28"/>
      <c r="EP1661" s="28"/>
      <c r="ES1661" s="28"/>
      <c r="EV1661" s="28"/>
      <c r="EY1661" s="28"/>
      <c r="FB1661" s="28"/>
      <c r="FE1661" s="28"/>
      <c r="FH1661" s="28"/>
      <c r="FK1661" s="28"/>
      <c r="FN1661" s="28"/>
      <c r="FQ1661" s="28"/>
      <c r="FT1661" s="28"/>
      <c r="FW1661" s="28"/>
      <c r="FZ1661" s="28"/>
      <c r="GC1661" s="28"/>
    </row>
    <row r="1662" spans="1:185" s="25" customFormat="1" x14ac:dyDescent="0.3">
      <c r="A1662" s="27"/>
      <c r="B1662" s="28"/>
      <c r="C1662" s="27"/>
      <c r="D1662" s="26"/>
      <c r="E1662" s="28"/>
      <c r="H1662" s="28"/>
      <c r="K1662" s="28"/>
      <c r="N1662" s="28"/>
      <c r="Q1662" s="28"/>
      <c r="T1662" s="28"/>
      <c r="W1662" s="28"/>
      <c r="Z1662" s="28"/>
      <c r="AC1662" s="28"/>
      <c r="AF1662" s="28"/>
      <c r="AI1662" s="28"/>
      <c r="AL1662" s="28"/>
      <c r="AO1662" s="28"/>
      <c r="AR1662" s="28"/>
      <c r="AU1662" s="28"/>
      <c r="AX1662" s="28"/>
      <c r="BA1662" s="28"/>
      <c r="BD1662" s="28"/>
      <c r="BG1662" s="28"/>
      <c r="BJ1662" s="28"/>
      <c r="BM1662" s="28"/>
      <c r="BP1662" s="28"/>
      <c r="BS1662" s="28"/>
      <c r="BV1662" s="28"/>
      <c r="BY1662" s="28"/>
      <c r="CB1662" s="28"/>
      <c r="CE1662" s="28"/>
      <c r="CH1662" s="28"/>
      <c r="CK1662" s="28"/>
      <c r="CN1662" s="28"/>
      <c r="CQ1662" s="28"/>
      <c r="CT1662" s="28"/>
      <c r="CW1662" s="28"/>
      <c r="CZ1662" s="28"/>
      <c r="DC1662" s="28"/>
      <c r="DF1662" s="28"/>
      <c r="DI1662" s="28"/>
      <c r="DL1662" s="28"/>
      <c r="DO1662" s="28"/>
      <c r="DR1662" s="28"/>
      <c r="DU1662" s="28"/>
      <c r="DX1662" s="28"/>
      <c r="EA1662" s="28"/>
      <c r="ED1662" s="28"/>
      <c r="EG1662" s="28"/>
      <c r="EJ1662" s="28"/>
      <c r="EM1662" s="28"/>
      <c r="EP1662" s="28"/>
      <c r="ES1662" s="28"/>
      <c r="EV1662" s="28"/>
      <c r="EY1662" s="28"/>
      <c r="FB1662" s="28"/>
      <c r="FE1662" s="28"/>
      <c r="FH1662" s="28"/>
      <c r="FK1662" s="28"/>
      <c r="FN1662" s="28"/>
      <c r="FQ1662" s="28"/>
      <c r="FT1662" s="28"/>
      <c r="FW1662" s="28"/>
      <c r="FZ1662" s="28"/>
      <c r="GC1662" s="28"/>
    </row>
    <row r="1663" spans="1:185" s="25" customFormat="1" x14ac:dyDescent="0.3">
      <c r="A1663" s="27"/>
      <c r="B1663" s="28"/>
      <c r="C1663" s="27"/>
      <c r="D1663" s="26"/>
      <c r="E1663" s="28"/>
      <c r="H1663" s="28"/>
      <c r="K1663" s="28"/>
      <c r="N1663" s="28"/>
      <c r="Q1663" s="28"/>
      <c r="T1663" s="28"/>
      <c r="W1663" s="28"/>
      <c r="Z1663" s="28"/>
      <c r="AC1663" s="28"/>
      <c r="AF1663" s="28"/>
      <c r="AI1663" s="28"/>
      <c r="AL1663" s="28"/>
      <c r="AO1663" s="28"/>
      <c r="AR1663" s="28"/>
      <c r="AU1663" s="28"/>
      <c r="AX1663" s="28"/>
      <c r="BA1663" s="28"/>
      <c r="BD1663" s="28"/>
      <c r="BG1663" s="28"/>
      <c r="BJ1663" s="28"/>
      <c r="BM1663" s="28"/>
      <c r="BP1663" s="28"/>
      <c r="BS1663" s="28"/>
      <c r="BV1663" s="28"/>
      <c r="BY1663" s="28"/>
      <c r="CB1663" s="28"/>
      <c r="CE1663" s="28"/>
      <c r="CH1663" s="28"/>
      <c r="CK1663" s="28"/>
      <c r="CN1663" s="28"/>
      <c r="CQ1663" s="28"/>
      <c r="CT1663" s="28"/>
      <c r="CW1663" s="28"/>
      <c r="CZ1663" s="28"/>
      <c r="DC1663" s="28"/>
      <c r="DF1663" s="28"/>
      <c r="DI1663" s="28"/>
      <c r="DL1663" s="28"/>
      <c r="DO1663" s="28"/>
      <c r="DR1663" s="28"/>
      <c r="DU1663" s="28"/>
      <c r="DX1663" s="28"/>
      <c r="EA1663" s="28"/>
      <c r="ED1663" s="28"/>
      <c r="EG1663" s="28"/>
      <c r="EJ1663" s="28"/>
      <c r="EM1663" s="28"/>
      <c r="EP1663" s="28"/>
      <c r="ES1663" s="28"/>
      <c r="EV1663" s="28"/>
      <c r="EY1663" s="28"/>
      <c r="FB1663" s="28"/>
      <c r="FE1663" s="28"/>
      <c r="FH1663" s="28"/>
      <c r="FK1663" s="28"/>
      <c r="FN1663" s="28"/>
      <c r="FQ1663" s="28"/>
      <c r="FT1663" s="28"/>
      <c r="FW1663" s="28"/>
      <c r="FZ1663" s="28"/>
      <c r="GC1663" s="28"/>
    </row>
    <row r="1664" spans="1:185" s="25" customFormat="1" x14ac:dyDescent="0.3">
      <c r="A1664" s="27"/>
      <c r="B1664" s="28"/>
      <c r="C1664" s="27"/>
      <c r="D1664" s="26"/>
      <c r="E1664" s="28"/>
      <c r="H1664" s="28"/>
      <c r="K1664" s="28"/>
      <c r="N1664" s="28"/>
      <c r="Q1664" s="28"/>
      <c r="T1664" s="28"/>
      <c r="W1664" s="28"/>
      <c r="Z1664" s="28"/>
      <c r="AC1664" s="28"/>
      <c r="AF1664" s="28"/>
      <c r="AI1664" s="28"/>
      <c r="AL1664" s="28"/>
      <c r="AO1664" s="28"/>
      <c r="AR1664" s="28"/>
      <c r="AU1664" s="28"/>
      <c r="AX1664" s="28"/>
      <c r="BA1664" s="28"/>
      <c r="BD1664" s="28"/>
      <c r="BG1664" s="28"/>
      <c r="BJ1664" s="28"/>
      <c r="BM1664" s="28"/>
      <c r="BP1664" s="28"/>
      <c r="BS1664" s="28"/>
      <c r="BV1664" s="28"/>
      <c r="BY1664" s="28"/>
      <c r="CB1664" s="28"/>
      <c r="CE1664" s="28"/>
      <c r="CH1664" s="28"/>
      <c r="CK1664" s="28"/>
      <c r="CN1664" s="28"/>
      <c r="CQ1664" s="28"/>
      <c r="CT1664" s="28"/>
      <c r="CW1664" s="28"/>
      <c r="CZ1664" s="28"/>
      <c r="DC1664" s="28"/>
      <c r="DF1664" s="28"/>
      <c r="DI1664" s="28"/>
      <c r="DL1664" s="28"/>
      <c r="DO1664" s="28"/>
      <c r="DR1664" s="28"/>
      <c r="DU1664" s="28"/>
      <c r="DX1664" s="28"/>
      <c r="EA1664" s="28"/>
      <c r="ED1664" s="28"/>
      <c r="EG1664" s="28"/>
      <c r="EJ1664" s="28"/>
      <c r="EM1664" s="28"/>
      <c r="EP1664" s="28"/>
      <c r="ES1664" s="28"/>
      <c r="EV1664" s="28"/>
      <c r="EY1664" s="28"/>
      <c r="FB1664" s="28"/>
      <c r="FE1664" s="28"/>
      <c r="FH1664" s="28"/>
      <c r="FK1664" s="28"/>
      <c r="FN1664" s="28"/>
      <c r="FQ1664" s="28"/>
      <c r="FT1664" s="28"/>
      <c r="FW1664" s="28"/>
      <c r="FZ1664" s="28"/>
      <c r="GC1664" s="28"/>
    </row>
    <row r="1665" spans="1:185" s="25" customFormat="1" x14ac:dyDescent="0.3">
      <c r="A1665" s="27"/>
      <c r="B1665" s="28"/>
      <c r="C1665" s="27"/>
      <c r="D1665" s="26"/>
      <c r="E1665" s="28"/>
      <c r="H1665" s="28"/>
      <c r="K1665" s="28"/>
      <c r="N1665" s="28"/>
      <c r="Q1665" s="28"/>
      <c r="T1665" s="28"/>
      <c r="W1665" s="28"/>
      <c r="Z1665" s="28"/>
      <c r="AC1665" s="28"/>
      <c r="AF1665" s="28"/>
      <c r="AI1665" s="28"/>
      <c r="AL1665" s="28"/>
      <c r="AO1665" s="28"/>
      <c r="AR1665" s="28"/>
      <c r="AU1665" s="28"/>
      <c r="AX1665" s="28"/>
      <c r="BA1665" s="28"/>
      <c r="BD1665" s="28"/>
      <c r="BG1665" s="28"/>
      <c r="BJ1665" s="28"/>
      <c r="BM1665" s="28"/>
      <c r="BP1665" s="28"/>
      <c r="BS1665" s="28"/>
      <c r="BV1665" s="28"/>
      <c r="BY1665" s="28"/>
      <c r="CB1665" s="28"/>
      <c r="CE1665" s="28"/>
      <c r="CH1665" s="28"/>
      <c r="CK1665" s="28"/>
      <c r="CN1665" s="28"/>
      <c r="CQ1665" s="28"/>
      <c r="CT1665" s="28"/>
      <c r="CW1665" s="28"/>
      <c r="CZ1665" s="28"/>
      <c r="DC1665" s="28"/>
      <c r="DF1665" s="28"/>
      <c r="DI1665" s="28"/>
      <c r="DL1665" s="28"/>
      <c r="DO1665" s="28"/>
      <c r="DR1665" s="28"/>
      <c r="DU1665" s="28"/>
      <c r="DX1665" s="28"/>
      <c r="EA1665" s="28"/>
      <c r="ED1665" s="28"/>
      <c r="EG1665" s="28"/>
      <c r="EJ1665" s="28"/>
      <c r="EM1665" s="28"/>
      <c r="EP1665" s="28"/>
      <c r="ES1665" s="28"/>
      <c r="EV1665" s="28"/>
      <c r="EY1665" s="28"/>
      <c r="FB1665" s="28"/>
      <c r="FE1665" s="28"/>
      <c r="FH1665" s="28"/>
      <c r="FK1665" s="28"/>
      <c r="FN1665" s="28"/>
      <c r="FQ1665" s="28"/>
      <c r="FT1665" s="28"/>
      <c r="FW1665" s="28"/>
      <c r="FZ1665" s="28"/>
      <c r="GC1665" s="28"/>
    </row>
    <row r="1666" spans="1:185" s="25" customFormat="1" x14ac:dyDescent="0.3">
      <c r="A1666" s="27"/>
      <c r="B1666" s="28"/>
      <c r="C1666" s="27"/>
      <c r="D1666" s="26"/>
      <c r="E1666" s="28"/>
      <c r="H1666" s="28"/>
      <c r="K1666" s="28"/>
      <c r="N1666" s="28"/>
      <c r="Q1666" s="28"/>
      <c r="T1666" s="28"/>
      <c r="W1666" s="28"/>
      <c r="Z1666" s="28"/>
      <c r="AC1666" s="28"/>
      <c r="AF1666" s="28"/>
      <c r="AI1666" s="28"/>
      <c r="AL1666" s="28"/>
      <c r="AO1666" s="28"/>
      <c r="AR1666" s="28"/>
      <c r="AU1666" s="28"/>
      <c r="AX1666" s="28"/>
      <c r="BA1666" s="28"/>
      <c r="BD1666" s="28"/>
      <c r="BG1666" s="28"/>
      <c r="BJ1666" s="28"/>
      <c r="BM1666" s="28"/>
      <c r="BP1666" s="28"/>
      <c r="BS1666" s="28"/>
      <c r="BV1666" s="28"/>
      <c r="BY1666" s="28"/>
      <c r="CB1666" s="28"/>
      <c r="CE1666" s="28"/>
      <c r="CH1666" s="28"/>
      <c r="CK1666" s="28"/>
      <c r="CN1666" s="28"/>
      <c r="CQ1666" s="28"/>
      <c r="CT1666" s="28"/>
      <c r="CW1666" s="28"/>
      <c r="CZ1666" s="28"/>
      <c r="DC1666" s="28"/>
      <c r="DF1666" s="28"/>
      <c r="DI1666" s="28"/>
      <c r="DL1666" s="28"/>
      <c r="DO1666" s="28"/>
      <c r="DR1666" s="28"/>
      <c r="DU1666" s="28"/>
      <c r="DX1666" s="28"/>
      <c r="EA1666" s="28"/>
      <c r="ED1666" s="28"/>
      <c r="EG1666" s="28"/>
      <c r="EJ1666" s="28"/>
      <c r="EM1666" s="28"/>
      <c r="EP1666" s="28"/>
      <c r="ES1666" s="28"/>
      <c r="EV1666" s="28"/>
      <c r="EY1666" s="28"/>
      <c r="FB1666" s="28"/>
      <c r="FE1666" s="28"/>
      <c r="FH1666" s="28"/>
      <c r="FK1666" s="28"/>
      <c r="FN1666" s="28"/>
      <c r="FQ1666" s="28"/>
      <c r="FT1666" s="28"/>
      <c r="FW1666" s="28"/>
      <c r="FZ1666" s="28"/>
      <c r="GC1666" s="28"/>
    </row>
    <row r="1667" spans="1:185" s="25" customFormat="1" x14ac:dyDescent="0.3">
      <c r="A1667" s="27"/>
      <c r="B1667" s="28"/>
      <c r="C1667" s="27"/>
      <c r="D1667" s="26"/>
      <c r="E1667" s="28"/>
      <c r="H1667" s="28"/>
      <c r="K1667" s="28"/>
      <c r="N1667" s="28"/>
      <c r="Q1667" s="28"/>
      <c r="T1667" s="28"/>
      <c r="W1667" s="28"/>
      <c r="Z1667" s="28"/>
      <c r="AC1667" s="28"/>
      <c r="AF1667" s="28"/>
      <c r="AI1667" s="28"/>
      <c r="AL1667" s="28"/>
      <c r="AO1667" s="28"/>
      <c r="AR1667" s="28"/>
      <c r="AU1667" s="28"/>
      <c r="AX1667" s="28"/>
      <c r="BA1667" s="28"/>
      <c r="BD1667" s="28"/>
      <c r="BG1667" s="28"/>
      <c r="BJ1667" s="28"/>
      <c r="BM1667" s="28"/>
      <c r="BP1667" s="28"/>
      <c r="BS1667" s="28"/>
      <c r="BV1667" s="28"/>
      <c r="BY1667" s="28"/>
      <c r="CB1667" s="28"/>
      <c r="CE1667" s="28"/>
      <c r="CH1667" s="28"/>
      <c r="CK1667" s="28"/>
      <c r="CN1667" s="28"/>
      <c r="CQ1667" s="28"/>
      <c r="CT1667" s="28"/>
      <c r="CW1667" s="28"/>
      <c r="CZ1667" s="28"/>
      <c r="DC1667" s="28"/>
      <c r="DF1667" s="28"/>
      <c r="DI1667" s="28"/>
      <c r="DL1667" s="28"/>
      <c r="DO1667" s="28"/>
      <c r="DR1667" s="28"/>
      <c r="DU1667" s="28"/>
      <c r="DX1667" s="28"/>
      <c r="EA1667" s="28"/>
      <c r="ED1667" s="28"/>
      <c r="EG1667" s="28"/>
      <c r="EJ1667" s="28"/>
      <c r="EM1667" s="28"/>
      <c r="EP1667" s="28"/>
      <c r="ES1667" s="28"/>
      <c r="EV1667" s="28"/>
      <c r="EY1667" s="28"/>
      <c r="FB1667" s="28"/>
      <c r="FE1667" s="28"/>
      <c r="FH1667" s="28"/>
      <c r="FK1667" s="28"/>
      <c r="FN1667" s="28"/>
      <c r="FQ1667" s="28"/>
      <c r="FT1667" s="28"/>
      <c r="FW1667" s="28"/>
      <c r="FZ1667" s="28"/>
      <c r="GC1667" s="28"/>
    </row>
    <row r="1668" spans="1:185" s="25" customFormat="1" x14ac:dyDescent="0.3">
      <c r="A1668" s="27"/>
      <c r="B1668" s="28"/>
      <c r="C1668" s="27"/>
      <c r="D1668" s="26"/>
      <c r="E1668" s="28"/>
      <c r="H1668" s="28"/>
      <c r="K1668" s="28"/>
      <c r="N1668" s="28"/>
      <c r="Q1668" s="28"/>
      <c r="T1668" s="28"/>
      <c r="W1668" s="28"/>
      <c r="Z1668" s="28"/>
      <c r="AC1668" s="28"/>
      <c r="AF1668" s="28"/>
      <c r="AI1668" s="28"/>
      <c r="AL1668" s="28"/>
      <c r="AO1668" s="28"/>
      <c r="AR1668" s="28"/>
      <c r="AU1668" s="28"/>
      <c r="AX1668" s="28"/>
      <c r="BA1668" s="28"/>
      <c r="BD1668" s="28"/>
      <c r="BG1668" s="28"/>
      <c r="BJ1668" s="28"/>
      <c r="BM1668" s="28"/>
      <c r="BP1668" s="28"/>
      <c r="BS1668" s="28"/>
      <c r="BV1668" s="28"/>
      <c r="BY1668" s="28"/>
      <c r="CB1668" s="28"/>
      <c r="CE1668" s="28"/>
      <c r="CH1668" s="28"/>
      <c r="CK1668" s="28"/>
      <c r="CN1668" s="28"/>
      <c r="CQ1668" s="28"/>
      <c r="CT1668" s="28"/>
      <c r="CW1668" s="28"/>
      <c r="CZ1668" s="28"/>
      <c r="DC1668" s="28"/>
      <c r="DF1668" s="28"/>
      <c r="DI1668" s="28"/>
      <c r="DL1668" s="28"/>
      <c r="DO1668" s="28"/>
      <c r="DR1668" s="28"/>
      <c r="DU1668" s="28"/>
      <c r="DX1668" s="28"/>
      <c r="EA1668" s="28"/>
      <c r="ED1668" s="28"/>
      <c r="EG1668" s="28"/>
      <c r="EJ1668" s="28"/>
      <c r="EM1668" s="28"/>
      <c r="EP1668" s="28"/>
      <c r="ES1668" s="28"/>
      <c r="EV1668" s="28"/>
      <c r="EY1668" s="28"/>
      <c r="FB1668" s="28"/>
      <c r="FE1668" s="28"/>
      <c r="FH1668" s="28"/>
      <c r="FK1668" s="28"/>
      <c r="FN1668" s="28"/>
      <c r="FQ1668" s="28"/>
      <c r="FT1668" s="28"/>
      <c r="FW1668" s="28"/>
      <c r="FZ1668" s="28"/>
      <c r="GC1668" s="28"/>
    </row>
    <row r="1669" spans="1:185" s="25" customFormat="1" x14ac:dyDescent="0.3">
      <c r="A1669" s="27"/>
      <c r="B1669" s="28"/>
      <c r="C1669" s="27"/>
      <c r="D1669" s="26"/>
      <c r="E1669" s="28"/>
      <c r="H1669" s="28"/>
      <c r="K1669" s="28"/>
      <c r="N1669" s="28"/>
      <c r="Q1669" s="28"/>
      <c r="T1669" s="28"/>
      <c r="W1669" s="28"/>
      <c r="Z1669" s="28"/>
      <c r="AC1669" s="28"/>
      <c r="AF1669" s="28"/>
      <c r="AI1669" s="28"/>
      <c r="AL1669" s="28"/>
      <c r="AO1669" s="28"/>
      <c r="AR1669" s="28"/>
      <c r="AU1669" s="28"/>
      <c r="AX1669" s="28"/>
      <c r="BA1669" s="28"/>
      <c r="BD1669" s="28"/>
      <c r="BG1669" s="28"/>
      <c r="BJ1669" s="28"/>
      <c r="BM1669" s="28"/>
      <c r="BP1669" s="28"/>
      <c r="BS1669" s="28"/>
      <c r="BV1669" s="28"/>
      <c r="BY1669" s="28"/>
      <c r="CB1669" s="28"/>
      <c r="CE1669" s="28"/>
      <c r="CH1669" s="28"/>
      <c r="CK1669" s="28"/>
      <c r="CN1669" s="28"/>
      <c r="CQ1669" s="28"/>
      <c r="CT1669" s="28"/>
      <c r="CW1669" s="28"/>
      <c r="CZ1669" s="28"/>
      <c r="DC1669" s="28"/>
      <c r="DF1669" s="28"/>
      <c r="DI1669" s="28"/>
      <c r="DL1669" s="28"/>
      <c r="DO1669" s="28"/>
      <c r="DR1669" s="28"/>
      <c r="DU1669" s="28"/>
      <c r="DX1669" s="28"/>
      <c r="EA1669" s="28"/>
      <c r="ED1669" s="28"/>
      <c r="EG1669" s="28"/>
      <c r="EJ1669" s="28"/>
      <c r="EM1669" s="28"/>
      <c r="EP1669" s="28"/>
      <c r="ES1669" s="28"/>
      <c r="EV1669" s="28"/>
      <c r="EY1669" s="28"/>
      <c r="FB1669" s="28"/>
      <c r="FE1669" s="28"/>
      <c r="FH1669" s="28"/>
      <c r="FK1669" s="28"/>
      <c r="FN1669" s="28"/>
      <c r="FQ1669" s="28"/>
      <c r="FT1669" s="28"/>
      <c r="FW1669" s="28"/>
      <c r="FZ1669" s="28"/>
      <c r="GC1669" s="28"/>
    </row>
    <row r="1670" spans="1:185" s="25" customFormat="1" x14ac:dyDescent="0.3">
      <c r="A1670" s="27"/>
      <c r="B1670" s="28"/>
      <c r="C1670" s="27"/>
      <c r="D1670" s="26"/>
      <c r="E1670" s="28"/>
      <c r="H1670" s="28"/>
      <c r="K1670" s="28"/>
      <c r="N1670" s="28"/>
      <c r="Q1670" s="28"/>
      <c r="T1670" s="28"/>
      <c r="W1670" s="28"/>
      <c r="Z1670" s="28"/>
      <c r="AC1670" s="28"/>
      <c r="AF1670" s="28"/>
      <c r="AI1670" s="28"/>
      <c r="AL1670" s="28"/>
      <c r="AO1670" s="28"/>
      <c r="AR1670" s="28"/>
      <c r="AU1670" s="28"/>
      <c r="AX1670" s="28"/>
      <c r="BA1670" s="28"/>
      <c r="BD1670" s="28"/>
      <c r="BG1670" s="28"/>
      <c r="BJ1670" s="28"/>
      <c r="BM1670" s="28"/>
      <c r="BP1670" s="28"/>
      <c r="BS1670" s="28"/>
      <c r="BV1670" s="28"/>
      <c r="BY1670" s="28"/>
      <c r="CB1670" s="28"/>
      <c r="CE1670" s="28"/>
      <c r="CH1670" s="28"/>
      <c r="CK1670" s="28"/>
      <c r="CN1670" s="28"/>
      <c r="CQ1670" s="28"/>
      <c r="CT1670" s="28"/>
      <c r="CW1670" s="28"/>
      <c r="CZ1670" s="28"/>
      <c r="DC1670" s="28"/>
      <c r="DF1670" s="28"/>
      <c r="DI1670" s="28"/>
      <c r="DL1670" s="28"/>
      <c r="DO1670" s="28"/>
      <c r="DR1670" s="28"/>
      <c r="DU1670" s="28"/>
      <c r="DX1670" s="28"/>
      <c r="EA1670" s="28"/>
      <c r="ED1670" s="28"/>
      <c r="EG1670" s="28"/>
      <c r="EJ1670" s="28"/>
      <c r="EM1670" s="28"/>
      <c r="EP1670" s="28"/>
      <c r="ES1670" s="28"/>
      <c r="EV1670" s="28"/>
      <c r="EY1670" s="28"/>
      <c r="FB1670" s="28"/>
      <c r="FE1670" s="28"/>
      <c r="FH1670" s="28"/>
      <c r="FK1670" s="28"/>
      <c r="FN1670" s="28"/>
      <c r="FQ1670" s="28"/>
      <c r="FT1670" s="28"/>
      <c r="FW1670" s="28"/>
      <c r="FZ1670" s="28"/>
      <c r="GC1670" s="28"/>
    </row>
    <row r="1671" spans="1:185" s="25" customFormat="1" x14ac:dyDescent="0.3">
      <c r="A1671" s="27"/>
      <c r="B1671" s="28"/>
      <c r="C1671" s="27"/>
      <c r="D1671" s="26"/>
      <c r="E1671" s="28"/>
      <c r="H1671" s="28"/>
      <c r="K1671" s="28"/>
      <c r="N1671" s="28"/>
      <c r="Q1671" s="28"/>
      <c r="T1671" s="28"/>
      <c r="W1671" s="28"/>
      <c r="Z1671" s="28"/>
      <c r="AC1671" s="28"/>
      <c r="AF1671" s="28"/>
      <c r="AI1671" s="28"/>
      <c r="AL1671" s="28"/>
      <c r="AO1671" s="28"/>
      <c r="AR1671" s="28"/>
      <c r="AU1671" s="28"/>
      <c r="AX1671" s="28"/>
      <c r="BA1671" s="28"/>
      <c r="BD1671" s="28"/>
      <c r="BG1671" s="28"/>
      <c r="BJ1671" s="28"/>
      <c r="BM1671" s="28"/>
      <c r="BP1671" s="28"/>
      <c r="BS1671" s="28"/>
      <c r="BV1671" s="28"/>
      <c r="BY1671" s="28"/>
      <c r="CB1671" s="28"/>
      <c r="CE1671" s="28"/>
      <c r="CH1671" s="28"/>
      <c r="CK1671" s="28"/>
      <c r="CN1671" s="28"/>
      <c r="CQ1671" s="28"/>
      <c r="CT1671" s="28"/>
      <c r="CW1671" s="28"/>
      <c r="CZ1671" s="28"/>
      <c r="DC1671" s="28"/>
      <c r="DF1671" s="28"/>
      <c r="DI1671" s="28"/>
      <c r="DL1671" s="28"/>
      <c r="DO1671" s="28"/>
      <c r="DR1671" s="28"/>
      <c r="DU1671" s="28"/>
      <c r="DX1671" s="28"/>
      <c r="EA1671" s="28"/>
      <c r="ED1671" s="28"/>
      <c r="EG1671" s="28"/>
      <c r="EJ1671" s="28"/>
      <c r="EM1671" s="28"/>
      <c r="EP1671" s="28"/>
      <c r="ES1671" s="28"/>
      <c r="EV1671" s="28"/>
      <c r="EY1671" s="28"/>
      <c r="FB1671" s="28"/>
      <c r="FE1671" s="28"/>
      <c r="FH1671" s="28"/>
      <c r="FK1671" s="28"/>
      <c r="FN1671" s="28"/>
      <c r="FQ1671" s="28"/>
      <c r="FT1671" s="28"/>
      <c r="FW1671" s="28"/>
      <c r="FZ1671" s="28"/>
      <c r="GC1671" s="28"/>
    </row>
    <row r="1672" spans="1:185" s="25" customFormat="1" x14ac:dyDescent="0.3">
      <c r="A1672" s="27"/>
      <c r="B1672" s="28"/>
      <c r="C1672" s="27"/>
      <c r="D1672" s="26"/>
      <c r="E1672" s="28"/>
      <c r="H1672" s="28"/>
      <c r="K1672" s="28"/>
      <c r="N1672" s="28"/>
      <c r="Q1672" s="28"/>
      <c r="T1672" s="28"/>
      <c r="W1672" s="28"/>
      <c r="Z1672" s="28"/>
      <c r="AC1672" s="28"/>
      <c r="AF1672" s="28"/>
      <c r="AI1672" s="28"/>
      <c r="AL1672" s="28"/>
      <c r="AO1672" s="28"/>
      <c r="AR1672" s="28"/>
      <c r="AU1672" s="28"/>
      <c r="AX1672" s="28"/>
      <c r="BA1672" s="28"/>
      <c r="BD1672" s="28"/>
      <c r="BG1672" s="28"/>
      <c r="BJ1672" s="28"/>
      <c r="BM1672" s="28"/>
      <c r="BP1672" s="28"/>
      <c r="BS1672" s="28"/>
      <c r="BV1672" s="28"/>
      <c r="BY1672" s="28"/>
      <c r="CB1672" s="28"/>
      <c r="CE1672" s="28"/>
      <c r="CH1672" s="28"/>
      <c r="CK1672" s="28"/>
      <c r="CN1672" s="28"/>
      <c r="CQ1672" s="28"/>
      <c r="CT1672" s="28"/>
      <c r="CW1672" s="28"/>
      <c r="CZ1672" s="28"/>
      <c r="DC1672" s="28"/>
      <c r="DF1672" s="28"/>
      <c r="DI1672" s="28"/>
      <c r="DL1672" s="28"/>
      <c r="DO1672" s="28"/>
      <c r="DR1672" s="28"/>
      <c r="DU1672" s="28"/>
      <c r="DX1672" s="28"/>
      <c r="EA1672" s="28"/>
      <c r="ED1672" s="28"/>
      <c r="EG1672" s="28"/>
      <c r="EJ1672" s="28"/>
      <c r="EM1672" s="28"/>
      <c r="EP1672" s="28"/>
      <c r="ES1672" s="28"/>
      <c r="EV1672" s="28"/>
      <c r="EY1672" s="28"/>
      <c r="FB1672" s="28"/>
      <c r="FE1672" s="28"/>
      <c r="FH1672" s="28"/>
      <c r="FK1672" s="28"/>
      <c r="FN1672" s="28"/>
      <c r="FQ1672" s="28"/>
      <c r="FT1672" s="28"/>
      <c r="FW1672" s="28"/>
      <c r="FZ1672" s="28"/>
      <c r="GC1672" s="28"/>
    </row>
    <row r="1673" spans="1:185" s="25" customFormat="1" x14ac:dyDescent="0.3">
      <c r="A1673" s="27"/>
      <c r="B1673" s="28"/>
      <c r="C1673" s="27"/>
      <c r="D1673" s="26"/>
      <c r="E1673" s="28"/>
      <c r="H1673" s="28"/>
      <c r="K1673" s="28"/>
      <c r="N1673" s="28"/>
      <c r="Q1673" s="28"/>
      <c r="T1673" s="28"/>
      <c r="W1673" s="28"/>
      <c r="Z1673" s="28"/>
      <c r="AC1673" s="28"/>
      <c r="AF1673" s="28"/>
      <c r="AI1673" s="28"/>
      <c r="AL1673" s="28"/>
      <c r="AO1673" s="28"/>
      <c r="AR1673" s="28"/>
      <c r="AU1673" s="28"/>
      <c r="AX1673" s="28"/>
      <c r="BA1673" s="28"/>
      <c r="BD1673" s="28"/>
      <c r="BG1673" s="28"/>
      <c r="BJ1673" s="28"/>
      <c r="BM1673" s="28"/>
      <c r="BP1673" s="28"/>
      <c r="BS1673" s="28"/>
      <c r="BV1673" s="28"/>
      <c r="BY1673" s="28"/>
      <c r="CB1673" s="28"/>
      <c r="CE1673" s="28"/>
      <c r="CH1673" s="28"/>
      <c r="CK1673" s="28"/>
      <c r="CN1673" s="28"/>
      <c r="CQ1673" s="28"/>
      <c r="CT1673" s="28"/>
      <c r="CW1673" s="28"/>
      <c r="CZ1673" s="28"/>
      <c r="DC1673" s="28"/>
      <c r="DF1673" s="28"/>
      <c r="DI1673" s="28"/>
      <c r="DL1673" s="28"/>
      <c r="DO1673" s="28"/>
      <c r="DR1673" s="28"/>
      <c r="DU1673" s="28"/>
      <c r="DX1673" s="28"/>
      <c r="EA1673" s="28"/>
      <c r="ED1673" s="28"/>
      <c r="EG1673" s="28"/>
      <c r="EJ1673" s="28"/>
      <c r="EM1673" s="28"/>
      <c r="EP1673" s="28"/>
      <c r="ES1673" s="28"/>
      <c r="EV1673" s="28"/>
      <c r="EY1673" s="28"/>
      <c r="FB1673" s="28"/>
      <c r="FE1673" s="28"/>
      <c r="FH1673" s="28"/>
      <c r="FK1673" s="28"/>
      <c r="FN1673" s="28"/>
      <c r="FQ1673" s="28"/>
      <c r="FT1673" s="28"/>
      <c r="FW1673" s="28"/>
      <c r="FZ1673" s="28"/>
      <c r="GC1673" s="28"/>
    </row>
    <row r="1674" spans="1:185" s="25" customFormat="1" x14ac:dyDescent="0.3">
      <c r="A1674" s="27"/>
      <c r="B1674" s="28"/>
      <c r="C1674" s="27"/>
      <c r="D1674" s="26"/>
      <c r="E1674" s="28"/>
      <c r="H1674" s="28"/>
      <c r="K1674" s="28"/>
      <c r="N1674" s="28"/>
      <c r="Q1674" s="28"/>
      <c r="T1674" s="28"/>
      <c r="W1674" s="28"/>
      <c r="Z1674" s="28"/>
      <c r="AC1674" s="28"/>
      <c r="AF1674" s="28"/>
      <c r="AI1674" s="28"/>
      <c r="AL1674" s="28"/>
      <c r="AO1674" s="28"/>
      <c r="AR1674" s="28"/>
      <c r="AU1674" s="28"/>
      <c r="AX1674" s="28"/>
      <c r="BA1674" s="28"/>
      <c r="BD1674" s="28"/>
      <c r="BG1674" s="28"/>
      <c r="BJ1674" s="28"/>
      <c r="BM1674" s="28"/>
      <c r="BP1674" s="28"/>
      <c r="BS1674" s="28"/>
      <c r="BV1674" s="28"/>
      <c r="BY1674" s="28"/>
      <c r="CB1674" s="28"/>
      <c r="CE1674" s="28"/>
      <c r="CH1674" s="28"/>
      <c r="CK1674" s="28"/>
      <c r="CN1674" s="28"/>
      <c r="CQ1674" s="28"/>
      <c r="CT1674" s="28"/>
      <c r="CW1674" s="28"/>
      <c r="CZ1674" s="28"/>
      <c r="DC1674" s="28"/>
      <c r="DF1674" s="28"/>
      <c r="DI1674" s="28"/>
      <c r="DL1674" s="28"/>
      <c r="DO1674" s="28"/>
      <c r="DR1674" s="28"/>
      <c r="DU1674" s="28"/>
      <c r="DX1674" s="28"/>
      <c r="EA1674" s="28"/>
      <c r="ED1674" s="28"/>
      <c r="EG1674" s="28"/>
      <c r="EJ1674" s="28"/>
      <c r="EM1674" s="28"/>
      <c r="EP1674" s="28"/>
      <c r="ES1674" s="28"/>
      <c r="EV1674" s="28"/>
      <c r="EY1674" s="28"/>
      <c r="FB1674" s="28"/>
      <c r="FE1674" s="28"/>
      <c r="FH1674" s="28"/>
      <c r="FK1674" s="28"/>
      <c r="FN1674" s="28"/>
      <c r="FQ1674" s="28"/>
      <c r="FT1674" s="28"/>
      <c r="FW1674" s="28"/>
      <c r="FZ1674" s="28"/>
      <c r="GC1674" s="28"/>
    </row>
    <row r="1675" spans="1:185" s="25" customFormat="1" x14ac:dyDescent="0.3">
      <c r="A1675" s="27"/>
      <c r="B1675" s="28"/>
      <c r="C1675" s="27"/>
      <c r="D1675" s="26"/>
      <c r="E1675" s="28"/>
      <c r="H1675" s="28"/>
      <c r="K1675" s="28"/>
      <c r="N1675" s="28"/>
      <c r="Q1675" s="28"/>
      <c r="T1675" s="28"/>
      <c r="W1675" s="28"/>
      <c r="Z1675" s="28"/>
      <c r="AC1675" s="28"/>
      <c r="AF1675" s="28"/>
      <c r="AI1675" s="28"/>
      <c r="AL1675" s="28"/>
      <c r="AO1675" s="28"/>
      <c r="AR1675" s="28"/>
      <c r="AU1675" s="28"/>
      <c r="AX1675" s="28"/>
      <c r="BA1675" s="28"/>
      <c r="BD1675" s="28"/>
      <c r="BG1675" s="28"/>
      <c r="BJ1675" s="28"/>
      <c r="BM1675" s="28"/>
      <c r="BP1675" s="28"/>
      <c r="BS1675" s="28"/>
      <c r="BV1675" s="28"/>
      <c r="BY1675" s="28"/>
      <c r="CB1675" s="28"/>
      <c r="CE1675" s="28"/>
      <c r="CH1675" s="28"/>
      <c r="CK1675" s="28"/>
      <c r="CN1675" s="28"/>
      <c r="CQ1675" s="28"/>
      <c r="CT1675" s="28"/>
      <c r="CW1675" s="28"/>
      <c r="CZ1675" s="28"/>
      <c r="DC1675" s="28"/>
      <c r="DF1675" s="28"/>
      <c r="DI1675" s="28"/>
      <c r="DL1675" s="28"/>
      <c r="DO1675" s="28"/>
      <c r="DR1675" s="28"/>
      <c r="DU1675" s="28"/>
      <c r="DX1675" s="28"/>
      <c r="EA1675" s="28"/>
      <c r="ED1675" s="28"/>
      <c r="EG1675" s="28"/>
      <c r="EJ1675" s="28"/>
      <c r="EM1675" s="28"/>
      <c r="EP1675" s="28"/>
      <c r="ES1675" s="28"/>
      <c r="EV1675" s="28"/>
      <c r="EY1675" s="28"/>
      <c r="FB1675" s="28"/>
      <c r="FE1675" s="28"/>
      <c r="FH1675" s="28"/>
      <c r="FK1675" s="28"/>
      <c r="FN1675" s="28"/>
      <c r="FQ1675" s="28"/>
      <c r="FT1675" s="28"/>
      <c r="FW1675" s="28"/>
      <c r="FZ1675" s="28"/>
      <c r="GC1675" s="28"/>
    </row>
    <row r="1676" spans="1:185" s="25" customFormat="1" x14ac:dyDescent="0.3">
      <c r="A1676" s="27"/>
      <c r="B1676" s="28"/>
      <c r="C1676" s="27"/>
      <c r="D1676" s="26"/>
      <c r="E1676" s="28"/>
      <c r="H1676" s="28"/>
      <c r="K1676" s="28"/>
      <c r="N1676" s="28"/>
      <c r="Q1676" s="28"/>
      <c r="T1676" s="28"/>
      <c r="W1676" s="28"/>
      <c r="Z1676" s="28"/>
      <c r="AC1676" s="28"/>
      <c r="AF1676" s="28"/>
      <c r="AI1676" s="28"/>
      <c r="AL1676" s="28"/>
      <c r="AO1676" s="28"/>
      <c r="AR1676" s="28"/>
      <c r="AU1676" s="28"/>
      <c r="AX1676" s="28"/>
      <c r="BA1676" s="28"/>
      <c r="BD1676" s="28"/>
      <c r="BG1676" s="28"/>
      <c r="BJ1676" s="28"/>
      <c r="BM1676" s="28"/>
      <c r="BP1676" s="28"/>
      <c r="BS1676" s="28"/>
      <c r="BV1676" s="28"/>
      <c r="BY1676" s="28"/>
      <c r="CB1676" s="28"/>
      <c r="CE1676" s="28"/>
      <c r="CH1676" s="28"/>
      <c r="CK1676" s="28"/>
      <c r="CN1676" s="28"/>
      <c r="CQ1676" s="28"/>
      <c r="CT1676" s="28"/>
      <c r="CW1676" s="28"/>
      <c r="CZ1676" s="28"/>
      <c r="DC1676" s="28"/>
      <c r="DF1676" s="28"/>
      <c r="DI1676" s="28"/>
      <c r="DL1676" s="28"/>
      <c r="DO1676" s="28"/>
      <c r="DR1676" s="28"/>
      <c r="DU1676" s="28"/>
      <c r="DX1676" s="28"/>
      <c r="EA1676" s="28"/>
      <c r="ED1676" s="28"/>
      <c r="EG1676" s="28"/>
      <c r="EJ1676" s="28"/>
      <c r="EM1676" s="28"/>
      <c r="EP1676" s="28"/>
      <c r="ES1676" s="28"/>
      <c r="EV1676" s="28"/>
      <c r="EY1676" s="28"/>
      <c r="FB1676" s="28"/>
      <c r="FE1676" s="28"/>
      <c r="FH1676" s="28"/>
      <c r="FK1676" s="28"/>
      <c r="FN1676" s="28"/>
      <c r="FQ1676" s="28"/>
      <c r="FT1676" s="28"/>
      <c r="FW1676" s="28"/>
      <c r="FZ1676" s="28"/>
      <c r="GC1676" s="28"/>
    </row>
    <row r="1677" spans="1:185" s="25" customFormat="1" x14ac:dyDescent="0.3">
      <c r="A1677" s="27"/>
      <c r="B1677" s="28"/>
      <c r="C1677" s="27"/>
      <c r="D1677" s="26"/>
      <c r="E1677" s="28"/>
      <c r="H1677" s="28"/>
      <c r="K1677" s="28"/>
      <c r="N1677" s="28"/>
      <c r="Q1677" s="28"/>
      <c r="T1677" s="28"/>
      <c r="W1677" s="28"/>
      <c r="Z1677" s="28"/>
      <c r="AC1677" s="28"/>
      <c r="AF1677" s="28"/>
      <c r="AI1677" s="28"/>
      <c r="AL1677" s="28"/>
      <c r="AO1677" s="28"/>
      <c r="AR1677" s="28"/>
      <c r="AU1677" s="28"/>
      <c r="AX1677" s="28"/>
      <c r="BA1677" s="28"/>
      <c r="BD1677" s="28"/>
      <c r="BG1677" s="28"/>
      <c r="BJ1677" s="28"/>
      <c r="BM1677" s="28"/>
      <c r="BP1677" s="28"/>
      <c r="BS1677" s="28"/>
      <c r="BV1677" s="28"/>
      <c r="BY1677" s="28"/>
      <c r="CB1677" s="28"/>
      <c r="CE1677" s="28"/>
      <c r="CH1677" s="28"/>
      <c r="CK1677" s="28"/>
      <c r="CN1677" s="28"/>
      <c r="CQ1677" s="28"/>
      <c r="CT1677" s="28"/>
      <c r="CW1677" s="28"/>
      <c r="CZ1677" s="28"/>
      <c r="DC1677" s="28"/>
      <c r="DF1677" s="28"/>
      <c r="DI1677" s="28"/>
      <c r="DL1677" s="28"/>
      <c r="DO1677" s="28"/>
      <c r="DR1677" s="28"/>
      <c r="DU1677" s="28"/>
      <c r="DX1677" s="28"/>
      <c r="EA1677" s="28"/>
      <c r="ED1677" s="28"/>
      <c r="EG1677" s="28"/>
      <c r="EJ1677" s="28"/>
      <c r="EM1677" s="28"/>
      <c r="EP1677" s="28"/>
      <c r="ES1677" s="28"/>
      <c r="EV1677" s="28"/>
      <c r="EY1677" s="28"/>
      <c r="FB1677" s="28"/>
      <c r="FE1677" s="28"/>
      <c r="FH1677" s="28"/>
      <c r="FK1677" s="28"/>
      <c r="FN1677" s="28"/>
      <c r="FQ1677" s="28"/>
      <c r="FT1677" s="28"/>
      <c r="FW1677" s="28"/>
      <c r="FZ1677" s="28"/>
      <c r="GC1677" s="28"/>
    </row>
    <row r="1678" spans="1:185" s="25" customFormat="1" x14ac:dyDescent="0.3">
      <c r="A1678" s="27"/>
      <c r="B1678" s="28"/>
      <c r="C1678" s="27"/>
      <c r="D1678" s="26"/>
      <c r="E1678" s="28"/>
      <c r="H1678" s="28"/>
      <c r="K1678" s="28"/>
      <c r="N1678" s="28"/>
      <c r="Q1678" s="28"/>
      <c r="T1678" s="28"/>
      <c r="W1678" s="28"/>
      <c r="Z1678" s="28"/>
      <c r="AC1678" s="28"/>
      <c r="AF1678" s="28"/>
      <c r="AI1678" s="28"/>
      <c r="AL1678" s="28"/>
      <c r="AO1678" s="28"/>
      <c r="AR1678" s="28"/>
      <c r="AU1678" s="28"/>
      <c r="AX1678" s="28"/>
      <c r="BA1678" s="28"/>
      <c r="BD1678" s="28"/>
      <c r="BG1678" s="28"/>
      <c r="BJ1678" s="28"/>
      <c r="BM1678" s="28"/>
      <c r="BP1678" s="28"/>
      <c r="BS1678" s="28"/>
      <c r="BV1678" s="28"/>
      <c r="BY1678" s="28"/>
      <c r="CB1678" s="28"/>
      <c r="CE1678" s="28"/>
      <c r="CH1678" s="28"/>
      <c r="CK1678" s="28"/>
      <c r="CN1678" s="28"/>
      <c r="CQ1678" s="28"/>
      <c r="CT1678" s="28"/>
      <c r="CW1678" s="28"/>
      <c r="CZ1678" s="28"/>
      <c r="DC1678" s="28"/>
      <c r="DF1678" s="28"/>
      <c r="DI1678" s="28"/>
      <c r="DL1678" s="28"/>
      <c r="DO1678" s="28"/>
      <c r="DR1678" s="28"/>
      <c r="DU1678" s="28"/>
      <c r="DX1678" s="28"/>
      <c r="EA1678" s="28"/>
      <c r="ED1678" s="28"/>
      <c r="EG1678" s="28"/>
      <c r="EJ1678" s="28"/>
      <c r="EM1678" s="28"/>
      <c r="EP1678" s="28"/>
      <c r="ES1678" s="28"/>
      <c r="EV1678" s="28"/>
      <c r="EY1678" s="28"/>
      <c r="FB1678" s="28"/>
      <c r="FE1678" s="28"/>
      <c r="FH1678" s="28"/>
      <c r="FK1678" s="28"/>
      <c r="FN1678" s="28"/>
      <c r="FQ1678" s="28"/>
      <c r="FT1678" s="28"/>
      <c r="FW1678" s="28"/>
      <c r="FZ1678" s="28"/>
      <c r="GC1678" s="28"/>
    </row>
    <row r="1679" spans="1:185" s="25" customFormat="1" x14ac:dyDescent="0.3">
      <c r="A1679" s="27"/>
      <c r="B1679" s="28"/>
      <c r="C1679" s="27"/>
      <c r="D1679" s="26"/>
      <c r="E1679" s="28"/>
      <c r="H1679" s="28"/>
      <c r="K1679" s="28"/>
      <c r="N1679" s="28"/>
      <c r="Q1679" s="28"/>
      <c r="T1679" s="28"/>
      <c r="W1679" s="28"/>
      <c r="Z1679" s="28"/>
      <c r="AC1679" s="28"/>
      <c r="AF1679" s="28"/>
      <c r="AI1679" s="28"/>
      <c r="AL1679" s="28"/>
      <c r="AO1679" s="28"/>
      <c r="AR1679" s="28"/>
      <c r="AU1679" s="28"/>
      <c r="AX1679" s="28"/>
      <c r="BA1679" s="28"/>
      <c r="BD1679" s="28"/>
      <c r="BG1679" s="28"/>
      <c r="BJ1679" s="28"/>
      <c r="BM1679" s="28"/>
      <c r="BP1679" s="28"/>
      <c r="BS1679" s="28"/>
      <c r="BV1679" s="28"/>
      <c r="BY1679" s="28"/>
      <c r="CB1679" s="28"/>
      <c r="CE1679" s="28"/>
      <c r="CH1679" s="28"/>
      <c r="CK1679" s="28"/>
      <c r="CN1679" s="28"/>
      <c r="CQ1679" s="28"/>
      <c r="CT1679" s="28"/>
      <c r="CW1679" s="28"/>
      <c r="CZ1679" s="28"/>
      <c r="DC1679" s="28"/>
      <c r="DF1679" s="28"/>
      <c r="DI1679" s="28"/>
      <c r="DL1679" s="28"/>
      <c r="DO1679" s="28"/>
      <c r="DR1679" s="28"/>
      <c r="DU1679" s="28"/>
      <c r="DX1679" s="28"/>
      <c r="EA1679" s="28"/>
      <c r="ED1679" s="28"/>
      <c r="EG1679" s="28"/>
      <c r="EJ1679" s="28"/>
      <c r="EM1679" s="28"/>
      <c r="EP1679" s="28"/>
      <c r="ES1679" s="28"/>
      <c r="EV1679" s="28"/>
      <c r="EY1679" s="28"/>
      <c r="FB1679" s="28"/>
      <c r="FE1679" s="28"/>
      <c r="FH1679" s="28"/>
      <c r="FK1679" s="28"/>
      <c r="FN1679" s="28"/>
      <c r="FQ1679" s="28"/>
      <c r="FT1679" s="28"/>
      <c r="FW1679" s="28"/>
      <c r="FZ1679" s="28"/>
      <c r="GC1679" s="28"/>
    </row>
    <row r="1680" spans="1:185" s="25" customFormat="1" x14ac:dyDescent="0.3">
      <c r="A1680" s="27"/>
      <c r="B1680" s="28"/>
      <c r="C1680" s="27"/>
      <c r="D1680" s="26"/>
      <c r="E1680" s="28"/>
      <c r="H1680" s="28"/>
      <c r="K1680" s="28"/>
      <c r="N1680" s="28"/>
      <c r="Q1680" s="28"/>
      <c r="T1680" s="28"/>
      <c r="W1680" s="28"/>
      <c r="Z1680" s="28"/>
      <c r="AC1680" s="28"/>
      <c r="AF1680" s="28"/>
      <c r="AI1680" s="28"/>
      <c r="AL1680" s="28"/>
      <c r="AO1680" s="28"/>
      <c r="AR1680" s="28"/>
      <c r="AU1680" s="28"/>
      <c r="AX1680" s="28"/>
      <c r="BA1680" s="28"/>
      <c r="BD1680" s="28"/>
      <c r="BG1680" s="28"/>
      <c r="BJ1680" s="28"/>
      <c r="BM1680" s="28"/>
      <c r="BP1680" s="28"/>
      <c r="BS1680" s="28"/>
      <c r="BV1680" s="28"/>
      <c r="BY1680" s="28"/>
      <c r="CB1680" s="28"/>
      <c r="CE1680" s="28"/>
      <c r="CH1680" s="28"/>
      <c r="CK1680" s="28"/>
      <c r="CN1680" s="28"/>
      <c r="CQ1680" s="28"/>
      <c r="CT1680" s="28"/>
      <c r="CW1680" s="28"/>
      <c r="CZ1680" s="28"/>
      <c r="DC1680" s="28"/>
      <c r="DF1680" s="28"/>
      <c r="DI1680" s="28"/>
      <c r="DL1680" s="28"/>
      <c r="DO1680" s="28"/>
      <c r="DR1680" s="28"/>
      <c r="DU1680" s="28"/>
      <c r="DX1680" s="28"/>
      <c r="EA1680" s="28"/>
      <c r="ED1680" s="28"/>
      <c r="EG1680" s="28"/>
      <c r="EJ1680" s="28"/>
      <c r="EM1680" s="28"/>
      <c r="EP1680" s="28"/>
      <c r="ES1680" s="28"/>
      <c r="EV1680" s="28"/>
      <c r="EY1680" s="28"/>
      <c r="FB1680" s="28"/>
      <c r="FE1680" s="28"/>
      <c r="FH1680" s="28"/>
      <c r="FK1680" s="28"/>
      <c r="FN1680" s="28"/>
      <c r="FQ1680" s="28"/>
      <c r="FT1680" s="28"/>
      <c r="FW1680" s="28"/>
      <c r="FZ1680" s="28"/>
      <c r="GC1680" s="28"/>
    </row>
    <row r="1681" spans="1:185" s="25" customFormat="1" x14ac:dyDescent="0.3">
      <c r="A1681" s="27"/>
      <c r="B1681" s="28"/>
      <c r="C1681" s="27"/>
      <c r="D1681" s="26"/>
      <c r="E1681" s="28"/>
      <c r="H1681" s="28"/>
      <c r="K1681" s="28"/>
      <c r="N1681" s="28"/>
      <c r="Q1681" s="28"/>
      <c r="T1681" s="28"/>
      <c r="W1681" s="28"/>
      <c r="Z1681" s="28"/>
      <c r="AC1681" s="28"/>
      <c r="AF1681" s="28"/>
      <c r="AI1681" s="28"/>
      <c r="AL1681" s="28"/>
      <c r="AO1681" s="28"/>
      <c r="AR1681" s="28"/>
      <c r="AU1681" s="28"/>
      <c r="AX1681" s="28"/>
      <c r="BA1681" s="28"/>
      <c r="BD1681" s="28"/>
      <c r="BG1681" s="28"/>
      <c r="BJ1681" s="28"/>
      <c r="BM1681" s="28"/>
      <c r="BP1681" s="28"/>
      <c r="BS1681" s="28"/>
      <c r="BV1681" s="28"/>
      <c r="BY1681" s="28"/>
      <c r="CB1681" s="28"/>
      <c r="CE1681" s="28"/>
      <c r="CH1681" s="28"/>
      <c r="CK1681" s="28"/>
      <c r="CN1681" s="28"/>
      <c r="CQ1681" s="28"/>
      <c r="CT1681" s="28"/>
      <c r="CW1681" s="28"/>
      <c r="CZ1681" s="28"/>
      <c r="DC1681" s="28"/>
      <c r="DF1681" s="28"/>
      <c r="DI1681" s="28"/>
      <c r="DL1681" s="28"/>
      <c r="DO1681" s="28"/>
      <c r="DR1681" s="28"/>
      <c r="DU1681" s="28"/>
      <c r="DX1681" s="28"/>
      <c r="EA1681" s="28"/>
      <c r="ED1681" s="28"/>
      <c r="EG1681" s="28"/>
      <c r="EJ1681" s="28"/>
      <c r="EM1681" s="28"/>
      <c r="EP1681" s="28"/>
      <c r="ES1681" s="28"/>
      <c r="EV1681" s="28"/>
      <c r="EY1681" s="28"/>
      <c r="FB1681" s="28"/>
      <c r="FE1681" s="28"/>
      <c r="FH1681" s="28"/>
      <c r="FK1681" s="28"/>
      <c r="FN1681" s="28"/>
      <c r="FQ1681" s="28"/>
      <c r="FT1681" s="28"/>
      <c r="FW1681" s="28"/>
      <c r="FZ1681" s="28"/>
      <c r="GC1681" s="28"/>
    </row>
    <row r="1682" spans="1:185" s="25" customFormat="1" x14ac:dyDescent="0.3">
      <c r="A1682" s="27"/>
      <c r="B1682" s="28"/>
      <c r="C1682" s="27"/>
      <c r="D1682" s="26"/>
      <c r="E1682" s="28"/>
      <c r="H1682" s="28"/>
      <c r="K1682" s="28"/>
      <c r="N1682" s="28"/>
      <c r="Q1682" s="28"/>
      <c r="T1682" s="28"/>
      <c r="W1682" s="28"/>
      <c r="Z1682" s="28"/>
      <c r="AC1682" s="28"/>
      <c r="AF1682" s="28"/>
      <c r="AI1682" s="28"/>
      <c r="AL1682" s="28"/>
      <c r="AO1682" s="28"/>
      <c r="AR1682" s="28"/>
      <c r="AU1682" s="28"/>
      <c r="AX1682" s="28"/>
      <c r="BA1682" s="28"/>
      <c r="BD1682" s="28"/>
      <c r="BG1682" s="28"/>
      <c r="BJ1682" s="28"/>
      <c r="BM1682" s="28"/>
      <c r="BP1682" s="28"/>
      <c r="BS1682" s="28"/>
      <c r="BV1682" s="28"/>
      <c r="BY1682" s="28"/>
      <c r="CB1682" s="28"/>
      <c r="CE1682" s="28"/>
      <c r="CH1682" s="28"/>
      <c r="CK1682" s="28"/>
      <c r="CN1682" s="28"/>
      <c r="CQ1682" s="28"/>
      <c r="CT1682" s="28"/>
      <c r="CW1682" s="28"/>
      <c r="CZ1682" s="28"/>
      <c r="DC1682" s="28"/>
      <c r="DF1682" s="28"/>
      <c r="DI1682" s="28"/>
      <c r="DL1682" s="28"/>
      <c r="DO1682" s="28"/>
      <c r="DR1682" s="28"/>
      <c r="DU1682" s="28"/>
      <c r="DX1682" s="28"/>
      <c r="EA1682" s="28"/>
      <c r="ED1682" s="28"/>
      <c r="EG1682" s="28"/>
      <c r="EJ1682" s="28"/>
      <c r="EM1682" s="28"/>
      <c r="EP1682" s="28"/>
      <c r="ES1682" s="28"/>
      <c r="EV1682" s="28"/>
      <c r="EY1682" s="28"/>
      <c r="FB1682" s="28"/>
      <c r="FE1682" s="28"/>
      <c r="FH1682" s="28"/>
      <c r="FK1682" s="28"/>
      <c r="FN1682" s="28"/>
      <c r="FQ1682" s="28"/>
      <c r="FT1682" s="28"/>
      <c r="FW1682" s="28"/>
      <c r="FZ1682" s="28"/>
      <c r="GC1682" s="28"/>
    </row>
    <row r="1683" spans="1:185" s="25" customFormat="1" x14ac:dyDescent="0.3">
      <c r="A1683" s="27"/>
      <c r="B1683" s="28"/>
      <c r="C1683" s="27"/>
      <c r="D1683" s="26"/>
      <c r="E1683" s="28"/>
      <c r="H1683" s="28"/>
      <c r="K1683" s="28"/>
      <c r="N1683" s="28"/>
      <c r="Q1683" s="28"/>
      <c r="T1683" s="28"/>
      <c r="W1683" s="28"/>
      <c r="Z1683" s="28"/>
      <c r="AC1683" s="28"/>
      <c r="AF1683" s="28"/>
      <c r="AI1683" s="28"/>
      <c r="AL1683" s="28"/>
      <c r="AO1683" s="28"/>
      <c r="AR1683" s="28"/>
      <c r="AU1683" s="28"/>
      <c r="AX1683" s="28"/>
      <c r="BA1683" s="28"/>
      <c r="BD1683" s="28"/>
      <c r="BG1683" s="28"/>
      <c r="BJ1683" s="28"/>
      <c r="BM1683" s="28"/>
      <c r="BP1683" s="28"/>
      <c r="BS1683" s="28"/>
      <c r="BV1683" s="28"/>
      <c r="BY1683" s="28"/>
      <c r="CB1683" s="28"/>
      <c r="CE1683" s="28"/>
      <c r="CH1683" s="28"/>
      <c r="CK1683" s="28"/>
      <c r="CN1683" s="28"/>
      <c r="CQ1683" s="28"/>
      <c r="CT1683" s="28"/>
      <c r="CW1683" s="28"/>
      <c r="CZ1683" s="28"/>
      <c r="DC1683" s="28"/>
      <c r="DF1683" s="28"/>
      <c r="DI1683" s="28"/>
      <c r="DL1683" s="28"/>
      <c r="DO1683" s="28"/>
      <c r="DR1683" s="28"/>
      <c r="DU1683" s="28"/>
      <c r="DX1683" s="28"/>
      <c r="EA1683" s="28"/>
      <c r="ED1683" s="28"/>
      <c r="EG1683" s="28"/>
      <c r="EJ1683" s="28"/>
      <c r="EM1683" s="28"/>
      <c r="EP1683" s="28"/>
      <c r="ES1683" s="28"/>
      <c r="EV1683" s="28"/>
      <c r="EY1683" s="28"/>
      <c r="FB1683" s="28"/>
      <c r="FE1683" s="28"/>
      <c r="FH1683" s="28"/>
      <c r="FK1683" s="28"/>
      <c r="FN1683" s="28"/>
      <c r="FQ1683" s="28"/>
      <c r="FT1683" s="28"/>
      <c r="FW1683" s="28"/>
      <c r="FZ1683" s="28"/>
      <c r="GC1683" s="28"/>
    </row>
    <row r="1684" spans="1:185" s="25" customFormat="1" x14ac:dyDescent="0.3">
      <c r="A1684" s="27"/>
      <c r="B1684" s="28"/>
      <c r="C1684" s="27"/>
      <c r="D1684" s="26"/>
      <c r="E1684" s="28"/>
      <c r="H1684" s="28"/>
      <c r="K1684" s="28"/>
      <c r="N1684" s="28"/>
      <c r="Q1684" s="28"/>
      <c r="T1684" s="28"/>
      <c r="W1684" s="28"/>
      <c r="Z1684" s="28"/>
      <c r="AC1684" s="28"/>
      <c r="AF1684" s="28"/>
      <c r="AI1684" s="28"/>
      <c r="AL1684" s="28"/>
      <c r="AO1684" s="28"/>
      <c r="AR1684" s="28"/>
      <c r="AU1684" s="28"/>
      <c r="AX1684" s="28"/>
      <c r="BA1684" s="28"/>
      <c r="BD1684" s="28"/>
      <c r="BG1684" s="28"/>
      <c r="BJ1684" s="28"/>
      <c r="BM1684" s="28"/>
      <c r="BP1684" s="28"/>
      <c r="BS1684" s="28"/>
      <c r="BV1684" s="28"/>
      <c r="BY1684" s="28"/>
      <c r="CB1684" s="28"/>
      <c r="CE1684" s="28"/>
      <c r="CH1684" s="28"/>
      <c r="CK1684" s="28"/>
      <c r="CN1684" s="28"/>
      <c r="CQ1684" s="28"/>
      <c r="CT1684" s="28"/>
      <c r="CW1684" s="28"/>
      <c r="CZ1684" s="28"/>
      <c r="DC1684" s="28"/>
      <c r="DF1684" s="28"/>
      <c r="DI1684" s="28"/>
      <c r="DL1684" s="28"/>
      <c r="DO1684" s="28"/>
      <c r="DR1684" s="28"/>
      <c r="DU1684" s="28"/>
      <c r="DX1684" s="28"/>
      <c r="EA1684" s="28"/>
      <c r="ED1684" s="28"/>
      <c r="EG1684" s="28"/>
      <c r="EJ1684" s="28"/>
      <c r="EM1684" s="28"/>
      <c r="EP1684" s="28"/>
      <c r="ES1684" s="28"/>
      <c r="EV1684" s="28"/>
      <c r="EY1684" s="28"/>
      <c r="FB1684" s="28"/>
      <c r="FE1684" s="28"/>
      <c r="FH1684" s="28"/>
      <c r="FK1684" s="28"/>
      <c r="FN1684" s="28"/>
      <c r="FQ1684" s="28"/>
      <c r="FT1684" s="28"/>
      <c r="FW1684" s="28"/>
      <c r="FZ1684" s="28"/>
      <c r="GC1684" s="28"/>
    </row>
    <row r="1685" spans="1:185" s="25" customFormat="1" x14ac:dyDescent="0.3">
      <c r="A1685" s="27"/>
      <c r="B1685" s="28"/>
      <c r="C1685" s="27"/>
      <c r="D1685" s="26"/>
      <c r="E1685" s="28"/>
      <c r="H1685" s="28"/>
      <c r="K1685" s="28"/>
      <c r="N1685" s="28"/>
      <c r="Q1685" s="28"/>
      <c r="T1685" s="28"/>
      <c r="W1685" s="28"/>
      <c r="Z1685" s="28"/>
      <c r="AC1685" s="28"/>
      <c r="AF1685" s="28"/>
      <c r="AI1685" s="28"/>
      <c r="AL1685" s="28"/>
      <c r="AO1685" s="28"/>
      <c r="AR1685" s="28"/>
      <c r="AU1685" s="28"/>
      <c r="AX1685" s="28"/>
      <c r="BA1685" s="28"/>
      <c r="BD1685" s="28"/>
      <c r="BG1685" s="28"/>
      <c r="BJ1685" s="28"/>
      <c r="BM1685" s="28"/>
      <c r="BP1685" s="28"/>
      <c r="BS1685" s="28"/>
      <c r="BV1685" s="28"/>
      <c r="BY1685" s="28"/>
      <c r="CB1685" s="28"/>
      <c r="CE1685" s="28"/>
      <c r="CH1685" s="28"/>
      <c r="CK1685" s="28"/>
      <c r="CN1685" s="28"/>
      <c r="CQ1685" s="28"/>
      <c r="CT1685" s="28"/>
      <c r="CW1685" s="28"/>
      <c r="CZ1685" s="28"/>
      <c r="DC1685" s="28"/>
      <c r="DF1685" s="28"/>
      <c r="DI1685" s="28"/>
      <c r="DL1685" s="28"/>
      <c r="DO1685" s="28"/>
      <c r="DR1685" s="28"/>
      <c r="DU1685" s="28"/>
      <c r="DX1685" s="28"/>
      <c r="EA1685" s="28"/>
      <c r="ED1685" s="28"/>
      <c r="EG1685" s="28"/>
      <c r="EJ1685" s="28"/>
      <c r="EM1685" s="28"/>
      <c r="EP1685" s="28"/>
      <c r="ES1685" s="28"/>
      <c r="EV1685" s="28"/>
      <c r="EY1685" s="28"/>
      <c r="FB1685" s="28"/>
      <c r="FE1685" s="28"/>
      <c r="FH1685" s="28"/>
      <c r="FK1685" s="28"/>
      <c r="FN1685" s="28"/>
      <c r="FQ1685" s="28"/>
      <c r="FT1685" s="28"/>
      <c r="FW1685" s="28"/>
      <c r="FZ1685" s="28"/>
      <c r="GC1685" s="28"/>
    </row>
    <row r="1686" spans="1:185" s="25" customFormat="1" x14ac:dyDescent="0.3">
      <c r="A1686" s="27"/>
      <c r="B1686" s="28"/>
      <c r="C1686" s="27"/>
      <c r="D1686" s="26"/>
      <c r="E1686" s="28"/>
      <c r="H1686" s="28"/>
      <c r="K1686" s="28"/>
      <c r="N1686" s="28"/>
      <c r="Q1686" s="28"/>
      <c r="T1686" s="28"/>
      <c r="W1686" s="28"/>
      <c r="Z1686" s="28"/>
      <c r="AC1686" s="28"/>
      <c r="AF1686" s="28"/>
      <c r="AI1686" s="28"/>
      <c r="AL1686" s="28"/>
      <c r="AO1686" s="28"/>
      <c r="AR1686" s="28"/>
      <c r="AU1686" s="28"/>
      <c r="AX1686" s="28"/>
      <c r="BA1686" s="28"/>
      <c r="BD1686" s="28"/>
      <c r="BG1686" s="28"/>
      <c r="BJ1686" s="28"/>
      <c r="BM1686" s="28"/>
      <c r="BP1686" s="28"/>
      <c r="BS1686" s="28"/>
      <c r="BV1686" s="28"/>
      <c r="BY1686" s="28"/>
      <c r="CB1686" s="28"/>
      <c r="CE1686" s="28"/>
      <c r="CH1686" s="28"/>
      <c r="CK1686" s="28"/>
      <c r="CN1686" s="28"/>
      <c r="CQ1686" s="28"/>
      <c r="CT1686" s="28"/>
      <c r="CW1686" s="28"/>
      <c r="CZ1686" s="28"/>
      <c r="DC1686" s="28"/>
      <c r="DF1686" s="28"/>
      <c r="DI1686" s="28"/>
      <c r="DL1686" s="28"/>
      <c r="DO1686" s="28"/>
      <c r="DR1686" s="28"/>
      <c r="DU1686" s="28"/>
      <c r="DX1686" s="28"/>
      <c r="EA1686" s="28"/>
      <c r="ED1686" s="28"/>
      <c r="EG1686" s="28"/>
      <c r="EJ1686" s="28"/>
      <c r="EM1686" s="28"/>
      <c r="EP1686" s="28"/>
      <c r="ES1686" s="28"/>
      <c r="EV1686" s="28"/>
      <c r="EY1686" s="28"/>
      <c r="FB1686" s="28"/>
      <c r="FE1686" s="28"/>
      <c r="FH1686" s="28"/>
      <c r="FK1686" s="28"/>
      <c r="FN1686" s="28"/>
      <c r="FQ1686" s="28"/>
      <c r="FT1686" s="28"/>
      <c r="FW1686" s="28"/>
      <c r="FZ1686" s="28"/>
      <c r="GC1686" s="28"/>
    </row>
    <row r="1687" spans="1:185" s="25" customFormat="1" x14ac:dyDescent="0.3">
      <c r="A1687" s="27"/>
      <c r="B1687" s="28"/>
      <c r="C1687" s="27"/>
      <c r="D1687" s="26"/>
      <c r="E1687" s="28"/>
      <c r="H1687" s="28"/>
      <c r="K1687" s="28"/>
      <c r="N1687" s="28"/>
      <c r="Q1687" s="28"/>
      <c r="T1687" s="28"/>
      <c r="W1687" s="28"/>
      <c r="Z1687" s="28"/>
      <c r="AC1687" s="28"/>
      <c r="AF1687" s="28"/>
      <c r="AI1687" s="28"/>
      <c r="AL1687" s="28"/>
      <c r="AO1687" s="28"/>
      <c r="AR1687" s="28"/>
      <c r="AU1687" s="28"/>
      <c r="AX1687" s="28"/>
      <c r="BA1687" s="28"/>
      <c r="BD1687" s="28"/>
      <c r="BG1687" s="28"/>
      <c r="BJ1687" s="28"/>
      <c r="BM1687" s="28"/>
      <c r="BP1687" s="28"/>
      <c r="BS1687" s="28"/>
      <c r="BV1687" s="28"/>
      <c r="BY1687" s="28"/>
      <c r="CB1687" s="28"/>
      <c r="CE1687" s="28"/>
      <c r="CH1687" s="28"/>
      <c r="CK1687" s="28"/>
      <c r="CN1687" s="28"/>
      <c r="CQ1687" s="28"/>
      <c r="CT1687" s="28"/>
      <c r="CW1687" s="28"/>
      <c r="CZ1687" s="28"/>
      <c r="DC1687" s="28"/>
      <c r="DF1687" s="28"/>
      <c r="DI1687" s="28"/>
      <c r="DL1687" s="28"/>
      <c r="DO1687" s="28"/>
      <c r="DR1687" s="28"/>
      <c r="DU1687" s="28"/>
      <c r="DX1687" s="28"/>
      <c r="EA1687" s="28"/>
      <c r="ED1687" s="28"/>
      <c r="EG1687" s="28"/>
      <c r="EJ1687" s="28"/>
      <c r="EM1687" s="28"/>
      <c r="EP1687" s="28"/>
      <c r="ES1687" s="28"/>
      <c r="EV1687" s="28"/>
      <c r="EY1687" s="28"/>
      <c r="FB1687" s="28"/>
      <c r="FE1687" s="28"/>
      <c r="FH1687" s="28"/>
      <c r="FK1687" s="28"/>
      <c r="FN1687" s="28"/>
      <c r="FQ1687" s="28"/>
      <c r="FT1687" s="28"/>
      <c r="FW1687" s="28"/>
      <c r="FZ1687" s="28"/>
      <c r="GC1687" s="28"/>
    </row>
    <row r="1688" spans="1:185" s="25" customFormat="1" x14ac:dyDescent="0.3">
      <c r="A1688" s="27"/>
      <c r="B1688" s="28"/>
      <c r="C1688" s="27"/>
      <c r="D1688" s="26"/>
      <c r="E1688" s="28"/>
      <c r="H1688" s="28"/>
      <c r="K1688" s="28"/>
      <c r="N1688" s="28"/>
      <c r="Q1688" s="28"/>
      <c r="T1688" s="28"/>
      <c r="W1688" s="28"/>
      <c r="Z1688" s="28"/>
      <c r="AC1688" s="28"/>
      <c r="AF1688" s="28"/>
      <c r="AI1688" s="28"/>
      <c r="AL1688" s="28"/>
      <c r="AO1688" s="28"/>
      <c r="AR1688" s="28"/>
      <c r="AU1688" s="28"/>
      <c r="AX1688" s="28"/>
      <c r="BA1688" s="28"/>
      <c r="BD1688" s="28"/>
      <c r="BG1688" s="28"/>
      <c r="BJ1688" s="28"/>
      <c r="BM1688" s="28"/>
      <c r="BP1688" s="28"/>
      <c r="BS1688" s="28"/>
      <c r="BV1688" s="28"/>
      <c r="BY1688" s="28"/>
      <c r="CB1688" s="28"/>
      <c r="CE1688" s="28"/>
      <c r="CH1688" s="28"/>
      <c r="CK1688" s="28"/>
      <c r="CN1688" s="28"/>
      <c r="CQ1688" s="28"/>
      <c r="CT1688" s="28"/>
      <c r="CW1688" s="28"/>
      <c r="CZ1688" s="28"/>
      <c r="DC1688" s="28"/>
      <c r="DF1688" s="28"/>
      <c r="DI1688" s="28"/>
      <c r="DL1688" s="28"/>
      <c r="DO1688" s="28"/>
      <c r="DR1688" s="28"/>
      <c r="DU1688" s="28"/>
      <c r="DX1688" s="28"/>
      <c r="EA1688" s="28"/>
      <c r="ED1688" s="28"/>
      <c r="EG1688" s="28"/>
      <c r="EJ1688" s="28"/>
      <c r="EM1688" s="28"/>
      <c r="EP1688" s="28"/>
      <c r="ES1688" s="28"/>
      <c r="EV1688" s="28"/>
      <c r="EY1688" s="28"/>
      <c r="FB1688" s="28"/>
      <c r="FE1688" s="28"/>
      <c r="FH1688" s="28"/>
      <c r="FK1688" s="28"/>
      <c r="FN1688" s="28"/>
      <c r="FQ1688" s="28"/>
      <c r="FT1688" s="28"/>
      <c r="FW1688" s="28"/>
      <c r="FZ1688" s="28"/>
      <c r="GC1688" s="28"/>
    </row>
    <row r="1689" spans="1:185" s="25" customFormat="1" x14ac:dyDescent="0.3">
      <c r="A1689" s="27"/>
      <c r="B1689" s="28"/>
      <c r="C1689" s="27"/>
      <c r="D1689" s="26"/>
      <c r="E1689" s="28"/>
      <c r="H1689" s="28"/>
      <c r="K1689" s="28"/>
      <c r="N1689" s="28"/>
      <c r="Q1689" s="28"/>
      <c r="T1689" s="28"/>
      <c r="W1689" s="28"/>
      <c r="Z1689" s="28"/>
      <c r="AC1689" s="28"/>
      <c r="AF1689" s="28"/>
      <c r="AI1689" s="28"/>
      <c r="AL1689" s="28"/>
      <c r="AO1689" s="28"/>
      <c r="AR1689" s="28"/>
      <c r="AU1689" s="28"/>
      <c r="AX1689" s="28"/>
      <c r="BA1689" s="28"/>
      <c r="BD1689" s="28"/>
      <c r="BG1689" s="28"/>
      <c r="BJ1689" s="28"/>
      <c r="BM1689" s="28"/>
      <c r="BP1689" s="28"/>
      <c r="BS1689" s="28"/>
      <c r="BV1689" s="28"/>
      <c r="BY1689" s="28"/>
      <c r="CB1689" s="28"/>
      <c r="CE1689" s="28"/>
      <c r="CH1689" s="28"/>
      <c r="CK1689" s="28"/>
      <c r="CN1689" s="28"/>
      <c r="CQ1689" s="28"/>
      <c r="CT1689" s="28"/>
      <c r="CW1689" s="28"/>
      <c r="CZ1689" s="28"/>
      <c r="DC1689" s="28"/>
      <c r="DF1689" s="28"/>
      <c r="DI1689" s="28"/>
      <c r="DL1689" s="28"/>
      <c r="DO1689" s="28"/>
      <c r="DR1689" s="28"/>
      <c r="DU1689" s="28"/>
      <c r="DX1689" s="28"/>
      <c r="EA1689" s="28"/>
      <c r="ED1689" s="28"/>
      <c r="EG1689" s="28"/>
      <c r="EJ1689" s="28"/>
      <c r="EM1689" s="28"/>
      <c r="EP1689" s="28"/>
      <c r="ES1689" s="28"/>
      <c r="EV1689" s="28"/>
      <c r="EY1689" s="28"/>
      <c r="FB1689" s="28"/>
      <c r="FE1689" s="28"/>
      <c r="FH1689" s="28"/>
      <c r="FK1689" s="28"/>
      <c r="FN1689" s="28"/>
      <c r="FQ1689" s="28"/>
      <c r="FT1689" s="28"/>
      <c r="FW1689" s="28"/>
      <c r="FZ1689" s="28"/>
      <c r="GC1689" s="28"/>
    </row>
    <row r="1690" spans="1:185" s="25" customFormat="1" x14ac:dyDescent="0.3">
      <c r="A1690" s="27"/>
      <c r="B1690" s="28"/>
      <c r="C1690" s="27"/>
      <c r="D1690" s="26"/>
      <c r="E1690" s="28"/>
      <c r="H1690" s="28"/>
      <c r="K1690" s="28"/>
      <c r="N1690" s="28"/>
      <c r="Q1690" s="28"/>
      <c r="T1690" s="28"/>
      <c r="W1690" s="28"/>
      <c r="Z1690" s="28"/>
      <c r="AC1690" s="28"/>
      <c r="AF1690" s="28"/>
      <c r="AI1690" s="28"/>
      <c r="AL1690" s="28"/>
      <c r="AO1690" s="28"/>
      <c r="AR1690" s="28"/>
      <c r="AU1690" s="28"/>
      <c r="AX1690" s="28"/>
      <c r="BA1690" s="28"/>
      <c r="BD1690" s="28"/>
      <c r="BG1690" s="28"/>
      <c r="BJ1690" s="28"/>
      <c r="BM1690" s="28"/>
      <c r="BP1690" s="28"/>
      <c r="BS1690" s="28"/>
      <c r="BV1690" s="28"/>
      <c r="BY1690" s="28"/>
      <c r="CB1690" s="28"/>
      <c r="CE1690" s="28"/>
      <c r="CH1690" s="28"/>
      <c r="CK1690" s="28"/>
      <c r="CN1690" s="28"/>
      <c r="CQ1690" s="28"/>
      <c r="CT1690" s="28"/>
      <c r="CW1690" s="28"/>
      <c r="CZ1690" s="28"/>
      <c r="DC1690" s="28"/>
      <c r="DF1690" s="28"/>
      <c r="DI1690" s="28"/>
      <c r="DL1690" s="28"/>
      <c r="DO1690" s="28"/>
      <c r="DR1690" s="28"/>
      <c r="DU1690" s="28"/>
      <c r="DX1690" s="28"/>
      <c r="EA1690" s="28"/>
      <c r="ED1690" s="28"/>
      <c r="EG1690" s="28"/>
      <c r="EJ1690" s="28"/>
      <c r="EM1690" s="28"/>
      <c r="EP1690" s="28"/>
      <c r="ES1690" s="28"/>
      <c r="EV1690" s="28"/>
      <c r="EY1690" s="28"/>
      <c r="FB1690" s="28"/>
      <c r="FE1690" s="28"/>
      <c r="FH1690" s="28"/>
      <c r="FK1690" s="28"/>
      <c r="FN1690" s="28"/>
      <c r="FQ1690" s="28"/>
      <c r="FT1690" s="28"/>
      <c r="FW1690" s="28"/>
      <c r="FZ1690" s="28"/>
      <c r="GC1690" s="28"/>
    </row>
    <row r="1691" spans="1:185" s="25" customFormat="1" x14ac:dyDescent="0.3">
      <c r="A1691" s="27"/>
      <c r="B1691" s="28"/>
      <c r="C1691" s="27"/>
      <c r="D1691" s="26"/>
      <c r="E1691" s="28"/>
      <c r="H1691" s="28"/>
      <c r="K1691" s="28"/>
      <c r="N1691" s="28"/>
      <c r="Q1691" s="28"/>
      <c r="T1691" s="28"/>
      <c r="W1691" s="28"/>
      <c r="Z1691" s="28"/>
      <c r="AC1691" s="28"/>
      <c r="AF1691" s="28"/>
      <c r="AI1691" s="28"/>
      <c r="AL1691" s="28"/>
      <c r="AO1691" s="28"/>
      <c r="AR1691" s="28"/>
      <c r="AU1691" s="28"/>
      <c r="AX1691" s="28"/>
      <c r="BA1691" s="28"/>
      <c r="BD1691" s="28"/>
      <c r="BG1691" s="28"/>
      <c r="BJ1691" s="28"/>
      <c r="BM1691" s="28"/>
      <c r="BP1691" s="28"/>
      <c r="BS1691" s="28"/>
      <c r="BV1691" s="28"/>
      <c r="BY1691" s="28"/>
      <c r="CB1691" s="28"/>
      <c r="CE1691" s="28"/>
      <c r="CH1691" s="28"/>
      <c r="CK1691" s="28"/>
      <c r="CN1691" s="28"/>
      <c r="CQ1691" s="28"/>
      <c r="CT1691" s="28"/>
      <c r="CW1691" s="28"/>
      <c r="CZ1691" s="28"/>
      <c r="DC1691" s="28"/>
      <c r="DF1691" s="28"/>
      <c r="DI1691" s="28"/>
      <c r="DL1691" s="28"/>
      <c r="DO1691" s="28"/>
      <c r="DR1691" s="28"/>
      <c r="DU1691" s="28"/>
      <c r="DX1691" s="28"/>
      <c r="EA1691" s="28"/>
      <c r="ED1691" s="28"/>
      <c r="EG1691" s="28"/>
      <c r="EJ1691" s="28"/>
      <c r="EM1691" s="28"/>
      <c r="EP1691" s="28"/>
      <c r="ES1691" s="28"/>
      <c r="EV1691" s="28"/>
      <c r="EY1691" s="28"/>
      <c r="FB1691" s="28"/>
      <c r="FE1691" s="28"/>
      <c r="FH1691" s="28"/>
      <c r="FK1691" s="28"/>
      <c r="FN1691" s="28"/>
      <c r="FQ1691" s="28"/>
      <c r="FT1691" s="28"/>
      <c r="FW1691" s="28"/>
      <c r="FZ1691" s="28"/>
      <c r="GC1691" s="28"/>
    </row>
    <row r="1692" spans="1:185" s="25" customFormat="1" x14ac:dyDescent="0.3">
      <c r="A1692" s="27"/>
      <c r="B1692" s="28"/>
      <c r="C1692" s="27"/>
      <c r="D1692" s="26"/>
      <c r="E1692" s="28"/>
      <c r="H1692" s="28"/>
      <c r="K1692" s="28"/>
      <c r="N1692" s="28"/>
      <c r="Q1692" s="28"/>
      <c r="T1692" s="28"/>
      <c r="W1692" s="28"/>
      <c r="Z1692" s="28"/>
      <c r="AC1692" s="28"/>
      <c r="AF1692" s="28"/>
      <c r="AI1692" s="28"/>
      <c r="AL1692" s="28"/>
      <c r="AO1692" s="28"/>
      <c r="AR1692" s="28"/>
      <c r="AU1692" s="28"/>
      <c r="AX1692" s="28"/>
      <c r="BA1692" s="28"/>
      <c r="BD1692" s="28"/>
      <c r="BG1692" s="28"/>
      <c r="BJ1692" s="28"/>
      <c r="BM1692" s="28"/>
      <c r="BP1692" s="28"/>
      <c r="BS1692" s="28"/>
      <c r="BV1692" s="28"/>
      <c r="BY1692" s="28"/>
      <c r="CB1692" s="28"/>
      <c r="CE1692" s="28"/>
      <c r="CH1692" s="28"/>
      <c r="CK1692" s="28"/>
      <c r="CN1692" s="28"/>
      <c r="CQ1692" s="28"/>
      <c r="CT1692" s="28"/>
      <c r="CW1692" s="28"/>
      <c r="CZ1692" s="28"/>
      <c r="DC1692" s="28"/>
      <c r="DF1692" s="28"/>
      <c r="DI1692" s="28"/>
      <c r="DL1692" s="28"/>
      <c r="DO1692" s="28"/>
      <c r="DR1692" s="28"/>
      <c r="DU1692" s="28"/>
      <c r="DX1692" s="28"/>
      <c r="EA1692" s="28"/>
      <c r="ED1692" s="28"/>
      <c r="EG1692" s="28"/>
      <c r="EJ1692" s="28"/>
      <c r="EM1692" s="28"/>
      <c r="EP1692" s="28"/>
      <c r="ES1692" s="28"/>
      <c r="EV1692" s="28"/>
      <c r="EY1692" s="28"/>
      <c r="FB1692" s="28"/>
      <c r="FE1692" s="28"/>
      <c r="FH1692" s="28"/>
      <c r="FK1692" s="28"/>
      <c r="FN1692" s="28"/>
      <c r="FQ1692" s="28"/>
      <c r="FT1692" s="28"/>
      <c r="FW1692" s="28"/>
      <c r="FZ1692" s="28"/>
      <c r="GC1692" s="28"/>
    </row>
    <row r="1693" spans="1:185" s="25" customFormat="1" x14ac:dyDescent="0.3">
      <c r="A1693" s="27"/>
      <c r="B1693" s="28"/>
      <c r="C1693" s="27"/>
      <c r="D1693" s="26"/>
      <c r="E1693" s="28"/>
      <c r="H1693" s="28"/>
      <c r="K1693" s="28"/>
      <c r="N1693" s="28"/>
      <c r="Q1693" s="28"/>
      <c r="T1693" s="28"/>
      <c r="W1693" s="28"/>
      <c r="Z1693" s="28"/>
      <c r="AC1693" s="28"/>
      <c r="AF1693" s="28"/>
      <c r="AI1693" s="28"/>
      <c r="AL1693" s="28"/>
      <c r="AO1693" s="28"/>
      <c r="AR1693" s="28"/>
      <c r="AU1693" s="28"/>
      <c r="AX1693" s="28"/>
      <c r="BA1693" s="28"/>
      <c r="BD1693" s="28"/>
      <c r="BG1693" s="28"/>
      <c r="BJ1693" s="28"/>
      <c r="BM1693" s="28"/>
      <c r="BP1693" s="28"/>
      <c r="BS1693" s="28"/>
      <c r="BV1693" s="28"/>
      <c r="BY1693" s="28"/>
      <c r="CB1693" s="28"/>
      <c r="CE1693" s="28"/>
      <c r="CH1693" s="28"/>
      <c r="CK1693" s="28"/>
      <c r="CN1693" s="28"/>
      <c r="CQ1693" s="28"/>
      <c r="CT1693" s="28"/>
      <c r="CW1693" s="28"/>
      <c r="CZ1693" s="28"/>
      <c r="DC1693" s="28"/>
      <c r="DF1693" s="28"/>
      <c r="DI1693" s="28"/>
      <c r="DL1693" s="28"/>
      <c r="DO1693" s="28"/>
      <c r="DR1693" s="28"/>
      <c r="DU1693" s="28"/>
      <c r="DX1693" s="28"/>
      <c r="EA1693" s="28"/>
      <c r="ED1693" s="28"/>
      <c r="EG1693" s="28"/>
      <c r="EJ1693" s="28"/>
      <c r="EM1693" s="28"/>
      <c r="EP1693" s="28"/>
      <c r="ES1693" s="28"/>
      <c r="EV1693" s="28"/>
      <c r="EY1693" s="28"/>
      <c r="FB1693" s="28"/>
      <c r="FE1693" s="28"/>
      <c r="FH1693" s="28"/>
      <c r="FK1693" s="28"/>
      <c r="FN1693" s="28"/>
      <c r="FQ1693" s="28"/>
      <c r="FT1693" s="28"/>
      <c r="FW1693" s="28"/>
      <c r="FZ1693" s="28"/>
      <c r="GC1693" s="28"/>
    </row>
    <row r="1694" spans="1:185" s="25" customFormat="1" x14ac:dyDescent="0.3">
      <c r="A1694" s="27"/>
      <c r="B1694" s="28"/>
      <c r="C1694" s="27"/>
      <c r="D1694" s="26"/>
      <c r="E1694" s="28"/>
      <c r="H1694" s="28"/>
      <c r="K1694" s="28"/>
      <c r="N1694" s="28"/>
      <c r="Q1694" s="28"/>
      <c r="T1694" s="28"/>
      <c r="W1694" s="28"/>
      <c r="Z1694" s="28"/>
      <c r="AC1694" s="28"/>
      <c r="AF1694" s="28"/>
      <c r="AI1694" s="28"/>
      <c r="AL1694" s="28"/>
      <c r="AO1694" s="28"/>
      <c r="AR1694" s="28"/>
      <c r="AU1694" s="28"/>
      <c r="AX1694" s="28"/>
      <c r="BA1694" s="28"/>
      <c r="BD1694" s="28"/>
      <c r="BG1694" s="28"/>
      <c r="BJ1694" s="28"/>
      <c r="BM1694" s="28"/>
      <c r="BP1694" s="28"/>
      <c r="BS1694" s="28"/>
      <c r="BV1694" s="28"/>
      <c r="BY1694" s="28"/>
      <c r="CB1694" s="28"/>
      <c r="CE1694" s="28"/>
      <c r="CH1694" s="28"/>
      <c r="CK1694" s="28"/>
      <c r="CN1694" s="28"/>
      <c r="CQ1694" s="28"/>
      <c r="CT1694" s="28"/>
      <c r="CW1694" s="28"/>
      <c r="CZ1694" s="28"/>
      <c r="DC1694" s="28"/>
      <c r="DF1694" s="28"/>
      <c r="DI1694" s="28"/>
      <c r="DL1694" s="28"/>
      <c r="DO1694" s="28"/>
      <c r="DR1694" s="28"/>
      <c r="DU1694" s="28"/>
      <c r="DX1694" s="28"/>
      <c r="EA1694" s="28"/>
      <c r="ED1694" s="28"/>
      <c r="EG1694" s="28"/>
      <c r="EJ1694" s="28"/>
      <c r="EM1694" s="28"/>
      <c r="EP1694" s="28"/>
      <c r="ES1694" s="28"/>
      <c r="EV1694" s="28"/>
      <c r="EY1694" s="28"/>
      <c r="FB1694" s="28"/>
      <c r="FE1694" s="28"/>
      <c r="FH1694" s="28"/>
      <c r="FK1694" s="28"/>
      <c r="FN1694" s="28"/>
      <c r="FQ1694" s="28"/>
      <c r="FT1694" s="28"/>
      <c r="FW1694" s="28"/>
      <c r="FZ1694" s="28"/>
      <c r="GC1694" s="28"/>
    </row>
    <row r="1695" spans="1:185" s="25" customFormat="1" x14ac:dyDescent="0.3">
      <c r="A1695" s="27"/>
      <c r="B1695" s="28"/>
      <c r="C1695" s="27"/>
      <c r="D1695" s="26"/>
      <c r="E1695" s="28"/>
      <c r="H1695" s="28"/>
      <c r="K1695" s="28"/>
      <c r="N1695" s="28"/>
      <c r="Q1695" s="28"/>
      <c r="T1695" s="28"/>
      <c r="W1695" s="28"/>
      <c r="Z1695" s="28"/>
      <c r="AC1695" s="28"/>
      <c r="AF1695" s="28"/>
      <c r="AI1695" s="28"/>
      <c r="AL1695" s="28"/>
      <c r="AO1695" s="28"/>
      <c r="AR1695" s="28"/>
      <c r="AU1695" s="28"/>
      <c r="AX1695" s="28"/>
      <c r="BA1695" s="28"/>
      <c r="BD1695" s="28"/>
      <c r="BG1695" s="28"/>
      <c r="BJ1695" s="28"/>
      <c r="BM1695" s="28"/>
      <c r="BP1695" s="28"/>
      <c r="BS1695" s="28"/>
      <c r="BV1695" s="28"/>
      <c r="BY1695" s="28"/>
      <c r="CB1695" s="28"/>
      <c r="CE1695" s="28"/>
      <c r="CH1695" s="28"/>
      <c r="CK1695" s="28"/>
      <c r="CN1695" s="28"/>
      <c r="CQ1695" s="28"/>
      <c r="CT1695" s="28"/>
      <c r="CW1695" s="28"/>
      <c r="CZ1695" s="28"/>
      <c r="DC1695" s="28"/>
      <c r="DF1695" s="28"/>
      <c r="DI1695" s="28"/>
      <c r="DL1695" s="28"/>
      <c r="DO1695" s="28"/>
      <c r="DR1695" s="28"/>
      <c r="DU1695" s="28"/>
      <c r="DX1695" s="28"/>
      <c r="EA1695" s="28"/>
      <c r="ED1695" s="28"/>
      <c r="EG1695" s="28"/>
      <c r="EJ1695" s="28"/>
      <c r="EM1695" s="28"/>
      <c r="EP1695" s="28"/>
      <c r="ES1695" s="28"/>
      <c r="EV1695" s="28"/>
      <c r="EY1695" s="28"/>
      <c r="FB1695" s="28"/>
      <c r="FE1695" s="28"/>
      <c r="FH1695" s="28"/>
      <c r="FK1695" s="28"/>
      <c r="FN1695" s="28"/>
      <c r="FQ1695" s="28"/>
      <c r="FT1695" s="28"/>
      <c r="FW1695" s="28"/>
      <c r="FZ1695" s="28"/>
      <c r="GC1695" s="28"/>
    </row>
    <row r="1696" spans="1:185" s="25" customFormat="1" x14ac:dyDescent="0.3">
      <c r="A1696" s="27"/>
      <c r="B1696" s="28"/>
      <c r="C1696" s="27"/>
      <c r="D1696" s="26"/>
      <c r="E1696" s="28"/>
      <c r="H1696" s="28"/>
      <c r="K1696" s="28"/>
      <c r="N1696" s="28"/>
      <c r="Q1696" s="28"/>
      <c r="T1696" s="28"/>
      <c r="W1696" s="28"/>
      <c r="Z1696" s="28"/>
      <c r="AC1696" s="28"/>
      <c r="AF1696" s="28"/>
      <c r="AI1696" s="28"/>
      <c r="AL1696" s="28"/>
      <c r="AO1696" s="28"/>
      <c r="AR1696" s="28"/>
      <c r="AU1696" s="28"/>
      <c r="AX1696" s="28"/>
      <c r="BA1696" s="28"/>
      <c r="BD1696" s="28"/>
      <c r="BG1696" s="28"/>
      <c r="BJ1696" s="28"/>
      <c r="BM1696" s="28"/>
      <c r="BP1696" s="28"/>
      <c r="BS1696" s="28"/>
      <c r="BV1696" s="28"/>
      <c r="BY1696" s="28"/>
      <c r="CB1696" s="28"/>
      <c r="CE1696" s="28"/>
      <c r="CH1696" s="28"/>
      <c r="CK1696" s="28"/>
      <c r="CN1696" s="28"/>
      <c r="CQ1696" s="28"/>
      <c r="CT1696" s="28"/>
      <c r="CW1696" s="28"/>
      <c r="CZ1696" s="28"/>
      <c r="DC1696" s="28"/>
      <c r="DF1696" s="28"/>
      <c r="DI1696" s="28"/>
      <c r="DL1696" s="28"/>
      <c r="DO1696" s="28"/>
      <c r="DR1696" s="28"/>
      <c r="DU1696" s="28"/>
      <c r="DX1696" s="28"/>
      <c r="EA1696" s="28"/>
      <c r="ED1696" s="28"/>
      <c r="EG1696" s="28"/>
      <c r="EJ1696" s="28"/>
      <c r="EM1696" s="28"/>
      <c r="EP1696" s="28"/>
      <c r="ES1696" s="28"/>
      <c r="EV1696" s="28"/>
      <c r="EY1696" s="28"/>
      <c r="FB1696" s="28"/>
      <c r="FE1696" s="28"/>
      <c r="FH1696" s="28"/>
      <c r="FK1696" s="28"/>
      <c r="FN1696" s="28"/>
      <c r="FQ1696" s="28"/>
      <c r="FT1696" s="28"/>
      <c r="FW1696" s="28"/>
      <c r="FZ1696" s="28"/>
      <c r="GC1696" s="28"/>
    </row>
    <row r="1697" spans="1:185" s="25" customFormat="1" x14ac:dyDescent="0.3">
      <c r="A1697" s="27"/>
      <c r="B1697" s="28"/>
      <c r="C1697" s="27"/>
      <c r="D1697" s="26"/>
      <c r="E1697" s="28"/>
      <c r="H1697" s="28"/>
      <c r="K1697" s="28"/>
      <c r="N1697" s="28"/>
      <c r="Q1697" s="28"/>
      <c r="T1697" s="28"/>
      <c r="W1697" s="28"/>
      <c r="Z1697" s="28"/>
      <c r="AC1697" s="28"/>
      <c r="AF1697" s="28"/>
      <c r="AI1697" s="28"/>
      <c r="AL1697" s="28"/>
      <c r="AO1697" s="28"/>
      <c r="AR1697" s="28"/>
      <c r="AU1697" s="28"/>
      <c r="AX1697" s="28"/>
      <c r="BA1697" s="28"/>
      <c r="BD1697" s="28"/>
      <c r="BG1697" s="28"/>
      <c r="BJ1697" s="28"/>
      <c r="BM1697" s="28"/>
      <c r="BP1697" s="28"/>
      <c r="BS1697" s="28"/>
      <c r="BV1697" s="28"/>
      <c r="BY1697" s="28"/>
      <c r="CB1697" s="28"/>
      <c r="CE1697" s="28"/>
      <c r="CH1697" s="28"/>
      <c r="CK1697" s="28"/>
      <c r="CN1697" s="28"/>
      <c r="CQ1697" s="28"/>
      <c r="CT1697" s="28"/>
      <c r="CW1697" s="28"/>
      <c r="CZ1697" s="28"/>
      <c r="DC1697" s="28"/>
      <c r="DF1697" s="28"/>
      <c r="DI1697" s="28"/>
      <c r="DL1697" s="28"/>
      <c r="DO1697" s="28"/>
      <c r="DR1697" s="28"/>
      <c r="DU1697" s="28"/>
      <c r="DX1697" s="28"/>
      <c r="EA1697" s="28"/>
      <c r="ED1697" s="28"/>
      <c r="EG1697" s="28"/>
      <c r="EJ1697" s="28"/>
      <c r="EM1697" s="28"/>
      <c r="EP1697" s="28"/>
      <c r="ES1697" s="28"/>
      <c r="EV1697" s="28"/>
      <c r="EY1697" s="28"/>
      <c r="FB1697" s="28"/>
      <c r="FE1697" s="28"/>
      <c r="FH1697" s="28"/>
      <c r="FK1697" s="28"/>
      <c r="FN1697" s="28"/>
      <c r="FQ1697" s="28"/>
      <c r="FT1697" s="28"/>
      <c r="FW1697" s="28"/>
      <c r="FZ1697" s="28"/>
      <c r="GC1697" s="28"/>
    </row>
    <row r="1698" spans="1:185" s="25" customFormat="1" x14ac:dyDescent="0.3">
      <c r="A1698" s="27"/>
      <c r="B1698" s="28"/>
      <c r="C1698" s="27"/>
      <c r="D1698" s="26"/>
      <c r="E1698" s="28"/>
      <c r="H1698" s="28"/>
      <c r="K1698" s="28"/>
      <c r="N1698" s="28"/>
      <c r="Q1698" s="28"/>
      <c r="T1698" s="28"/>
      <c r="W1698" s="28"/>
      <c r="Z1698" s="28"/>
      <c r="AC1698" s="28"/>
      <c r="AF1698" s="28"/>
      <c r="AI1698" s="28"/>
      <c r="AL1698" s="28"/>
      <c r="AO1698" s="28"/>
      <c r="AR1698" s="28"/>
      <c r="AU1698" s="28"/>
      <c r="AX1698" s="28"/>
      <c r="BA1698" s="28"/>
      <c r="BD1698" s="28"/>
      <c r="BG1698" s="28"/>
      <c r="BJ1698" s="28"/>
      <c r="BM1698" s="28"/>
      <c r="BP1698" s="28"/>
      <c r="BS1698" s="28"/>
      <c r="BV1698" s="28"/>
      <c r="BY1698" s="28"/>
      <c r="CB1698" s="28"/>
      <c r="CE1698" s="28"/>
      <c r="CH1698" s="28"/>
      <c r="CK1698" s="28"/>
      <c r="CN1698" s="28"/>
      <c r="CQ1698" s="28"/>
      <c r="CT1698" s="28"/>
      <c r="CW1698" s="28"/>
      <c r="CZ1698" s="28"/>
      <c r="DC1698" s="28"/>
      <c r="DF1698" s="28"/>
      <c r="DI1698" s="28"/>
      <c r="DL1698" s="28"/>
      <c r="DO1698" s="28"/>
      <c r="DR1698" s="28"/>
      <c r="DU1698" s="28"/>
      <c r="DX1698" s="28"/>
      <c r="EA1698" s="28"/>
      <c r="ED1698" s="28"/>
      <c r="EG1698" s="28"/>
      <c r="EJ1698" s="28"/>
      <c r="EM1698" s="28"/>
      <c r="EP1698" s="28"/>
      <c r="ES1698" s="28"/>
      <c r="EV1698" s="28"/>
      <c r="EY1698" s="28"/>
      <c r="FB1698" s="28"/>
      <c r="FE1698" s="28"/>
      <c r="FH1698" s="28"/>
      <c r="FK1698" s="28"/>
      <c r="FN1698" s="28"/>
      <c r="FQ1698" s="28"/>
      <c r="FT1698" s="28"/>
      <c r="FW1698" s="28"/>
      <c r="FZ1698" s="28"/>
      <c r="GC1698" s="28"/>
    </row>
    <row r="1699" spans="1:185" s="25" customFormat="1" x14ac:dyDescent="0.3">
      <c r="A1699" s="27"/>
      <c r="B1699" s="28"/>
      <c r="C1699" s="27"/>
      <c r="D1699" s="26"/>
      <c r="E1699" s="28"/>
      <c r="H1699" s="28"/>
      <c r="K1699" s="28"/>
      <c r="N1699" s="28"/>
      <c r="Q1699" s="28"/>
      <c r="T1699" s="28"/>
      <c r="W1699" s="28"/>
      <c r="Z1699" s="28"/>
      <c r="AC1699" s="28"/>
      <c r="AF1699" s="28"/>
      <c r="AI1699" s="28"/>
      <c r="AL1699" s="28"/>
      <c r="AO1699" s="28"/>
      <c r="AR1699" s="28"/>
      <c r="AU1699" s="28"/>
      <c r="AX1699" s="28"/>
      <c r="BA1699" s="28"/>
      <c r="BD1699" s="28"/>
      <c r="BG1699" s="28"/>
      <c r="BJ1699" s="28"/>
      <c r="BM1699" s="28"/>
      <c r="BP1699" s="28"/>
      <c r="BS1699" s="28"/>
      <c r="BV1699" s="28"/>
      <c r="BY1699" s="28"/>
      <c r="CB1699" s="28"/>
      <c r="CE1699" s="28"/>
      <c r="CH1699" s="28"/>
      <c r="CK1699" s="28"/>
      <c r="CN1699" s="28"/>
      <c r="CQ1699" s="28"/>
      <c r="CT1699" s="28"/>
      <c r="CW1699" s="28"/>
      <c r="CZ1699" s="28"/>
      <c r="DC1699" s="28"/>
      <c r="DF1699" s="28"/>
      <c r="DI1699" s="28"/>
      <c r="DL1699" s="28"/>
      <c r="DO1699" s="28"/>
      <c r="DR1699" s="28"/>
      <c r="DU1699" s="28"/>
      <c r="DX1699" s="28"/>
      <c r="EA1699" s="28"/>
      <c r="ED1699" s="28"/>
      <c r="EG1699" s="28"/>
      <c r="EJ1699" s="28"/>
      <c r="EM1699" s="28"/>
      <c r="EP1699" s="28"/>
      <c r="ES1699" s="28"/>
      <c r="EV1699" s="28"/>
      <c r="EY1699" s="28"/>
      <c r="FB1699" s="28"/>
      <c r="FE1699" s="28"/>
      <c r="FH1699" s="28"/>
      <c r="FK1699" s="28"/>
      <c r="FN1699" s="28"/>
      <c r="FQ1699" s="28"/>
      <c r="FT1699" s="28"/>
      <c r="FW1699" s="28"/>
      <c r="FZ1699" s="28"/>
      <c r="GC1699" s="28"/>
    </row>
    <row r="1700" spans="1:185" s="25" customFormat="1" x14ac:dyDescent="0.3">
      <c r="A1700" s="27"/>
      <c r="B1700" s="28"/>
      <c r="C1700" s="27"/>
      <c r="D1700" s="26"/>
      <c r="E1700" s="28"/>
      <c r="H1700" s="28"/>
      <c r="K1700" s="28"/>
      <c r="N1700" s="28"/>
      <c r="Q1700" s="28"/>
      <c r="T1700" s="28"/>
      <c r="W1700" s="28"/>
      <c r="Z1700" s="28"/>
      <c r="AC1700" s="28"/>
      <c r="AF1700" s="28"/>
      <c r="AI1700" s="28"/>
      <c r="AL1700" s="28"/>
      <c r="AO1700" s="28"/>
      <c r="AR1700" s="28"/>
      <c r="AU1700" s="28"/>
      <c r="AX1700" s="28"/>
      <c r="BA1700" s="28"/>
      <c r="BD1700" s="28"/>
      <c r="BG1700" s="28"/>
      <c r="BJ1700" s="28"/>
      <c r="BM1700" s="28"/>
      <c r="BP1700" s="28"/>
      <c r="BS1700" s="28"/>
      <c r="BV1700" s="28"/>
      <c r="BY1700" s="28"/>
      <c r="CB1700" s="28"/>
      <c r="CE1700" s="28"/>
      <c r="CH1700" s="28"/>
      <c r="CK1700" s="28"/>
      <c r="CN1700" s="28"/>
      <c r="CQ1700" s="28"/>
      <c r="CT1700" s="28"/>
      <c r="CW1700" s="28"/>
      <c r="CZ1700" s="28"/>
      <c r="DC1700" s="28"/>
      <c r="DF1700" s="28"/>
      <c r="DI1700" s="28"/>
      <c r="DL1700" s="28"/>
      <c r="DO1700" s="28"/>
      <c r="DR1700" s="28"/>
      <c r="DU1700" s="28"/>
      <c r="DX1700" s="28"/>
      <c r="EA1700" s="28"/>
      <c r="ED1700" s="28"/>
      <c r="EG1700" s="28"/>
      <c r="EJ1700" s="28"/>
      <c r="EM1700" s="28"/>
      <c r="EP1700" s="28"/>
      <c r="ES1700" s="28"/>
      <c r="EV1700" s="28"/>
      <c r="EY1700" s="28"/>
      <c r="FB1700" s="28"/>
      <c r="FE1700" s="28"/>
      <c r="FH1700" s="28"/>
      <c r="FK1700" s="28"/>
      <c r="FN1700" s="28"/>
      <c r="FQ1700" s="28"/>
      <c r="FT1700" s="28"/>
      <c r="FW1700" s="28"/>
      <c r="FZ1700" s="28"/>
      <c r="GC1700" s="28"/>
    </row>
    <row r="1701" spans="1:185" s="25" customFormat="1" x14ac:dyDescent="0.3">
      <c r="A1701" s="27"/>
      <c r="B1701" s="28"/>
      <c r="C1701" s="27"/>
      <c r="D1701" s="26"/>
      <c r="E1701" s="28"/>
      <c r="H1701" s="28"/>
      <c r="K1701" s="28"/>
      <c r="N1701" s="28"/>
      <c r="Q1701" s="28"/>
      <c r="T1701" s="28"/>
      <c r="W1701" s="28"/>
      <c r="Z1701" s="28"/>
      <c r="AC1701" s="28"/>
      <c r="AF1701" s="28"/>
      <c r="AI1701" s="28"/>
      <c r="AL1701" s="28"/>
      <c r="AO1701" s="28"/>
      <c r="AR1701" s="28"/>
      <c r="AU1701" s="28"/>
      <c r="AX1701" s="28"/>
      <c r="BA1701" s="28"/>
      <c r="BD1701" s="28"/>
      <c r="BG1701" s="28"/>
      <c r="BJ1701" s="28"/>
      <c r="BM1701" s="28"/>
      <c r="BP1701" s="28"/>
      <c r="BS1701" s="28"/>
      <c r="BV1701" s="28"/>
      <c r="BY1701" s="28"/>
      <c r="CB1701" s="28"/>
      <c r="CE1701" s="28"/>
      <c r="CH1701" s="28"/>
      <c r="CK1701" s="28"/>
      <c r="CN1701" s="28"/>
      <c r="CQ1701" s="28"/>
      <c r="CT1701" s="28"/>
      <c r="CW1701" s="28"/>
      <c r="CZ1701" s="28"/>
      <c r="DC1701" s="28"/>
      <c r="DF1701" s="28"/>
      <c r="DI1701" s="28"/>
      <c r="DL1701" s="28"/>
      <c r="DO1701" s="28"/>
      <c r="DR1701" s="28"/>
      <c r="DU1701" s="28"/>
      <c r="DX1701" s="28"/>
      <c r="EA1701" s="28"/>
      <c r="ED1701" s="28"/>
      <c r="EG1701" s="28"/>
      <c r="EJ1701" s="28"/>
      <c r="EM1701" s="28"/>
      <c r="EP1701" s="28"/>
      <c r="ES1701" s="28"/>
      <c r="EV1701" s="28"/>
      <c r="EY1701" s="28"/>
      <c r="FB1701" s="28"/>
      <c r="FE1701" s="28"/>
      <c r="FH1701" s="28"/>
      <c r="FK1701" s="28"/>
      <c r="FN1701" s="28"/>
      <c r="FQ1701" s="28"/>
      <c r="FT1701" s="28"/>
      <c r="FW1701" s="28"/>
      <c r="FZ1701" s="28"/>
      <c r="GC1701" s="28"/>
    </row>
    <row r="1702" spans="1:185" s="25" customFormat="1" x14ac:dyDescent="0.3">
      <c r="A1702" s="27"/>
      <c r="B1702" s="28"/>
      <c r="C1702" s="27"/>
      <c r="D1702" s="26"/>
      <c r="E1702" s="28"/>
      <c r="H1702" s="28"/>
      <c r="K1702" s="28"/>
      <c r="N1702" s="28"/>
      <c r="Q1702" s="28"/>
      <c r="T1702" s="28"/>
      <c r="W1702" s="28"/>
      <c r="Z1702" s="28"/>
      <c r="AC1702" s="28"/>
      <c r="AF1702" s="28"/>
      <c r="AI1702" s="28"/>
      <c r="AL1702" s="28"/>
      <c r="AO1702" s="28"/>
      <c r="AR1702" s="28"/>
      <c r="AU1702" s="28"/>
      <c r="AX1702" s="28"/>
      <c r="BA1702" s="28"/>
      <c r="BD1702" s="28"/>
      <c r="BG1702" s="28"/>
      <c r="BJ1702" s="28"/>
      <c r="BM1702" s="28"/>
      <c r="BP1702" s="28"/>
      <c r="BS1702" s="28"/>
      <c r="BV1702" s="28"/>
      <c r="BY1702" s="28"/>
      <c r="CB1702" s="28"/>
      <c r="CE1702" s="28"/>
      <c r="CH1702" s="28"/>
      <c r="CK1702" s="28"/>
      <c r="CN1702" s="28"/>
      <c r="CQ1702" s="28"/>
      <c r="CT1702" s="28"/>
      <c r="CW1702" s="28"/>
      <c r="CZ1702" s="28"/>
      <c r="DC1702" s="28"/>
      <c r="DF1702" s="28"/>
      <c r="DI1702" s="28"/>
      <c r="DL1702" s="28"/>
      <c r="DO1702" s="28"/>
      <c r="DR1702" s="28"/>
      <c r="DU1702" s="28"/>
      <c r="DX1702" s="28"/>
      <c r="EA1702" s="28"/>
      <c r="ED1702" s="28"/>
      <c r="EG1702" s="28"/>
      <c r="EJ1702" s="28"/>
      <c r="EM1702" s="28"/>
      <c r="EP1702" s="28"/>
      <c r="ES1702" s="28"/>
      <c r="EV1702" s="28"/>
      <c r="EY1702" s="28"/>
      <c r="FB1702" s="28"/>
      <c r="FE1702" s="28"/>
      <c r="FH1702" s="28"/>
      <c r="FK1702" s="28"/>
      <c r="FN1702" s="28"/>
      <c r="FQ1702" s="28"/>
      <c r="FT1702" s="28"/>
      <c r="FW1702" s="28"/>
      <c r="FZ1702" s="28"/>
      <c r="GC1702" s="28"/>
    </row>
    <row r="1703" spans="1:185" s="25" customFormat="1" x14ac:dyDescent="0.3">
      <c r="A1703" s="27"/>
      <c r="B1703" s="28"/>
      <c r="C1703" s="27"/>
      <c r="D1703" s="26"/>
      <c r="E1703" s="28"/>
      <c r="H1703" s="28"/>
      <c r="K1703" s="28"/>
      <c r="N1703" s="28"/>
      <c r="Q1703" s="28"/>
      <c r="T1703" s="28"/>
      <c r="W1703" s="28"/>
      <c r="Z1703" s="28"/>
      <c r="AC1703" s="28"/>
      <c r="AF1703" s="28"/>
      <c r="AI1703" s="28"/>
      <c r="AL1703" s="28"/>
      <c r="AO1703" s="28"/>
      <c r="AR1703" s="28"/>
      <c r="AU1703" s="28"/>
      <c r="AX1703" s="28"/>
      <c r="BA1703" s="28"/>
      <c r="BD1703" s="28"/>
      <c r="BG1703" s="28"/>
      <c r="BJ1703" s="28"/>
      <c r="BM1703" s="28"/>
      <c r="BP1703" s="28"/>
      <c r="BS1703" s="28"/>
      <c r="BV1703" s="28"/>
      <c r="BY1703" s="28"/>
      <c r="CB1703" s="28"/>
      <c r="CE1703" s="28"/>
      <c r="CH1703" s="28"/>
      <c r="CK1703" s="28"/>
      <c r="CN1703" s="28"/>
      <c r="CQ1703" s="28"/>
      <c r="CT1703" s="28"/>
      <c r="CW1703" s="28"/>
      <c r="CZ1703" s="28"/>
      <c r="DC1703" s="28"/>
      <c r="DF1703" s="28"/>
      <c r="DI1703" s="28"/>
      <c r="DL1703" s="28"/>
      <c r="DO1703" s="28"/>
      <c r="DR1703" s="28"/>
      <c r="DU1703" s="28"/>
      <c r="DX1703" s="28"/>
      <c r="EA1703" s="28"/>
      <c r="ED1703" s="28"/>
      <c r="EG1703" s="28"/>
      <c r="EJ1703" s="28"/>
      <c r="EM1703" s="28"/>
      <c r="EP1703" s="28"/>
      <c r="ES1703" s="28"/>
      <c r="EV1703" s="28"/>
      <c r="EY1703" s="28"/>
      <c r="FB1703" s="28"/>
      <c r="FE1703" s="28"/>
      <c r="FH1703" s="28"/>
      <c r="FK1703" s="28"/>
      <c r="FN1703" s="28"/>
      <c r="FQ1703" s="28"/>
      <c r="FT1703" s="28"/>
      <c r="FW1703" s="28"/>
      <c r="FZ1703" s="28"/>
      <c r="GC1703" s="28"/>
    </row>
    <row r="1704" spans="1:185" s="25" customFormat="1" x14ac:dyDescent="0.3">
      <c r="A1704" s="27"/>
      <c r="B1704" s="28"/>
      <c r="C1704" s="27"/>
      <c r="D1704" s="26"/>
      <c r="E1704" s="28"/>
      <c r="H1704" s="28"/>
      <c r="K1704" s="28"/>
      <c r="N1704" s="28"/>
      <c r="Q1704" s="28"/>
      <c r="T1704" s="28"/>
      <c r="W1704" s="28"/>
      <c r="Z1704" s="28"/>
      <c r="AC1704" s="28"/>
      <c r="AF1704" s="28"/>
      <c r="AI1704" s="28"/>
      <c r="AL1704" s="28"/>
      <c r="AO1704" s="28"/>
      <c r="AR1704" s="28"/>
      <c r="AU1704" s="28"/>
      <c r="AX1704" s="28"/>
      <c r="BA1704" s="28"/>
      <c r="BD1704" s="28"/>
      <c r="BG1704" s="28"/>
      <c r="BJ1704" s="28"/>
      <c r="BM1704" s="28"/>
      <c r="BP1704" s="28"/>
      <c r="BS1704" s="28"/>
      <c r="BV1704" s="28"/>
      <c r="BY1704" s="28"/>
      <c r="CB1704" s="28"/>
      <c r="CE1704" s="28"/>
      <c r="CH1704" s="28"/>
      <c r="CK1704" s="28"/>
      <c r="CN1704" s="28"/>
      <c r="CQ1704" s="28"/>
      <c r="CT1704" s="28"/>
      <c r="CW1704" s="28"/>
      <c r="CZ1704" s="28"/>
      <c r="DC1704" s="28"/>
      <c r="DF1704" s="28"/>
      <c r="DI1704" s="28"/>
      <c r="DL1704" s="28"/>
      <c r="DO1704" s="28"/>
      <c r="DR1704" s="28"/>
      <c r="DU1704" s="28"/>
      <c r="DX1704" s="28"/>
      <c r="EA1704" s="28"/>
      <c r="ED1704" s="28"/>
      <c r="EG1704" s="28"/>
      <c r="EJ1704" s="28"/>
      <c r="EM1704" s="28"/>
      <c r="EP1704" s="28"/>
      <c r="ES1704" s="28"/>
      <c r="EV1704" s="28"/>
      <c r="EY1704" s="28"/>
      <c r="FB1704" s="28"/>
      <c r="FE1704" s="28"/>
      <c r="FH1704" s="28"/>
      <c r="FK1704" s="28"/>
      <c r="FN1704" s="28"/>
      <c r="FQ1704" s="28"/>
      <c r="FT1704" s="28"/>
      <c r="FW1704" s="28"/>
      <c r="FZ1704" s="28"/>
      <c r="GC1704" s="28"/>
    </row>
    <row r="1705" spans="1:185" s="25" customFormat="1" x14ac:dyDescent="0.3">
      <c r="A1705" s="27"/>
      <c r="B1705" s="28"/>
      <c r="C1705" s="27"/>
      <c r="D1705" s="26"/>
      <c r="E1705" s="28"/>
      <c r="H1705" s="28"/>
      <c r="K1705" s="28"/>
      <c r="N1705" s="28"/>
      <c r="Q1705" s="28"/>
      <c r="T1705" s="28"/>
      <c r="W1705" s="28"/>
      <c r="Z1705" s="28"/>
      <c r="AC1705" s="28"/>
      <c r="AF1705" s="28"/>
      <c r="AI1705" s="28"/>
      <c r="AL1705" s="28"/>
      <c r="AO1705" s="28"/>
      <c r="AR1705" s="28"/>
      <c r="AU1705" s="28"/>
      <c r="AX1705" s="28"/>
      <c r="BA1705" s="28"/>
      <c r="BD1705" s="28"/>
      <c r="BG1705" s="28"/>
      <c r="BJ1705" s="28"/>
      <c r="BM1705" s="28"/>
      <c r="BP1705" s="28"/>
      <c r="BS1705" s="28"/>
      <c r="BV1705" s="28"/>
      <c r="BY1705" s="28"/>
      <c r="CB1705" s="28"/>
      <c r="CE1705" s="28"/>
      <c r="CH1705" s="28"/>
      <c r="CK1705" s="28"/>
      <c r="CN1705" s="28"/>
      <c r="CQ1705" s="28"/>
      <c r="CT1705" s="28"/>
      <c r="CW1705" s="28"/>
      <c r="CZ1705" s="28"/>
      <c r="DC1705" s="28"/>
      <c r="DF1705" s="28"/>
      <c r="DI1705" s="28"/>
      <c r="DL1705" s="28"/>
      <c r="DO1705" s="28"/>
      <c r="DR1705" s="28"/>
      <c r="DU1705" s="28"/>
      <c r="DX1705" s="28"/>
      <c r="EA1705" s="28"/>
      <c r="ED1705" s="28"/>
      <c r="EG1705" s="28"/>
      <c r="EJ1705" s="28"/>
      <c r="EM1705" s="28"/>
      <c r="EP1705" s="28"/>
      <c r="ES1705" s="28"/>
      <c r="EV1705" s="28"/>
      <c r="EY1705" s="28"/>
      <c r="FB1705" s="28"/>
      <c r="FE1705" s="28"/>
      <c r="FH1705" s="28"/>
      <c r="FK1705" s="28"/>
      <c r="FN1705" s="28"/>
      <c r="FQ1705" s="28"/>
      <c r="FT1705" s="28"/>
      <c r="FW1705" s="28"/>
      <c r="FZ1705" s="28"/>
      <c r="GC1705" s="28"/>
    </row>
    <row r="1706" spans="1:185" s="25" customFormat="1" x14ac:dyDescent="0.3">
      <c r="A1706" s="27"/>
      <c r="B1706" s="28"/>
      <c r="C1706" s="27"/>
      <c r="D1706" s="26"/>
      <c r="E1706" s="28"/>
      <c r="H1706" s="28"/>
      <c r="K1706" s="28"/>
      <c r="N1706" s="28"/>
      <c r="Q1706" s="28"/>
      <c r="T1706" s="28"/>
      <c r="W1706" s="28"/>
      <c r="Z1706" s="28"/>
      <c r="AC1706" s="28"/>
      <c r="AF1706" s="28"/>
      <c r="AI1706" s="28"/>
      <c r="AL1706" s="28"/>
      <c r="AO1706" s="28"/>
      <c r="AR1706" s="28"/>
      <c r="AU1706" s="28"/>
      <c r="AX1706" s="28"/>
      <c r="BA1706" s="28"/>
      <c r="BD1706" s="28"/>
      <c r="BG1706" s="28"/>
      <c r="BJ1706" s="28"/>
      <c r="BM1706" s="28"/>
      <c r="BP1706" s="28"/>
      <c r="BS1706" s="28"/>
      <c r="BV1706" s="28"/>
      <c r="BY1706" s="28"/>
      <c r="CB1706" s="28"/>
      <c r="CE1706" s="28"/>
      <c r="CH1706" s="28"/>
      <c r="CK1706" s="28"/>
      <c r="CN1706" s="28"/>
      <c r="CQ1706" s="28"/>
      <c r="CT1706" s="28"/>
      <c r="CW1706" s="28"/>
      <c r="CZ1706" s="28"/>
      <c r="DC1706" s="28"/>
      <c r="DF1706" s="28"/>
      <c r="DI1706" s="28"/>
      <c r="DL1706" s="28"/>
      <c r="DO1706" s="28"/>
      <c r="DR1706" s="28"/>
      <c r="DU1706" s="28"/>
      <c r="DX1706" s="28"/>
      <c r="EA1706" s="28"/>
      <c r="ED1706" s="28"/>
      <c r="EG1706" s="28"/>
      <c r="EJ1706" s="28"/>
      <c r="EM1706" s="28"/>
      <c r="EP1706" s="28"/>
      <c r="ES1706" s="28"/>
      <c r="EV1706" s="28"/>
      <c r="EY1706" s="28"/>
      <c r="FB1706" s="28"/>
      <c r="FE1706" s="28"/>
      <c r="FH1706" s="28"/>
      <c r="FK1706" s="28"/>
      <c r="FN1706" s="28"/>
      <c r="FQ1706" s="28"/>
      <c r="FT1706" s="28"/>
      <c r="FW1706" s="28"/>
      <c r="FZ1706" s="28"/>
      <c r="GC1706" s="28"/>
    </row>
    <row r="1707" spans="1:185" s="25" customFormat="1" x14ac:dyDescent="0.3">
      <c r="A1707" s="27"/>
      <c r="B1707" s="28"/>
      <c r="C1707" s="27"/>
      <c r="D1707" s="26"/>
      <c r="E1707" s="28"/>
      <c r="H1707" s="28"/>
      <c r="K1707" s="28"/>
      <c r="N1707" s="28"/>
      <c r="Q1707" s="28"/>
      <c r="T1707" s="28"/>
      <c r="W1707" s="28"/>
      <c r="Z1707" s="28"/>
      <c r="AC1707" s="28"/>
      <c r="AF1707" s="28"/>
      <c r="AI1707" s="28"/>
      <c r="AL1707" s="28"/>
      <c r="AO1707" s="28"/>
      <c r="AR1707" s="28"/>
      <c r="AU1707" s="28"/>
      <c r="AX1707" s="28"/>
      <c r="BA1707" s="28"/>
      <c r="BD1707" s="28"/>
      <c r="BG1707" s="28"/>
      <c r="BJ1707" s="28"/>
      <c r="BM1707" s="28"/>
      <c r="BP1707" s="28"/>
      <c r="BS1707" s="28"/>
      <c r="BV1707" s="28"/>
      <c r="BY1707" s="28"/>
      <c r="CB1707" s="28"/>
      <c r="CE1707" s="28"/>
      <c r="CH1707" s="28"/>
      <c r="CK1707" s="28"/>
      <c r="CN1707" s="28"/>
      <c r="CQ1707" s="28"/>
      <c r="CT1707" s="28"/>
      <c r="CW1707" s="28"/>
      <c r="CZ1707" s="28"/>
      <c r="DC1707" s="28"/>
      <c r="DF1707" s="28"/>
      <c r="DI1707" s="28"/>
      <c r="DL1707" s="28"/>
      <c r="DO1707" s="28"/>
      <c r="DR1707" s="28"/>
      <c r="DU1707" s="28"/>
      <c r="DX1707" s="28"/>
      <c r="EA1707" s="28"/>
      <c r="ED1707" s="28"/>
      <c r="EG1707" s="28"/>
      <c r="EJ1707" s="28"/>
      <c r="EM1707" s="28"/>
      <c r="EP1707" s="28"/>
      <c r="ES1707" s="28"/>
      <c r="EV1707" s="28"/>
      <c r="EY1707" s="28"/>
      <c r="FB1707" s="28"/>
      <c r="FE1707" s="28"/>
      <c r="FH1707" s="28"/>
      <c r="FK1707" s="28"/>
      <c r="FN1707" s="28"/>
      <c r="FQ1707" s="28"/>
      <c r="FT1707" s="28"/>
      <c r="FW1707" s="28"/>
      <c r="FZ1707" s="28"/>
      <c r="GC1707" s="28"/>
    </row>
    <row r="1708" spans="1:185" s="25" customFormat="1" x14ac:dyDescent="0.3">
      <c r="A1708" s="27"/>
      <c r="B1708" s="28"/>
      <c r="C1708" s="27"/>
      <c r="D1708" s="26"/>
      <c r="E1708" s="28"/>
      <c r="H1708" s="28"/>
      <c r="K1708" s="28"/>
      <c r="N1708" s="28"/>
      <c r="Q1708" s="28"/>
      <c r="T1708" s="28"/>
      <c r="W1708" s="28"/>
      <c r="Z1708" s="28"/>
      <c r="AC1708" s="28"/>
      <c r="AF1708" s="28"/>
      <c r="AI1708" s="28"/>
      <c r="AL1708" s="28"/>
      <c r="AO1708" s="28"/>
      <c r="AR1708" s="28"/>
      <c r="AU1708" s="28"/>
      <c r="AX1708" s="28"/>
      <c r="BA1708" s="28"/>
      <c r="BD1708" s="28"/>
      <c r="BG1708" s="28"/>
      <c r="BJ1708" s="28"/>
      <c r="BM1708" s="28"/>
      <c r="BP1708" s="28"/>
      <c r="BS1708" s="28"/>
      <c r="BV1708" s="28"/>
      <c r="BY1708" s="28"/>
      <c r="CB1708" s="28"/>
      <c r="CE1708" s="28"/>
      <c r="CH1708" s="28"/>
      <c r="CK1708" s="28"/>
      <c r="CN1708" s="28"/>
      <c r="CQ1708" s="28"/>
      <c r="CT1708" s="28"/>
      <c r="CW1708" s="28"/>
      <c r="CZ1708" s="28"/>
      <c r="DC1708" s="28"/>
      <c r="DF1708" s="28"/>
      <c r="DI1708" s="28"/>
      <c r="DL1708" s="28"/>
      <c r="DO1708" s="28"/>
      <c r="DR1708" s="28"/>
      <c r="DU1708" s="28"/>
      <c r="DX1708" s="28"/>
      <c r="EA1708" s="28"/>
      <c r="ED1708" s="28"/>
      <c r="EG1708" s="28"/>
      <c r="EJ1708" s="28"/>
      <c r="EM1708" s="28"/>
      <c r="EP1708" s="28"/>
      <c r="ES1708" s="28"/>
      <c r="EV1708" s="28"/>
      <c r="EY1708" s="28"/>
      <c r="FB1708" s="28"/>
      <c r="FE1708" s="28"/>
      <c r="FH1708" s="28"/>
      <c r="FK1708" s="28"/>
      <c r="FN1708" s="28"/>
      <c r="FQ1708" s="28"/>
      <c r="FT1708" s="28"/>
      <c r="FW1708" s="28"/>
      <c r="FZ1708" s="28"/>
      <c r="GC1708" s="28"/>
    </row>
    <row r="1709" spans="1:185" s="25" customFormat="1" x14ac:dyDescent="0.3">
      <c r="A1709" s="27"/>
      <c r="B1709" s="28"/>
      <c r="C1709" s="27"/>
      <c r="D1709" s="26"/>
      <c r="E1709" s="28"/>
      <c r="H1709" s="28"/>
      <c r="K1709" s="28"/>
      <c r="N1709" s="28"/>
      <c r="Q1709" s="28"/>
      <c r="T1709" s="28"/>
      <c r="W1709" s="28"/>
      <c r="Z1709" s="28"/>
      <c r="AC1709" s="28"/>
      <c r="AF1709" s="28"/>
      <c r="AI1709" s="28"/>
      <c r="AL1709" s="28"/>
      <c r="AO1709" s="28"/>
      <c r="AR1709" s="28"/>
      <c r="AU1709" s="28"/>
      <c r="AX1709" s="28"/>
      <c r="BA1709" s="28"/>
      <c r="BD1709" s="28"/>
      <c r="BG1709" s="28"/>
      <c r="BJ1709" s="28"/>
      <c r="BM1709" s="28"/>
      <c r="BP1709" s="28"/>
      <c r="BS1709" s="28"/>
      <c r="BV1709" s="28"/>
      <c r="BY1709" s="28"/>
      <c r="CB1709" s="28"/>
      <c r="CE1709" s="28"/>
      <c r="CH1709" s="28"/>
      <c r="CK1709" s="28"/>
      <c r="CN1709" s="28"/>
      <c r="CQ1709" s="28"/>
      <c r="CT1709" s="28"/>
      <c r="CW1709" s="28"/>
      <c r="CZ1709" s="28"/>
      <c r="DC1709" s="28"/>
      <c r="DF1709" s="28"/>
      <c r="DI1709" s="28"/>
      <c r="DL1709" s="28"/>
      <c r="DO1709" s="28"/>
      <c r="DR1709" s="28"/>
      <c r="DU1709" s="28"/>
      <c r="DX1709" s="28"/>
      <c r="EA1709" s="28"/>
      <c r="ED1709" s="28"/>
      <c r="EG1709" s="28"/>
      <c r="EJ1709" s="28"/>
      <c r="EM1709" s="28"/>
      <c r="EP1709" s="28"/>
      <c r="ES1709" s="28"/>
      <c r="EV1709" s="28"/>
      <c r="EY1709" s="28"/>
      <c r="FB1709" s="28"/>
      <c r="FE1709" s="28"/>
      <c r="FH1709" s="28"/>
      <c r="FK1709" s="28"/>
      <c r="FN1709" s="28"/>
      <c r="FQ1709" s="28"/>
      <c r="FT1709" s="28"/>
      <c r="FW1709" s="28"/>
      <c r="FZ1709" s="28"/>
      <c r="GC1709" s="28"/>
    </row>
    <row r="1710" spans="1:185" s="25" customFormat="1" x14ac:dyDescent="0.3">
      <c r="A1710" s="27"/>
      <c r="B1710" s="28"/>
      <c r="C1710" s="27"/>
      <c r="D1710" s="26"/>
      <c r="E1710" s="28"/>
      <c r="H1710" s="28"/>
      <c r="K1710" s="28"/>
      <c r="N1710" s="28"/>
      <c r="Q1710" s="28"/>
      <c r="T1710" s="28"/>
      <c r="W1710" s="28"/>
      <c r="Z1710" s="28"/>
      <c r="AC1710" s="28"/>
      <c r="AF1710" s="28"/>
      <c r="AI1710" s="28"/>
      <c r="AL1710" s="28"/>
      <c r="AO1710" s="28"/>
      <c r="AR1710" s="28"/>
      <c r="AU1710" s="28"/>
      <c r="AX1710" s="28"/>
      <c r="BA1710" s="28"/>
      <c r="BD1710" s="28"/>
      <c r="BG1710" s="28"/>
      <c r="BJ1710" s="28"/>
      <c r="BM1710" s="28"/>
      <c r="BP1710" s="28"/>
      <c r="BS1710" s="28"/>
      <c r="BV1710" s="28"/>
      <c r="BY1710" s="28"/>
      <c r="CB1710" s="28"/>
      <c r="CE1710" s="28"/>
      <c r="CH1710" s="28"/>
      <c r="CK1710" s="28"/>
      <c r="CN1710" s="28"/>
      <c r="CQ1710" s="28"/>
      <c r="CT1710" s="28"/>
      <c r="CW1710" s="28"/>
      <c r="CZ1710" s="28"/>
      <c r="DC1710" s="28"/>
      <c r="DF1710" s="28"/>
      <c r="DI1710" s="28"/>
      <c r="DL1710" s="28"/>
      <c r="DO1710" s="28"/>
      <c r="DR1710" s="28"/>
      <c r="DU1710" s="28"/>
      <c r="DX1710" s="28"/>
      <c r="EA1710" s="28"/>
      <c r="ED1710" s="28"/>
      <c r="EG1710" s="28"/>
      <c r="EJ1710" s="28"/>
      <c r="EM1710" s="28"/>
      <c r="EP1710" s="28"/>
      <c r="ES1710" s="28"/>
      <c r="EV1710" s="28"/>
      <c r="EY1710" s="28"/>
      <c r="FB1710" s="28"/>
      <c r="FE1710" s="28"/>
      <c r="FH1710" s="28"/>
      <c r="FK1710" s="28"/>
      <c r="FN1710" s="28"/>
      <c r="FQ1710" s="28"/>
      <c r="FT1710" s="28"/>
      <c r="FW1710" s="28"/>
      <c r="FZ1710" s="28"/>
      <c r="GC1710" s="28"/>
    </row>
    <row r="1711" spans="1:185" s="25" customFormat="1" x14ac:dyDescent="0.3">
      <c r="A1711" s="27"/>
      <c r="B1711" s="28"/>
      <c r="C1711" s="27"/>
      <c r="D1711" s="26"/>
      <c r="E1711" s="28"/>
      <c r="H1711" s="28"/>
      <c r="K1711" s="28"/>
      <c r="N1711" s="28"/>
      <c r="Q1711" s="28"/>
      <c r="T1711" s="28"/>
      <c r="W1711" s="28"/>
      <c r="Z1711" s="28"/>
      <c r="AC1711" s="28"/>
      <c r="AF1711" s="28"/>
      <c r="AI1711" s="28"/>
      <c r="AL1711" s="28"/>
      <c r="AO1711" s="28"/>
      <c r="AR1711" s="28"/>
      <c r="AU1711" s="28"/>
      <c r="AX1711" s="28"/>
      <c r="BA1711" s="28"/>
      <c r="BD1711" s="28"/>
      <c r="BG1711" s="28"/>
      <c r="BJ1711" s="28"/>
      <c r="BM1711" s="28"/>
      <c r="BP1711" s="28"/>
      <c r="BS1711" s="28"/>
      <c r="BV1711" s="28"/>
      <c r="BY1711" s="28"/>
      <c r="CB1711" s="28"/>
      <c r="CE1711" s="28"/>
      <c r="CH1711" s="28"/>
      <c r="CK1711" s="28"/>
      <c r="CN1711" s="28"/>
      <c r="CQ1711" s="28"/>
      <c r="CT1711" s="28"/>
      <c r="CW1711" s="28"/>
      <c r="CZ1711" s="28"/>
      <c r="DC1711" s="28"/>
      <c r="DF1711" s="28"/>
      <c r="DI1711" s="28"/>
      <c r="DL1711" s="28"/>
      <c r="DO1711" s="28"/>
      <c r="DR1711" s="28"/>
      <c r="DU1711" s="28"/>
      <c r="DX1711" s="28"/>
      <c r="EA1711" s="28"/>
      <c r="ED1711" s="28"/>
      <c r="EG1711" s="28"/>
      <c r="EJ1711" s="28"/>
      <c r="EM1711" s="28"/>
      <c r="EP1711" s="28"/>
      <c r="ES1711" s="28"/>
      <c r="EV1711" s="28"/>
      <c r="EY1711" s="28"/>
      <c r="FB1711" s="28"/>
      <c r="FE1711" s="28"/>
      <c r="FH1711" s="28"/>
      <c r="FK1711" s="28"/>
      <c r="FN1711" s="28"/>
      <c r="FQ1711" s="28"/>
      <c r="FT1711" s="28"/>
      <c r="FW1711" s="28"/>
      <c r="FZ1711" s="28"/>
      <c r="GC1711" s="28"/>
    </row>
    <row r="1712" spans="1:185" s="25" customFormat="1" x14ac:dyDescent="0.3">
      <c r="A1712" s="27"/>
      <c r="B1712" s="28"/>
      <c r="C1712" s="27"/>
      <c r="D1712" s="26"/>
      <c r="E1712" s="28"/>
      <c r="H1712" s="28"/>
      <c r="K1712" s="28"/>
      <c r="N1712" s="28"/>
      <c r="Q1712" s="28"/>
      <c r="T1712" s="28"/>
      <c r="W1712" s="28"/>
      <c r="Z1712" s="28"/>
      <c r="AC1712" s="28"/>
      <c r="AF1712" s="28"/>
      <c r="AI1712" s="28"/>
      <c r="AL1712" s="28"/>
      <c r="AO1712" s="28"/>
      <c r="AR1712" s="28"/>
      <c r="AU1712" s="28"/>
      <c r="AX1712" s="28"/>
      <c r="BA1712" s="28"/>
      <c r="BD1712" s="28"/>
      <c r="BG1712" s="28"/>
      <c r="BJ1712" s="28"/>
      <c r="BM1712" s="28"/>
      <c r="BP1712" s="28"/>
      <c r="BS1712" s="28"/>
      <c r="BV1712" s="28"/>
      <c r="BY1712" s="28"/>
      <c r="CB1712" s="28"/>
      <c r="CE1712" s="28"/>
      <c r="CH1712" s="28"/>
      <c r="CK1712" s="28"/>
      <c r="CN1712" s="28"/>
      <c r="CQ1712" s="28"/>
      <c r="CT1712" s="28"/>
      <c r="CW1712" s="28"/>
      <c r="CZ1712" s="28"/>
      <c r="DC1712" s="28"/>
      <c r="DF1712" s="28"/>
      <c r="DI1712" s="28"/>
      <c r="DL1712" s="28"/>
      <c r="DO1712" s="28"/>
      <c r="DR1712" s="28"/>
      <c r="DU1712" s="28"/>
      <c r="DX1712" s="28"/>
      <c r="EA1712" s="28"/>
      <c r="ED1712" s="28"/>
      <c r="EG1712" s="28"/>
      <c r="EJ1712" s="28"/>
      <c r="EM1712" s="28"/>
      <c r="EP1712" s="28"/>
      <c r="ES1712" s="28"/>
      <c r="EV1712" s="28"/>
      <c r="EY1712" s="28"/>
      <c r="FB1712" s="28"/>
      <c r="FE1712" s="28"/>
      <c r="FH1712" s="28"/>
      <c r="FK1712" s="28"/>
      <c r="FN1712" s="28"/>
      <c r="FQ1712" s="28"/>
      <c r="FT1712" s="28"/>
      <c r="FW1712" s="28"/>
      <c r="FZ1712" s="28"/>
      <c r="GC1712" s="28"/>
    </row>
    <row r="1713" spans="1:185" s="25" customFormat="1" x14ac:dyDescent="0.3">
      <c r="A1713" s="27"/>
      <c r="B1713" s="28"/>
      <c r="C1713" s="27"/>
      <c r="D1713" s="26"/>
      <c r="E1713" s="28"/>
      <c r="H1713" s="28"/>
      <c r="K1713" s="28"/>
      <c r="N1713" s="28"/>
      <c r="Q1713" s="28"/>
      <c r="T1713" s="28"/>
      <c r="W1713" s="28"/>
      <c r="Z1713" s="28"/>
      <c r="AC1713" s="28"/>
      <c r="AF1713" s="28"/>
      <c r="AI1713" s="28"/>
      <c r="AL1713" s="28"/>
      <c r="AO1713" s="28"/>
      <c r="AR1713" s="28"/>
      <c r="AU1713" s="28"/>
      <c r="AX1713" s="28"/>
      <c r="BA1713" s="28"/>
      <c r="BD1713" s="28"/>
      <c r="BG1713" s="28"/>
      <c r="BJ1713" s="28"/>
      <c r="BM1713" s="28"/>
      <c r="BP1713" s="28"/>
      <c r="BS1713" s="28"/>
      <c r="BV1713" s="28"/>
      <c r="BY1713" s="28"/>
      <c r="CB1713" s="28"/>
      <c r="CE1713" s="28"/>
      <c r="CH1713" s="28"/>
      <c r="CK1713" s="28"/>
      <c r="CN1713" s="28"/>
      <c r="CQ1713" s="28"/>
      <c r="CT1713" s="28"/>
      <c r="CW1713" s="28"/>
      <c r="CZ1713" s="28"/>
      <c r="DC1713" s="28"/>
      <c r="DF1713" s="28"/>
      <c r="DI1713" s="28"/>
      <c r="DL1713" s="28"/>
      <c r="DO1713" s="28"/>
      <c r="DR1713" s="28"/>
      <c r="DU1713" s="28"/>
      <c r="DX1713" s="28"/>
      <c r="EA1713" s="28"/>
      <c r="ED1713" s="28"/>
      <c r="EG1713" s="28"/>
      <c r="EJ1713" s="28"/>
      <c r="EM1713" s="28"/>
      <c r="EP1713" s="28"/>
      <c r="ES1713" s="28"/>
      <c r="EV1713" s="28"/>
      <c r="EY1713" s="28"/>
      <c r="FB1713" s="28"/>
      <c r="FE1713" s="28"/>
      <c r="FH1713" s="28"/>
      <c r="FK1713" s="28"/>
      <c r="FN1713" s="28"/>
      <c r="FQ1713" s="28"/>
      <c r="FT1713" s="28"/>
      <c r="FW1713" s="28"/>
      <c r="FZ1713" s="28"/>
      <c r="GC1713" s="28"/>
    </row>
    <row r="1714" spans="1:185" s="25" customFormat="1" x14ac:dyDescent="0.3">
      <c r="A1714" s="27"/>
      <c r="B1714" s="28"/>
      <c r="C1714" s="27"/>
      <c r="D1714" s="26"/>
      <c r="E1714" s="28"/>
      <c r="H1714" s="28"/>
      <c r="K1714" s="28"/>
      <c r="N1714" s="28"/>
      <c r="Q1714" s="28"/>
      <c r="T1714" s="28"/>
      <c r="W1714" s="28"/>
      <c r="Z1714" s="28"/>
      <c r="AC1714" s="28"/>
      <c r="AF1714" s="28"/>
      <c r="AI1714" s="28"/>
      <c r="AL1714" s="28"/>
      <c r="AO1714" s="28"/>
      <c r="AR1714" s="28"/>
      <c r="AU1714" s="28"/>
      <c r="AX1714" s="28"/>
      <c r="BA1714" s="28"/>
      <c r="BD1714" s="28"/>
      <c r="BG1714" s="28"/>
      <c r="BJ1714" s="28"/>
      <c r="BM1714" s="28"/>
      <c r="BP1714" s="28"/>
      <c r="BS1714" s="28"/>
      <c r="BV1714" s="28"/>
      <c r="BY1714" s="28"/>
      <c r="CB1714" s="28"/>
      <c r="CE1714" s="28"/>
      <c r="CH1714" s="28"/>
      <c r="CK1714" s="28"/>
      <c r="CN1714" s="28"/>
      <c r="CQ1714" s="28"/>
      <c r="CT1714" s="28"/>
      <c r="CW1714" s="28"/>
      <c r="CZ1714" s="28"/>
      <c r="DC1714" s="28"/>
      <c r="DF1714" s="28"/>
      <c r="DI1714" s="28"/>
      <c r="DL1714" s="28"/>
      <c r="DO1714" s="28"/>
      <c r="DR1714" s="28"/>
      <c r="DU1714" s="28"/>
      <c r="DX1714" s="28"/>
      <c r="EA1714" s="28"/>
      <c r="ED1714" s="28"/>
      <c r="EG1714" s="28"/>
      <c r="EJ1714" s="28"/>
      <c r="EM1714" s="28"/>
      <c r="EP1714" s="28"/>
      <c r="ES1714" s="28"/>
      <c r="EV1714" s="28"/>
      <c r="EY1714" s="28"/>
      <c r="FB1714" s="28"/>
      <c r="FE1714" s="28"/>
      <c r="FH1714" s="28"/>
      <c r="FK1714" s="28"/>
      <c r="FN1714" s="28"/>
      <c r="FQ1714" s="28"/>
      <c r="FT1714" s="28"/>
      <c r="FW1714" s="28"/>
      <c r="FZ1714" s="28"/>
      <c r="GC1714" s="28"/>
    </row>
    <row r="1715" spans="1:185" s="25" customFormat="1" x14ac:dyDescent="0.3">
      <c r="A1715" s="27"/>
      <c r="B1715" s="28"/>
      <c r="C1715" s="27"/>
      <c r="D1715" s="26"/>
      <c r="E1715" s="28"/>
      <c r="H1715" s="28"/>
      <c r="K1715" s="28"/>
      <c r="N1715" s="28"/>
      <c r="Q1715" s="28"/>
      <c r="T1715" s="28"/>
      <c r="W1715" s="28"/>
      <c r="Z1715" s="28"/>
      <c r="AC1715" s="28"/>
      <c r="AF1715" s="28"/>
      <c r="AI1715" s="28"/>
      <c r="AL1715" s="28"/>
      <c r="AO1715" s="28"/>
      <c r="AR1715" s="28"/>
      <c r="AU1715" s="28"/>
      <c r="AX1715" s="28"/>
      <c r="BA1715" s="28"/>
      <c r="BD1715" s="28"/>
      <c r="BG1715" s="28"/>
      <c r="BJ1715" s="28"/>
      <c r="BM1715" s="28"/>
      <c r="BP1715" s="28"/>
      <c r="BS1715" s="28"/>
      <c r="BV1715" s="28"/>
      <c r="BY1715" s="28"/>
      <c r="CB1715" s="28"/>
      <c r="CE1715" s="28"/>
      <c r="CH1715" s="28"/>
      <c r="CK1715" s="28"/>
      <c r="CN1715" s="28"/>
      <c r="CQ1715" s="28"/>
      <c r="CT1715" s="28"/>
      <c r="CW1715" s="28"/>
      <c r="CZ1715" s="28"/>
      <c r="DC1715" s="28"/>
      <c r="DF1715" s="28"/>
      <c r="DI1715" s="28"/>
      <c r="DL1715" s="28"/>
      <c r="DO1715" s="28"/>
      <c r="DR1715" s="28"/>
      <c r="DU1715" s="28"/>
      <c r="DX1715" s="28"/>
      <c r="EA1715" s="28"/>
      <c r="ED1715" s="28"/>
      <c r="EG1715" s="28"/>
      <c r="EJ1715" s="28"/>
      <c r="EM1715" s="28"/>
      <c r="EP1715" s="28"/>
      <c r="ES1715" s="28"/>
      <c r="EV1715" s="28"/>
      <c r="EY1715" s="28"/>
      <c r="FB1715" s="28"/>
      <c r="FE1715" s="28"/>
      <c r="FH1715" s="28"/>
      <c r="FK1715" s="28"/>
      <c r="FN1715" s="28"/>
      <c r="FQ1715" s="28"/>
      <c r="FT1715" s="28"/>
      <c r="FW1715" s="28"/>
      <c r="FZ1715" s="28"/>
      <c r="GC1715" s="28"/>
    </row>
    <row r="1716" spans="1:185" s="25" customFormat="1" x14ac:dyDescent="0.3">
      <c r="A1716" s="27"/>
      <c r="B1716" s="28"/>
      <c r="C1716" s="27"/>
      <c r="D1716" s="26"/>
      <c r="E1716" s="28"/>
      <c r="H1716" s="28"/>
      <c r="K1716" s="28"/>
      <c r="N1716" s="28"/>
      <c r="Q1716" s="28"/>
      <c r="T1716" s="28"/>
      <c r="W1716" s="28"/>
      <c r="Z1716" s="28"/>
      <c r="AC1716" s="28"/>
      <c r="AF1716" s="28"/>
      <c r="AI1716" s="28"/>
      <c r="AL1716" s="28"/>
      <c r="AO1716" s="28"/>
      <c r="AR1716" s="28"/>
      <c r="AU1716" s="28"/>
      <c r="AX1716" s="28"/>
      <c r="BA1716" s="28"/>
      <c r="BD1716" s="28"/>
      <c r="BG1716" s="28"/>
      <c r="BJ1716" s="28"/>
      <c r="BM1716" s="28"/>
      <c r="BP1716" s="28"/>
      <c r="BS1716" s="28"/>
      <c r="BV1716" s="28"/>
      <c r="BY1716" s="28"/>
      <c r="CB1716" s="28"/>
      <c r="CE1716" s="28"/>
      <c r="CH1716" s="28"/>
      <c r="CK1716" s="28"/>
      <c r="CN1716" s="28"/>
      <c r="CQ1716" s="28"/>
      <c r="CT1716" s="28"/>
      <c r="CW1716" s="28"/>
      <c r="CZ1716" s="28"/>
      <c r="DC1716" s="28"/>
      <c r="DF1716" s="28"/>
      <c r="DI1716" s="28"/>
      <c r="DL1716" s="28"/>
      <c r="DO1716" s="28"/>
      <c r="DR1716" s="28"/>
      <c r="DU1716" s="28"/>
      <c r="DX1716" s="28"/>
      <c r="EA1716" s="28"/>
      <c r="ED1716" s="28"/>
      <c r="EG1716" s="28"/>
      <c r="EJ1716" s="28"/>
      <c r="EM1716" s="28"/>
      <c r="EP1716" s="28"/>
      <c r="ES1716" s="28"/>
      <c r="EV1716" s="28"/>
      <c r="EY1716" s="28"/>
      <c r="FB1716" s="28"/>
      <c r="FE1716" s="28"/>
      <c r="FH1716" s="28"/>
      <c r="FK1716" s="28"/>
      <c r="FN1716" s="28"/>
      <c r="FQ1716" s="28"/>
      <c r="FT1716" s="28"/>
      <c r="FW1716" s="28"/>
      <c r="FZ1716" s="28"/>
      <c r="GC1716" s="28"/>
    </row>
    <row r="1717" spans="1:185" s="25" customFormat="1" x14ac:dyDescent="0.3">
      <c r="A1717" s="27"/>
      <c r="B1717" s="28"/>
      <c r="C1717" s="27"/>
      <c r="D1717" s="26"/>
      <c r="E1717" s="28"/>
      <c r="H1717" s="28"/>
      <c r="K1717" s="28"/>
      <c r="N1717" s="28"/>
      <c r="Q1717" s="28"/>
      <c r="T1717" s="28"/>
      <c r="W1717" s="28"/>
      <c r="Z1717" s="28"/>
      <c r="AC1717" s="28"/>
      <c r="AF1717" s="28"/>
      <c r="AI1717" s="28"/>
      <c r="AL1717" s="28"/>
      <c r="AO1717" s="28"/>
      <c r="AR1717" s="28"/>
      <c r="AU1717" s="28"/>
      <c r="AX1717" s="28"/>
      <c r="BA1717" s="28"/>
      <c r="BD1717" s="28"/>
      <c r="BG1717" s="28"/>
      <c r="BJ1717" s="28"/>
      <c r="BM1717" s="28"/>
      <c r="BP1717" s="28"/>
      <c r="BS1717" s="28"/>
      <c r="BV1717" s="28"/>
      <c r="BY1717" s="28"/>
      <c r="CB1717" s="28"/>
      <c r="CE1717" s="28"/>
      <c r="CH1717" s="28"/>
      <c r="CK1717" s="28"/>
      <c r="CN1717" s="28"/>
      <c r="CQ1717" s="28"/>
      <c r="CT1717" s="28"/>
      <c r="CW1717" s="28"/>
      <c r="CZ1717" s="28"/>
      <c r="DC1717" s="28"/>
      <c r="DF1717" s="28"/>
      <c r="DI1717" s="28"/>
      <c r="DL1717" s="28"/>
      <c r="DO1717" s="28"/>
      <c r="DR1717" s="28"/>
      <c r="DU1717" s="28"/>
      <c r="DX1717" s="28"/>
      <c r="EA1717" s="28"/>
      <c r="ED1717" s="28"/>
      <c r="EG1717" s="28"/>
      <c r="EJ1717" s="28"/>
      <c r="EM1717" s="28"/>
      <c r="EP1717" s="28"/>
      <c r="ES1717" s="28"/>
      <c r="EV1717" s="28"/>
      <c r="EY1717" s="28"/>
      <c r="FB1717" s="28"/>
      <c r="FE1717" s="28"/>
      <c r="FH1717" s="28"/>
      <c r="FK1717" s="28"/>
      <c r="FN1717" s="28"/>
      <c r="FQ1717" s="28"/>
      <c r="FT1717" s="28"/>
      <c r="FW1717" s="28"/>
      <c r="FZ1717" s="28"/>
      <c r="GC1717" s="28"/>
    </row>
    <row r="1718" spans="1:185" s="25" customFormat="1" x14ac:dyDescent="0.3">
      <c r="A1718" s="27"/>
      <c r="B1718" s="28"/>
      <c r="C1718" s="27"/>
      <c r="D1718" s="26"/>
      <c r="E1718" s="28"/>
      <c r="H1718" s="28"/>
      <c r="K1718" s="28"/>
      <c r="N1718" s="28"/>
      <c r="Q1718" s="28"/>
      <c r="T1718" s="28"/>
      <c r="W1718" s="28"/>
      <c r="Z1718" s="28"/>
      <c r="AC1718" s="28"/>
      <c r="AF1718" s="28"/>
      <c r="AI1718" s="28"/>
      <c r="AL1718" s="28"/>
      <c r="AO1718" s="28"/>
      <c r="AR1718" s="28"/>
      <c r="AU1718" s="28"/>
      <c r="AX1718" s="28"/>
      <c r="BA1718" s="28"/>
      <c r="BD1718" s="28"/>
      <c r="BG1718" s="28"/>
      <c r="BJ1718" s="28"/>
      <c r="BM1718" s="28"/>
      <c r="BP1718" s="28"/>
      <c r="BS1718" s="28"/>
      <c r="BV1718" s="28"/>
      <c r="BY1718" s="28"/>
      <c r="CB1718" s="28"/>
      <c r="CE1718" s="28"/>
      <c r="CH1718" s="28"/>
      <c r="CK1718" s="28"/>
      <c r="CN1718" s="28"/>
      <c r="CQ1718" s="28"/>
      <c r="CT1718" s="28"/>
      <c r="CW1718" s="28"/>
      <c r="CZ1718" s="28"/>
      <c r="DC1718" s="28"/>
      <c r="DF1718" s="28"/>
      <c r="DI1718" s="28"/>
      <c r="DL1718" s="28"/>
      <c r="DO1718" s="28"/>
      <c r="DR1718" s="28"/>
      <c r="DU1718" s="28"/>
      <c r="DX1718" s="28"/>
      <c r="EA1718" s="28"/>
      <c r="ED1718" s="28"/>
      <c r="EG1718" s="28"/>
      <c r="EJ1718" s="28"/>
      <c r="EM1718" s="28"/>
      <c r="EP1718" s="28"/>
      <c r="ES1718" s="28"/>
      <c r="EV1718" s="28"/>
      <c r="EY1718" s="28"/>
      <c r="FB1718" s="28"/>
      <c r="FE1718" s="28"/>
      <c r="FH1718" s="28"/>
      <c r="FK1718" s="28"/>
      <c r="FN1718" s="28"/>
      <c r="FQ1718" s="28"/>
      <c r="FT1718" s="28"/>
      <c r="FW1718" s="28"/>
      <c r="FZ1718" s="28"/>
      <c r="GC1718" s="28"/>
    </row>
    <row r="1719" spans="1:185" s="25" customFormat="1" x14ac:dyDescent="0.3">
      <c r="A1719" s="27"/>
      <c r="B1719" s="28"/>
      <c r="C1719" s="27"/>
      <c r="D1719" s="26"/>
      <c r="E1719" s="28"/>
      <c r="H1719" s="28"/>
      <c r="K1719" s="28"/>
      <c r="N1719" s="28"/>
      <c r="Q1719" s="28"/>
      <c r="T1719" s="28"/>
      <c r="W1719" s="28"/>
      <c r="Z1719" s="28"/>
      <c r="AC1719" s="28"/>
      <c r="AF1719" s="28"/>
      <c r="AI1719" s="28"/>
      <c r="AL1719" s="28"/>
      <c r="AO1719" s="28"/>
      <c r="AR1719" s="28"/>
      <c r="AU1719" s="28"/>
      <c r="AX1719" s="28"/>
      <c r="BA1719" s="28"/>
      <c r="BD1719" s="28"/>
      <c r="BG1719" s="28"/>
      <c r="BJ1719" s="28"/>
      <c r="BM1719" s="28"/>
      <c r="BP1719" s="28"/>
      <c r="BS1719" s="28"/>
      <c r="BV1719" s="28"/>
      <c r="BY1719" s="28"/>
      <c r="CB1719" s="28"/>
      <c r="CE1719" s="28"/>
      <c r="CH1719" s="28"/>
      <c r="CK1719" s="28"/>
      <c r="CN1719" s="28"/>
      <c r="CQ1719" s="28"/>
      <c r="CT1719" s="28"/>
      <c r="CW1719" s="28"/>
      <c r="CZ1719" s="28"/>
      <c r="DC1719" s="28"/>
      <c r="DF1719" s="28"/>
      <c r="DI1719" s="28"/>
      <c r="DL1719" s="28"/>
      <c r="DO1719" s="28"/>
      <c r="DR1719" s="28"/>
      <c r="DU1719" s="28"/>
      <c r="DX1719" s="28"/>
      <c r="EA1719" s="28"/>
      <c r="ED1719" s="28"/>
      <c r="EG1719" s="28"/>
      <c r="EJ1719" s="28"/>
      <c r="EM1719" s="28"/>
      <c r="EP1719" s="28"/>
      <c r="ES1719" s="28"/>
      <c r="EV1719" s="28"/>
      <c r="EY1719" s="28"/>
      <c r="FB1719" s="28"/>
      <c r="FE1719" s="28"/>
      <c r="FH1719" s="28"/>
      <c r="FK1719" s="28"/>
      <c r="FN1719" s="28"/>
      <c r="FQ1719" s="28"/>
      <c r="FT1719" s="28"/>
      <c r="FW1719" s="28"/>
      <c r="FZ1719" s="28"/>
      <c r="GC1719" s="28"/>
    </row>
    <row r="1720" spans="1:185" s="25" customFormat="1" x14ac:dyDescent="0.3">
      <c r="A1720" s="27"/>
      <c r="B1720" s="28"/>
      <c r="C1720" s="27"/>
      <c r="D1720" s="26"/>
      <c r="E1720" s="28"/>
      <c r="H1720" s="28"/>
      <c r="K1720" s="28"/>
      <c r="N1720" s="28"/>
      <c r="Q1720" s="28"/>
      <c r="T1720" s="28"/>
      <c r="W1720" s="28"/>
      <c r="Z1720" s="28"/>
      <c r="AC1720" s="28"/>
      <c r="AF1720" s="28"/>
      <c r="AI1720" s="28"/>
      <c r="AL1720" s="28"/>
      <c r="AO1720" s="28"/>
      <c r="AR1720" s="28"/>
      <c r="AU1720" s="28"/>
      <c r="AX1720" s="28"/>
      <c r="BA1720" s="28"/>
      <c r="BD1720" s="28"/>
      <c r="BG1720" s="28"/>
      <c r="BJ1720" s="28"/>
      <c r="BM1720" s="28"/>
      <c r="BP1720" s="28"/>
      <c r="BS1720" s="28"/>
      <c r="BV1720" s="28"/>
      <c r="BY1720" s="28"/>
      <c r="CB1720" s="28"/>
      <c r="CE1720" s="28"/>
      <c r="CH1720" s="28"/>
      <c r="CK1720" s="28"/>
      <c r="CN1720" s="28"/>
      <c r="CQ1720" s="28"/>
      <c r="CT1720" s="28"/>
      <c r="CW1720" s="28"/>
      <c r="CZ1720" s="28"/>
      <c r="DC1720" s="28"/>
      <c r="DF1720" s="28"/>
      <c r="DI1720" s="28"/>
      <c r="DL1720" s="28"/>
      <c r="DO1720" s="28"/>
      <c r="DR1720" s="28"/>
      <c r="DU1720" s="28"/>
      <c r="DX1720" s="28"/>
      <c r="EA1720" s="28"/>
      <c r="ED1720" s="28"/>
      <c r="EG1720" s="28"/>
      <c r="EJ1720" s="28"/>
      <c r="EM1720" s="28"/>
      <c r="EP1720" s="28"/>
      <c r="ES1720" s="28"/>
      <c r="EV1720" s="28"/>
      <c r="EY1720" s="28"/>
      <c r="FB1720" s="28"/>
      <c r="FE1720" s="28"/>
      <c r="FH1720" s="28"/>
      <c r="FK1720" s="28"/>
      <c r="FN1720" s="28"/>
      <c r="FQ1720" s="28"/>
      <c r="FT1720" s="28"/>
      <c r="FW1720" s="28"/>
      <c r="FZ1720" s="28"/>
      <c r="GC1720" s="28"/>
    </row>
    <row r="1721" spans="1:185" s="25" customFormat="1" x14ac:dyDescent="0.3">
      <c r="A1721" s="27"/>
      <c r="B1721" s="28"/>
      <c r="C1721" s="27"/>
      <c r="D1721" s="26"/>
      <c r="E1721" s="28"/>
      <c r="H1721" s="28"/>
      <c r="K1721" s="28"/>
      <c r="N1721" s="28"/>
      <c r="Q1721" s="28"/>
      <c r="T1721" s="28"/>
      <c r="W1721" s="28"/>
      <c r="Z1721" s="28"/>
      <c r="AC1721" s="28"/>
      <c r="AF1721" s="28"/>
      <c r="AI1721" s="28"/>
      <c r="AL1721" s="28"/>
      <c r="AO1721" s="28"/>
      <c r="AR1721" s="28"/>
      <c r="AU1721" s="28"/>
      <c r="AX1721" s="28"/>
      <c r="BA1721" s="28"/>
      <c r="BD1721" s="28"/>
      <c r="BG1721" s="28"/>
      <c r="BJ1721" s="28"/>
      <c r="BM1721" s="28"/>
      <c r="BP1721" s="28"/>
      <c r="BS1721" s="28"/>
      <c r="BV1721" s="28"/>
      <c r="BY1721" s="28"/>
      <c r="CB1721" s="28"/>
      <c r="CE1721" s="28"/>
      <c r="CH1721" s="28"/>
      <c r="CK1721" s="28"/>
      <c r="CN1721" s="28"/>
      <c r="CQ1721" s="28"/>
      <c r="CT1721" s="28"/>
      <c r="CW1721" s="28"/>
      <c r="CZ1721" s="28"/>
      <c r="DC1721" s="28"/>
      <c r="DF1721" s="28"/>
      <c r="DI1721" s="28"/>
      <c r="DL1721" s="28"/>
      <c r="DO1721" s="28"/>
      <c r="DR1721" s="28"/>
      <c r="DU1721" s="28"/>
      <c r="DX1721" s="28"/>
      <c r="EA1721" s="28"/>
      <c r="ED1721" s="28"/>
      <c r="EG1721" s="28"/>
      <c r="EJ1721" s="28"/>
      <c r="EM1721" s="28"/>
      <c r="EP1721" s="28"/>
      <c r="ES1721" s="28"/>
      <c r="EV1721" s="28"/>
      <c r="EY1721" s="28"/>
      <c r="FB1721" s="28"/>
      <c r="FE1721" s="28"/>
      <c r="FH1721" s="28"/>
      <c r="FK1721" s="28"/>
      <c r="FN1721" s="28"/>
      <c r="FQ1721" s="28"/>
      <c r="FT1721" s="28"/>
      <c r="FW1721" s="28"/>
      <c r="FZ1721" s="28"/>
      <c r="GC1721" s="28"/>
    </row>
    <row r="1722" spans="1:185" s="25" customFormat="1" x14ac:dyDescent="0.3">
      <c r="A1722" s="27"/>
      <c r="B1722" s="28"/>
      <c r="C1722" s="27"/>
      <c r="D1722" s="26"/>
      <c r="E1722" s="28"/>
      <c r="H1722" s="28"/>
      <c r="K1722" s="28"/>
      <c r="N1722" s="28"/>
      <c r="Q1722" s="28"/>
      <c r="T1722" s="28"/>
      <c r="W1722" s="28"/>
      <c r="Z1722" s="28"/>
      <c r="AC1722" s="28"/>
      <c r="AF1722" s="28"/>
      <c r="AI1722" s="28"/>
      <c r="AL1722" s="28"/>
      <c r="AO1722" s="28"/>
      <c r="AR1722" s="28"/>
      <c r="AU1722" s="28"/>
      <c r="AX1722" s="28"/>
      <c r="BA1722" s="28"/>
      <c r="BD1722" s="28"/>
      <c r="BG1722" s="28"/>
      <c r="BJ1722" s="28"/>
      <c r="BM1722" s="28"/>
      <c r="BP1722" s="28"/>
      <c r="BS1722" s="28"/>
      <c r="BV1722" s="28"/>
      <c r="BY1722" s="28"/>
      <c r="CB1722" s="28"/>
      <c r="CE1722" s="28"/>
      <c r="CH1722" s="28"/>
      <c r="CK1722" s="28"/>
      <c r="CN1722" s="28"/>
      <c r="CQ1722" s="28"/>
      <c r="CT1722" s="28"/>
      <c r="CW1722" s="28"/>
      <c r="CZ1722" s="28"/>
      <c r="DC1722" s="28"/>
      <c r="DF1722" s="28"/>
      <c r="DI1722" s="28"/>
      <c r="DL1722" s="28"/>
      <c r="DO1722" s="28"/>
      <c r="DR1722" s="28"/>
      <c r="DU1722" s="28"/>
      <c r="DX1722" s="28"/>
      <c r="EA1722" s="28"/>
      <c r="ED1722" s="28"/>
      <c r="EG1722" s="28"/>
      <c r="EJ1722" s="28"/>
      <c r="EM1722" s="28"/>
      <c r="EP1722" s="28"/>
      <c r="ES1722" s="28"/>
      <c r="EV1722" s="28"/>
      <c r="EY1722" s="28"/>
      <c r="FB1722" s="28"/>
      <c r="FE1722" s="28"/>
      <c r="FH1722" s="28"/>
      <c r="FK1722" s="28"/>
      <c r="FN1722" s="28"/>
      <c r="FQ1722" s="28"/>
      <c r="FT1722" s="28"/>
      <c r="FW1722" s="28"/>
      <c r="FZ1722" s="28"/>
      <c r="GC1722" s="28"/>
    </row>
    <row r="1723" spans="1:185" s="25" customFormat="1" x14ac:dyDescent="0.3">
      <c r="A1723" s="27"/>
      <c r="B1723" s="28"/>
      <c r="C1723" s="27"/>
      <c r="D1723" s="26"/>
      <c r="E1723" s="28"/>
      <c r="H1723" s="28"/>
      <c r="K1723" s="28"/>
      <c r="N1723" s="28"/>
      <c r="Q1723" s="28"/>
      <c r="T1723" s="28"/>
      <c r="W1723" s="28"/>
      <c r="Z1723" s="28"/>
      <c r="AC1723" s="28"/>
      <c r="AF1723" s="28"/>
      <c r="AI1723" s="28"/>
      <c r="AL1723" s="28"/>
      <c r="AO1723" s="28"/>
      <c r="AR1723" s="28"/>
      <c r="AU1723" s="28"/>
      <c r="AX1723" s="28"/>
      <c r="BA1723" s="28"/>
      <c r="BD1723" s="28"/>
      <c r="BG1723" s="28"/>
      <c r="BJ1723" s="28"/>
      <c r="BM1723" s="28"/>
      <c r="BP1723" s="28"/>
      <c r="BS1723" s="28"/>
      <c r="BV1723" s="28"/>
      <c r="BY1723" s="28"/>
      <c r="CB1723" s="28"/>
      <c r="CE1723" s="28"/>
      <c r="CH1723" s="28"/>
      <c r="CK1723" s="28"/>
      <c r="CN1723" s="28"/>
      <c r="CQ1723" s="28"/>
      <c r="CT1723" s="28"/>
      <c r="CW1723" s="28"/>
      <c r="CZ1723" s="28"/>
      <c r="DC1723" s="28"/>
      <c r="DF1723" s="28"/>
      <c r="DI1723" s="28"/>
      <c r="DL1723" s="28"/>
      <c r="DO1723" s="28"/>
      <c r="DR1723" s="28"/>
      <c r="DU1723" s="28"/>
      <c r="DX1723" s="28"/>
      <c r="EA1723" s="28"/>
      <c r="ED1723" s="28"/>
      <c r="EG1723" s="28"/>
      <c r="EJ1723" s="28"/>
      <c r="EM1723" s="28"/>
      <c r="EP1723" s="28"/>
      <c r="ES1723" s="28"/>
      <c r="EV1723" s="28"/>
      <c r="EY1723" s="28"/>
      <c r="FB1723" s="28"/>
      <c r="FE1723" s="28"/>
      <c r="FH1723" s="28"/>
      <c r="FK1723" s="28"/>
      <c r="FN1723" s="28"/>
      <c r="FQ1723" s="28"/>
      <c r="FT1723" s="28"/>
      <c r="FW1723" s="28"/>
      <c r="FZ1723" s="28"/>
      <c r="GC1723" s="28"/>
    </row>
    <row r="1724" spans="1:185" s="25" customFormat="1" x14ac:dyDescent="0.3">
      <c r="A1724" s="27"/>
      <c r="B1724" s="28"/>
      <c r="C1724" s="27"/>
      <c r="D1724" s="26"/>
      <c r="E1724" s="28"/>
      <c r="H1724" s="28"/>
      <c r="K1724" s="28"/>
      <c r="N1724" s="28"/>
      <c r="Q1724" s="28"/>
      <c r="T1724" s="28"/>
      <c r="W1724" s="28"/>
      <c r="Z1724" s="28"/>
      <c r="AC1724" s="28"/>
      <c r="AF1724" s="28"/>
      <c r="AI1724" s="28"/>
      <c r="AL1724" s="28"/>
      <c r="AO1724" s="28"/>
      <c r="AR1724" s="28"/>
      <c r="AU1724" s="28"/>
      <c r="AX1724" s="28"/>
      <c r="BA1724" s="28"/>
      <c r="BD1724" s="28"/>
      <c r="BG1724" s="28"/>
      <c r="BJ1724" s="28"/>
      <c r="BM1724" s="28"/>
      <c r="BP1724" s="28"/>
      <c r="BS1724" s="28"/>
      <c r="BV1724" s="28"/>
      <c r="BY1724" s="28"/>
      <c r="CB1724" s="28"/>
      <c r="CE1724" s="28"/>
      <c r="CH1724" s="28"/>
      <c r="CK1724" s="28"/>
      <c r="CN1724" s="28"/>
      <c r="CQ1724" s="28"/>
      <c r="CT1724" s="28"/>
      <c r="CW1724" s="28"/>
      <c r="CZ1724" s="28"/>
      <c r="DC1724" s="28"/>
      <c r="DF1724" s="28"/>
      <c r="DI1724" s="28"/>
      <c r="DL1724" s="28"/>
      <c r="DO1724" s="28"/>
      <c r="DR1724" s="28"/>
      <c r="DU1724" s="28"/>
      <c r="DX1724" s="28"/>
      <c r="EA1724" s="28"/>
      <c r="ED1724" s="28"/>
      <c r="EG1724" s="28"/>
      <c r="EJ1724" s="28"/>
      <c r="EM1724" s="28"/>
      <c r="EP1724" s="28"/>
      <c r="ES1724" s="28"/>
      <c r="EV1724" s="28"/>
      <c r="EY1724" s="28"/>
      <c r="FB1724" s="28"/>
      <c r="FE1724" s="28"/>
      <c r="FH1724" s="28"/>
      <c r="FK1724" s="28"/>
      <c r="FN1724" s="28"/>
      <c r="FQ1724" s="28"/>
      <c r="FT1724" s="28"/>
      <c r="FW1724" s="28"/>
      <c r="FZ1724" s="28"/>
      <c r="GC1724" s="28"/>
    </row>
    <row r="1725" spans="1:185" s="25" customFormat="1" x14ac:dyDescent="0.3">
      <c r="A1725" s="27"/>
      <c r="B1725" s="28"/>
      <c r="C1725" s="27"/>
      <c r="D1725" s="26"/>
      <c r="E1725" s="28"/>
      <c r="H1725" s="28"/>
      <c r="K1725" s="28"/>
      <c r="N1725" s="28"/>
      <c r="Q1725" s="28"/>
      <c r="T1725" s="28"/>
      <c r="W1725" s="28"/>
      <c r="Z1725" s="28"/>
      <c r="AC1725" s="28"/>
      <c r="AF1725" s="28"/>
      <c r="AI1725" s="28"/>
      <c r="AL1725" s="28"/>
      <c r="AO1725" s="28"/>
      <c r="AR1725" s="28"/>
      <c r="AU1725" s="28"/>
      <c r="AX1725" s="28"/>
      <c r="BA1725" s="28"/>
      <c r="BD1725" s="28"/>
      <c r="BG1725" s="28"/>
      <c r="BJ1725" s="28"/>
      <c r="BM1725" s="28"/>
      <c r="BP1725" s="28"/>
      <c r="BS1725" s="28"/>
      <c r="BV1725" s="28"/>
      <c r="BY1725" s="28"/>
      <c r="CB1725" s="28"/>
      <c r="CE1725" s="28"/>
      <c r="CH1725" s="28"/>
      <c r="CK1725" s="28"/>
      <c r="CN1725" s="28"/>
      <c r="CQ1725" s="28"/>
      <c r="CT1725" s="28"/>
      <c r="CW1725" s="28"/>
      <c r="CZ1725" s="28"/>
      <c r="DC1725" s="28"/>
      <c r="DF1725" s="28"/>
      <c r="DI1725" s="28"/>
      <c r="DL1725" s="28"/>
      <c r="DO1725" s="28"/>
      <c r="DR1725" s="28"/>
      <c r="DU1725" s="28"/>
      <c r="DX1725" s="28"/>
      <c r="EA1725" s="28"/>
      <c r="ED1725" s="28"/>
      <c r="EG1725" s="28"/>
      <c r="EJ1725" s="28"/>
      <c r="EM1725" s="28"/>
      <c r="EP1725" s="28"/>
      <c r="ES1725" s="28"/>
      <c r="EV1725" s="28"/>
      <c r="EY1725" s="28"/>
      <c r="FB1725" s="28"/>
      <c r="FE1725" s="28"/>
      <c r="FH1725" s="28"/>
      <c r="FK1725" s="28"/>
      <c r="FN1725" s="28"/>
      <c r="FQ1725" s="28"/>
      <c r="FT1725" s="28"/>
      <c r="FW1725" s="28"/>
      <c r="FZ1725" s="28"/>
      <c r="GC1725" s="28"/>
    </row>
    <row r="1726" spans="1:185" s="25" customFormat="1" x14ac:dyDescent="0.3">
      <c r="A1726" s="27"/>
      <c r="B1726" s="28"/>
      <c r="C1726" s="27"/>
      <c r="D1726" s="26"/>
      <c r="E1726" s="28"/>
      <c r="H1726" s="28"/>
      <c r="K1726" s="28"/>
      <c r="N1726" s="28"/>
      <c r="Q1726" s="28"/>
      <c r="T1726" s="28"/>
      <c r="W1726" s="28"/>
      <c r="Z1726" s="28"/>
      <c r="AC1726" s="28"/>
      <c r="AF1726" s="28"/>
      <c r="AI1726" s="28"/>
      <c r="AL1726" s="28"/>
      <c r="AO1726" s="28"/>
      <c r="AR1726" s="28"/>
      <c r="AU1726" s="28"/>
      <c r="AX1726" s="28"/>
      <c r="BA1726" s="28"/>
      <c r="BD1726" s="28"/>
      <c r="BG1726" s="28"/>
      <c r="BJ1726" s="28"/>
      <c r="BM1726" s="28"/>
      <c r="BP1726" s="28"/>
      <c r="BS1726" s="28"/>
      <c r="BV1726" s="28"/>
      <c r="BY1726" s="28"/>
      <c r="CB1726" s="28"/>
      <c r="CE1726" s="28"/>
      <c r="CH1726" s="28"/>
      <c r="CK1726" s="28"/>
      <c r="CN1726" s="28"/>
      <c r="CQ1726" s="28"/>
      <c r="CT1726" s="28"/>
      <c r="CW1726" s="28"/>
      <c r="CZ1726" s="28"/>
      <c r="DC1726" s="28"/>
      <c r="DF1726" s="28"/>
      <c r="DI1726" s="28"/>
      <c r="DL1726" s="28"/>
      <c r="DO1726" s="28"/>
      <c r="DR1726" s="28"/>
      <c r="DU1726" s="28"/>
      <c r="DX1726" s="28"/>
      <c r="EA1726" s="28"/>
      <c r="ED1726" s="28"/>
      <c r="EG1726" s="28"/>
      <c r="EJ1726" s="28"/>
      <c r="EM1726" s="28"/>
      <c r="EP1726" s="28"/>
      <c r="ES1726" s="28"/>
      <c r="EV1726" s="28"/>
      <c r="EY1726" s="28"/>
      <c r="FB1726" s="28"/>
      <c r="FE1726" s="28"/>
      <c r="FH1726" s="28"/>
      <c r="FK1726" s="28"/>
      <c r="FN1726" s="28"/>
      <c r="FQ1726" s="28"/>
      <c r="FT1726" s="28"/>
      <c r="FW1726" s="28"/>
      <c r="FZ1726" s="28"/>
      <c r="GC1726" s="28"/>
    </row>
    <row r="1727" spans="1:185" s="25" customFormat="1" x14ac:dyDescent="0.3">
      <c r="A1727" s="27"/>
      <c r="B1727" s="28"/>
      <c r="C1727" s="27"/>
      <c r="D1727" s="26"/>
      <c r="E1727" s="28"/>
      <c r="H1727" s="28"/>
      <c r="K1727" s="28"/>
      <c r="N1727" s="28"/>
      <c r="Q1727" s="28"/>
      <c r="T1727" s="28"/>
      <c r="W1727" s="28"/>
      <c r="Z1727" s="28"/>
      <c r="AC1727" s="28"/>
      <c r="AF1727" s="28"/>
      <c r="AI1727" s="28"/>
      <c r="AL1727" s="28"/>
      <c r="AO1727" s="28"/>
      <c r="AR1727" s="28"/>
      <c r="AU1727" s="28"/>
      <c r="AX1727" s="28"/>
      <c r="BA1727" s="28"/>
      <c r="BD1727" s="28"/>
      <c r="BG1727" s="28"/>
      <c r="BJ1727" s="28"/>
      <c r="BM1727" s="28"/>
      <c r="BP1727" s="28"/>
      <c r="BS1727" s="28"/>
      <c r="BV1727" s="28"/>
      <c r="BY1727" s="28"/>
      <c r="CB1727" s="28"/>
      <c r="CE1727" s="28"/>
      <c r="CH1727" s="28"/>
      <c r="CK1727" s="28"/>
      <c r="CN1727" s="28"/>
      <c r="CQ1727" s="28"/>
      <c r="CT1727" s="28"/>
      <c r="CW1727" s="28"/>
      <c r="CZ1727" s="28"/>
      <c r="DC1727" s="28"/>
      <c r="DF1727" s="28"/>
      <c r="DI1727" s="28"/>
      <c r="DL1727" s="28"/>
      <c r="DO1727" s="28"/>
      <c r="DR1727" s="28"/>
      <c r="DU1727" s="28"/>
      <c r="DX1727" s="28"/>
      <c r="EA1727" s="28"/>
      <c r="ED1727" s="28"/>
      <c r="EG1727" s="28"/>
      <c r="EJ1727" s="28"/>
      <c r="EM1727" s="28"/>
      <c r="EP1727" s="28"/>
      <c r="ES1727" s="28"/>
      <c r="EV1727" s="28"/>
      <c r="EY1727" s="28"/>
      <c r="FB1727" s="28"/>
      <c r="FE1727" s="28"/>
      <c r="FH1727" s="28"/>
      <c r="FK1727" s="28"/>
      <c r="FN1727" s="28"/>
      <c r="FQ1727" s="28"/>
      <c r="FT1727" s="28"/>
      <c r="FW1727" s="28"/>
      <c r="FZ1727" s="28"/>
      <c r="GC1727" s="28"/>
    </row>
    <row r="1728" spans="1:185" s="25" customFormat="1" x14ac:dyDescent="0.3">
      <c r="A1728" s="27"/>
      <c r="B1728" s="28"/>
      <c r="C1728" s="27"/>
      <c r="D1728" s="26"/>
      <c r="E1728" s="28"/>
      <c r="H1728" s="28"/>
      <c r="K1728" s="28"/>
      <c r="N1728" s="28"/>
      <c r="Q1728" s="28"/>
      <c r="T1728" s="28"/>
      <c r="W1728" s="28"/>
      <c r="Z1728" s="28"/>
      <c r="AC1728" s="28"/>
      <c r="AF1728" s="28"/>
      <c r="AI1728" s="28"/>
      <c r="AL1728" s="28"/>
      <c r="AO1728" s="28"/>
      <c r="AR1728" s="28"/>
      <c r="AU1728" s="28"/>
      <c r="AX1728" s="28"/>
      <c r="BA1728" s="28"/>
      <c r="BD1728" s="28"/>
      <c r="BG1728" s="28"/>
      <c r="BJ1728" s="28"/>
      <c r="BM1728" s="28"/>
      <c r="BP1728" s="28"/>
      <c r="BS1728" s="28"/>
      <c r="BV1728" s="28"/>
      <c r="BY1728" s="28"/>
      <c r="CB1728" s="28"/>
      <c r="CE1728" s="28"/>
      <c r="CH1728" s="28"/>
      <c r="CK1728" s="28"/>
      <c r="CN1728" s="28"/>
      <c r="CQ1728" s="28"/>
      <c r="CT1728" s="28"/>
      <c r="CW1728" s="28"/>
      <c r="CZ1728" s="28"/>
      <c r="DC1728" s="28"/>
      <c r="DF1728" s="28"/>
      <c r="DI1728" s="28"/>
      <c r="DL1728" s="28"/>
      <c r="DO1728" s="28"/>
      <c r="DR1728" s="28"/>
      <c r="DU1728" s="28"/>
      <c r="DX1728" s="28"/>
      <c r="EA1728" s="28"/>
      <c r="ED1728" s="28"/>
      <c r="EG1728" s="28"/>
      <c r="EJ1728" s="28"/>
      <c r="EM1728" s="28"/>
      <c r="EP1728" s="28"/>
      <c r="ES1728" s="28"/>
      <c r="EV1728" s="28"/>
      <c r="EY1728" s="28"/>
      <c r="FB1728" s="28"/>
      <c r="FE1728" s="28"/>
      <c r="FH1728" s="28"/>
      <c r="FK1728" s="28"/>
      <c r="FN1728" s="28"/>
      <c r="FQ1728" s="28"/>
      <c r="FT1728" s="28"/>
      <c r="FW1728" s="28"/>
      <c r="FZ1728" s="28"/>
      <c r="GC1728" s="28"/>
    </row>
    <row r="1729" spans="1:185" s="25" customFormat="1" x14ac:dyDescent="0.3">
      <c r="A1729" s="27"/>
      <c r="B1729" s="28"/>
      <c r="C1729" s="27"/>
      <c r="D1729" s="26"/>
      <c r="E1729" s="28"/>
      <c r="H1729" s="28"/>
      <c r="K1729" s="28"/>
      <c r="N1729" s="28"/>
      <c r="Q1729" s="28"/>
      <c r="T1729" s="28"/>
      <c r="W1729" s="28"/>
      <c r="Z1729" s="28"/>
      <c r="AC1729" s="28"/>
      <c r="AF1729" s="28"/>
      <c r="AI1729" s="28"/>
      <c r="AL1729" s="28"/>
      <c r="AO1729" s="28"/>
      <c r="AR1729" s="28"/>
      <c r="AU1729" s="28"/>
      <c r="AX1729" s="28"/>
      <c r="BA1729" s="28"/>
      <c r="BD1729" s="28"/>
      <c r="BG1729" s="28"/>
      <c r="BJ1729" s="28"/>
      <c r="BM1729" s="28"/>
      <c r="BP1729" s="28"/>
      <c r="BS1729" s="28"/>
      <c r="BV1729" s="28"/>
      <c r="BY1729" s="28"/>
      <c r="CB1729" s="28"/>
      <c r="CE1729" s="28"/>
      <c r="CH1729" s="28"/>
      <c r="CK1729" s="28"/>
      <c r="CN1729" s="28"/>
      <c r="CQ1729" s="28"/>
      <c r="CT1729" s="28"/>
      <c r="CW1729" s="28"/>
      <c r="CZ1729" s="28"/>
      <c r="DC1729" s="28"/>
      <c r="DF1729" s="28"/>
      <c r="DI1729" s="28"/>
      <c r="DL1729" s="28"/>
      <c r="DO1729" s="28"/>
      <c r="DR1729" s="28"/>
      <c r="DU1729" s="28"/>
      <c r="DX1729" s="28"/>
      <c r="EA1729" s="28"/>
      <c r="ED1729" s="28"/>
      <c r="EG1729" s="28"/>
      <c r="EJ1729" s="28"/>
      <c r="EM1729" s="28"/>
      <c r="EP1729" s="28"/>
      <c r="ES1729" s="28"/>
      <c r="EV1729" s="28"/>
      <c r="EY1729" s="28"/>
      <c r="FB1729" s="28"/>
      <c r="FE1729" s="28"/>
      <c r="FH1729" s="28"/>
      <c r="FK1729" s="28"/>
      <c r="FN1729" s="28"/>
      <c r="FQ1729" s="28"/>
      <c r="FT1729" s="28"/>
      <c r="FW1729" s="28"/>
      <c r="FZ1729" s="28"/>
      <c r="GC1729" s="28"/>
    </row>
    <row r="1730" spans="1:185" s="25" customFormat="1" x14ac:dyDescent="0.3">
      <c r="A1730" s="27"/>
      <c r="B1730" s="28"/>
      <c r="C1730" s="27"/>
      <c r="D1730" s="26"/>
      <c r="E1730" s="28"/>
      <c r="H1730" s="28"/>
      <c r="K1730" s="28"/>
      <c r="N1730" s="28"/>
      <c r="Q1730" s="28"/>
      <c r="T1730" s="28"/>
      <c r="W1730" s="28"/>
      <c r="Z1730" s="28"/>
      <c r="AC1730" s="28"/>
      <c r="AF1730" s="28"/>
      <c r="AI1730" s="28"/>
      <c r="AL1730" s="28"/>
      <c r="AO1730" s="28"/>
      <c r="AR1730" s="28"/>
      <c r="AU1730" s="28"/>
      <c r="AX1730" s="28"/>
      <c r="BA1730" s="28"/>
      <c r="BD1730" s="28"/>
      <c r="BG1730" s="28"/>
      <c r="BJ1730" s="28"/>
      <c r="BM1730" s="28"/>
      <c r="BP1730" s="28"/>
      <c r="BS1730" s="28"/>
      <c r="BV1730" s="28"/>
      <c r="BY1730" s="28"/>
      <c r="CB1730" s="28"/>
      <c r="CE1730" s="28"/>
      <c r="CH1730" s="28"/>
      <c r="CK1730" s="28"/>
      <c r="CN1730" s="28"/>
      <c r="CQ1730" s="28"/>
      <c r="CT1730" s="28"/>
      <c r="CW1730" s="28"/>
      <c r="CZ1730" s="28"/>
      <c r="DC1730" s="28"/>
      <c r="DF1730" s="28"/>
      <c r="DI1730" s="28"/>
      <c r="DL1730" s="28"/>
      <c r="DO1730" s="28"/>
      <c r="DR1730" s="28"/>
      <c r="DU1730" s="28"/>
      <c r="DX1730" s="28"/>
      <c r="EA1730" s="28"/>
      <c r="ED1730" s="28"/>
      <c r="EG1730" s="28"/>
      <c r="EJ1730" s="28"/>
      <c r="EM1730" s="28"/>
      <c r="EP1730" s="28"/>
      <c r="ES1730" s="28"/>
      <c r="EV1730" s="28"/>
      <c r="EY1730" s="28"/>
      <c r="FB1730" s="28"/>
      <c r="FE1730" s="28"/>
      <c r="FH1730" s="28"/>
      <c r="FK1730" s="28"/>
      <c r="FN1730" s="28"/>
      <c r="FQ1730" s="28"/>
      <c r="FT1730" s="28"/>
      <c r="FW1730" s="28"/>
      <c r="FZ1730" s="28"/>
      <c r="GC1730" s="28"/>
    </row>
    <row r="1731" spans="1:185" s="25" customFormat="1" x14ac:dyDescent="0.3">
      <c r="A1731" s="27"/>
      <c r="B1731" s="28"/>
      <c r="C1731" s="27"/>
      <c r="D1731" s="26"/>
      <c r="E1731" s="28"/>
      <c r="H1731" s="28"/>
      <c r="K1731" s="28"/>
      <c r="N1731" s="28"/>
      <c r="Q1731" s="28"/>
      <c r="T1731" s="28"/>
      <c r="W1731" s="28"/>
      <c r="Z1731" s="28"/>
      <c r="AC1731" s="28"/>
      <c r="AF1731" s="28"/>
      <c r="AI1731" s="28"/>
      <c r="AL1731" s="28"/>
      <c r="AO1731" s="28"/>
      <c r="AR1731" s="28"/>
      <c r="AU1731" s="28"/>
      <c r="AX1731" s="28"/>
      <c r="BA1731" s="28"/>
      <c r="BD1731" s="28"/>
      <c r="BG1731" s="28"/>
      <c r="BJ1731" s="28"/>
      <c r="BM1731" s="28"/>
      <c r="BP1731" s="28"/>
      <c r="BS1731" s="28"/>
      <c r="BV1731" s="28"/>
      <c r="BY1731" s="28"/>
      <c r="CB1731" s="28"/>
      <c r="CE1731" s="28"/>
      <c r="CH1731" s="28"/>
      <c r="CK1731" s="28"/>
      <c r="CN1731" s="28"/>
      <c r="CQ1731" s="28"/>
      <c r="CT1731" s="28"/>
      <c r="CW1731" s="28"/>
      <c r="CZ1731" s="28"/>
      <c r="DC1731" s="28"/>
      <c r="DF1731" s="28"/>
      <c r="DI1731" s="28"/>
      <c r="DL1731" s="28"/>
      <c r="DO1731" s="28"/>
      <c r="DR1731" s="28"/>
      <c r="DU1731" s="28"/>
      <c r="DX1731" s="28"/>
      <c r="EA1731" s="28"/>
      <c r="ED1731" s="28"/>
      <c r="EG1731" s="28"/>
      <c r="EJ1731" s="28"/>
      <c r="EM1731" s="28"/>
      <c r="EP1731" s="28"/>
      <c r="ES1731" s="28"/>
      <c r="EV1731" s="28"/>
      <c r="EY1731" s="28"/>
      <c r="FB1731" s="28"/>
      <c r="FE1731" s="28"/>
      <c r="FH1731" s="28"/>
      <c r="FK1731" s="28"/>
      <c r="FN1731" s="28"/>
      <c r="FQ1731" s="28"/>
      <c r="FT1731" s="28"/>
      <c r="FW1731" s="28"/>
      <c r="FZ1731" s="28"/>
      <c r="GC1731" s="28"/>
    </row>
    <row r="1732" spans="1:185" s="25" customFormat="1" x14ac:dyDescent="0.3">
      <c r="A1732" s="27"/>
      <c r="B1732" s="28"/>
      <c r="C1732" s="27"/>
      <c r="D1732" s="26"/>
      <c r="E1732" s="28"/>
      <c r="H1732" s="28"/>
      <c r="K1732" s="28"/>
      <c r="N1732" s="28"/>
      <c r="Q1732" s="28"/>
      <c r="T1732" s="28"/>
      <c r="W1732" s="28"/>
      <c r="Z1732" s="28"/>
      <c r="AC1732" s="28"/>
      <c r="AF1732" s="28"/>
      <c r="AI1732" s="28"/>
      <c r="AL1732" s="28"/>
      <c r="AO1732" s="28"/>
      <c r="AR1732" s="28"/>
      <c r="AU1732" s="28"/>
      <c r="AX1732" s="28"/>
      <c r="BA1732" s="28"/>
      <c r="BD1732" s="28"/>
      <c r="BG1732" s="28"/>
      <c r="BJ1732" s="28"/>
      <c r="BM1732" s="28"/>
      <c r="BP1732" s="28"/>
      <c r="BS1732" s="28"/>
      <c r="BV1732" s="28"/>
      <c r="BY1732" s="28"/>
      <c r="CB1732" s="28"/>
      <c r="CE1732" s="28"/>
      <c r="CH1732" s="28"/>
      <c r="CK1732" s="28"/>
      <c r="CN1732" s="28"/>
      <c r="CQ1732" s="28"/>
      <c r="CT1732" s="28"/>
      <c r="CW1732" s="28"/>
      <c r="CZ1732" s="28"/>
      <c r="DC1732" s="28"/>
      <c r="DF1732" s="28"/>
      <c r="DI1732" s="28"/>
      <c r="DL1732" s="28"/>
      <c r="DO1732" s="28"/>
      <c r="DR1732" s="28"/>
      <c r="DU1732" s="28"/>
      <c r="DX1732" s="28"/>
      <c r="EA1732" s="28"/>
      <c r="ED1732" s="28"/>
      <c r="EG1732" s="28"/>
      <c r="EJ1732" s="28"/>
      <c r="EM1732" s="28"/>
      <c r="EP1732" s="28"/>
      <c r="ES1732" s="28"/>
      <c r="EV1732" s="28"/>
      <c r="EY1732" s="28"/>
      <c r="FB1732" s="28"/>
      <c r="FE1732" s="28"/>
      <c r="FH1732" s="28"/>
      <c r="FK1732" s="28"/>
      <c r="FN1732" s="28"/>
      <c r="FQ1732" s="28"/>
      <c r="FT1732" s="28"/>
      <c r="FW1732" s="28"/>
      <c r="FZ1732" s="28"/>
      <c r="GC1732" s="28"/>
    </row>
    <row r="1733" spans="1:185" s="25" customFormat="1" x14ac:dyDescent="0.3">
      <c r="A1733" s="27"/>
      <c r="B1733" s="28"/>
      <c r="C1733" s="27"/>
      <c r="D1733" s="26"/>
      <c r="E1733" s="28"/>
      <c r="H1733" s="28"/>
      <c r="K1733" s="28"/>
      <c r="N1733" s="28"/>
      <c r="Q1733" s="28"/>
      <c r="T1733" s="28"/>
      <c r="W1733" s="28"/>
      <c r="Z1733" s="28"/>
      <c r="AC1733" s="28"/>
      <c r="AF1733" s="28"/>
      <c r="AI1733" s="28"/>
      <c r="AL1733" s="28"/>
      <c r="AO1733" s="28"/>
      <c r="AR1733" s="28"/>
      <c r="AU1733" s="28"/>
      <c r="AX1733" s="28"/>
      <c r="BA1733" s="28"/>
      <c r="BD1733" s="28"/>
      <c r="BG1733" s="28"/>
      <c r="BJ1733" s="28"/>
      <c r="BM1733" s="28"/>
      <c r="BP1733" s="28"/>
      <c r="BS1733" s="28"/>
      <c r="BV1733" s="28"/>
      <c r="BY1733" s="28"/>
      <c r="CB1733" s="28"/>
      <c r="CE1733" s="28"/>
      <c r="CH1733" s="28"/>
      <c r="CK1733" s="28"/>
      <c r="CN1733" s="28"/>
      <c r="CQ1733" s="28"/>
      <c r="CT1733" s="28"/>
      <c r="CW1733" s="28"/>
      <c r="CZ1733" s="28"/>
      <c r="DC1733" s="28"/>
      <c r="DF1733" s="28"/>
      <c r="DI1733" s="28"/>
      <c r="DL1733" s="28"/>
      <c r="DO1733" s="28"/>
      <c r="DR1733" s="28"/>
      <c r="DU1733" s="28"/>
      <c r="DX1733" s="28"/>
      <c r="EA1733" s="28"/>
      <c r="ED1733" s="28"/>
      <c r="EG1733" s="28"/>
      <c r="EJ1733" s="28"/>
      <c r="EM1733" s="28"/>
      <c r="EP1733" s="28"/>
      <c r="ES1733" s="28"/>
      <c r="EV1733" s="28"/>
      <c r="EY1733" s="28"/>
      <c r="FB1733" s="28"/>
      <c r="FE1733" s="28"/>
      <c r="FH1733" s="28"/>
      <c r="FK1733" s="28"/>
      <c r="FN1733" s="28"/>
      <c r="FQ1733" s="28"/>
      <c r="FT1733" s="28"/>
      <c r="FW1733" s="28"/>
      <c r="FZ1733" s="28"/>
      <c r="GC1733" s="28"/>
    </row>
    <row r="1734" spans="1:185" s="25" customFormat="1" x14ac:dyDescent="0.3">
      <c r="A1734" s="27"/>
      <c r="B1734" s="28"/>
      <c r="C1734" s="27"/>
      <c r="D1734" s="26"/>
      <c r="E1734" s="28"/>
      <c r="H1734" s="28"/>
      <c r="K1734" s="28"/>
      <c r="N1734" s="28"/>
      <c r="Q1734" s="28"/>
      <c r="T1734" s="28"/>
      <c r="W1734" s="28"/>
      <c r="Z1734" s="28"/>
      <c r="AC1734" s="28"/>
      <c r="AF1734" s="28"/>
      <c r="AI1734" s="28"/>
      <c r="AL1734" s="28"/>
      <c r="AO1734" s="28"/>
      <c r="AR1734" s="28"/>
      <c r="AU1734" s="28"/>
      <c r="AX1734" s="28"/>
      <c r="BA1734" s="28"/>
      <c r="BD1734" s="28"/>
      <c r="BG1734" s="28"/>
      <c r="BJ1734" s="28"/>
      <c r="BM1734" s="28"/>
      <c r="BP1734" s="28"/>
      <c r="BS1734" s="28"/>
      <c r="BV1734" s="28"/>
      <c r="BY1734" s="28"/>
      <c r="CB1734" s="28"/>
      <c r="CE1734" s="28"/>
      <c r="CH1734" s="28"/>
      <c r="CK1734" s="28"/>
      <c r="CN1734" s="28"/>
      <c r="CQ1734" s="28"/>
      <c r="CT1734" s="28"/>
      <c r="CW1734" s="28"/>
      <c r="CZ1734" s="28"/>
      <c r="DC1734" s="28"/>
      <c r="DF1734" s="28"/>
      <c r="DI1734" s="28"/>
      <c r="DL1734" s="28"/>
      <c r="DO1734" s="28"/>
      <c r="DR1734" s="28"/>
      <c r="DU1734" s="28"/>
      <c r="DX1734" s="28"/>
      <c r="EA1734" s="28"/>
      <c r="ED1734" s="28"/>
      <c r="EG1734" s="28"/>
      <c r="EJ1734" s="28"/>
      <c r="EM1734" s="28"/>
      <c r="EP1734" s="28"/>
      <c r="ES1734" s="28"/>
      <c r="EV1734" s="28"/>
      <c r="EY1734" s="28"/>
      <c r="FB1734" s="28"/>
      <c r="FE1734" s="28"/>
      <c r="FH1734" s="28"/>
      <c r="FK1734" s="28"/>
      <c r="FN1734" s="28"/>
      <c r="FQ1734" s="28"/>
      <c r="FT1734" s="28"/>
      <c r="FW1734" s="28"/>
      <c r="FZ1734" s="28"/>
      <c r="GC1734" s="28"/>
    </row>
    <row r="1735" spans="1:185" s="25" customFormat="1" x14ac:dyDescent="0.3">
      <c r="A1735" s="27"/>
      <c r="B1735" s="28"/>
      <c r="C1735" s="27"/>
      <c r="D1735" s="26"/>
      <c r="E1735" s="28"/>
      <c r="H1735" s="28"/>
      <c r="K1735" s="28"/>
      <c r="N1735" s="28"/>
      <c r="Q1735" s="28"/>
      <c r="T1735" s="28"/>
      <c r="W1735" s="28"/>
      <c r="Z1735" s="28"/>
      <c r="AC1735" s="28"/>
      <c r="AF1735" s="28"/>
      <c r="AI1735" s="28"/>
      <c r="AL1735" s="28"/>
      <c r="AO1735" s="28"/>
      <c r="AR1735" s="28"/>
      <c r="AU1735" s="28"/>
      <c r="AX1735" s="28"/>
      <c r="BA1735" s="28"/>
      <c r="BD1735" s="28"/>
      <c r="BG1735" s="28"/>
      <c r="BJ1735" s="28"/>
      <c r="BM1735" s="28"/>
      <c r="BP1735" s="28"/>
      <c r="BS1735" s="28"/>
      <c r="BV1735" s="28"/>
      <c r="BY1735" s="28"/>
      <c r="CB1735" s="28"/>
      <c r="CE1735" s="28"/>
      <c r="CH1735" s="28"/>
      <c r="CK1735" s="28"/>
      <c r="CN1735" s="28"/>
      <c r="CQ1735" s="28"/>
      <c r="CT1735" s="28"/>
      <c r="CW1735" s="28"/>
      <c r="CZ1735" s="28"/>
      <c r="DC1735" s="28"/>
      <c r="DF1735" s="28"/>
      <c r="DI1735" s="28"/>
      <c r="DL1735" s="28"/>
      <c r="DO1735" s="28"/>
      <c r="DR1735" s="28"/>
      <c r="DU1735" s="28"/>
      <c r="DX1735" s="28"/>
      <c r="EA1735" s="28"/>
      <c r="ED1735" s="28"/>
      <c r="EG1735" s="28"/>
      <c r="EJ1735" s="28"/>
      <c r="EM1735" s="28"/>
      <c r="EP1735" s="28"/>
      <c r="ES1735" s="28"/>
      <c r="EV1735" s="28"/>
      <c r="EY1735" s="28"/>
      <c r="FB1735" s="28"/>
      <c r="FE1735" s="28"/>
      <c r="FH1735" s="28"/>
      <c r="FK1735" s="28"/>
      <c r="FN1735" s="28"/>
      <c r="FQ1735" s="28"/>
      <c r="FT1735" s="28"/>
      <c r="FW1735" s="28"/>
      <c r="FZ1735" s="28"/>
      <c r="GC1735" s="28"/>
    </row>
    <row r="1736" spans="1:185" s="25" customFormat="1" x14ac:dyDescent="0.3">
      <c r="A1736" s="27"/>
      <c r="B1736" s="28"/>
      <c r="C1736" s="27"/>
      <c r="D1736" s="26"/>
      <c r="E1736" s="28"/>
      <c r="H1736" s="28"/>
      <c r="K1736" s="28"/>
      <c r="N1736" s="28"/>
      <c r="Q1736" s="28"/>
      <c r="T1736" s="28"/>
      <c r="W1736" s="28"/>
      <c r="Z1736" s="28"/>
      <c r="AC1736" s="28"/>
      <c r="AF1736" s="28"/>
      <c r="AI1736" s="28"/>
      <c r="AL1736" s="28"/>
      <c r="AO1736" s="28"/>
      <c r="AR1736" s="28"/>
      <c r="AU1736" s="28"/>
      <c r="AX1736" s="28"/>
      <c r="BA1736" s="28"/>
      <c r="BD1736" s="28"/>
      <c r="BG1736" s="28"/>
      <c r="BJ1736" s="28"/>
      <c r="BM1736" s="28"/>
      <c r="BP1736" s="28"/>
      <c r="BS1736" s="28"/>
      <c r="BV1736" s="28"/>
      <c r="BY1736" s="28"/>
      <c r="CB1736" s="28"/>
      <c r="CE1736" s="28"/>
      <c r="CH1736" s="28"/>
      <c r="CK1736" s="28"/>
      <c r="CN1736" s="28"/>
      <c r="CQ1736" s="28"/>
      <c r="CT1736" s="28"/>
      <c r="CW1736" s="28"/>
      <c r="CZ1736" s="28"/>
      <c r="DC1736" s="28"/>
      <c r="DF1736" s="28"/>
      <c r="DI1736" s="28"/>
      <c r="DL1736" s="28"/>
      <c r="DO1736" s="28"/>
      <c r="DR1736" s="28"/>
      <c r="DU1736" s="28"/>
      <c r="DX1736" s="28"/>
      <c r="EA1736" s="28"/>
      <c r="ED1736" s="28"/>
      <c r="EG1736" s="28"/>
      <c r="EJ1736" s="28"/>
      <c r="EM1736" s="28"/>
      <c r="EP1736" s="28"/>
      <c r="ES1736" s="28"/>
      <c r="EV1736" s="28"/>
      <c r="EY1736" s="28"/>
      <c r="FB1736" s="28"/>
      <c r="FE1736" s="28"/>
      <c r="FH1736" s="28"/>
      <c r="FK1736" s="28"/>
      <c r="FN1736" s="28"/>
      <c r="FQ1736" s="28"/>
      <c r="FT1736" s="28"/>
      <c r="FW1736" s="28"/>
      <c r="FZ1736" s="28"/>
      <c r="GC1736" s="28"/>
    </row>
    <row r="1737" spans="1:185" s="25" customFormat="1" x14ac:dyDescent="0.3">
      <c r="A1737" s="27"/>
      <c r="B1737" s="28"/>
      <c r="C1737" s="27"/>
      <c r="D1737" s="26"/>
      <c r="E1737" s="28"/>
      <c r="H1737" s="28"/>
      <c r="K1737" s="28"/>
      <c r="N1737" s="28"/>
      <c r="Q1737" s="28"/>
      <c r="T1737" s="28"/>
      <c r="W1737" s="28"/>
      <c r="Z1737" s="28"/>
      <c r="AC1737" s="28"/>
      <c r="AF1737" s="28"/>
      <c r="AI1737" s="28"/>
      <c r="AL1737" s="28"/>
      <c r="AO1737" s="28"/>
      <c r="AR1737" s="28"/>
      <c r="AU1737" s="28"/>
      <c r="AX1737" s="28"/>
      <c r="BA1737" s="28"/>
      <c r="BD1737" s="28"/>
      <c r="BG1737" s="28"/>
      <c r="BJ1737" s="28"/>
      <c r="BM1737" s="28"/>
      <c r="BP1737" s="28"/>
      <c r="BS1737" s="28"/>
      <c r="BV1737" s="28"/>
      <c r="BY1737" s="28"/>
      <c r="CB1737" s="28"/>
      <c r="CE1737" s="28"/>
      <c r="CH1737" s="28"/>
      <c r="CK1737" s="28"/>
      <c r="CN1737" s="28"/>
      <c r="CQ1737" s="28"/>
      <c r="CT1737" s="28"/>
      <c r="CW1737" s="28"/>
      <c r="CZ1737" s="28"/>
      <c r="DC1737" s="28"/>
      <c r="DF1737" s="28"/>
      <c r="DI1737" s="28"/>
      <c r="DL1737" s="28"/>
      <c r="DO1737" s="28"/>
      <c r="DR1737" s="28"/>
      <c r="DU1737" s="28"/>
      <c r="DX1737" s="28"/>
      <c r="EA1737" s="28"/>
      <c r="ED1737" s="28"/>
      <c r="EG1737" s="28"/>
      <c r="EJ1737" s="28"/>
      <c r="EM1737" s="28"/>
      <c r="EP1737" s="28"/>
      <c r="ES1737" s="28"/>
      <c r="EV1737" s="28"/>
      <c r="EY1737" s="28"/>
      <c r="FB1737" s="28"/>
      <c r="FE1737" s="28"/>
      <c r="FH1737" s="28"/>
      <c r="FK1737" s="28"/>
      <c r="FN1737" s="28"/>
      <c r="FQ1737" s="28"/>
      <c r="FT1737" s="28"/>
      <c r="FW1737" s="28"/>
      <c r="FZ1737" s="28"/>
      <c r="GC1737" s="28"/>
    </row>
    <row r="1738" spans="1:185" s="25" customFormat="1" x14ac:dyDescent="0.3">
      <c r="A1738" s="27"/>
      <c r="B1738" s="28"/>
      <c r="C1738" s="27"/>
      <c r="D1738" s="26"/>
      <c r="E1738" s="28"/>
      <c r="H1738" s="28"/>
      <c r="K1738" s="28"/>
      <c r="N1738" s="28"/>
      <c r="Q1738" s="28"/>
      <c r="T1738" s="28"/>
      <c r="W1738" s="28"/>
      <c r="Z1738" s="28"/>
      <c r="AC1738" s="28"/>
      <c r="AF1738" s="28"/>
      <c r="AI1738" s="28"/>
      <c r="AL1738" s="28"/>
      <c r="AO1738" s="28"/>
      <c r="AR1738" s="28"/>
      <c r="AU1738" s="28"/>
      <c r="AX1738" s="28"/>
      <c r="BA1738" s="28"/>
      <c r="BD1738" s="28"/>
      <c r="BG1738" s="28"/>
      <c r="BJ1738" s="28"/>
      <c r="BM1738" s="28"/>
      <c r="BP1738" s="28"/>
      <c r="BS1738" s="28"/>
      <c r="BV1738" s="28"/>
      <c r="BY1738" s="28"/>
      <c r="CB1738" s="28"/>
      <c r="CE1738" s="28"/>
      <c r="CH1738" s="28"/>
      <c r="CK1738" s="28"/>
      <c r="CN1738" s="28"/>
      <c r="CQ1738" s="28"/>
      <c r="CT1738" s="28"/>
      <c r="CW1738" s="28"/>
      <c r="CZ1738" s="28"/>
      <c r="DC1738" s="28"/>
      <c r="DF1738" s="28"/>
      <c r="DI1738" s="28"/>
      <c r="DL1738" s="28"/>
      <c r="DO1738" s="28"/>
      <c r="DR1738" s="28"/>
      <c r="DU1738" s="28"/>
      <c r="DX1738" s="28"/>
      <c r="EA1738" s="28"/>
      <c r="ED1738" s="28"/>
      <c r="EG1738" s="28"/>
      <c r="EJ1738" s="28"/>
      <c r="EM1738" s="28"/>
      <c r="EP1738" s="28"/>
      <c r="ES1738" s="28"/>
      <c r="EV1738" s="28"/>
      <c r="EY1738" s="28"/>
      <c r="FB1738" s="28"/>
      <c r="FE1738" s="28"/>
      <c r="FH1738" s="28"/>
      <c r="FK1738" s="28"/>
      <c r="FN1738" s="28"/>
      <c r="FQ1738" s="28"/>
      <c r="FT1738" s="28"/>
      <c r="FW1738" s="28"/>
      <c r="FZ1738" s="28"/>
      <c r="GC1738" s="28"/>
    </row>
    <row r="1739" spans="1:185" s="25" customFormat="1" x14ac:dyDescent="0.3">
      <c r="A1739" s="27"/>
      <c r="B1739" s="28"/>
      <c r="C1739" s="27"/>
      <c r="D1739" s="26"/>
      <c r="E1739" s="28"/>
      <c r="H1739" s="28"/>
      <c r="K1739" s="28"/>
      <c r="N1739" s="28"/>
      <c r="Q1739" s="28"/>
      <c r="T1739" s="28"/>
      <c r="W1739" s="28"/>
      <c r="Z1739" s="28"/>
      <c r="AC1739" s="28"/>
      <c r="AF1739" s="28"/>
      <c r="AI1739" s="28"/>
      <c r="AL1739" s="28"/>
      <c r="AO1739" s="28"/>
      <c r="AR1739" s="28"/>
      <c r="AU1739" s="28"/>
      <c r="AX1739" s="28"/>
      <c r="BA1739" s="28"/>
      <c r="BD1739" s="28"/>
      <c r="BG1739" s="28"/>
      <c r="BJ1739" s="28"/>
      <c r="BM1739" s="28"/>
      <c r="BP1739" s="28"/>
      <c r="BS1739" s="28"/>
      <c r="BV1739" s="28"/>
      <c r="BY1739" s="28"/>
      <c r="CB1739" s="28"/>
      <c r="CE1739" s="28"/>
      <c r="CH1739" s="28"/>
      <c r="CK1739" s="28"/>
      <c r="CN1739" s="28"/>
      <c r="CQ1739" s="28"/>
      <c r="CT1739" s="28"/>
      <c r="CW1739" s="28"/>
      <c r="CZ1739" s="28"/>
      <c r="DC1739" s="28"/>
      <c r="DF1739" s="28"/>
      <c r="DI1739" s="28"/>
      <c r="DL1739" s="28"/>
      <c r="DO1739" s="28"/>
      <c r="DR1739" s="28"/>
      <c r="DU1739" s="28"/>
      <c r="DX1739" s="28"/>
      <c r="EA1739" s="28"/>
      <c r="ED1739" s="28"/>
      <c r="EG1739" s="28"/>
      <c r="EJ1739" s="28"/>
      <c r="EM1739" s="28"/>
      <c r="EP1739" s="28"/>
      <c r="ES1739" s="28"/>
      <c r="EV1739" s="28"/>
      <c r="EY1739" s="28"/>
      <c r="FB1739" s="28"/>
      <c r="FE1739" s="28"/>
      <c r="FH1739" s="28"/>
      <c r="FK1739" s="28"/>
      <c r="FN1739" s="28"/>
      <c r="FQ1739" s="28"/>
      <c r="FT1739" s="28"/>
      <c r="FW1739" s="28"/>
      <c r="FZ1739" s="28"/>
      <c r="GC1739" s="28"/>
    </row>
    <row r="1740" spans="1:185" s="25" customFormat="1" x14ac:dyDescent="0.3">
      <c r="A1740" s="27"/>
      <c r="B1740" s="28"/>
      <c r="C1740" s="27"/>
      <c r="D1740" s="26"/>
      <c r="E1740" s="28"/>
      <c r="H1740" s="28"/>
      <c r="K1740" s="28"/>
      <c r="N1740" s="28"/>
      <c r="Q1740" s="28"/>
      <c r="T1740" s="28"/>
      <c r="W1740" s="28"/>
      <c r="Z1740" s="28"/>
      <c r="AC1740" s="28"/>
      <c r="AF1740" s="28"/>
      <c r="AI1740" s="28"/>
      <c r="AL1740" s="28"/>
      <c r="AO1740" s="28"/>
      <c r="AR1740" s="28"/>
      <c r="AU1740" s="28"/>
      <c r="AX1740" s="28"/>
      <c r="BA1740" s="28"/>
      <c r="BD1740" s="28"/>
      <c r="BG1740" s="28"/>
      <c r="BJ1740" s="28"/>
      <c r="BM1740" s="28"/>
      <c r="BP1740" s="28"/>
      <c r="BS1740" s="28"/>
      <c r="BV1740" s="28"/>
      <c r="BY1740" s="28"/>
      <c r="CB1740" s="28"/>
      <c r="CE1740" s="28"/>
      <c r="CH1740" s="28"/>
      <c r="CK1740" s="28"/>
      <c r="CN1740" s="28"/>
      <c r="CQ1740" s="28"/>
      <c r="CT1740" s="28"/>
      <c r="CW1740" s="28"/>
      <c r="CZ1740" s="28"/>
      <c r="DC1740" s="28"/>
      <c r="DF1740" s="28"/>
      <c r="DI1740" s="28"/>
      <c r="DL1740" s="28"/>
      <c r="DO1740" s="28"/>
      <c r="DR1740" s="28"/>
      <c r="DU1740" s="28"/>
      <c r="DX1740" s="28"/>
      <c r="EA1740" s="28"/>
      <c r="ED1740" s="28"/>
      <c r="EG1740" s="28"/>
      <c r="EJ1740" s="28"/>
      <c r="EM1740" s="28"/>
      <c r="EP1740" s="28"/>
      <c r="ES1740" s="28"/>
      <c r="EV1740" s="28"/>
      <c r="EY1740" s="28"/>
      <c r="FB1740" s="28"/>
      <c r="FE1740" s="28"/>
      <c r="FH1740" s="28"/>
      <c r="FK1740" s="28"/>
      <c r="FN1740" s="28"/>
      <c r="FQ1740" s="28"/>
      <c r="FT1740" s="28"/>
      <c r="FW1740" s="28"/>
      <c r="FZ1740" s="28"/>
      <c r="GC1740" s="28"/>
    </row>
    <row r="1741" spans="1:185" s="25" customFormat="1" x14ac:dyDescent="0.3">
      <c r="A1741" s="27"/>
      <c r="B1741" s="28"/>
      <c r="C1741" s="27"/>
      <c r="D1741" s="26"/>
      <c r="E1741" s="28"/>
      <c r="H1741" s="28"/>
      <c r="K1741" s="28"/>
      <c r="N1741" s="28"/>
      <c r="Q1741" s="28"/>
      <c r="T1741" s="28"/>
      <c r="W1741" s="28"/>
      <c r="Z1741" s="28"/>
      <c r="AC1741" s="28"/>
      <c r="AF1741" s="28"/>
      <c r="AI1741" s="28"/>
      <c r="AL1741" s="28"/>
      <c r="AO1741" s="28"/>
      <c r="AR1741" s="28"/>
      <c r="AU1741" s="28"/>
      <c r="AX1741" s="28"/>
      <c r="BA1741" s="28"/>
      <c r="BD1741" s="28"/>
      <c r="BG1741" s="28"/>
      <c r="BJ1741" s="28"/>
      <c r="BM1741" s="28"/>
      <c r="BP1741" s="28"/>
      <c r="BS1741" s="28"/>
      <c r="BV1741" s="28"/>
      <c r="BY1741" s="28"/>
      <c r="CB1741" s="28"/>
      <c r="CE1741" s="28"/>
      <c r="CH1741" s="28"/>
      <c r="CK1741" s="28"/>
      <c r="CN1741" s="28"/>
      <c r="CQ1741" s="28"/>
      <c r="CT1741" s="28"/>
      <c r="CW1741" s="28"/>
      <c r="CZ1741" s="28"/>
      <c r="DC1741" s="28"/>
      <c r="DF1741" s="28"/>
      <c r="DI1741" s="28"/>
      <c r="DL1741" s="28"/>
      <c r="DO1741" s="28"/>
      <c r="DR1741" s="28"/>
      <c r="DU1741" s="28"/>
      <c r="DX1741" s="28"/>
      <c r="EA1741" s="28"/>
      <c r="ED1741" s="28"/>
      <c r="EG1741" s="28"/>
      <c r="EJ1741" s="28"/>
      <c r="EM1741" s="28"/>
      <c r="EP1741" s="28"/>
      <c r="ES1741" s="28"/>
      <c r="EV1741" s="28"/>
      <c r="EY1741" s="28"/>
      <c r="FB1741" s="28"/>
      <c r="FE1741" s="28"/>
      <c r="FH1741" s="28"/>
      <c r="FK1741" s="28"/>
      <c r="FN1741" s="28"/>
      <c r="FQ1741" s="28"/>
      <c r="FT1741" s="28"/>
      <c r="FW1741" s="28"/>
      <c r="FZ1741" s="28"/>
      <c r="GC1741" s="28"/>
    </row>
    <row r="1742" spans="1:185" s="25" customFormat="1" x14ac:dyDescent="0.3">
      <c r="A1742" s="27"/>
      <c r="B1742" s="28"/>
      <c r="C1742" s="27"/>
      <c r="D1742" s="26"/>
      <c r="E1742" s="28"/>
      <c r="H1742" s="28"/>
      <c r="K1742" s="28"/>
      <c r="N1742" s="28"/>
      <c r="Q1742" s="28"/>
      <c r="T1742" s="28"/>
      <c r="W1742" s="28"/>
      <c r="Z1742" s="28"/>
      <c r="AC1742" s="28"/>
      <c r="AF1742" s="28"/>
      <c r="AI1742" s="28"/>
      <c r="AL1742" s="28"/>
      <c r="AO1742" s="28"/>
      <c r="AR1742" s="28"/>
      <c r="AU1742" s="28"/>
      <c r="AX1742" s="28"/>
      <c r="BA1742" s="28"/>
      <c r="BD1742" s="28"/>
      <c r="BG1742" s="28"/>
      <c r="BJ1742" s="28"/>
      <c r="BM1742" s="28"/>
      <c r="BP1742" s="28"/>
      <c r="BS1742" s="28"/>
      <c r="BV1742" s="28"/>
      <c r="BY1742" s="28"/>
      <c r="CB1742" s="28"/>
      <c r="CE1742" s="28"/>
      <c r="CH1742" s="28"/>
      <c r="CK1742" s="28"/>
      <c r="CN1742" s="28"/>
      <c r="CQ1742" s="28"/>
      <c r="CT1742" s="28"/>
      <c r="CW1742" s="28"/>
      <c r="CZ1742" s="28"/>
      <c r="DC1742" s="28"/>
      <c r="DF1742" s="28"/>
      <c r="DI1742" s="28"/>
      <c r="DL1742" s="28"/>
      <c r="DO1742" s="28"/>
      <c r="DR1742" s="28"/>
      <c r="DU1742" s="28"/>
      <c r="DX1742" s="28"/>
      <c r="EA1742" s="28"/>
      <c r="ED1742" s="28"/>
      <c r="EG1742" s="28"/>
      <c r="EJ1742" s="28"/>
      <c r="EM1742" s="28"/>
      <c r="EP1742" s="28"/>
      <c r="ES1742" s="28"/>
      <c r="EV1742" s="28"/>
      <c r="EY1742" s="28"/>
      <c r="FB1742" s="28"/>
      <c r="FE1742" s="28"/>
      <c r="FH1742" s="28"/>
      <c r="FK1742" s="28"/>
      <c r="FN1742" s="28"/>
      <c r="FQ1742" s="28"/>
      <c r="FT1742" s="28"/>
      <c r="FW1742" s="28"/>
      <c r="FZ1742" s="28"/>
      <c r="GC1742" s="28"/>
    </row>
    <row r="1743" spans="1:185" s="25" customFormat="1" x14ac:dyDescent="0.3">
      <c r="A1743" s="27"/>
      <c r="B1743" s="28"/>
      <c r="C1743" s="27"/>
      <c r="D1743" s="26"/>
      <c r="E1743" s="28"/>
      <c r="H1743" s="28"/>
      <c r="K1743" s="28"/>
      <c r="N1743" s="28"/>
      <c r="Q1743" s="28"/>
      <c r="T1743" s="28"/>
      <c r="W1743" s="28"/>
      <c r="Z1743" s="28"/>
      <c r="AC1743" s="28"/>
      <c r="AF1743" s="28"/>
      <c r="AI1743" s="28"/>
      <c r="AL1743" s="28"/>
      <c r="AO1743" s="28"/>
      <c r="AR1743" s="28"/>
      <c r="AU1743" s="28"/>
      <c r="AX1743" s="28"/>
      <c r="BA1743" s="28"/>
      <c r="BD1743" s="28"/>
      <c r="BG1743" s="28"/>
      <c r="BJ1743" s="28"/>
      <c r="BM1743" s="28"/>
      <c r="BP1743" s="28"/>
      <c r="BS1743" s="28"/>
      <c r="BV1743" s="28"/>
      <c r="BY1743" s="28"/>
      <c r="CB1743" s="28"/>
      <c r="CE1743" s="28"/>
      <c r="CH1743" s="28"/>
      <c r="CK1743" s="28"/>
      <c r="CN1743" s="28"/>
      <c r="CQ1743" s="28"/>
      <c r="CT1743" s="28"/>
      <c r="CW1743" s="28"/>
      <c r="CZ1743" s="28"/>
      <c r="DC1743" s="28"/>
      <c r="DF1743" s="28"/>
      <c r="DI1743" s="28"/>
      <c r="DL1743" s="28"/>
      <c r="DO1743" s="28"/>
      <c r="DR1743" s="28"/>
      <c r="DU1743" s="28"/>
      <c r="DX1743" s="28"/>
      <c r="EA1743" s="28"/>
      <c r="ED1743" s="28"/>
      <c r="EG1743" s="28"/>
      <c r="EJ1743" s="28"/>
      <c r="EM1743" s="28"/>
      <c r="EP1743" s="28"/>
      <c r="ES1743" s="28"/>
      <c r="EV1743" s="28"/>
      <c r="EY1743" s="28"/>
      <c r="FB1743" s="28"/>
      <c r="FE1743" s="28"/>
      <c r="FH1743" s="28"/>
      <c r="FK1743" s="28"/>
      <c r="FN1743" s="28"/>
      <c r="FQ1743" s="28"/>
      <c r="FT1743" s="28"/>
      <c r="FW1743" s="28"/>
      <c r="FZ1743" s="28"/>
      <c r="GC1743" s="28"/>
    </row>
    <row r="1744" spans="1:185" s="25" customFormat="1" x14ac:dyDescent="0.3">
      <c r="A1744" s="27"/>
      <c r="B1744" s="28"/>
      <c r="C1744" s="27"/>
      <c r="D1744" s="26"/>
      <c r="E1744" s="28"/>
      <c r="H1744" s="28"/>
      <c r="K1744" s="28"/>
      <c r="N1744" s="28"/>
      <c r="Q1744" s="28"/>
      <c r="T1744" s="28"/>
      <c r="W1744" s="28"/>
      <c r="Z1744" s="28"/>
      <c r="AC1744" s="28"/>
      <c r="AF1744" s="28"/>
      <c r="AI1744" s="28"/>
      <c r="AL1744" s="28"/>
      <c r="AO1744" s="28"/>
      <c r="AR1744" s="28"/>
      <c r="AU1744" s="28"/>
      <c r="AX1744" s="28"/>
      <c r="BA1744" s="28"/>
      <c r="BD1744" s="28"/>
      <c r="BG1744" s="28"/>
      <c r="BJ1744" s="28"/>
      <c r="BM1744" s="28"/>
      <c r="BP1744" s="28"/>
      <c r="BS1744" s="28"/>
      <c r="BV1744" s="28"/>
      <c r="BY1744" s="28"/>
      <c r="CB1744" s="28"/>
      <c r="CE1744" s="28"/>
      <c r="CH1744" s="28"/>
      <c r="CK1744" s="28"/>
      <c r="CN1744" s="28"/>
      <c r="CQ1744" s="28"/>
      <c r="CT1744" s="28"/>
      <c r="CW1744" s="28"/>
      <c r="CZ1744" s="28"/>
      <c r="DC1744" s="28"/>
      <c r="DF1744" s="28"/>
      <c r="DI1744" s="28"/>
      <c r="DL1744" s="28"/>
      <c r="DO1744" s="28"/>
      <c r="DR1744" s="28"/>
      <c r="DU1744" s="28"/>
      <c r="DX1744" s="28"/>
      <c r="EA1744" s="28"/>
      <c r="ED1744" s="28"/>
      <c r="EG1744" s="28"/>
      <c r="EJ1744" s="28"/>
      <c r="EM1744" s="28"/>
      <c r="EP1744" s="28"/>
      <c r="ES1744" s="28"/>
      <c r="EV1744" s="28"/>
      <c r="EY1744" s="28"/>
      <c r="FB1744" s="28"/>
      <c r="FE1744" s="28"/>
      <c r="FH1744" s="28"/>
      <c r="FK1744" s="28"/>
      <c r="FN1744" s="28"/>
      <c r="FQ1744" s="28"/>
      <c r="FT1744" s="28"/>
      <c r="FW1744" s="28"/>
      <c r="FZ1744" s="28"/>
      <c r="GC1744" s="28"/>
    </row>
    <row r="1745" spans="1:185" s="25" customFormat="1" x14ac:dyDescent="0.3">
      <c r="A1745" s="27"/>
      <c r="B1745" s="28"/>
      <c r="C1745" s="27"/>
      <c r="D1745" s="26"/>
      <c r="E1745" s="28"/>
      <c r="H1745" s="28"/>
      <c r="K1745" s="28"/>
      <c r="N1745" s="28"/>
      <c r="Q1745" s="28"/>
      <c r="T1745" s="28"/>
      <c r="W1745" s="28"/>
      <c r="Z1745" s="28"/>
      <c r="AC1745" s="28"/>
      <c r="AF1745" s="28"/>
      <c r="AI1745" s="28"/>
      <c r="AL1745" s="28"/>
      <c r="AO1745" s="28"/>
      <c r="AR1745" s="28"/>
      <c r="AU1745" s="28"/>
      <c r="AX1745" s="28"/>
      <c r="BA1745" s="28"/>
      <c r="BD1745" s="28"/>
      <c r="BG1745" s="28"/>
      <c r="BJ1745" s="28"/>
      <c r="BM1745" s="28"/>
      <c r="BP1745" s="28"/>
      <c r="BS1745" s="28"/>
      <c r="BV1745" s="28"/>
      <c r="BY1745" s="28"/>
      <c r="CB1745" s="28"/>
      <c r="CE1745" s="28"/>
      <c r="CH1745" s="28"/>
      <c r="CK1745" s="28"/>
      <c r="CN1745" s="28"/>
      <c r="CQ1745" s="28"/>
      <c r="CT1745" s="28"/>
      <c r="CW1745" s="28"/>
      <c r="CZ1745" s="28"/>
      <c r="DC1745" s="28"/>
      <c r="DF1745" s="28"/>
      <c r="DI1745" s="28"/>
      <c r="DL1745" s="28"/>
      <c r="DO1745" s="28"/>
      <c r="DR1745" s="28"/>
      <c r="DU1745" s="28"/>
      <c r="DX1745" s="28"/>
      <c r="EA1745" s="28"/>
      <c r="ED1745" s="28"/>
      <c r="EG1745" s="28"/>
      <c r="EJ1745" s="28"/>
      <c r="EM1745" s="28"/>
      <c r="EP1745" s="28"/>
      <c r="ES1745" s="28"/>
      <c r="EV1745" s="28"/>
      <c r="EY1745" s="28"/>
      <c r="FB1745" s="28"/>
      <c r="FE1745" s="28"/>
      <c r="FH1745" s="28"/>
      <c r="FK1745" s="28"/>
      <c r="FN1745" s="28"/>
      <c r="FQ1745" s="28"/>
      <c r="FT1745" s="28"/>
      <c r="FW1745" s="28"/>
      <c r="FZ1745" s="28"/>
      <c r="GC1745" s="28"/>
    </row>
    <row r="1746" spans="1:185" s="25" customFormat="1" x14ac:dyDescent="0.3">
      <c r="A1746" s="27"/>
      <c r="B1746" s="28"/>
      <c r="C1746" s="27"/>
      <c r="D1746" s="26"/>
      <c r="E1746" s="28"/>
      <c r="H1746" s="28"/>
      <c r="K1746" s="28"/>
      <c r="N1746" s="28"/>
      <c r="Q1746" s="28"/>
      <c r="T1746" s="28"/>
      <c r="W1746" s="28"/>
      <c r="Z1746" s="28"/>
      <c r="AC1746" s="28"/>
      <c r="AF1746" s="28"/>
      <c r="AI1746" s="28"/>
      <c r="AL1746" s="28"/>
      <c r="AO1746" s="28"/>
      <c r="AR1746" s="28"/>
      <c r="AU1746" s="28"/>
      <c r="AX1746" s="28"/>
      <c r="BA1746" s="28"/>
      <c r="BD1746" s="28"/>
      <c r="BG1746" s="28"/>
      <c r="BJ1746" s="28"/>
      <c r="BM1746" s="28"/>
      <c r="BP1746" s="28"/>
      <c r="BS1746" s="28"/>
      <c r="BV1746" s="28"/>
      <c r="BY1746" s="28"/>
      <c r="CB1746" s="28"/>
      <c r="CE1746" s="28"/>
      <c r="CH1746" s="28"/>
      <c r="CK1746" s="28"/>
      <c r="CN1746" s="28"/>
      <c r="CQ1746" s="28"/>
      <c r="CT1746" s="28"/>
      <c r="CW1746" s="28"/>
      <c r="CZ1746" s="28"/>
      <c r="DC1746" s="28"/>
      <c r="DF1746" s="28"/>
      <c r="DI1746" s="28"/>
      <c r="DL1746" s="28"/>
      <c r="DO1746" s="28"/>
      <c r="DR1746" s="28"/>
      <c r="DU1746" s="28"/>
      <c r="DX1746" s="28"/>
      <c r="EA1746" s="28"/>
      <c r="ED1746" s="28"/>
      <c r="EG1746" s="28"/>
      <c r="EJ1746" s="28"/>
      <c r="EM1746" s="28"/>
      <c r="EP1746" s="28"/>
      <c r="ES1746" s="28"/>
      <c r="EV1746" s="28"/>
      <c r="EY1746" s="28"/>
      <c r="FB1746" s="28"/>
      <c r="FE1746" s="28"/>
      <c r="FH1746" s="28"/>
      <c r="FK1746" s="28"/>
      <c r="FN1746" s="28"/>
      <c r="FQ1746" s="28"/>
      <c r="FT1746" s="28"/>
      <c r="FW1746" s="28"/>
      <c r="FZ1746" s="28"/>
      <c r="GC1746" s="28"/>
    </row>
    <row r="1747" spans="1:185" s="25" customFormat="1" x14ac:dyDescent="0.3">
      <c r="A1747" s="27"/>
      <c r="B1747" s="28"/>
      <c r="C1747" s="27"/>
      <c r="D1747" s="26"/>
      <c r="E1747" s="28"/>
      <c r="H1747" s="28"/>
      <c r="K1747" s="28"/>
      <c r="N1747" s="28"/>
      <c r="Q1747" s="28"/>
      <c r="T1747" s="28"/>
      <c r="W1747" s="28"/>
      <c r="Z1747" s="28"/>
      <c r="AC1747" s="28"/>
      <c r="AF1747" s="28"/>
      <c r="AI1747" s="28"/>
      <c r="AL1747" s="28"/>
      <c r="AO1747" s="28"/>
      <c r="AR1747" s="28"/>
      <c r="AU1747" s="28"/>
      <c r="AX1747" s="28"/>
      <c r="BA1747" s="28"/>
      <c r="BD1747" s="28"/>
      <c r="BG1747" s="28"/>
      <c r="BJ1747" s="28"/>
      <c r="BM1747" s="28"/>
      <c r="BP1747" s="28"/>
      <c r="BS1747" s="28"/>
      <c r="BV1747" s="28"/>
      <c r="BY1747" s="28"/>
      <c r="CB1747" s="28"/>
      <c r="CE1747" s="28"/>
      <c r="CH1747" s="28"/>
      <c r="CK1747" s="28"/>
      <c r="CN1747" s="28"/>
      <c r="CQ1747" s="28"/>
      <c r="CT1747" s="28"/>
      <c r="CW1747" s="28"/>
      <c r="CZ1747" s="28"/>
      <c r="DC1747" s="28"/>
      <c r="DF1747" s="28"/>
      <c r="DI1747" s="28"/>
      <c r="DL1747" s="28"/>
      <c r="DO1747" s="28"/>
      <c r="DR1747" s="28"/>
      <c r="DU1747" s="28"/>
      <c r="DX1747" s="28"/>
      <c r="EA1747" s="28"/>
      <c r="ED1747" s="28"/>
      <c r="EG1747" s="28"/>
      <c r="EJ1747" s="28"/>
      <c r="EM1747" s="28"/>
      <c r="EP1747" s="28"/>
      <c r="ES1747" s="28"/>
      <c r="EV1747" s="28"/>
      <c r="EY1747" s="28"/>
      <c r="FB1747" s="28"/>
      <c r="FE1747" s="28"/>
      <c r="FH1747" s="28"/>
      <c r="FK1747" s="28"/>
      <c r="FN1747" s="28"/>
      <c r="FQ1747" s="28"/>
      <c r="FT1747" s="28"/>
      <c r="FW1747" s="28"/>
      <c r="FZ1747" s="28"/>
      <c r="GC1747" s="28"/>
    </row>
    <row r="1748" spans="1:185" s="25" customFormat="1" x14ac:dyDescent="0.3">
      <c r="A1748" s="27"/>
      <c r="B1748" s="28"/>
      <c r="C1748" s="27"/>
      <c r="D1748" s="26"/>
      <c r="E1748" s="28"/>
      <c r="H1748" s="28"/>
      <c r="K1748" s="28"/>
      <c r="N1748" s="28"/>
      <c r="Q1748" s="28"/>
      <c r="T1748" s="28"/>
      <c r="W1748" s="28"/>
      <c r="Z1748" s="28"/>
      <c r="AC1748" s="28"/>
      <c r="AF1748" s="28"/>
      <c r="AI1748" s="28"/>
      <c r="AL1748" s="28"/>
      <c r="AO1748" s="28"/>
      <c r="AR1748" s="28"/>
      <c r="AU1748" s="28"/>
      <c r="AX1748" s="28"/>
      <c r="BA1748" s="28"/>
      <c r="BD1748" s="28"/>
      <c r="BG1748" s="28"/>
      <c r="BJ1748" s="28"/>
      <c r="BM1748" s="28"/>
      <c r="BP1748" s="28"/>
      <c r="BS1748" s="28"/>
      <c r="BV1748" s="28"/>
      <c r="BY1748" s="28"/>
      <c r="CB1748" s="28"/>
      <c r="CE1748" s="28"/>
      <c r="CH1748" s="28"/>
      <c r="CK1748" s="28"/>
      <c r="CN1748" s="28"/>
      <c r="CQ1748" s="28"/>
      <c r="CT1748" s="28"/>
      <c r="CW1748" s="28"/>
      <c r="CZ1748" s="28"/>
      <c r="DC1748" s="28"/>
      <c r="DF1748" s="28"/>
      <c r="DI1748" s="28"/>
      <c r="DL1748" s="28"/>
      <c r="DO1748" s="28"/>
      <c r="DR1748" s="28"/>
      <c r="DU1748" s="28"/>
      <c r="DX1748" s="28"/>
      <c r="EA1748" s="28"/>
      <c r="ED1748" s="28"/>
      <c r="EG1748" s="28"/>
      <c r="EJ1748" s="28"/>
      <c r="EM1748" s="28"/>
      <c r="EP1748" s="28"/>
      <c r="ES1748" s="28"/>
      <c r="EV1748" s="28"/>
      <c r="EY1748" s="28"/>
      <c r="FB1748" s="28"/>
      <c r="FE1748" s="28"/>
      <c r="FH1748" s="28"/>
      <c r="FK1748" s="28"/>
      <c r="FN1748" s="28"/>
      <c r="FQ1748" s="28"/>
      <c r="FT1748" s="28"/>
      <c r="FW1748" s="28"/>
      <c r="FZ1748" s="28"/>
      <c r="GC1748" s="28"/>
    </row>
    <row r="1749" spans="1:185" s="25" customFormat="1" x14ac:dyDescent="0.3">
      <c r="A1749" s="27"/>
      <c r="B1749" s="28"/>
      <c r="C1749" s="27"/>
      <c r="D1749" s="26"/>
      <c r="E1749" s="28"/>
      <c r="H1749" s="28"/>
      <c r="K1749" s="28"/>
      <c r="N1749" s="28"/>
      <c r="Q1749" s="28"/>
      <c r="T1749" s="28"/>
      <c r="W1749" s="28"/>
      <c r="Z1749" s="28"/>
      <c r="AC1749" s="28"/>
      <c r="AF1749" s="28"/>
      <c r="AI1749" s="28"/>
      <c r="AL1749" s="28"/>
      <c r="AO1749" s="28"/>
      <c r="AR1749" s="28"/>
      <c r="AU1749" s="28"/>
      <c r="AX1749" s="28"/>
      <c r="BA1749" s="28"/>
      <c r="BD1749" s="28"/>
      <c r="BG1749" s="28"/>
      <c r="BJ1749" s="28"/>
      <c r="BM1749" s="28"/>
      <c r="BP1749" s="28"/>
      <c r="BS1749" s="28"/>
      <c r="BV1749" s="28"/>
      <c r="BY1749" s="28"/>
      <c r="CB1749" s="28"/>
      <c r="CE1749" s="28"/>
      <c r="CH1749" s="28"/>
      <c r="CK1749" s="28"/>
      <c r="CN1749" s="28"/>
      <c r="CQ1749" s="28"/>
      <c r="CT1749" s="28"/>
      <c r="CW1749" s="28"/>
      <c r="CZ1749" s="28"/>
      <c r="DC1749" s="28"/>
      <c r="DF1749" s="28"/>
      <c r="DI1749" s="28"/>
      <c r="DL1749" s="28"/>
      <c r="DO1749" s="28"/>
      <c r="DR1749" s="28"/>
      <c r="DU1749" s="28"/>
      <c r="DX1749" s="28"/>
      <c r="EA1749" s="28"/>
      <c r="ED1749" s="28"/>
      <c r="EG1749" s="28"/>
      <c r="EJ1749" s="28"/>
      <c r="EM1749" s="28"/>
      <c r="EP1749" s="28"/>
      <c r="ES1749" s="28"/>
      <c r="EV1749" s="28"/>
      <c r="EY1749" s="28"/>
      <c r="FB1749" s="28"/>
      <c r="FE1749" s="28"/>
      <c r="FH1749" s="28"/>
      <c r="FK1749" s="28"/>
      <c r="FN1749" s="28"/>
      <c r="FQ1749" s="28"/>
      <c r="FT1749" s="28"/>
      <c r="FW1749" s="28"/>
      <c r="FZ1749" s="28"/>
      <c r="GC1749" s="28"/>
    </row>
    <row r="1750" spans="1:185" s="25" customFormat="1" x14ac:dyDescent="0.3">
      <c r="A1750" s="27"/>
      <c r="B1750" s="28"/>
      <c r="C1750" s="27"/>
      <c r="D1750" s="26"/>
      <c r="E1750" s="28"/>
      <c r="H1750" s="28"/>
      <c r="K1750" s="28"/>
      <c r="N1750" s="28"/>
      <c r="Q1750" s="28"/>
      <c r="T1750" s="28"/>
      <c r="W1750" s="28"/>
      <c r="Z1750" s="28"/>
      <c r="AC1750" s="28"/>
      <c r="AF1750" s="28"/>
      <c r="AI1750" s="28"/>
      <c r="AL1750" s="28"/>
      <c r="AO1750" s="28"/>
      <c r="AR1750" s="28"/>
      <c r="AU1750" s="28"/>
      <c r="AX1750" s="28"/>
      <c r="BA1750" s="28"/>
      <c r="BD1750" s="28"/>
      <c r="BG1750" s="28"/>
      <c r="BJ1750" s="28"/>
      <c r="BM1750" s="28"/>
      <c r="BP1750" s="28"/>
      <c r="BS1750" s="28"/>
      <c r="BV1750" s="28"/>
      <c r="BY1750" s="28"/>
      <c r="CB1750" s="28"/>
      <c r="CE1750" s="28"/>
      <c r="CH1750" s="28"/>
      <c r="CK1750" s="28"/>
      <c r="CN1750" s="28"/>
      <c r="CQ1750" s="28"/>
      <c r="CT1750" s="28"/>
      <c r="CW1750" s="28"/>
      <c r="CZ1750" s="28"/>
      <c r="DC1750" s="28"/>
      <c r="DF1750" s="28"/>
      <c r="DI1750" s="28"/>
      <c r="DL1750" s="28"/>
      <c r="DO1750" s="28"/>
      <c r="DR1750" s="28"/>
      <c r="DU1750" s="28"/>
      <c r="DX1750" s="28"/>
      <c r="EA1750" s="28"/>
      <c r="ED1750" s="28"/>
      <c r="EG1750" s="28"/>
      <c r="EJ1750" s="28"/>
      <c r="EM1750" s="28"/>
      <c r="EP1750" s="28"/>
      <c r="ES1750" s="28"/>
      <c r="EV1750" s="28"/>
      <c r="EY1750" s="28"/>
      <c r="FB1750" s="28"/>
      <c r="FE1750" s="28"/>
      <c r="FH1750" s="28"/>
      <c r="FK1750" s="28"/>
      <c r="FN1750" s="28"/>
      <c r="FQ1750" s="28"/>
      <c r="FT1750" s="28"/>
      <c r="FW1750" s="28"/>
      <c r="FZ1750" s="28"/>
      <c r="GC1750" s="28"/>
    </row>
    <row r="1751" spans="1:185" s="25" customFormat="1" x14ac:dyDescent="0.3">
      <c r="A1751" s="27"/>
      <c r="B1751" s="28"/>
      <c r="C1751" s="27"/>
      <c r="D1751" s="26"/>
      <c r="E1751" s="28"/>
      <c r="H1751" s="28"/>
      <c r="K1751" s="28"/>
      <c r="N1751" s="28"/>
      <c r="Q1751" s="28"/>
      <c r="T1751" s="28"/>
      <c r="W1751" s="28"/>
      <c r="Z1751" s="28"/>
      <c r="AC1751" s="28"/>
      <c r="AF1751" s="28"/>
      <c r="AI1751" s="28"/>
      <c r="AL1751" s="28"/>
      <c r="AO1751" s="28"/>
      <c r="AR1751" s="28"/>
      <c r="AU1751" s="28"/>
      <c r="AX1751" s="28"/>
      <c r="BA1751" s="28"/>
      <c r="BD1751" s="28"/>
      <c r="BG1751" s="28"/>
      <c r="BJ1751" s="28"/>
      <c r="BM1751" s="28"/>
      <c r="BP1751" s="28"/>
      <c r="BS1751" s="28"/>
      <c r="BV1751" s="28"/>
      <c r="BY1751" s="28"/>
      <c r="CB1751" s="28"/>
      <c r="CE1751" s="28"/>
      <c r="CH1751" s="28"/>
      <c r="CK1751" s="28"/>
      <c r="CN1751" s="28"/>
      <c r="CQ1751" s="28"/>
      <c r="CT1751" s="28"/>
      <c r="CW1751" s="28"/>
      <c r="CZ1751" s="28"/>
      <c r="DC1751" s="28"/>
      <c r="DF1751" s="28"/>
      <c r="DI1751" s="28"/>
      <c r="DL1751" s="28"/>
      <c r="DO1751" s="28"/>
      <c r="DR1751" s="28"/>
      <c r="DU1751" s="28"/>
      <c r="DX1751" s="28"/>
      <c r="EA1751" s="28"/>
      <c r="ED1751" s="28"/>
      <c r="EG1751" s="28"/>
      <c r="EJ1751" s="28"/>
      <c r="EM1751" s="28"/>
      <c r="EP1751" s="28"/>
      <c r="ES1751" s="28"/>
      <c r="EV1751" s="28"/>
      <c r="EY1751" s="28"/>
      <c r="FB1751" s="28"/>
      <c r="FE1751" s="28"/>
      <c r="FH1751" s="28"/>
      <c r="FK1751" s="28"/>
      <c r="FN1751" s="28"/>
      <c r="FQ1751" s="28"/>
      <c r="FT1751" s="28"/>
      <c r="FW1751" s="28"/>
      <c r="FZ1751" s="28"/>
      <c r="GC1751" s="28"/>
    </row>
    <row r="1752" spans="1:185" s="25" customFormat="1" x14ac:dyDescent="0.3">
      <c r="A1752" s="27"/>
      <c r="B1752" s="28"/>
      <c r="C1752" s="27"/>
      <c r="D1752" s="26"/>
      <c r="E1752" s="28"/>
      <c r="H1752" s="28"/>
      <c r="K1752" s="28"/>
      <c r="N1752" s="28"/>
      <c r="Q1752" s="28"/>
      <c r="T1752" s="28"/>
      <c r="W1752" s="28"/>
      <c r="Z1752" s="28"/>
      <c r="AC1752" s="28"/>
      <c r="AF1752" s="28"/>
      <c r="AI1752" s="28"/>
      <c r="AL1752" s="28"/>
      <c r="AO1752" s="28"/>
      <c r="AR1752" s="28"/>
      <c r="AU1752" s="28"/>
      <c r="AX1752" s="28"/>
      <c r="BA1752" s="28"/>
      <c r="BD1752" s="28"/>
      <c r="BG1752" s="28"/>
      <c r="BJ1752" s="28"/>
      <c r="BM1752" s="28"/>
      <c r="BP1752" s="28"/>
      <c r="BS1752" s="28"/>
      <c r="BV1752" s="28"/>
      <c r="BY1752" s="28"/>
      <c r="CB1752" s="28"/>
      <c r="CE1752" s="28"/>
      <c r="CH1752" s="28"/>
      <c r="CK1752" s="28"/>
      <c r="CN1752" s="28"/>
      <c r="CQ1752" s="28"/>
      <c r="CT1752" s="28"/>
      <c r="CW1752" s="28"/>
      <c r="CZ1752" s="28"/>
      <c r="DC1752" s="28"/>
      <c r="DF1752" s="28"/>
      <c r="DI1752" s="28"/>
      <c r="DL1752" s="28"/>
      <c r="DO1752" s="28"/>
      <c r="DR1752" s="28"/>
      <c r="DU1752" s="28"/>
      <c r="DX1752" s="28"/>
      <c r="EA1752" s="28"/>
      <c r="ED1752" s="28"/>
      <c r="EG1752" s="28"/>
      <c r="EJ1752" s="28"/>
      <c r="EM1752" s="28"/>
      <c r="EP1752" s="28"/>
      <c r="ES1752" s="28"/>
      <c r="EV1752" s="28"/>
      <c r="EY1752" s="28"/>
      <c r="FB1752" s="28"/>
      <c r="FE1752" s="28"/>
      <c r="FH1752" s="28"/>
      <c r="FK1752" s="28"/>
      <c r="FN1752" s="28"/>
      <c r="FQ1752" s="28"/>
      <c r="FT1752" s="28"/>
      <c r="FW1752" s="28"/>
      <c r="FZ1752" s="28"/>
      <c r="GC1752" s="28"/>
    </row>
    <row r="1753" spans="1:185" s="25" customFormat="1" x14ac:dyDescent="0.3">
      <c r="A1753" s="27"/>
      <c r="B1753" s="28"/>
      <c r="C1753" s="27"/>
      <c r="D1753" s="26"/>
      <c r="E1753" s="28"/>
      <c r="H1753" s="28"/>
      <c r="K1753" s="28"/>
      <c r="N1753" s="28"/>
      <c r="Q1753" s="28"/>
      <c r="T1753" s="28"/>
      <c r="W1753" s="28"/>
      <c r="Z1753" s="28"/>
      <c r="AC1753" s="28"/>
      <c r="AF1753" s="28"/>
      <c r="AI1753" s="28"/>
      <c r="AL1753" s="28"/>
      <c r="AO1753" s="28"/>
      <c r="AR1753" s="28"/>
      <c r="AU1753" s="28"/>
      <c r="AX1753" s="28"/>
      <c r="BA1753" s="28"/>
      <c r="BD1753" s="28"/>
      <c r="BG1753" s="28"/>
      <c r="BJ1753" s="28"/>
      <c r="BM1753" s="28"/>
      <c r="BP1753" s="28"/>
      <c r="BS1753" s="28"/>
      <c r="BV1753" s="28"/>
      <c r="BY1753" s="28"/>
      <c r="CB1753" s="28"/>
      <c r="CE1753" s="28"/>
      <c r="CH1753" s="28"/>
      <c r="CK1753" s="28"/>
      <c r="CN1753" s="28"/>
      <c r="CQ1753" s="28"/>
      <c r="CT1753" s="28"/>
      <c r="CW1753" s="28"/>
      <c r="CZ1753" s="28"/>
      <c r="DC1753" s="28"/>
      <c r="DF1753" s="28"/>
      <c r="DI1753" s="28"/>
      <c r="DL1753" s="28"/>
      <c r="DO1753" s="28"/>
      <c r="DR1753" s="28"/>
      <c r="DU1753" s="28"/>
      <c r="DX1753" s="28"/>
      <c r="EA1753" s="28"/>
      <c r="ED1753" s="28"/>
      <c r="EG1753" s="28"/>
      <c r="EJ1753" s="28"/>
      <c r="EM1753" s="28"/>
      <c r="EP1753" s="28"/>
      <c r="ES1753" s="28"/>
      <c r="EV1753" s="28"/>
      <c r="EY1753" s="28"/>
      <c r="FB1753" s="28"/>
      <c r="FE1753" s="28"/>
      <c r="FH1753" s="28"/>
      <c r="FK1753" s="28"/>
      <c r="FN1753" s="28"/>
      <c r="FQ1753" s="28"/>
      <c r="FT1753" s="28"/>
      <c r="FW1753" s="28"/>
      <c r="FZ1753" s="28"/>
      <c r="GC1753" s="28"/>
    </row>
    <row r="1754" spans="1:185" s="25" customFormat="1" x14ac:dyDescent="0.3">
      <c r="A1754" s="27"/>
      <c r="B1754" s="28"/>
      <c r="C1754" s="27"/>
      <c r="D1754" s="26"/>
      <c r="E1754" s="28"/>
      <c r="H1754" s="28"/>
      <c r="K1754" s="28"/>
      <c r="N1754" s="28"/>
      <c r="Q1754" s="28"/>
      <c r="T1754" s="28"/>
      <c r="W1754" s="28"/>
      <c r="Z1754" s="28"/>
      <c r="AC1754" s="28"/>
      <c r="AF1754" s="28"/>
      <c r="AI1754" s="28"/>
      <c r="AL1754" s="28"/>
      <c r="AO1754" s="28"/>
      <c r="AR1754" s="28"/>
      <c r="AU1754" s="28"/>
      <c r="AX1754" s="28"/>
      <c r="BA1754" s="28"/>
      <c r="BD1754" s="28"/>
      <c r="BG1754" s="28"/>
      <c r="BJ1754" s="28"/>
      <c r="BM1754" s="28"/>
      <c r="BP1754" s="28"/>
      <c r="BS1754" s="28"/>
      <c r="BV1754" s="28"/>
      <c r="BY1754" s="28"/>
      <c r="CB1754" s="28"/>
      <c r="CE1754" s="28"/>
      <c r="CH1754" s="28"/>
      <c r="CK1754" s="28"/>
      <c r="CN1754" s="28"/>
      <c r="CQ1754" s="28"/>
      <c r="CT1754" s="28"/>
      <c r="CW1754" s="28"/>
      <c r="CZ1754" s="28"/>
      <c r="DC1754" s="28"/>
      <c r="DF1754" s="28"/>
      <c r="DI1754" s="28"/>
      <c r="DL1754" s="28"/>
      <c r="DO1754" s="28"/>
      <c r="DR1754" s="28"/>
      <c r="DU1754" s="28"/>
      <c r="DX1754" s="28"/>
      <c r="EA1754" s="28"/>
      <c r="ED1754" s="28"/>
      <c r="EG1754" s="28"/>
      <c r="EJ1754" s="28"/>
      <c r="EM1754" s="28"/>
      <c r="EP1754" s="28"/>
      <c r="ES1754" s="28"/>
      <c r="EV1754" s="28"/>
      <c r="EY1754" s="28"/>
      <c r="FB1754" s="28"/>
      <c r="FE1754" s="28"/>
      <c r="FH1754" s="28"/>
      <c r="FK1754" s="28"/>
      <c r="FN1754" s="28"/>
      <c r="FQ1754" s="28"/>
      <c r="FT1754" s="28"/>
      <c r="FW1754" s="28"/>
      <c r="FZ1754" s="28"/>
      <c r="GC1754" s="28"/>
    </row>
    <row r="1755" spans="1:185" s="25" customFormat="1" x14ac:dyDescent="0.3">
      <c r="A1755" s="27"/>
      <c r="B1755" s="28"/>
      <c r="C1755" s="27"/>
      <c r="D1755" s="26"/>
      <c r="E1755" s="28"/>
      <c r="H1755" s="28"/>
      <c r="K1755" s="28"/>
      <c r="N1755" s="28"/>
      <c r="Q1755" s="28"/>
      <c r="T1755" s="28"/>
      <c r="W1755" s="28"/>
      <c r="Z1755" s="28"/>
      <c r="AC1755" s="28"/>
      <c r="AF1755" s="28"/>
      <c r="AI1755" s="28"/>
      <c r="AL1755" s="28"/>
      <c r="AO1755" s="28"/>
      <c r="AR1755" s="28"/>
      <c r="AU1755" s="28"/>
      <c r="AX1755" s="28"/>
      <c r="BA1755" s="28"/>
      <c r="BD1755" s="28"/>
      <c r="BG1755" s="28"/>
      <c r="BJ1755" s="28"/>
      <c r="BM1755" s="28"/>
      <c r="BP1755" s="28"/>
      <c r="BS1755" s="28"/>
      <c r="BV1755" s="28"/>
      <c r="BY1755" s="28"/>
      <c r="CB1755" s="28"/>
      <c r="CE1755" s="28"/>
      <c r="CH1755" s="28"/>
      <c r="CK1755" s="28"/>
      <c r="CN1755" s="28"/>
      <c r="CQ1755" s="28"/>
      <c r="CT1755" s="28"/>
      <c r="CW1755" s="28"/>
      <c r="CZ1755" s="28"/>
      <c r="DC1755" s="28"/>
      <c r="DF1755" s="28"/>
      <c r="DI1755" s="28"/>
      <c r="DL1755" s="28"/>
      <c r="DO1755" s="28"/>
      <c r="DR1755" s="28"/>
      <c r="DU1755" s="28"/>
      <c r="DX1755" s="28"/>
      <c r="EA1755" s="28"/>
      <c r="ED1755" s="28"/>
      <c r="EG1755" s="28"/>
      <c r="EJ1755" s="28"/>
      <c r="EM1755" s="28"/>
      <c r="EP1755" s="28"/>
      <c r="ES1755" s="28"/>
      <c r="EV1755" s="28"/>
      <c r="EY1755" s="28"/>
      <c r="FB1755" s="28"/>
      <c r="FE1755" s="28"/>
      <c r="FH1755" s="28"/>
      <c r="FK1755" s="28"/>
      <c r="FN1755" s="28"/>
      <c r="FQ1755" s="28"/>
      <c r="FT1755" s="28"/>
      <c r="FW1755" s="28"/>
      <c r="FZ1755" s="28"/>
      <c r="GC1755" s="28"/>
    </row>
    <row r="1756" spans="1:185" s="25" customFormat="1" x14ac:dyDescent="0.3">
      <c r="A1756" s="27"/>
      <c r="B1756" s="28"/>
      <c r="C1756" s="27"/>
      <c r="D1756" s="26"/>
      <c r="E1756" s="28"/>
      <c r="H1756" s="28"/>
      <c r="K1756" s="28"/>
      <c r="N1756" s="28"/>
      <c r="Q1756" s="28"/>
      <c r="T1756" s="28"/>
      <c r="W1756" s="28"/>
      <c r="Z1756" s="28"/>
      <c r="AC1756" s="28"/>
      <c r="AF1756" s="28"/>
      <c r="AI1756" s="28"/>
      <c r="AL1756" s="28"/>
      <c r="AO1756" s="28"/>
      <c r="AR1756" s="28"/>
      <c r="AU1756" s="28"/>
      <c r="AX1756" s="28"/>
      <c r="BA1756" s="28"/>
      <c r="BD1756" s="28"/>
      <c r="BG1756" s="28"/>
      <c r="BJ1756" s="28"/>
      <c r="BM1756" s="28"/>
      <c r="BP1756" s="28"/>
      <c r="BS1756" s="28"/>
      <c r="BV1756" s="28"/>
      <c r="BY1756" s="28"/>
      <c r="CB1756" s="28"/>
      <c r="CE1756" s="28"/>
      <c r="CH1756" s="28"/>
      <c r="CK1756" s="28"/>
      <c r="CN1756" s="28"/>
      <c r="CQ1756" s="28"/>
      <c r="CT1756" s="28"/>
      <c r="CW1756" s="28"/>
      <c r="CZ1756" s="28"/>
      <c r="DC1756" s="28"/>
      <c r="DF1756" s="28"/>
      <c r="DI1756" s="28"/>
      <c r="DL1756" s="28"/>
      <c r="DO1756" s="28"/>
      <c r="DR1756" s="28"/>
      <c r="DU1756" s="28"/>
      <c r="DX1756" s="28"/>
      <c r="EA1756" s="28"/>
      <c r="ED1756" s="28"/>
      <c r="EG1756" s="28"/>
      <c r="EJ1756" s="28"/>
      <c r="EM1756" s="28"/>
      <c r="EP1756" s="28"/>
      <c r="ES1756" s="28"/>
      <c r="EV1756" s="28"/>
      <c r="EY1756" s="28"/>
      <c r="FB1756" s="28"/>
      <c r="FE1756" s="28"/>
      <c r="FH1756" s="28"/>
      <c r="FK1756" s="28"/>
      <c r="FN1756" s="28"/>
      <c r="FQ1756" s="28"/>
      <c r="FT1756" s="28"/>
      <c r="FW1756" s="28"/>
      <c r="FZ1756" s="28"/>
      <c r="GC1756" s="28"/>
    </row>
    <row r="1757" spans="1:185" s="25" customFormat="1" x14ac:dyDescent="0.3">
      <c r="A1757" s="27"/>
      <c r="B1757" s="28"/>
      <c r="C1757" s="27"/>
      <c r="D1757" s="26"/>
      <c r="E1757" s="28"/>
      <c r="H1757" s="28"/>
      <c r="K1757" s="28"/>
      <c r="N1757" s="28"/>
      <c r="Q1757" s="28"/>
      <c r="T1757" s="28"/>
      <c r="W1757" s="28"/>
      <c r="Z1757" s="28"/>
      <c r="AC1757" s="28"/>
      <c r="AF1757" s="28"/>
      <c r="AI1757" s="28"/>
      <c r="AL1757" s="28"/>
      <c r="AO1757" s="28"/>
      <c r="AR1757" s="28"/>
      <c r="AU1757" s="28"/>
      <c r="AX1757" s="28"/>
      <c r="BA1757" s="28"/>
      <c r="BD1757" s="28"/>
      <c r="BG1757" s="28"/>
      <c r="BJ1757" s="28"/>
      <c r="BM1757" s="28"/>
      <c r="BP1757" s="28"/>
      <c r="BS1757" s="28"/>
      <c r="BV1757" s="28"/>
      <c r="BY1757" s="28"/>
      <c r="CB1757" s="28"/>
      <c r="CE1757" s="28"/>
      <c r="CH1757" s="28"/>
      <c r="CK1757" s="28"/>
      <c r="CN1757" s="28"/>
      <c r="CQ1757" s="28"/>
      <c r="CT1757" s="28"/>
      <c r="CW1757" s="28"/>
      <c r="CZ1757" s="28"/>
      <c r="DC1757" s="28"/>
      <c r="DF1757" s="28"/>
      <c r="DI1757" s="28"/>
      <c r="DL1757" s="28"/>
      <c r="DO1757" s="28"/>
      <c r="DR1757" s="28"/>
      <c r="DU1757" s="28"/>
      <c r="DX1757" s="28"/>
      <c r="EA1757" s="28"/>
      <c r="ED1757" s="28"/>
      <c r="EG1757" s="28"/>
      <c r="EJ1757" s="28"/>
      <c r="EM1757" s="28"/>
      <c r="EP1757" s="28"/>
      <c r="ES1757" s="28"/>
      <c r="EV1757" s="28"/>
      <c r="EY1757" s="28"/>
      <c r="FB1757" s="28"/>
      <c r="FE1757" s="28"/>
      <c r="FH1757" s="28"/>
      <c r="FK1757" s="28"/>
      <c r="FN1757" s="28"/>
      <c r="FQ1757" s="28"/>
      <c r="FT1757" s="28"/>
      <c r="FW1757" s="28"/>
      <c r="FZ1757" s="28"/>
      <c r="GC1757" s="28"/>
    </row>
    <row r="1758" spans="1:185" s="25" customFormat="1" x14ac:dyDescent="0.3">
      <c r="A1758" s="27"/>
      <c r="B1758" s="28"/>
      <c r="C1758" s="27"/>
      <c r="D1758" s="26"/>
      <c r="E1758" s="28"/>
      <c r="H1758" s="28"/>
      <c r="K1758" s="28"/>
      <c r="N1758" s="28"/>
      <c r="Q1758" s="28"/>
      <c r="T1758" s="28"/>
      <c r="W1758" s="28"/>
      <c r="Z1758" s="28"/>
      <c r="AC1758" s="28"/>
      <c r="AF1758" s="28"/>
      <c r="AI1758" s="28"/>
      <c r="AL1758" s="28"/>
      <c r="AO1758" s="28"/>
      <c r="AR1758" s="28"/>
      <c r="AU1758" s="28"/>
      <c r="AX1758" s="28"/>
      <c r="BA1758" s="28"/>
      <c r="BD1758" s="28"/>
      <c r="BG1758" s="28"/>
      <c r="BJ1758" s="28"/>
      <c r="BM1758" s="28"/>
      <c r="BP1758" s="28"/>
      <c r="BS1758" s="28"/>
      <c r="BV1758" s="28"/>
      <c r="BY1758" s="28"/>
      <c r="CB1758" s="28"/>
      <c r="CE1758" s="28"/>
      <c r="CH1758" s="28"/>
      <c r="CK1758" s="28"/>
      <c r="CN1758" s="28"/>
      <c r="CQ1758" s="28"/>
      <c r="CT1758" s="28"/>
      <c r="CW1758" s="28"/>
      <c r="CZ1758" s="28"/>
      <c r="DC1758" s="28"/>
      <c r="DF1758" s="28"/>
      <c r="DI1758" s="28"/>
      <c r="DL1758" s="28"/>
      <c r="DO1758" s="28"/>
      <c r="DR1758" s="28"/>
      <c r="DU1758" s="28"/>
      <c r="DX1758" s="28"/>
      <c r="EA1758" s="28"/>
      <c r="ED1758" s="28"/>
      <c r="EG1758" s="28"/>
      <c r="EJ1758" s="28"/>
      <c r="EM1758" s="28"/>
      <c r="EP1758" s="28"/>
      <c r="ES1758" s="28"/>
      <c r="EV1758" s="28"/>
      <c r="EY1758" s="28"/>
      <c r="FB1758" s="28"/>
      <c r="FE1758" s="28"/>
      <c r="FH1758" s="28"/>
      <c r="FK1758" s="28"/>
      <c r="FN1758" s="28"/>
      <c r="FQ1758" s="28"/>
      <c r="FT1758" s="28"/>
      <c r="FW1758" s="28"/>
      <c r="FZ1758" s="28"/>
      <c r="GC1758" s="28"/>
    </row>
    <row r="1759" spans="1:185" s="25" customFormat="1" x14ac:dyDescent="0.3">
      <c r="A1759" s="27"/>
      <c r="B1759" s="28"/>
      <c r="C1759" s="27"/>
      <c r="D1759" s="26"/>
      <c r="E1759" s="28"/>
      <c r="H1759" s="28"/>
      <c r="K1759" s="28"/>
      <c r="N1759" s="28"/>
      <c r="Q1759" s="28"/>
      <c r="T1759" s="28"/>
      <c r="W1759" s="28"/>
      <c r="Z1759" s="28"/>
      <c r="AC1759" s="28"/>
      <c r="AF1759" s="28"/>
      <c r="AI1759" s="28"/>
      <c r="AL1759" s="28"/>
      <c r="AO1759" s="28"/>
      <c r="AR1759" s="28"/>
      <c r="AU1759" s="28"/>
      <c r="AX1759" s="28"/>
      <c r="BA1759" s="28"/>
      <c r="BD1759" s="28"/>
      <c r="BG1759" s="28"/>
      <c r="BJ1759" s="28"/>
      <c r="BM1759" s="28"/>
      <c r="BP1759" s="28"/>
      <c r="BS1759" s="28"/>
      <c r="BV1759" s="28"/>
      <c r="BY1759" s="28"/>
      <c r="CB1759" s="28"/>
      <c r="CE1759" s="28"/>
      <c r="CH1759" s="28"/>
      <c r="CK1759" s="28"/>
      <c r="CN1759" s="28"/>
      <c r="CQ1759" s="28"/>
      <c r="CT1759" s="28"/>
      <c r="CW1759" s="28"/>
      <c r="CZ1759" s="28"/>
      <c r="DC1759" s="28"/>
      <c r="DF1759" s="28"/>
      <c r="DI1759" s="28"/>
      <c r="DL1759" s="28"/>
      <c r="DO1759" s="28"/>
      <c r="DR1759" s="28"/>
      <c r="DU1759" s="28"/>
      <c r="DX1759" s="28"/>
      <c r="EA1759" s="28"/>
      <c r="ED1759" s="28"/>
      <c r="EG1759" s="28"/>
      <c r="EJ1759" s="28"/>
      <c r="EM1759" s="28"/>
      <c r="EP1759" s="28"/>
      <c r="ES1759" s="28"/>
      <c r="EV1759" s="28"/>
      <c r="EY1759" s="28"/>
      <c r="FB1759" s="28"/>
      <c r="FE1759" s="28"/>
      <c r="FH1759" s="28"/>
      <c r="FK1759" s="28"/>
      <c r="FN1759" s="28"/>
      <c r="FQ1759" s="28"/>
      <c r="FT1759" s="28"/>
      <c r="FW1759" s="28"/>
      <c r="FZ1759" s="28"/>
      <c r="GC1759" s="28"/>
    </row>
    <row r="1760" spans="1:185" s="25" customFormat="1" x14ac:dyDescent="0.3">
      <c r="A1760" s="27"/>
      <c r="B1760" s="28"/>
      <c r="C1760" s="27"/>
      <c r="D1760" s="26"/>
      <c r="E1760" s="28"/>
      <c r="H1760" s="28"/>
      <c r="K1760" s="28"/>
      <c r="N1760" s="28"/>
      <c r="Q1760" s="28"/>
      <c r="T1760" s="28"/>
      <c r="W1760" s="28"/>
      <c r="Z1760" s="28"/>
      <c r="AC1760" s="28"/>
      <c r="AF1760" s="28"/>
      <c r="AI1760" s="28"/>
      <c r="AL1760" s="28"/>
      <c r="AO1760" s="28"/>
      <c r="AR1760" s="28"/>
      <c r="AU1760" s="28"/>
      <c r="AX1760" s="28"/>
      <c r="BA1760" s="28"/>
      <c r="BD1760" s="28"/>
      <c r="BG1760" s="28"/>
      <c r="BJ1760" s="28"/>
      <c r="BM1760" s="28"/>
      <c r="BP1760" s="28"/>
      <c r="BS1760" s="28"/>
      <c r="BV1760" s="28"/>
      <c r="BY1760" s="28"/>
      <c r="CB1760" s="28"/>
      <c r="CE1760" s="28"/>
      <c r="CH1760" s="28"/>
      <c r="CK1760" s="28"/>
      <c r="CN1760" s="28"/>
      <c r="CQ1760" s="28"/>
      <c r="CT1760" s="28"/>
      <c r="CW1760" s="28"/>
      <c r="CZ1760" s="28"/>
      <c r="DC1760" s="28"/>
      <c r="DF1760" s="28"/>
      <c r="DI1760" s="28"/>
      <c r="DL1760" s="28"/>
      <c r="DO1760" s="28"/>
      <c r="DR1760" s="28"/>
      <c r="DU1760" s="28"/>
      <c r="DX1760" s="28"/>
      <c r="EA1760" s="28"/>
      <c r="ED1760" s="28"/>
      <c r="EG1760" s="28"/>
      <c r="EJ1760" s="28"/>
      <c r="EM1760" s="28"/>
      <c r="EP1760" s="28"/>
      <c r="ES1760" s="28"/>
      <c r="EV1760" s="28"/>
      <c r="EY1760" s="28"/>
      <c r="FB1760" s="28"/>
      <c r="FE1760" s="28"/>
      <c r="FH1760" s="28"/>
      <c r="FK1760" s="28"/>
      <c r="FN1760" s="28"/>
      <c r="FQ1760" s="28"/>
      <c r="FT1760" s="28"/>
      <c r="FW1760" s="28"/>
      <c r="FZ1760" s="28"/>
      <c r="GC1760" s="28"/>
    </row>
    <row r="1761" spans="1:185" s="25" customFormat="1" x14ac:dyDescent="0.3">
      <c r="A1761" s="27"/>
      <c r="B1761" s="28"/>
      <c r="C1761" s="27"/>
      <c r="D1761" s="26"/>
      <c r="E1761" s="28"/>
      <c r="H1761" s="28"/>
      <c r="K1761" s="28"/>
      <c r="N1761" s="28"/>
      <c r="Q1761" s="28"/>
      <c r="T1761" s="28"/>
      <c r="W1761" s="28"/>
      <c r="Z1761" s="28"/>
      <c r="AC1761" s="28"/>
      <c r="AF1761" s="28"/>
      <c r="AI1761" s="28"/>
      <c r="AL1761" s="28"/>
      <c r="AO1761" s="28"/>
      <c r="AR1761" s="28"/>
      <c r="AU1761" s="28"/>
      <c r="AX1761" s="28"/>
      <c r="BA1761" s="28"/>
      <c r="BD1761" s="28"/>
      <c r="BG1761" s="28"/>
      <c r="BJ1761" s="28"/>
      <c r="BM1761" s="28"/>
      <c r="BP1761" s="28"/>
      <c r="BS1761" s="28"/>
      <c r="BV1761" s="28"/>
      <c r="BY1761" s="28"/>
      <c r="CB1761" s="28"/>
      <c r="CE1761" s="28"/>
      <c r="CH1761" s="28"/>
      <c r="CK1761" s="28"/>
      <c r="CN1761" s="28"/>
      <c r="CQ1761" s="28"/>
      <c r="CT1761" s="28"/>
      <c r="CW1761" s="28"/>
      <c r="CZ1761" s="28"/>
      <c r="DC1761" s="28"/>
      <c r="DF1761" s="28"/>
      <c r="DI1761" s="28"/>
      <c r="DL1761" s="28"/>
      <c r="DO1761" s="28"/>
      <c r="DR1761" s="28"/>
      <c r="DU1761" s="28"/>
      <c r="DX1761" s="28"/>
      <c r="EA1761" s="28"/>
      <c r="ED1761" s="28"/>
      <c r="EG1761" s="28"/>
      <c r="EJ1761" s="28"/>
      <c r="EM1761" s="28"/>
      <c r="EP1761" s="28"/>
      <c r="ES1761" s="28"/>
      <c r="EV1761" s="28"/>
      <c r="EY1761" s="28"/>
      <c r="FB1761" s="28"/>
      <c r="FE1761" s="28"/>
      <c r="FH1761" s="28"/>
      <c r="FK1761" s="28"/>
      <c r="FN1761" s="28"/>
      <c r="FQ1761" s="28"/>
      <c r="FT1761" s="28"/>
      <c r="FW1761" s="28"/>
      <c r="FZ1761" s="28"/>
      <c r="GC1761" s="28"/>
    </row>
    <row r="1762" spans="1:185" s="25" customFormat="1" x14ac:dyDescent="0.3">
      <c r="A1762" s="27"/>
      <c r="B1762" s="28"/>
      <c r="C1762" s="27"/>
      <c r="D1762" s="26"/>
      <c r="E1762" s="28"/>
      <c r="H1762" s="28"/>
      <c r="K1762" s="28"/>
      <c r="N1762" s="28"/>
      <c r="Q1762" s="28"/>
      <c r="T1762" s="28"/>
      <c r="W1762" s="28"/>
      <c r="Z1762" s="28"/>
      <c r="AC1762" s="28"/>
      <c r="AF1762" s="28"/>
      <c r="AI1762" s="28"/>
      <c r="AL1762" s="28"/>
      <c r="AO1762" s="28"/>
      <c r="AR1762" s="28"/>
      <c r="AU1762" s="28"/>
      <c r="AX1762" s="28"/>
      <c r="BA1762" s="28"/>
      <c r="BD1762" s="28"/>
      <c r="BG1762" s="28"/>
      <c r="BJ1762" s="28"/>
      <c r="BM1762" s="28"/>
      <c r="BP1762" s="28"/>
      <c r="BS1762" s="28"/>
      <c r="BV1762" s="28"/>
      <c r="BY1762" s="28"/>
      <c r="CB1762" s="28"/>
      <c r="CE1762" s="28"/>
      <c r="CH1762" s="28"/>
      <c r="CK1762" s="28"/>
      <c r="CN1762" s="28"/>
      <c r="CQ1762" s="28"/>
      <c r="CT1762" s="28"/>
      <c r="CW1762" s="28"/>
      <c r="CZ1762" s="28"/>
      <c r="DC1762" s="28"/>
      <c r="DF1762" s="28"/>
      <c r="DI1762" s="28"/>
      <c r="DL1762" s="28"/>
      <c r="DO1762" s="28"/>
      <c r="DR1762" s="28"/>
      <c r="DU1762" s="28"/>
      <c r="DX1762" s="28"/>
      <c r="EA1762" s="28"/>
      <c r="ED1762" s="28"/>
      <c r="EG1762" s="28"/>
      <c r="EJ1762" s="28"/>
      <c r="EM1762" s="28"/>
      <c r="EP1762" s="28"/>
      <c r="ES1762" s="28"/>
      <c r="EV1762" s="28"/>
      <c r="EY1762" s="28"/>
      <c r="FB1762" s="28"/>
      <c r="FE1762" s="28"/>
      <c r="FH1762" s="28"/>
      <c r="FK1762" s="28"/>
      <c r="FN1762" s="28"/>
      <c r="FQ1762" s="28"/>
      <c r="FT1762" s="28"/>
      <c r="FW1762" s="28"/>
      <c r="FZ1762" s="28"/>
      <c r="GC1762" s="28"/>
    </row>
    <row r="1763" spans="1:185" s="25" customFormat="1" x14ac:dyDescent="0.3">
      <c r="A1763" s="27"/>
      <c r="B1763" s="28"/>
      <c r="C1763" s="27"/>
      <c r="D1763" s="26"/>
      <c r="E1763" s="28"/>
      <c r="H1763" s="28"/>
      <c r="K1763" s="28"/>
      <c r="N1763" s="28"/>
      <c r="Q1763" s="28"/>
      <c r="T1763" s="28"/>
      <c r="W1763" s="28"/>
      <c r="Z1763" s="28"/>
      <c r="AC1763" s="28"/>
      <c r="AF1763" s="28"/>
      <c r="AI1763" s="28"/>
      <c r="AL1763" s="28"/>
      <c r="AO1763" s="28"/>
      <c r="AR1763" s="28"/>
      <c r="AU1763" s="28"/>
      <c r="AX1763" s="28"/>
      <c r="BA1763" s="28"/>
      <c r="BD1763" s="28"/>
      <c r="BG1763" s="28"/>
      <c r="BJ1763" s="28"/>
      <c r="BM1763" s="28"/>
      <c r="BP1763" s="28"/>
      <c r="BS1763" s="28"/>
      <c r="BV1763" s="28"/>
      <c r="BY1763" s="28"/>
      <c r="CB1763" s="28"/>
      <c r="CE1763" s="28"/>
      <c r="CH1763" s="28"/>
      <c r="CK1763" s="28"/>
      <c r="CN1763" s="28"/>
      <c r="CQ1763" s="28"/>
      <c r="CT1763" s="28"/>
      <c r="CW1763" s="28"/>
      <c r="CZ1763" s="28"/>
      <c r="DC1763" s="28"/>
      <c r="DF1763" s="28"/>
      <c r="DI1763" s="28"/>
      <c r="DL1763" s="28"/>
      <c r="DO1763" s="28"/>
      <c r="DR1763" s="28"/>
      <c r="DU1763" s="28"/>
      <c r="DX1763" s="28"/>
      <c r="EA1763" s="28"/>
      <c r="ED1763" s="28"/>
      <c r="EG1763" s="28"/>
      <c r="EJ1763" s="28"/>
      <c r="EM1763" s="28"/>
      <c r="EP1763" s="28"/>
      <c r="ES1763" s="28"/>
      <c r="EV1763" s="28"/>
      <c r="EY1763" s="28"/>
      <c r="FB1763" s="28"/>
      <c r="FE1763" s="28"/>
      <c r="FH1763" s="28"/>
      <c r="FK1763" s="28"/>
      <c r="FN1763" s="28"/>
      <c r="FQ1763" s="28"/>
      <c r="FT1763" s="28"/>
      <c r="FW1763" s="28"/>
      <c r="FZ1763" s="28"/>
      <c r="GC1763" s="28"/>
    </row>
    <row r="1764" spans="1:185" s="25" customFormat="1" x14ac:dyDescent="0.3">
      <c r="A1764" s="27"/>
      <c r="B1764" s="28"/>
      <c r="C1764" s="27"/>
      <c r="D1764" s="26"/>
      <c r="E1764" s="28"/>
      <c r="H1764" s="28"/>
      <c r="K1764" s="28"/>
      <c r="N1764" s="28"/>
      <c r="Q1764" s="28"/>
      <c r="T1764" s="28"/>
      <c r="W1764" s="28"/>
      <c r="Z1764" s="28"/>
      <c r="AC1764" s="28"/>
      <c r="AF1764" s="28"/>
      <c r="AI1764" s="28"/>
      <c r="AL1764" s="28"/>
      <c r="AO1764" s="28"/>
      <c r="AR1764" s="28"/>
      <c r="AU1764" s="28"/>
      <c r="AX1764" s="28"/>
      <c r="BA1764" s="28"/>
      <c r="BD1764" s="28"/>
      <c r="BG1764" s="28"/>
      <c r="BJ1764" s="28"/>
      <c r="BM1764" s="28"/>
      <c r="BP1764" s="28"/>
      <c r="BS1764" s="28"/>
      <c r="BV1764" s="28"/>
      <c r="BY1764" s="28"/>
      <c r="CB1764" s="28"/>
      <c r="CE1764" s="28"/>
      <c r="CH1764" s="28"/>
      <c r="CK1764" s="28"/>
      <c r="CN1764" s="28"/>
      <c r="CQ1764" s="28"/>
      <c r="CT1764" s="28"/>
      <c r="CW1764" s="28"/>
      <c r="CZ1764" s="28"/>
      <c r="DC1764" s="28"/>
      <c r="DF1764" s="28"/>
      <c r="DI1764" s="28"/>
      <c r="DL1764" s="28"/>
      <c r="DO1764" s="28"/>
      <c r="DR1764" s="28"/>
      <c r="DU1764" s="28"/>
      <c r="DX1764" s="28"/>
      <c r="EA1764" s="28"/>
      <c r="ED1764" s="28"/>
      <c r="EG1764" s="28"/>
      <c r="EJ1764" s="28"/>
      <c r="EM1764" s="28"/>
      <c r="EP1764" s="28"/>
      <c r="ES1764" s="28"/>
      <c r="EV1764" s="28"/>
      <c r="EY1764" s="28"/>
      <c r="FB1764" s="28"/>
      <c r="FE1764" s="28"/>
      <c r="FH1764" s="28"/>
      <c r="FK1764" s="28"/>
      <c r="FN1764" s="28"/>
      <c r="FQ1764" s="28"/>
      <c r="FT1764" s="28"/>
      <c r="FW1764" s="28"/>
      <c r="FZ1764" s="28"/>
      <c r="GC1764" s="28"/>
    </row>
    <row r="1765" spans="1:185" s="25" customFormat="1" x14ac:dyDescent="0.3">
      <c r="A1765" s="27"/>
      <c r="B1765" s="28"/>
      <c r="C1765" s="27"/>
      <c r="D1765" s="26"/>
      <c r="E1765" s="28"/>
      <c r="H1765" s="28"/>
      <c r="K1765" s="28"/>
      <c r="N1765" s="28"/>
      <c r="Q1765" s="28"/>
      <c r="T1765" s="28"/>
      <c r="W1765" s="28"/>
      <c r="Z1765" s="28"/>
      <c r="AC1765" s="28"/>
      <c r="AF1765" s="28"/>
      <c r="AI1765" s="28"/>
      <c r="AL1765" s="28"/>
      <c r="AO1765" s="28"/>
      <c r="AR1765" s="28"/>
      <c r="AU1765" s="28"/>
      <c r="AX1765" s="28"/>
      <c r="BA1765" s="28"/>
      <c r="BD1765" s="28"/>
      <c r="BG1765" s="28"/>
      <c r="BJ1765" s="28"/>
      <c r="BM1765" s="28"/>
      <c r="BP1765" s="28"/>
      <c r="BS1765" s="28"/>
      <c r="BV1765" s="28"/>
      <c r="BY1765" s="28"/>
      <c r="CB1765" s="28"/>
      <c r="CE1765" s="28"/>
      <c r="CH1765" s="28"/>
      <c r="CK1765" s="28"/>
      <c r="CN1765" s="28"/>
      <c r="CQ1765" s="28"/>
      <c r="CT1765" s="28"/>
      <c r="CW1765" s="28"/>
      <c r="CZ1765" s="28"/>
      <c r="DC1765" s="28"/>
      <c r="DF1765" s="28"/>
      <c r="DI1765" s="28"/>
      <c r="DL1765" s="28"/>
      <c r="DO1765" s="28"/>
      <c r="DR1765" s="28"/>
      <c r="DU1765" s="28"/>
      <c r="DX1765" s="28"/>
      <c r="EA1765" s="28"/>
      <c r="ED1765" s="28"/>
      <c r="EG1765" s="28"/>
      <c r="EJ1765" s="28"/>
      <c r="EM1765" s="28"/>
      <c r="EP1765" s="28"/>
      <c r="ES1765" s="28"/>
      <c r="EV1765" s="28"/>
      <c r="EY1765" s="28"/>
      <c r="FB1765" s="28"/>
      <c r="FE1765" s="28"/>
      <c r="FH1765" s="28"/>
      <c r="FK1765" s="28"/>
      <c r="FN1765" s="28"/>
      <c r="FQ1765" s="28"/>
      <c r="FT1765" s="28"/>
      <c r="FW1765" s="28"/>
      <c r="FZ1765" s="28"/>
      <c r="GC1765" s="28"/>
    </row>
    <row r="1766" spans="1:185" s="25" customFormat="1" x14ac:dyDescent="0.3">
      <c r="A1766" s="27"/>
      <c r="B1766" s="28"/>
      <c r="C1766" s="27"/>
      <c r="D1766" s="26"/>
      <c r="E1766" s="28"/>
      <c r="H1766" s="28"/>
      <c r="K1766" s="28"/>
      <c r="N1766" s="28"/>
      <c r="Q1766" s="28"/>
      <c r="T1766" s="28"/>
      <c r="W1766" s="28"/>
      <c r="Z1766" s="28"/>
      <c r="AC1766" s="28"/>
      <c r="AF1766" s="28"/>
      <c r="AI1766" s="28"/>
      <c r="AL1766" s="28"/>
      <c r="AO1766" s="28"/>
      <c r="AR1766" s="28"/>
      <c r="AU1766" s="28"/>
      <c r="AX1766" s="28"/>
      <c r="BA1766" s="28"/>
      <c r="BD1766" s="28"/>
      <c r="BG1766" s="28"/>
      <c r="BJ1766" s="28"/>
      <c r="BM1766" s="28"/>
      <c r="BP1766" s="28"/>
      <c r="BS1766" s="28"/>
      <c r="BV1766" s="28"/>
      <c r="BY1766" s="28"/>
      <c r="CB1766" s="28"/>
      <c r="CE1766" s="28"/>
      <c r="CH1766" s="28"/>
      <c r="CK1766" s="28"/>
      <c r="CN1766" s="28"/>
      <c r="CQ1766" s="28"/>
      <c r="CT1766" s="28"/>
      <c r="CW1766" s="28"/>
      <c r="CZ1766" s="28"/>
      <c r="DC1766" s="28"/>
      <c r="DF1766" s="28"/>
      <c r="DI1766" s="28"/>
      <c r="DL1766" s="28"/>
      <c r="DO1766" s="28"/>
      <c r="DR1766" s="28"/>
      <c r="DU1766" s="28"/>
      <c r="DX1766" s="28"/>
      <c r="EA1766" s="28"/>
      <c r="ED1766" s="28"/>
      <c r="EG1766" s="28"/>
      <c r="EJ1766" s="28"/>
      <c r="EM1766" s="28"/>
      <c r="EP1766" s="28"/>
      <c r="ES1766" s="28"/>
      <c r="EV1766" s="28"/>
      <c r="EY1766" s="28"/>
      <c r="FB1766" s="28"/>
      <c r="FE1766" s="28"/>
      <c r="FH1766" s="28"/>
      <c r="FK1766" s="28"/>
      <c r="FN1766" s="28"/>
      <c r="FQ1766" s="28"/>
      <c r="FT1766" s="28"/>
      <c r="FW1766" s="28"/>
      <c r="FZ1766" s="28"/>
      <c r="GC1766" s="28"/>
    </row>
    <row r="1767" spans="1:185" s="25" customFormat="1" x14ac:dyDescent="0.3">
      <c r="A1767" s="27"/>
      <c r="B1767" s="28"/>
      <c r="C1767" s="27"/>
      <c r="D1767" s="26"/>
      <c r="E1767" s="28"/>
      <c r="H1767" s="28"/>
      <c r="K1767" s="28"/>
      <c r="N1767" s="28"/>
      <c r="Q1767" s="28"/>
      <c r="T1767" s="28"/>
      <c r="W1767" s="28"/>
      <c r="Z1767" s="28"/>
      <c r="AC1767" s="28"/>
      <c r="AF1767" s="28"/>
      <c r="AI1767" s="28"/>
      <c r="AL1767" s="28"/>
      <c r="AO1767" s="28"/>
      <c r="AR1767" s="28"/>
      <c r="AU1767" s="28"/>
      <c r="AX1767" s="28"/>
      <c r="BA1767" s="28"/>
      <c r="BD1767" s="28"/>
      <c r="BG1767" s="28"/>
      <c r="BJ1767" s="28"/>
      <c r="BM1767" s="28"/>
      <c r="BP1767" s="28"/>
      <c r="BS1767" s="28"/>
      <c r="BV1767" s="28"/>
      <c r="BY1767" s="28"/>
      <c r="CB1767" s="28"/>
      <c r="CE1767" s="28"/>
      <c r="CH1767" s="28"/>
      <c r="CK1767" s="28"/>
      <c r="CN1767" s="28"/>
      <c r="CQ1767" s="28"/>
      <c r="CT1767" s="28"/>
      <c r="CW1767" s="28"/>
      <c r="CZ1767" s="28"/>
      <c r="DC1767" s="28"/>
      <c r="DF1767" s="28"/>
      <c r="DI1767" s="28"/>
      <c r="DL1767" s="28"/>
      <c r="DO1767" s="28"/>
      <c r="DR1767" s="28"/>
      <c r="DU1767" s="28"/>
      <c r="DX1767" s="28"/>
      <c r="EA1767" s="28"/>
      <c r="ED1767" s="28"/>
      <c r="EG1767" s="28"/>
      <c r="EJ1767" s="28"/>
      <c r="EM1767" s="28"/>
      <c r="EP1767" s="28"/>
      <c r="ES1767" s="28"/>
      <c r="EV1767" s="28"/>
      <c r="EY1767" s="28"/>
      <c r="FB1767" s="28"/>
      <c r="FE1767" s="28"/>
      <c r="FH1767" s="28"/>
      <c r="FK1767" s="28"/>
      <c r="FN1767" s="28"/>
      <c r="FQ1767" s="28"/>
      <c r="FT1767" s="28"/>
      <c r="FW1767" s="28"/>
      <c r="FZ1767" s="28"/>
      <c r="GC1767" s="28"/>
    </row>
    <row r="1768" spans="1:185" s="25" customFormat="1" x14ac:dyDescent="0.3">
      <c r="A1768" s="27"/>
      <c r="B1768" s="28"/>
      <c r="C1768" s="27"/>
      <c r="D1768" s="26"/>
      <c r="E1768" s="28"/>
      <c r="H1768" s="28"/>
      <c r="K1768" s="28"/>
      <c r="N1768" s="28"/>
      <c r="Q1768" s="28"/>
      <c r="T1768" s="28"/>
      <c r="W1768" s="28"/>
      <c r="Z1768" s="28"/>
      <c r="AC1768" s="28"/>
      <c r="AF1768" s="28"/>
      <c r="AI1768" s="28"/>
      <c r="AL1768" s="28"/>
      <c r="AO1768" s="28"/>
      <c r="AR1768" s="28"/>
      <c r="AU1768" s="28"/>
      <c r="AX1768" s="28"/>
      <c r="BA1768" s="28"/>
      <c r="BD1768" s="28"/>
      <c r="BG1768" s="28"/>
      <c r="BJ1768" s="28"/>
      <c r="BM1768" s="28"/>
      <c r="BP1768" s="28"/>
      <c r="BS1768" s="28"/>
      <c r="BV1768" s="28"/>
      <c r="BY1768" s="28"/>
      <c r="CB1768" s="28"/>
      <c r="CE1768" s="28"/>
      <c r="CH1768" s="28"/>
      <c r="CK1768" s="28"/>
      <c r="CN1768" s="28"/>
      <c r="CQ1768" s="28"/>
      <c r="CT1768" s="28"/>
      <c r="CW1768" s="28"/>
      <c r="CZ1768" s="28"/>
      <c r="DC1768" s="28"/>
      <c r="DF1768" s="28"/>
      <c r="DI1768" s="28"/>
      <c r="DL1768" s="28"/>
      <c r="DO1768" s="28"/>
      <c r="DR1768" s="28"/>
      <c r="DU1768" s="28"/>
      <c r="DX1768" s="28"/>
      <c r="EA1768" s="28"/>
      <c r="ED1768" s="28"/>
      <c r="EG1768" s="28"/>
      <c r="EJ1768" s="28"/>
      <c r="EM1768" s="28"/>
      <c r="EP1768" s="28"/>
      <c r="ES1768" s="28"/>
      <c r="EV1768" s="28"/>
      <c r="EY1768" s="28"/>
      <c r="FB1768" s="28"/>
      <c r="FE1768" s="28"/>
      <c r="FH1768" s="28"/>
      <c r="FK1768" s="28"/>
      <c r="FN1768" s="28"/>
      <c r="FQ1768" s="28"/>
      <c r="FT1768" s="28"/>
      <c r="FW1768" s="28"/>
      <c r="FZ1768" s="28"/>
      <c r="GC1768" s="28"/>
    </row>
    <row r="1769" spans="1:185" s="25" customFormat="1" x14ac:dyDescent="0.3">
      <c r="A1769" s="27"/>
      <c r="B1769" s="28"/>
      <c r="C1769" s="27"/>
      <c r="D1769" s="26"/>
      <c r="E1769" s="28"/>
      <c r="H1769" s="28"/>
      <c r="K1769" s="28"/>
      <c r="N1769" s="28"/>
      <c r="Q1769" s="28"/>
      <c r="T1769" s="28"/>
      <c r="W1769" s="28"/>
      <c r="Z1769" s="28"/>
      <c r="AC1769" s="28"/>
      <c r="AF1769" s="28"/>
      <c r="AI1769" s="28"/>
      <c r="AL1769" s="28"/>
      <c r="AO1769" s="28"/>
      <c r="AR1769" s="28"/>
      <c r="AU1769" s="28"/>
      <c r="AX1769" s="28"/>
      <c r="BA1769" s="28"/>
      <c r="BD1769" s="28"/>
      <c r="BG1769" s="28"/>
      <c r="BJ1769" s="28"/>
      <c r="BM1769" s="28"/>
      <c r="BP1769" s="28"/>
      <c r="BS1769" s="28"/>
      <c r="BV1769" s="28"/>
      <c r="BY1769" s="28"/>
      <c r="CB1769" s="28"/>
      <c r="CE1769" s="28"/>
      <c r="CH1769" s="28"/>
      <c r="CK1769" s="28"/>
      <c r="CN1769" s="28"/>
      <c r="CQ1769" s="28"/>
      <c r="CT1769" s="28"/>
      <c r="CW1769" s="28"/>
      <c r="CZ1769" s="28"/>
      <c r="DC1769" s="28"/>
      <c r="DF1769" s="28"/>
      <c r="DI1769" s="28"/>
      <c r="DL1769" s="28"/>
      <c r="DO1769" s="28"/>
      <c r="DR1769" s="28"/>
      <c r="DU1769" s="28"/>
      <c r="DX1769" s="28"/>
      <c r="EA1769" s="28"/>
      <c r="ED1769" s="28"/>
      <c r="EG1769" s="28"/>
      <c r="EJ1769" s="28"/>
      <c r="EM1769" s="28"/>
      <c r="EP1769" s="28"/>
      <c r="ES1769" s="28"/>
      <c r="EV1769" s="28"/>
      <c r="EY1769" s="28"/>
      <c r="FB1769" s="28"/>
      <c r="FE1769" s="28"/>
      <c r="FH1769" s="28"/>
      <c r="FK1769" s="28"/>
      <c r="FN1769" s="28"/>
      <c r="FQ1769" s="28"/>
      <c r="FT1769" s="28"/>
      <c r="FW1769" s="28"/>
      <c r="FZ1769" s="28"/>
      <c r="GC1769" s="28"/>
    </row>
    <row r="1770" spans="1:185" s="25" customFormat="1" x14ac:dyDescent="0.3">
      <c r="A1770" s="27"/>
      <c r="B1770" s="28"/>
      <c r="C1770" s="27"/>
      <c r="D1770" s="26"/>
      <c r="E1770" s="28"/>
      <c r="H1770" s="28"/>
      <c r="K1770" s="28"/>
      <c r="N1770" s="28"/>
      <c r="Q1770" s="28"/>
      <c r="T1770" s="28"/>
      <c r="W1770" s="28"/>
      <c r="Z1770" s="28"/>
      <c r="AC1770" s="28"/>
      <c r="AF1770" s="28"/>
      <c r="AI1770" s="28"/>
      <c r="AL1770" s="28"/>
      <c r="AO1770" s="28"/>
      <c r="AR1770" s="28"/>
      <c r="AU1770" s="28"/>
      <c r="AX1770" s="28"/>
      <c r="BA1770" s="28"/>
      <c r="BD1770" s="28"/>
      <c r="BG1770" s="28"/>
      <c r="BJ1770" s="28"/>
      <c r="BM1770" s="28"/>
      <c r="BP1770" s="28"/>
      <c r="BS1770" s="28"/>
      <c r="BV1770" s="28"/>
      <c r="BY1770" s="28"/>
      <c r="CB1770" s="28"/>
      <c r="CE1770" s="28"/>
      <c r="CH1770" s="28"/>
      <c r="CK1770" s="28"/>
      <c r="CN1770" s="28"/>
      <c r="CQ1770" s="28"/>
      <c r="CT1770" s="28"/>
      <c r="CW1770" s="28"/>
      <c r="CZ1770" s="28"/>
      <c r="DC1770" s="28"/>
      <c r="DF1770" s="28"/>
      <c r="DI1770" s="28"/>
      <c r="DL1770" s="28"/>
      <c r="DO1770" s="28"/>
      <c r="DR1770" s="28"/>
      <c r="DU1770" s="28"/>
      <c r="DX1770" s="28"/>
      <c r="EA1770" s="28"/>
      <c r="ED1770" s="28"/>
      <c r="EG1770" s="28"/>
      <c r="EJ1770" s="28"/>
      <c r="EM1770" s="28"/>
      <c r="EP1770" s="28"/>
      <c r="ES1770" s="28"/>
      <c r="EV1770" s="28"/>
      <c r="EY1770" s="28"/>
      <c r="FB1770" s="28"/>
      <c r="FE1770" s="28"/>
      <c r="FH1770" s="28"/>
      <c r="FK1770" s="28"/>
      <c r="FN1770" s="28"/>
      <c r="FQ1770" s="28"/>
      <c r="FT1770" s="28"/>
      <c r="FW1770" s="28"/>
      <c r="FZ1770" s="28"/>
      <c r="GC1770" s="28"/>
    </row>
    <row r="1771" spans="1:185" s="25" customFormat="1" x14ac:dyDescent="0.3">
      <c r="A1771" s="27"/>
      <c r="B1771" s="28"/>
      <c r="C1771" s="27"/>
      <c r="D1771" s="26"/>
      <c r="E1771" s="28"/>
      <c r="H1771" s="28"/>
      <c r="K1771" s="28"/>
      <c r="N1771" s="28"/>
      <c r="Q1771" s="28"/>
      <c r="T1771" s="28"/>
      <c r="W1771" s="28"/>
      <c r="Z1771" s="28"/>
      <c r="AC1771" s="28"/>
      <c r="AF1771" s="28"/>
      <c r="AI1771" s="28"/>
      <c r="AL1771" s="28"/>
      <c r="AO1771" s="28"/>
      <c r="AR1771" s="28"/>
      <c r="AU1771" s="28"/>
      <c r="AX1771" s="28"/>
      <c r="BA1771" s="28"/>
      <c r="BD1771" s="28"/>
      <c r="BG1771" s="28"/>
      <c r="BJ1771" s="28"/>
      <c r="BM1771" s="28"/>
      <c r="BP1771" s="28"/>
      <c r="BS1771" s="28"/>
      <c r="BV1771" s="28"/>
      <c r="BY1771" s="28"/>
      <c r="CB1771" s="28"/>
      <c r="CE1771" s="28"/>
      <c r="CH1771" s="28"/>
      <c r="CK1771" s="28"/>
      <c r="CN1771" s="28"/>
      <c r="CQ1771" s="28"/>
      <c r="CT1771" s="28"/>
      <c r="CW1771" s="28"/>
      <c r="CZ1771" s="28"/>
      <c r="DC1771" s="28"/>
      <c r="DF1771" s="28"/>
      <c r="DI1771" s="28"/>
      <c r="DL1771" s="28"/>
      <c r="DO1771" s="28"/>
      <c r="DR1771" s="28"/>
      <c r="DU1771" s="28"/>
      <c r="DX1771" s="28"/>
      <c r="EA1771" s="28"/>
      <c r="ED1771" s="28"/>
      <c r="EG1771" s="28"/>
      <c r="EJ1771" s="28"/>
      <c r="EM1771" s="28"/>
      <c r="EP1771" s="28"/>
      <c r="ES1771" s="28"/>
      <c r="EV1771" s="28"/>
      <c r="EY1771" s="28"/>
      <c r="FB1771" s="28"/>
      <c r="FE1771" s="28"/>
      <c r="FH1771" s="28"/>
      <c r="FK1771" s="28"/>
      <c r="FN1771" s="28"/>
      <c r="FQ1771" s="28"/>
      <c r="FT1771" s="28"/>
      <c r="FW1771" s="28"/>
      <c r="FZ1771" s="28"/>
      <c r="GC1771" s="28"/>
    </row>
    <row r="1772" spans="1:185" s="25" customFormat="1" x14ac:dyDescent="0.3">
      <c r="A1772" s="27"/>
      <c r="B1772" s="28"/>
      <c r="C1772" s="27"/>
      <c r="D1772" s="26"/>
      <c r="E1772" s="28"/>
      <c r="H1772" s="28"/>
      <c r="K1772" s="28"/>
      <c r="N1772" s="28"/>
      <c r="Q1772" s="28"/>
      <c r="T1772" s="28"/>
      <c r="W1772" s="28"/>
      <c r="Z1772" s="28"/>
      <c r="AC1772" s="28"/>
      <c r="AF1772" s="28"/>
      <c r="AI1772" s="28"/>
      <c r="AL1772" s="28"/>
      <c r="AO1772" s="28"/>
      <c r="AR1772" s="28"/>
      <c r="AU1772" s="28"/>
      <c r="AX1772" s="28"/>
      <c r="BA1772" s="28"/>
      <c r="BD1772" s="28"/>
      <c r="BG1772" s="28"/>
      <c r="BJ1772" s="28"/>
      <c r="BM1772" s="28"/>
      <c r="BP1772" s="28"/>
      <c r="BS1772" s="28"/>
      <c r="BV1772" s="28"/>
      <c r="BY1772" s="28"/>
      <c r="CB1772" s="28"/>
      <c r="CE1772" s="28"/>
      <c r="CH1772" s="28"/>
      <c r="CK1772" s="28"/>
      <c r="CN1772" s="28"/>
      <c r="CQ1772" s="28"/>
      <c r="CT1772" s="28"/>
      <c r="CW1772" s="28"/>
      <c r="CZ1772" s="28"/>
      <c r="DC1772" s="28"/>
      <c r="DF1772" s="28"/>
      <c r="DI1772" s="28"/>
      <c r="DL1772" s="28"/>
      <c r="DO1772" s="28"/>
      <c r="DR1772" s="28"/>
      <c r="DU1772" s="28"/>
      <c r="DX1772" s="28"/>
      <c r="EA1772" s="28"/>
      <c r="ED1772" s="28"/>
      <c r="EG1772" s="28"/>
      <c r="EJ1772" s="28"/>
      <c r="EM1772" s="28"/>
      <c r="EP1772" s="28"/>
      <c r="ES1772" s="28"/>
      <c r="EV1772" s="28"/>
      <c r="EY1772" s="28"/>
      <c r="FB1772" s="28"/>
      <c r="FE1772" s="28"/>
      <c r="FH1772" s="28"/>
      <c r="FK1772" s="28"/>
      <c r="FN1772" s="28"/>
      <c r="FQ1772" s="28"/>
      <c r="FT1772" s="28"/>
      <c r="FW1772" s="28"/>
      <c r="FZ1772" s="28"/>
      <c r="GC1772" s="28"/>
    </row>
    <row r="1773" spans="1:185" s="25" customFormat="1" x14ac:dyDescent="0.3">
      <c r="A1773" s="27"/>
      <c r="B1773" s="28"/>
      <c r="C1773" s="27"/>
      <c r="D1773" s="26"/>
      <c r="E1773" s="28"/>
      <c r="H1773" s="28"/>
      <c r="K1773" s="28"/>
      <c r="N1773" s="28"/>
      <c r="Q1773" s="28"/>
      <c r="T1773" s="28"/>
      <c r="W1773" s="28"/>
      <c r="Z1773" s="28"/>
      <c r="AC1773" s="28"/>
      <c r="AF1773" s="28"/>
      <c r="AI1773" s="28"/>
      <c r="AL1773" s="28"/>
      <c r="AO1773" s="28"/>
      <c r="AR1773" s="28"/>
      <c r="AU1773" s="28"/>
      <c r="AX1773" s="28"/>
      <c r="BA1773" s="28"/>
      <c r="BD1773" s="28"/>
      <c r="BG1773" s="28"/>
      <c r="BJ1773" s="28"/>
      <c r="BM1773" s="28"/>
      <c r="BP1773" s="28"/>
      <c r="BS1773" s="28"/>
      <c r="BV1773" s="28"/>
      <c r="BY1773" s="28"/>
      <c r="CB1773" s="28"/>
      <c r="CE1773" s="28"/>
      <c r="CH1773" s="28"/>
      <c r="CK1773" s="28"/>
      <c r="CN1773" s="28"/>
      <c r="CQ1773" s="28"/>
      <c r="CT1773" s="28"/>
      <c r="CW1773" s="28"/>
      <c r="CZ1773" s="28"/>
      <c r="DC1773" s="28"/>
      <c r="DF1773" s="28"/>
      <c r="DI1773" s="28"/>
      <c r="DL1773" s="28"/>
      <c r="DO1773" s="28"/>
      <c r="DR1773" s="28"/>
      <c r="DU1773" s="28"/>
      <c r="DX1773" s="28"/>
      <c r="EA1773" s="28"/>
      <c r="ED1773" s="28"/>
      <c r="EG1773" s="28"/>
      <c r="EJ1773" s="28"/>
      <c r="EM1773" s="28"/>
      <c r="EP1773" s="28"/>
      <c r="ES1773" s="28"/>
      <c r="EV1773" s="28"/>
      <c r="EY1773" s="28"/>
      <c r="FB1773" s="28"/>
      <c r="FE1773" s="28"/>
      <c r="FH1773" s="28"/>
      <c r="FK1773" s="28"/>
      <c r="FN1773" s="28"/>
      <c r="FQ1773" s="28"/>
      <c r="FT1773" s="28"/>
      <c r="FW1773" s="28"/>
      <c r="FZ1773" s="28"/>
      <c r="GC1773" s="28"/>
    </row>
    <row r="1774" spans="1:185" s="25" customFormat="1" x14ac:dyDescent="0.3">
      <c r="A1774" s="27"/>
      <c r="B1774" s="28"/>
      <c r="C1774" s="27"/>
      <c r="D1774" s="26"/>
      <c r="E1774" s="28"/>
      <c r="H1774" s="28"/>
      <c r="K1774" s="28"/>
      <c r="N1774" s="28"/>
      <c r="Q1774" s="28"/>
      <c r="T1774" s="28"/>
      <c r="W1774" s="28"/>
      <c r="Z1774" s="28"/>
      <c r="AC1774" s="28"/>
      <c r="AF1774" s="28"/>
      <c r="AI1774" s="28"/>
      <c r="AL1774" s="28"/>
      <c r="AO1774" s="28"/>
      <c r="AR1774" s="28"/>
      <c r="AU1774" s="28"/>
      <c r="AX1774" s="28"/>
      <c r="BA1774" s="28"/>
      <c r="BD1774" s="28"/>
      <c r="BG1774" s="28"/>
      <c r="BJ1774" s="28"/>
      <c r="BM1774" s="28"/>
      <c r="BP1774" s="28"/>
      <c r="BS1774" s="28"/>
      <c r="BV1774" s="28"/>
      <c r="BY1774" s="28"/>
      <c r="CB1774" s="28"/>
      <c r="CE1774" s="28"/>
      <c r="CH1774" s="28"/>
      <c r="CK1774" s="28"/>
      <c r="CN1774" s="28"/>
      <c r="CQ1774" s="28"/>
      <c r="CT1774" s="28"/>
      <c r="CW1774" s="28"/>
      <c r="CZ1774" s="28"/>
      <c r="DC1774" s="28"/>
      <c r="DF1774" s="28"/>
      <c r="DI1774" s="28"/>
      <c r="DL1774" s="28"/>
      <c r="DO1774" s="28"/>
      <c r="DR1774" s="28"/>
      <c r="DU1774" s="28"/>
      <c r="DX1774" s="28"/>
      <c r="EA1774" s="28"/>
      <c r="ED1774" s="28"/>
      <c r="EG1774" s="28"/>
      <c r="EJ1774" s="28"/>
      <c r="EM1774" s="28"/>
      <c r="EP1774" s="28"/>
      <c r="ES1774" s="28"/>
      <c r="EV1774" s="28"/>
      <c r="EY1774" s="28"/>
      <c r="FB1774" s="28"/>
      <c r="FE1774" s="28"/>
      <c r="FH1774" s="28"/>
      <c r="FK1774" s="28"/>
      <c r="FN1774" s="28"/>
      <c r="FQ1774" s="28"/>
      <c r="FT1774" s="28"/>
      <c r="FW1774" s="28"/>
      <c r="FZ1774" s="28"/>
      <c r="GC1774" s="28"/>
    </row>
    <row r="1775" spans="1:185" s="25" customFormat="1" x14ac:dyDescent="0.3">
      <c r="A1775" s="27"/>
      <c r="B1775" s="28"/>
      <c r="C1775" s="27"/>
      <c r="D1775" s="26"/>
      <c r="E1775" s="28"/>
      <c r="H1775" s="28"/>
      <c r="K1775" s="28"/>
      <c r="N1775" s="28"/>
      <c r="Q1775" s="28"/>
      <c r="T1775" s="28"/>
      <c r="W1775" s="28"/>
      <c r="Z1775" s="28"/>
      <c r="AC1775" s="28"/>
      <c r="AF1775" s="28"/>
      <c r="AI1775" s="28"/>
      <c r="AL1775" s="28"/>
      <c r="AO1775" s="28"/>
      <c r="AR1775" s="28"/>
      <c r="AU1775" s="28"/>
      <c r="AX1775" s="28"/>
      <c r="BA1775" s="28"/>
      <c r="BD1775" s="28"/>
      <c r="BG1775" s="28"/>
      <c r="BJ1775" s="28"/>
      <c r="BM1775" s="28"/>
      <c r="BP1775" s="28"/>
      <c r="BS1775" s="28"/>
      <c r="BV1775" s="28"/>
      <c r="BY1775" s="28"/>
      <c r="CB1775" s="28"/>
      <c r="CE1775" s="28"/>
      <c r="CH1775" s="28"/>
      <c r="CK1775" s="28"/>
      <c r="CN1775" s="28"/>
      <c r="CQ1775" s="28"/>
      <c r="CT1775" s="28"/>
      <c r="CW1775" s="28"/>
      <c r="CZ1775" s="28"/>
      <c r="DC1775" s="28"/>
      <c r="DF1775" s="28"/>
      <c r="DI1775" s="28"/>
      <c r="DL1775" s="28"/>
      <c r="DO1775" s="28"/>
      <c r="DR1775" s="28"/>
      <c r="DU1775" s="28"/>
      <c r="DX1775" s="28"/>
      <c r="EA1775" s="28"/>
      <c r="ED1775" s="28"/>
      <c r="EG1775" s="28"/>
      <c r="EJ1775" s="28"/>
      <c r="EM1775" s="28"/>
      <c r="EP1775" s="28"/>
      <c r="ES1775" s="28"/>
      <c r="EV1775" s="28"/>
      <c r="EY1775" s="28"/>
      <c r="FB1775" s="28"/>
      <c r="FE1775" s="28"/>
      <c r="FH1775" s="28"/>
      <c r="FK1775" s="28"/>
      <c r="FN1775" s="28"/>
      <c r="FQ1775" s="28"/>
      <c r="FT1775" s="28"/>
      <c r="FW1775" s="28"/>
      <c r="FZ1775" s="28"/>
      <c r="GC1775" s="28"/>
    </row>
    <row r="1776" spans="1:185" s="25" customFormat="1" x14ac:dyDescent="0.3">
      <c r="A1776" s="27"/>
      <c r="B1776" s="28"/>
      <c r="C1776" s="27"/>
      <c r="D1776" s="26"/>
      <c r="E1776" s="28"/>
      <c r="H1776" s="28"/>
      <c r="K1776" s="28"/>
      <c r="N1776" s="28"/>
      <c r="Q1776" s="28"/>
      <c r="T1776" s="28"/>
      <c r="W1776" s="28"/>
      <c r="Z1776" s="28"/>
      <c r="AC1776" s="28"/>
      <c r="AF1776" s="28"/>
      <c r="AI1776" s="28"/>
      <c r="AL1776" s="28"/>
      <c r="AO1776" s="28"/>
      <c r="AR1776" s="28"/>
      <c r="AU1776" s="28"/>
      <c r="AX1776" s="28"/>
      <c r="BA1776" s="28"/>
      <c r="BD1776" s="28"/>
      <c r="BG1776" s="28"/>
      <c r="BJ1776" s="28"/>
      <c r="BM1776" s="28"/>
      <c r="BP1776" s="28"/>
      <c r="BS1776" s="28"/>
      <c r="BV1776" s="28"/>
      <c r="BY1776" s="28"/>
      <c r="CB1776" s="28"/>
      <c r="CE1776" s="28"/>
      <c r="CH1776" s="28"/>
      <c r="CK1776" s="28"/>
      <c r="CN1776" s="28"/>
      <c r="CQ1776" s="28"/>
      <c r="CT1776" s="28"/>
      <c r="CW1776" s="28"/>
      <c r="CZ1776" s="28"/>
      <c r="DC1776" s="28"/>
      <c r="DF1776" s="28"/>
      <c r="DI1776" s="28"/>
      <c r="DL1776" s="28"/>
      <c r="DO1776" s="28"/>
      <c r="DR1776" s="28"/>
      <c r="DU1776" s="28"/>
      <c r="DX1776" s="28"/>
      <c r="EA1776" s="28"/>
      <c r="ED1776" s="28"/>
      <c r="EG1776" s="28"/>
      <c r="EJ1776" s="28"/>
      <c r="EM1776" s="28"/>
      <c r="EP1776" s="28"/>
      <c r="ES1776" s="28"/>
      <c r="EV1776" s="28"/>
      <c r="EY1776" s="28"/>
      <c r="FB1776" s="28"/>
      <c r="FE1776" s="28"/>
      <c r="FH1776" s="28"/>
      <c r="FK1776" s="28"/>
      <c r="FN1776" s="28"/>
      <c r="FQ1776" s="28"/>
      <c r="FT1776" s="28"/>
      <c r="FW1776" s="28"/>
      <c r="FZ1776" s="28"/>
      <c r="GC1776" s="28"/>
    </row>
    <row r="1777" spans="1:185" s="25" customFormat="1" x14ac:dyDescent="0.3">
      <c r="A1777" s="27"/>
      <c r="B1777" s="28"/>
      <c r="C1777" s="27"/>
      <c r="D1777" s="26"/>
      <c r="E1777" s="28"/>
      <c r="H1777" s="28"/>
      <c r="K1777" s="28"/>
      <c r="N1777" s="28"/>
      <c r="Q1777" s="28"/>
      <c r="T1777" s="28"/>
      <c r="W1777" s="28"/>
      <c r="Z1777" s="28"/>
      <c r="AC1777" s="28"/>
      <c r="AF1777" s="28"/>
      <c r="AI1777" s="28"/>
      <c r="AL1777" s="28"/>
      <c r="AO1777" s="28"/>
      <c r="AR1777" s="28"/>
      <c r="AU1777" s="28"/>
      <c r="AX1777" s="28"/>
      <c r="BA1777" s="28"/>
      <c r="BD1777" s="28"/>
      <c r="BG1777" s="28"/>
      <c r="BJ1777" s="28"/>
      <c r="BM1777" s="28"/>
      <c r="BP1777" s="28"/>
      <c r="BS1777" s="28"/>
      <c r="BV1777" s="28"/>
      <c r="BY1777" s="28"/>
      <c r="CB1777" s="28"/>
      <c r="CE1777" s="28"/>
      <c r="CH1777" s="28"/>
      <c r="CK1777" s="28"/>
      <c r="CN1777" s="28"/>
      <c r="CQ1777" s="28"/>
      <c r="CT1777" s="28"/>
      <c r="CW1777" s="28"/>
      <c r="CZ1777" s="28"/>
      <c r="DC1777" s="28"/>
      <c r="DF1777" s="28"/>
      <c r="DI1777" s="28"/>
      <c r="DL1777" s="28"/>
      <c r="DO1777" s="28"/>
      <c r="DR1777" s="28"/>
      <c r="DU1777" s="28"/>
      <c r="DX1777" s="28"/>
      <c r="EA1777" s="28"/>
      <c r="ED1777" s="28"/>
      <c r="EG1777" s="28"/>
      <c r="EJ1777" s="28"/>
      <c r="EM1777" s="28"/>
      <c r="EP1777" s="28"/>
      <c r="ES1777" s="28"/>
      <c r="EV1777" s="28"/>
      <c r="EY1777" s="28"/>
      <c r="FB1777" s="28"/>
      <c r="FE1777" s="28"/>
      <c r="FH1777" s="28"/>
      <c r="FK1777" s="28"/>
      <c r="FN1777" s="28"/>
      <c r="FQ1777" s="28"/>
      <c r="FT1777" s="28"/>
      <c r="FW1777" s="28"/>
      <c r="FZ1777" s="28"/>
      <c r="GC1777" s="28"/>
    </row>
    <row r="1778" spans="1:185" s="25" customFormat="1" x14ac:dyDescent="0.3">
      <c r="A1778" s="27"/>
      <c r="B1778" s="28"/>
      <c r="C1778" s="27"/>
      <c r="D1778" s="26"/>
      <c r="E1778" s="28"/>
      <c r="H1778" s="28"/>
      <c r="K1778" s="28"/>
      <c r="N1778" s="28"/>
      <c r="Q1778" s="28"/>
      <c r="T1778" s="28"/>
      <c r="W1778" s="28"/>
      <c r="Z1778" s="28"/>
      <c r="AC1778" s="28"/>
      <c r="AF1778" s="28"/>
      <c r="AI1778" s="28"/>
      <c r="AL1778" s="28"/>
      <c r="AO1778" s="28"/>
      <c r="AR1778" s="28"/>
      <c r="AU1778" s="28"/>
      <c r="AX1778" s="28"/>
      <c r="BA1778" s="28"/>
      <c r="BD1778" s="28"/>
      <c r="BG1778" s="28"/>
      <c r="BJ1778" s="28"/>
      <c r="BM1778" s="28"/>
      <c r="BP1778" s="28"/>
      <c r="BS1778" s="28"/>
      <c r="BV1778" s="28"/>
      <c r="BY1778" s="28"/>
      <c r="CB1778" s="28"/>
      <c r="CE1778" s="28"/>
      <c r="CH1778" s="28"/>
      <c r="CK1778" s="28"/>
      <c r="CN1778" s="28"/>
      <c r="CQ1778" s="28"/>
      <c r="CT1778" s="28"/>
      <c r="CW1778" s="28"/>
      <c r="CZ1778" s="28"/>
      <c r="DC1778" s="28"/>
      <c r="DF1778" s="28"/>
      <c r="DI1778" s="28"/>
      <c r="DL1778" s="28"/>
      <c r="DO1778" s="28"/>
      <c r="DR1778" s="28"/>
      <c r="DU1778" s="28"/>
      <c r="DX1778" s="28"/>
      <c r="EA1778" s="28"/>
      <c r="ED1778" s="28"/>
      <c r="EG1778" s="28"/>
      <c r="EJ1778" s="28"/>
      <c r="EM1778" s="28"/>
      <c r="EP1778" s="28"/>
      <c r="ES1778" s="28"/>
      <c r="EV1778" s="28"/>
      <c r="EY1778" s="28"/>
      <c r="FB1778" s="28"/>
      <c r="FE1778" s="28"/>
      <c r="FH1778" s="28"/>
      <c r="FK1778" s="28"/>
      <c r="FN1778" s="28"/>
      <c r="FQ1778" s="28"/>
      <c r="FT1778" s="28"/>
      <c r="FW1778" s="28"/>
      <c r="FZ1778" s="28"/>
      <c r="GC1778" s="28"/>
    </row>
    <row r="1779" spans="1:185" s="25" customFormat="1" x14ac:dyDescent="0.3">
      <c r="A1779" s="27"/>
      <c r="B1779" s="28"/>
      <c r="C1779" s="27"/>
      <c r="D1779" s="26"/>
      <c r="E1779" s="28"/>
      <c r="H1779" s="28"/>
      <c r="K1779" s="28"/>
      <c r="N1779" s="28"/>
      <c r="Q1779" s="28"/>
      <c r="T1779" s="28"/>
      <c r="W1779" s="28"/>
      <c r="Z1779" s="28"/>
      <c r="AC1779" s="28"/>
      <c r="AF1779" s="28"/>
      <c r="AI1779" s="28"/>
      <c r="AL1779" s="28"/>
      <c r="AO1779" s="28"/>
      <c r="AR1779" s="28"/>
      <c r="AU1779" s="28"/>
      <c r="AX1779" s="28"/>
      <c r="BA1779" s="28"/>
      <c r="BD1779" s="28"/>
      <c r="BG1779" s="28"/>
      <c r="BJ1779" s="28"/>
      <c r="BM1779" s="28"/>
      <c r="BP1779" s="28"/>
      <c r="BS1779" s="28"/>
      <c r="BV1779" s="28"/>
      <c r="BY1779" s="28"/>
      <c r="CB1779" s="28"/>
      <c r="CE1779" s="28"/>
      <c r="CH1779" s="28"/>
      <c r="CK1779" s="28"/>
      <c r="CN1779" s="28"/>
      <c r="CQ1779" s="28"/>
      <c r="CT1779" s="28"/>
      <c r="CW1779" s="28"/>
      <c r="CZ1779" s="28"/>
      <c r="DC1779" s="28"/>
      <c r="DF1779" s="28"/>
      <c r="DI1779" s="28"/>
      <c r="DL1779" s="28"/>
      <c r="DO1779" s="28"/>
      <c r="DR1779" s="28"/>
      <c r="DU1779" s="28"/>
      <c r="DX1779" s="28"/>
      <c r="EA1779" s="28"/>
      <c r="ED1779" s="28"/>
      <c r="EG1779" s="28"/>
      <c r="EJ1779" s="28"/>
      <c r="EM1779" s="28"/>
      <c r="EP1779" s="28"/>
      <c r="ES1779" s="28"/>
      <c r="EV1779" s="28"/>
      <c r="EY1779" s="28"/>
      <c r="FB1779" s="28"/>
      <c r="FE1779" s="28"/>
      <c r="FH1779" s="28"/>
      <c r="FK1779" s="28"/>
      <c r="FN1779" s="28"/>
      <c r="FQ1779" s="28"/>
      <c r="FT1779" s="28"/>
      <c r="FW1779" s="28"/>
      <c r="FZ1779" s="28"/>
      <c r="GC1779" s="28"/>
    </row>
    <row r="1780" spans="1:185" s="25" customFormat="1" x14ac:dyDescent="0.3">
      <c r="A1780" s="27"/>
      <c r="B1780" s="28"/>
      <c r="C1780" s="27"/>
      <c r="D1780" s="26"/>
      <c r="E1780" s="28"/>
      <c r="H1780" s="28"/>
      <c r="K1780" s="28"/>
      <c r="N1780" s="28"/>
      <c r="Q1780" s="28"/>
      <c r="T1780" s="28"/>
      <c r="W1780" s="28"/>
      <c r="Z1780" s="28"/>
      <c r="AC1780" s="28"/>
      <c r="AF1780" s="28"/>
      <c r="AI1780" s="28"/>
      <c r="AL1780" s="28"/>
      <c r="AO1780" s="28"/>
      <c r="AR1780" s="28"/>
      <c r="AU1780" s="28"/>
      <c r="AX1780" s="28"/>
      <c r="BA1780" s="28"/>
      <c r="BD1780" s="28"/>
      <c r="BG1780" s="28"/>
      <c r="BJ1780" s="28"/>
      <c r="BM1780" s="28"/>
      <c r="BP1780" s="28"/>
      <c r="BS1780" s="28"/>
      <c r="BV1780" s="28"/>
      <c r="BY1780" s="28"/>
      <c r="CB1780" s="28"/>
      <c r="CE1780" s="28"/>
      <c r="CH1780" s="28"/>
      <c r="CK1780" s="28"/>
      <c r="CN1780" s="28"/>
      <c r="CQ1780" s="28"/>
      <c r="CT1780" s="28"/>
      <c r="CW1780" s="28"/>
      <c r="CZ1780" s="28"/>
      <c r="DC1780" s="28"/>
      <c r="DF1780" s="28"/>
      <c r="DI1780" s="28"/>
      <c r="DL1780" s="28"/>
      <c r="DO1780" s="28"/>
      <c r="DR1780" s="28"/>
      <c r="DU1780" s="28"/>
      <c r="DX1780" s="28"/>
      <c r="EA1780" s="28"/>
      <c r="ED1780" s="28"/>
      <c r="EG1780" s="28"/>
      <c r="EJ1780" s="28"/>
      <c r="EM1780" s="28"/>
      <c r="EP1780" s="28"/>
      <c r="ES1780" s="28"/>
      <c r="EV1780" s="28"/>
      <c r="EY1780" s="28"/>
      <c r="FB1780" s="28"/>
      <c r="FE1780" s="28"/>
      <c r="FH1780" s="28"/>
      <c r="FK1780" s="28"/>
      <c r="FN1780" s="28"/>
      <c r="FQ1780" s="28"/>
      <c r="FT1780" s="28"/>
      <c r="FW1780" s="28"/>
      <c r="FZ1780" s="28"/>
      <c r="GC1780" s="28"/>
    </row>
    <row r="1781" spans="1:185" s="25" customFormat="1" x14ac:dyDescent="0.3">
      <c r="A1781" s="27"/>
      <c r="B1781" s="28"/>
      <c r="C1781" s="27"/>
      <c r="D1781" s="26"/>
      <c r="E1781" s="28"/>
      <c r="H1781" s="28"/>
      <c r="K1781" s="28"/>
      <c r="N1781" s="28"/>
      <c r="Q1781" s="28"/>
      <c r="T1781" s="28"/>
      <c r="W1781" s="28"/>
      <c r="Z1781" s="28"/>
      <c r="AC1781" s="28"/>
      <c r="AF1781" s="28"/>
      <c r="AI1781" s="28"/>
      <c r="AL1781" s="28"/>
      <c r="AO1781" s="28"/>
      <c r="AR1781" s="28"/>
      <c r="AU1781" s="28"/>
      <c r="AX1781" s="28"/>
      <c r="BA1781" s="28"/>
      <c r="BD1781" s="28"/>
      <c r="BG1781" s="28"/>
      <c r="BJ1781" s="28"/>
      <c r="BM1781" s="28"/>
      <c r="BP1781" s="28"/>
      <c r="BS1781" s="28"/>
      <c r="BV1781" s="28"/>
      <c r="BY1781" s="28"/>
      <c r="CB1781" s="28"/>
      <c r="CE1781" s="28"/>
      <c r="CH1781" s="28"/>
      <c r="CK1781" s="28"/>
      <c r="CN1781" s="28"/>
      <c r="CQ1781" s="28"/>
      <c r="CT1781" s="28"/>
      <c r="CW1781" s="28"/>
      <c r="CZ1781" s="28"/>
      <c r="DC1781" s="28"/>
      <c r="DF1781" s="28"/>
      <c r="DI1781" s="28"/>
      <c r="DL1781" s="28"/>
      <c r="DO1781" s="28"/>
      <c r="DR1781" s="28"/>
      <c r="DU1781" s="28"/>
      <c r="DX1781" s="28"/>
      <c r="EA1781" s="28"/>
      <c r="ED1781" s="28"/>
      <c r="EG1781" s="28"/>
      <c r="EJ1781" s="28"/>
      <c r="EM1781" s="28"/>
      <c r="EP1781" s="28"/>
      <c r="ES1781" s="28"/>
      <c r="EV1781" s="28"/>
      <c r="EY1781" s="28"/>
      <c r="FB1781" s="28"/>
      <c r="FE1781" s="28"/>
      <c r="FH1781" s="28"/>
      <c r="FK1781" s="28"/>
      <c r="FN1781" s="28"/>
      <c r="FQ1781" s="28"/>
      <c r="FT1781" s="28"/>
      <c r="FW1781" s="28"/>
      <c r="FZ1781" s="28"/>
      <c r="GC1781" s="28"/>
    </row>
    <row r="1782" spans="1:185" s="25" customFormat="1" x14ac:dyDescent="0.3">
      <c r="A1782" s="27"/>
      <c r="B1782" s="28"/>
      <c r="C1782" s="27"/>
      <c r="D1782" s="26"/>
      <c r="E1782" s="28"/>
      <c r="H1782" s="28"/>
      <c r="K1782" s="28"/>
      <c r="N1782" s="28"/>
      <c r="Q1782" s="28"/>
      <c r="T1782" s="28"/>
      <c r="W1782" s="28"/>
      <c r="Z1782" s="28"/>
      <c r="AC1782" s="28"/>
      <c r="AF1782" s="28"/>
      <c r="AI1782" s="28"/>
      <c r="AL1782" s="28"/>
      <c r="AO1782" s="28"/>
      <c r="AR1782" s="28"/>
      <c r="AU1782" s="28"/>
      <c r="AX1782" s="28"/>
      <c r="BA1782" s="28"/>
      <c r="BD1782" s="28"/>
      <c r="BG1782" s="28"/>
      <c r="BJ1782" s="28"/>
      <c r="BM1782" s="28"/>
      <c r="BP1782" s="28"/>
      <c r="BS1782" s="28"/>
      <c r="BV1782" s="28"/>
      <c r="BY1782" s="28"/>
      <c r="CB1782" s="28"/>
      <c r="CE1782" s="28"/>
      <c r="CH1782" s="28"/>
      <c r="CK1782" s="28"/>
      <c r="CN1782" s="28"/>
      <c r="CQ1782" s="28"/>
      <c r="CT1782" s="28"/>
      <c r="CW1782" s="28"/>
      <c r="CZ1782" s="28"/>
      <c r="DC1782" s="28"/>
      <c r="DF1782" s="28"/>
      <c r="DI1782" s="28"/>
      <c r="DL1782" s="28"/>
      <c r="DO1782" s="28"/>
      <c r="DR1782" s="28"/>
      <c r="DU1782" s="28"/>
      <c r="DX1782" s="28"/>
      <c r="EA1782" s="28"/>
      <c r="ED1782" s="28"/>
      <c r="EG1782" s="28"/>
      <c r="EJ1782" s="28"/>
      <c r="EM1782" s="28"/>
      <c r="EP1782" s="28"/>
      <c r="ES1782" s="28"/>
      <c r="EV1782" s="28"/>
      <c r="EY1782" s="28"/>
      <c r="FB1782" s="28"/>
      <c r="FE1782" s="28"/>
      <c r="FH1782" s="28"/>
      <c r="FK1782" s="28"/>
      <c r="FN1782" s="28"/>
      <c r="FQ1782" s="28"/>
      <c r="FT1782" s="28"/>
      <c r="FW1782" s="28"/>
      <c r="FZ1782" s="28"/>
      <c r="GC1782" s="28"/>
    </row>
    <row r="1783" spans="1:185" s="25" customFormat="1" x14ac:dyDescent="0.3">
      <c r="A1783" s="27"/>
      <c r="B1783" s="28"/>
      <c r="C1783" s="27"/>
      <c r="D1783" s="26"/>
      <c r="E1783" s="28"/>
      <c r="H1783" s="28"/>
      <c r="K1783" s="28"/>
      <c r="N1783" s="28"/>
      <c r="Q1783" s="28"/>
      <c r="T1783" s="28"/>
      <c r="W1783" s="28"/>
      <c r="Z1783" s="28"/>
      <c r="AC1783" s="28"/>
      <c r="AF1783" s="28"/>
      <c r="AI1783" s="28"/>
      <c r="AL1783" s="28"/>
      <c r="AO1783" s="28"/>
      <c r="AR1783" s="28"/>
      <c r="AU1783" s="28"/>
      <c r="AX1783" s="28"/>
      <c r="BA1783" s="28"/>
      <c r="BD1783" s="28"/>
      <c r="BG1783" s="28"/>
      <c r="BJ1783" s="28"/>
      <c r="BM1783" s="28"/>
      <c r="BP1783" s="28"/>
      <c r="BS1783" s="28"/>
      <c r="BV1783" s="28"/>
      <c r="BY1783" s="28"/>
      <c r="CB1783" s="28"/>
      <c r="CE1783" s="28"/>
      <c r="CH1783" s="28"/>
      <c r="CK1783" s="28"/>
      <c r="CN1783" s="28"/>
      <c r="CQ1783" s="28"/>
      <c r="CT1783" s="28"/>
      <c r="CW1783" s="28"/>
      <c r="CZ1783" s="28"/>
      <c r="DC1783" s="28"/>
      <c r="DF1783" s="28"/>
      <c r="DI1783" s="28"/>
      <c r="DL1783" s="28"/>
      <c r="DO1783" s="28"/>
      <c r="DR1783" s="28"/>
      <c r="DU1783" s="28"/>
      <c r="DX1783" s="28"/>
      <c r="EA1783" s="28"/>
      <c r="ED1783" s="28"/>
      <c r="EG1783" s="28"/>
      <c r="EJ1783" s="28"/>
      <c r="EM1783" s="28"/>
      <c r="EP1783" s="28"/>
      <c r="ES1783" s="28"/>
      <c r="EV1783" s="28"/>
      <c r="EY1783" s="28"/>
      <c r="FB1783" s="28"/>
      <c r="FE1783" s="28"/>
      <c r="FH1783" s="28"/>
      <c r="FK1783" s="28"/>
      <c r="FN1783" s="28"/>
      <c r="FQ1783" s="28"/>
      <c r="FT1783" s="28"/>
      <c r="FW1783" s="28"/>
      <c r="FZ1783" s="28"/>
      <c r="GC1783" s="28"/>
    </row>
    <row r="1784" spans="1:185" s="25" customFormat="1" x14ac:dyDescent="0.3">
      <c r="A1784" s="27"/>
      <c r="B1784" s="28"/>
      <c r="C1784" s="27"/>
      <c r="D1784" s="26"/>
      <c r="E1784" s="28"/>
      <c r="H1784" s="28"/>
      <c r="K1784" s="28"/>
      <c r="N1784" s="28"/>
      <c r="Q1784" s="28"/>
      <c r="T1784" s="28"/>
      <c r="W1784" s="28"/>
      <c r="Z1784" s="28"/>
      <c r="AC1784" s="28"/>
      <c r="AF1784" s="28"/>
      <c r="AI1784" s="28"/>
      <c r="AL1784" s="28"/>
      <c r="AO1784" s="28"/>
      <c r="AR1784" s="28"/>
      <c r="AU1784" s="28"/>
      <c r="AX1784" s="28"/>
      <c r="BA1784" s="28"/>
      <c r="BD1784" s="28"/>
      <c r="BG1784" s="28"/>
      <c r="BJ1784" s="28"/>
      <c r="BM1784" s="28"/>
      <c r="BP1784" s="28"/>
      <c r="BS1784" s="28"/>
      <c r="BV1784" s="28"/>
      <c r="BY1784" s="28"/>
      <c r="CB1784" s="28"/>
      <c r="CE1784" s="28"/>
      <c r="CH1784" s="28"/>
      <c r="CK1784" s="28"/>
      <c r="CN1784" s="28"/>
      <c r="CQ1784" s="28"/>
      <c r="CT1784" s="28"/>
      <c r="CW1784" s="28"/>
      <c r="CZ1784" s="28"/>
      <c r="DC1784" s="28"/>
      <c r="DF1784" s="28"/>
      <c r="DI1784" s="28"/>
      <c r="DL1784" s="28"/>
      <c r="DO1784" s="28"/>
      <c r="DR1784" s="28"/>
      <c r="DU1784" s="28"/>
      <c r="DX1784" s="28"/>
      <c r="EA1784" s="28"/>
      <c r="ED1784" s="28"/>
      <c r="EG1784" s="28"/>
      <c r="EJ1784" s="28"/>
      <c r="EM1784" s="28"/>
      <c r="EP1784" s="28"/>
      <c r="ES1784" s="28"/>
      <c r="EV1784" s="28"/>
      <c r="EY1784" s="28"/>
      <c r="FB1784" s="28"/>
      <c r="FE1784" s="28"/>
      <c r="FH1784" s="28"/>
      <c r="FK1784" s="28"/>
      <c r="FN1784" s="28"/>
      <c r="FQ1784" s="28"/>
      <c r="FT1784" s="28"/>
      <c r="FW1784" s="28"/>
      <c r="FZ1784" s="28"/>
      <c r="GC1784" s="28"/>
    </row>
    <row r="1785" spans="1:185" s="25" customFormat="1" x14ac:dyDescent="0.3">
      <c r="A1785" s="27"/>
      <c r="B1785" s="28"/>
      <c r="C1785" s="27"/>
      <c r="D1785" s="26"/>
      <c r="E1785" s="28"/>
      <c r="H1785" s="28"/>
      <c r="K1785" s="28"/>
      <c r="N1785" s="28"/>
      <c r="Q1785" s="28"/>
      <c r="T1785" s="28"/>
      <c r="W1785" s="28"/>
      <c r="Z1785" s="28"/>
      <c r="AC1785" s="28"/>
      <c r="AF1785" s="28"/>
      <c r="AI1785" s="28"/>
      <c r="AL1785" s="28"/>
      <c r="AO1785" s="28"/>
      <c r="AR1785" s="28"/>
      <c r="AU1785" s="28"/>
      <c r="AX1785" s="28"/>
      <c r="BA1785" s="28"/>
      <c r="BD1785" s="28"/>
      <c r="BG1785" s="28"/>
      <c r="BJ1785" s="28"/>
      <c r="BM1785" s="28"/>
      <c r="BP1785" s="28"/>
      <c r="BS1785" s="28"/>
      <c r="BV1785" s="28"/>
      <c r="BY1785" s="28"/>
      <c r="CB1785" s="28"/>
      <c r="CE1785" s="28"/>
      <c r="CH1785" s="28"/>
      <c r="CK1785" s="28"/>
      <c r="CN1785" s="28"/>
      <c r="CQ1785" s="28"/>
      <c r="CT1785" s="28"/>
      <c r="CW1785" s="28"/>
      <c r="CZ1785" s="28"/>
      <c r="DC1785" s="28"/>
      <c r="DF1785" s="28"/>
      <c r="DI1785" s="28"/>
      <c r="DL1785" s="28"/>
      <c r="DO1785" s="28"/>
      <c r="DR1785" s="28"/>
      <c r="DU1785" s="28"/>
      <c r="DX1785" s="28"/>
      <c r="EA1785" s="28"/>
      <c r="ED1785" s="28"/>
      <c r="EG1785" s="28"/>
      <c r="EJ1785" s="28"/>
      <c r="EM1785" s="28"/>
      <c r="EP1785" s="28"/>
      <c r="ES1785" s="28"/>
      <c r="EV1785" s="28"/>
      <c r="EY1785" s="28"/>
      <c r="FB1785" s="28"/>
      <c r="FE1785" s="28"/>
      <c r="FH1785" s="28"/>
      <c r="FK1785" s="28"/>
      <c r="FN1785" s="28"/>
      <c r="FQ1785" s="28"/>
      <c r="FT1785" s="28"/>
      <c r="FW1785" s="28"/>
      <c r="FZ1785" s="28"/>
      <c r="GC1785" s="28"/>
    </row>
    <row r="1786" spans="1:185" s="25" customFormat="1" x14ac:dyDescent="0.3">
      <c r="A1786" s="27"/>
      <c r="B1786" s="28"/>
      <c r="C1786" s="27"/>
      <c r="D1786" s="26"/>
      <c r="E1786" s="28"/>
      <c r="H1786" s="28"/>
      <c r="K1786" s="28"/>
      <c r="N1786" s="28"/>
      <c r="Q1786" s="28"/>
      <c r="T1786" s="28"/>
      <c r="W1786" s="28"/>
      <c r="Z1786" s="28"/>
      <c r="AC1786" s="28"/>
      <c r="AF1786" s="28"/>
      <c r="AI1786" s="28"/>
      <c r="AL1786" s="28"/>
      <c r="AO1786" s="28"/>
      <c r="AR1786" s="28"/>
      <c r="AU1786" s="28"/>
      <c r="AX1786" s="28"/>
      <c r="BA1786" s="28"/>
      <c r="BD1786" s="28"/>
      <c r="BG1786" s="28"/>
      <c r="BJ1786" s="28"/>
      <c r="BM1786" s="28"/>
      <c r="BP1786" s="28"/>
      <c r="BS1786" s="28"/>
      <c r="BV1786" s="28"/>
      <c r="BY1786" s="28"/>
      <c r="CB1786" s="28"/>
      <c r="CE1786" s="28"/>
      <c r="CH1786" s="28"/>
      <c r="CK1786" s="28"/>
      <c r="CN1786" s="28"/>
      <c r="CQ1786" s="28"/>
      <c r="CT1786" s="28"/>
      <c r="CW1786" s="28"/>
      <c r="CZ1786" s="28"/>
      <c r="DC1786" s="28"/>
      <c r="DF1786" s="28"/>
      <c r="DI1786" s="28"/>
      <c r="DL1786" s="28"/>
      <c r="DO1786" s="28"/>
      <c r="DR1786" s="28"/>
      <c r="DU1786" s="28"/>
      <c r="DX1786" s="28"/>
      <c r="EA1786" s="28"/>
      <c r="ED1786" s="28"/>
      <c r="EG1786" s="28"/>
      <c r="EJ1786" s="28"/>
      <c r="EM1786" s="28"/>
      <c r="EP1786" s="28"/>
      <c r="ES1786" s="28"/>
      <c r="EV1786" s="28"/>
      <c r="EY1786" s="28"/>
      <c r="FB1786" s="28"/>
      <c r="FE1786" s="28"/>
      <c r="FH1786" s="28"/>
      <c r="FK1786" s="28"/>
      <c r="FN1786" s="28"/>
      <c r="FQ1786" s="28"/>
      <c r="FT1786" s="28"/>
      <c r="FW1786" s="28"/>
      <c r="FZ1786" s="28"/>
      <c r="GC1786" s="28"/>
    </row>
    <row r="1787" spans="1:185" s="25" customFormat="1" x14ac:dyDescent="0.3">
      <c r="A1787" s="27"/>
      <c r="B1787" s="28"/>
      <c r="C1787" s="27"/>
      <c r="D1787" s="26"/>
      <c r="E1787" s="28"/>
      <c r="H1787" s="28"/>
      <c r="K1787" s="28"/>
      <c r="N1787" s="28"/>
      <c r="Q1787" s="28"/>
      <c r="T1787" s="28"/>
      <c r="W1787" s="28"/>
      <c r="Z1787" s="28"/>
      <c r="AC1787" s="28"/>
      <c r="AF1787" s="28"/>
      <c r="AI1787" s="28"/>
      <c r="AL1787" s="28"/>
      <c r="AO1787" s="28"/>
      <c r="AR1787" s="28"/>
      <c r="AU1787" s="28"/>
      <c r="AX1787" s="28"/>
      <c r="BA1787" s="28"/>
      <c r="BD1787" s="28"/>
      <c r="BG1787" s="28"/>
      <c r="BJ1787" s="28"/>
      <c r="BM1787" s="28"/>
      <c r="BP1787" s="28"/>
      <c r="BS1787" s="28"/>
      <c r="BV1787" s="28"/>
      <c r="BY1787" s="28"/>
      <c r="CB1787" s="28"/>
      <c r="CE1787" s="28"/>
      <c r="CH1787" s="28"/>
      <c r="CK1787" s="28"/>
      <c r="CN1787" s="28"/>
      <c r="CQ1787" s="28"/>
      <c r="CT1787" s="28"/>
      <c r="CW1787" s="28"/>
      <c r="CZ1787" s="28"/>
      <c r="DC1787" s="28"/>
      <c r="DF1787" s="28"/>
      <c r="DI1787" s="28"/>
      <c r="DL1787" s="28"/>
      <c r="DO1787" s="28"/>
      <c r="DR1787" s="28"/>
      <c r="DU1787" s="28"/>
      <c r="DX1787" s="28"/>
      <c r="EA1787" s="28"/>
      <c r="ED1787" s="28"/>
      <c r="EG1787" s="28"/>
      <c r="EJ1787" s="28"/>
      <c r="EM1787" s="28"/>
      <c r="EP1787" s="28"/>
      <c r="ES1787" s="28"/>
      <c r="EV1787" s="28"/>
      <c r="EY1787" s="28"/>
      <c r="FB1787" s="28"/>
      <c r="FE1787" s="28"/>
      <c r="FH1787" s="28"/>
      <c r="FK1787" s="28"/>
      <c r="FN1787" s="28"/>
      <c r="FQ1787" s="28"/>
      <c r="FT1787" s="28"/>
      <c r="FW1787" s="28"/>
      <c r="FZ1787" s="28"/>
      <c r="GC1787" s="28"/>
    </row>
    <row r="1788" spans="1:185" s="25" customFormat="1" x14ac:dyDescent="0.3">
      <c r="A1788" s="27"/>
      <c r="B1788" s="28"/>
      <c r="C1788" s="27"/>
      <c r="D1788" s="26"/>
      <c r="E1788" s="28"/>
      <c r="H1788" s="28"/>
      <c r="K1788" s="28"/>
      <c r="N1788" s="28"/>
      <c r="Q1788" s="28"/>
      <c r="T1788" s="28"/>
      <c r="W1788" s="28"/>
      <c r="Z1788" s="28"/>
      <c r="AC1788" s="28"/>
      <c r="AF1788" s="28"/>
      <c r="AI1788" s="28"/>
      <c r="AL1788" s="28"/>
      <c r="AO1788" s="28"/>
      <c r="AR1788" s="28"/>
      <c r="AU1788" s="28"/>
      <c r="AX1788" s="28"/>
      <c r="BA1788" s="28"/>
      <c r="BD1788" s="28"/>
      <c r="BG1788" s="28"/>
      <c r="BJ1788" s="28"/>
      <c r="BM1788" s="28"/>
      <c r="BP1788" s="28"/>
      <c r="BS1788" s="28"/>
      <c r="BV1788" s="28"/>
      <c r="BY1788" s="28"/>
      <c r="CB1788" s="28"/>
      <c r="CE1788" s="28"/>
      <c r="CH1788" s="28"/>
      <c r="CK1788" s="28"/>
      <c r="CN1788" s="28"/>
      <c r="CQ1788" s="28"/>
      <c r="CT1788" s="28"/>
      <c r="CW1788" s="28"/>
      <c r="CZ1788" s="28"/>
      <c r="DC1788" s="28"/>
      <c r="DF1788" s="28"/>
      <c r="DI1788" s="28"/>
      <c r="DL1788" s="28"/>
      <c r="DO1788" s="28"/>
      <c r="DR1788" s="28"/>
      <c r="DU1788" s="28"/>
      <c r="DX1788" s="28"/>
      <c r="EA1788" s="28"/>
      <c r="ED1788" s="28"/>
      <c r="EG1788" s="28"/>
      <c r="EJ1788" s="28"/>
      <c r="EM1788" s="28"/>
      <c r="EP1788" s="28"/>
      <c r="ES1788" s="28"/>
      <c r="EV1788" s="28"/>
      <c r="EY1788" s="28"/>
      <c r="FB1788" s="28"/>
      <c r="FE1788" s="28"/>
      <c r="FH1788" s="28"/>
      <c r="FK1788" s="28"/>
      <c r="FN1788" s="28"/>
      <c r="FQ1788" s="28"/>
      <c r="FT1788" s="28"/>
      <c r="FW1788" s="28"/>
      <c r="FZ1788" s="28"/>
      <c r="GC1788" s="28"/>
    </row>
    <row r="1789" spans="1:185" s="25" customFormat="1" x14ac:dyDescent="0.3">
      <c r="A1789" s="27"/>
      <c r="B1789" s="28"/>
      <c r="C1789" s="27"/>
      <c r="D1789" s="26"/>
      <c r="E1789" s="28"/>
      <c r="H1789" s="28"/>
      <c r="K1789" s="28"/>
      <c r="N1789" s="28"/>
      <c r="Q1789" s="28"/>
      <c r="T1789" s="28"/>
      <c r="W1789" s="28"/>
      <c r="Z1789" s="28"/>
      <c r="AC1789" s="28"/>
      <c r="AF1789" s="28"/>
      <c r="AI1789" s="28"/>
      <c r="AL1789" s="28"/>
      <c r="AO1789" s="28"/>
      <c r="AR1789" s="28"/>
      <c r="AU1789" s="28"/>
      <c r="AX1789" s="28"/>
      <c r="BA1789" s="28"/>
      <c r="BD1789" s="28"/>
      <c r="BG1789" s="28"/>
      <c r="BJ1789" s="28"/>
      <c r="BM1789" s="28"/>
      <c r="BP1789" s="28"/>
      <c r="BS1789" s="28"/>
      <c r="BV1789" s="28"/>
      <c r="BY1789" s="28"/>
      <c r="CB1789" s="28"/>
      <c r="CE1789" s="28"/>
      <c r="CH1789" s="28"/>
      <c r="CK1789" s="28"/>
      <c r="CN1789" s="28"/>
      <c r="CQ1789" s="28"/>
      <c r="CT1789" s="28"/>
      <c r="CW1789" s="28"/>
      <c r="CZ1789" s="28"/>
      <c r="DC1789" s="28"/>
      <c r="DF1789" s="28"/>
      <c r="DI1789" s="28"/>
      <c r="DL1789" s="28"/>
      <c r="DO1789" s="28"/>
      <c r="DR1789" s="28"/>
      <c r="DU1789" s="28"/>
      <c r="DX1789" s="28"/>
      <c r="EA1789" s="28"/>
      <c r="ED1789" s="28"/>
      <c r="EG1789" s="28"/>
      <c r="EJ1789" s="28"/>
      <c r="EM1789" s="28"/>
      <c r="EP1789" s="28"/>
      <c r="ES1789" s="28"/>
      <c r="EV1789" s="28"/>
      <c r="EY1789" s="28"/>
      <c r="FB1789" s="28"/>
      <c r="FE1789" s="28"/>
      <c r="FH1789" s="28"/>
      <c r="FK1789" s="28"/>
      <c r="FN1789" s="28"/>
      <c r="FQ1789" s="28"/>
      <c r="FT1789" s="28"/>
      <c r="FW1789" s="28"/>
      <c r="FZ1789" s="28"/>
      <c r="GC1789" s="28"/>
    </row>
    <row r="1790" spans="1:185" s="25" customFormat="1" x14ac:dyDescent="0.3">
      <c r="A1790" s="27"/>
      <c r="B1790" s="28"/>
      <c r="C1790" s="27"/>
      <c r="D1790" s="26"/>
      <c r="E1790" s="28"/>
      <c r="H1790" s="28"/>
      <c r="K1790" s="28"/>
      <c r="N1790" s="28"/>
      <c r="Q1790" s="28"/>
      <c r="T1790" s="28"/>
      <c r="W1790" s="28"/>
      <c r="Z1790" s="28"/>
      <c r="AC1790" s="28"/>
      <c r="AF1790" s="28"/>
      <c r="AI1790" s="28"/>
      <c r="AL1790" s="28"/>
      <c r="AO1790" s="28"/>
      <c r="AR1790" s="28"/>
      <c r="AU1790" s="28"/>
      <c r="AX1790" s="28"/>
      <c r="BA1790" s="28"/>
      <c r="BD1790" s="28"/>
      <c r="BG1790" s="28"/>
      <c r="BJ1790" s="28"/>
      <c r="BM1790" s="28"/>
      <c r="BP1790" s="28"/>
      <c r="BS1790" s="28"/>
      <c r="BV1790" s="28"/>
      <c r="BY1790" s="28"/>
      <c r="CB1790" s="28"/>
      <c r="CE1790" s="28"/>
      <c r="CH1790" s="28"/>
      <c r="CK1790" s="28"/>
      <c r="CN1790" s="28"/>
      <c r="CQ1790" s="28"/>
      <c r="CT1790" s="28"/>
      <c r="CW1790" s="28"/>
      <c r="CZ1790" s="28"/>
      <c r="DC1790" s="28"/>
      <c r="DF1790" s="28"/>
      <c r="DI1790" s="28"/>
      <c r="DL1790" s="28"/>
      <c r="DO1790" s="28"/>
      <c r="DR1790" s="28"/>
      <c r="DU1790" s="28"/>
      <c r="DX1790" s="28"/>
      <c r="EA1790" s="28"/>
      <c r="ED1790" s="28"/>
      <c r="EG1790" s="28"/>
      <c r="EJ1790" s="28"/>
      <c r="EM1790" s="28"/>
      <c r="EP1790" s="28"/>
      <c r="ES1790" s="28"/>
      <c r="EV1790" s="28"/>
      <c r="EY1790" s="28"/>
      <c r="FB1790" s="28"/>
      <c r="FE1790" s="28"/>
      <c r="FH1790" s="28"/>
      <c r="FK1790" s="28"/>
      <c r="FN1790" s="28"/>
      <c r="FQ1790" s="28"/>
      <c r="FT1790" s="28"/>
      <c r="FW1790" s="28"/>
      <c r="FZ1790" s="28"/>
      <c r="GC1790" s="28"/>
    </row>
    <row r="1791" spans="1:185" s="25" customFormat="1" x14ac:dyDescent="0.3">
      <c r="A1791" s="27"/>
      <c r="B1791" s="28"/>
      <c r="C1791" s="27"/>
      <c r="D1791" s="26"/>
      <c r="E1791" s="28"/>
      <c r="H1791" s="28"/>
      <c r="K1791" s="28"/>
      <c r="N1791" s="28"/>
      <c r="Q1791" s="28"/>
      <c r="T1791" s="28"/>
      <c r="W1791" s="28"/>
      <c r="Z1791" s="28"/>
      <c r="AC1791" s="28"/>
      <c r="AF1791" s="28"/>
      <c r="AI1791" s="28"/>
      <c r="AL1791" s="28"/>
      <c r="AO1791" s="28"/>
      <c r="AR1791" s="28"/>
      <c r="AU1791" s="28"/>
      <c r="AX1791" s="28"/>
      <c r="BA1791" s="28"/>
      <c r="BD1791" s="28"/>
      <c r="BG1791" s="28"/>
      <c r="BJ1791" s="28"/>
      <c r="BM1791" s="28"/>
      <c r="BP1791" s="28"/>
      <c r="BS1791" s="28"/>
      <c r="BV1791" s="28"/>
      <c r="BY1791" s="28"/>
      <c r="CB1791" s="28"/>
      <c r="CE1791" s="28"/>
      <c r="CH1791" s="28"/>
      <c r="CK1791" s="28"/>
      <c r="CN1791" s="28"/>
      <c r="CQ1791" s="28"/>
      <c r="CT1791" s="28"/>
      <c r="CW1791" s="28"/>
      <c r="CZ1791" s="28"/>
      <c r="DC1791" s="28"/>
      <c r="DF1791" s="28"/>
      <c r="DI1791" s="28"/>
      <c r="DL1791" s="28"/>
      <c r="DO1791" s="28"/>
      <c r="DR1791" s="28"/>
      <c r="DU1791" s="28"/>
      <c r="DX1791" s="28"/>
      <c r="EA1791" s="28"/>
      <c r="ED1791" s="28"/>
      <c r="EG1791" s="28"/>
      <c r="EJ1791" s="28"/>
      <c r="EM1791" s="28"/>
      <c r="EP1791" s="28"/>
      <c r="ES1791" s="28"/>
      <c r="EV1791" s="28"/>
      <c r="EY1791" s="28"/>
      <c r="FB1791" s="28"/>
      <c r="FE1791" s="28"/>
      <c r="FH1791" s="28"/>
      <c r="FK1791" s="28"/>
      <c r="FN1791" s="28"/>
      <c r="FQ1791" s="28"/>
      <c r="FT1791" s="28"/>
      <c r="FW1791" s="28"/>
      <c r="FZ1791" s="28"/>
      <c r="GC1791" s="28"/>
    </row>
    <row r="1792" spans="1:185" s="25" customFormat="1" x14ac:dyDescent="0.3">
      <c r="A1792" s="27"/>
      <c r="B1792" s="28"/>
      <c r="C1792" s="27"/>
      <c r="D1792" s="26"/>
      <c r="E1792" s="28"/>
      <c r="H1792" s="28"/>
      <c r="K1792" s="28"/>
      <c r="N1792" s="28"/>
      <c r="Q1792" s="28"/>
      <c r="T1792" s="28"/>
      <c r="W1792" s="28"/>
      <c r="Z1792" s="28"/>
      <c r="AC1792" s="28"/>
      <c r="AF1792" s="28"/>
      <c r="AI1792" s="28"/>
      <c r="AL1792" s="28"/>
      <c r="AO1792" s="28"/>
      <c r="AR1792" s="28"/>
      <c r="AU1792" s="28"/>
      <c r="AX1792" s="28"/>
      <c r="BA1792" s="28"/>
      <c r="BD1792" s="28"/>
      <c r="BG1792" s="28"/>
      <c r="BJ1792" s="28"/>
      <c r="BM1792" s="28"/>
      <c r="BP1792" s="28"/>
      <c r="BS1792" s="28"/>
      <c r="BV1792" s="28"/>
      <c r="BY1792" s="28"/>
      <c r="CB1792" s="28"/>
      <c r="CE1792" s="28"/>
      <c r="CH1792" s="28"/>
      <c r="CK1792" s="28"/>
      <c r="CN1792" s="28"/>
      <c r="CQ1792" s="28"/>
      <c r="CT1792" s="28"/>
      <c r="CW1792" s="28"/>
      <c r="CZ1792" s="28"/>
      <c r="DC1792" s="28"/>
      <c r="DF1792" s="28"/>
      <c r="DI1792" s="28"/>
      <c r="DL1792" s="28"/>
      <c r="DO1792" s="28"/>
      <c r="DR1792" s="28"/>
      <c r="DU1792" s="28"/>
      <c r="DX1792" s="28"/>
      <c r="EA1792" s="28"/>
      <c r="ED1792" s="28"/>
      <c r="EG1792" s="28"/>
      <c r="EJ1792" s="28"/>
      <c r="EM1792" s="28"/>
      <c r="EP1792" s="28"/>
      <c r="ES1792" s="28"/>
      <c r="EV1792" s="28"/>
      <c r="EY1792" s="28"/>
      <c r="FB1792" s="28"/>
      <c r="FE1792" s="28"/>
      <c r="FH1792" s="28"/>
      <c r="FK1792" s="28"/>
      <c r="FN1792" s="28"/>
      <c r="FQ1792" s="28"/>
      <c r="FT1792" s="28"/>
      <c r="FW1792" s="28"/>
      <c r="FZ1792" s="28"/>
      <c r="GC1792" s="28"/>
    </row>
    <row r="1793" spans="1:185" s="25" customFormat="1" x14ac:dyDescent="0.3">
      <c r="A1793" s="27"/>
      <c r="B1793" s="28"/>
      <c r="C1793" s="27"/>
      <c r="D1793" s="26"/>
      <c r="E1793" s="28"/>
      <c r="H1793" s="28"/>
      <c r="K1793" s="28"/>
      <c r="N1793" s="28"/>
      <c r="Q1793" s="28"/>
      <c r="T1793" s="28"/>
      <c r="W1793" s="28"/>
      <c r="Z1793" s="28"/>
      <c r="AC1793" s="28"/>
      <c r="AF1793" s="28"/>
      <c r="AI1793" s="28"/>
      <c r="AL1793" s="28"/>
      <c r="AO1793" s="28"/>
      <c r="AR1793" s="28"/>
      <c r="AU1793" s="28"/>
      <c r="AX1793" s="28"/>
      <c r="BA1793" s="28"/>
      <c r="BD1793" s="28"/>
      <c r="BG1793" s="28"/>
      <c r="BJ1793" s="28"/>
      <c r="BM1793" s="28"/>
      <c r="BP1793" s="28"/>
      <c r="BS1793" s="28"/>
      <c r="BV1793" s="28"/>
      <c r="BY1793" s="28"/>
      <c r="CB1793" s="28"/>
      <c r="CE1793" s="28"/>
      <c r="CH1793" s="28"/>
      <c r="CK1793" s="28"/>
      <c r="CN1793" s="28"/>
      <c r="CQ1793" s="28"/>
      <c r="CT1793" s="28"/>
      <c r="CW1793" s="28"/>
      <c r="CZ1793" s="28"/>
      <c r="DC1793" s="28"/>
      <c r="DF1793" s="28"/>
      <c r="DI1793" s="28"/>
      <c r="DL1793" s="28"/>
      <c r="DO1793" s="28"/>
      <c r="DR1793" s="28"/>
      <c r="DU1793" s="28"/>
      <c r="DX1793" s="28"/>
      <c r="EA1793" s="28"/>
      <c r="ED1793" s="28"/>
      <c r="EG1793" s="28"/>
      <c r="EJ1793" s="28"/>
      <c r="EM1793" s="28"/>
      <c r="EP1793" s="28"/>
      <c r="ES1793" s="28"/>
      <c r="EV1793" s="28"/>
      <c r="EY1793" s="28"/>
      <c r="FB1793" s="28"/>
      <c r="FE1793" s="28"/>
      <c r="FH1793" s="28"/>
      <c r="FK1793" s="28"/>
      <c r="FN1793" s="28"/>
      <c r="FQ1793" s="28"/>
      <c r="FT1793" s="28"/>
      <c r="FW1793" s="28"/>
      <c r="FZ1793" s="28"/>
      <c r="GC1793" s="28"/>
    </row>
    <row r="1794" spans="1:185" s="25" customFormat="1" x14ac:dyDescent="0.3">
      <c r="A1794" s="27"/>
      <c r="B1794" s="28"/>
      <c r="C1794" s="27"/>
      <c r="D1794" s="26"/>
      <c r="E1794" s="28"/>
      <c r="H1794" s="28"/>
      <c r="K1794" s="28"/>
      <c r="N1794" s="28"/>
      <c r="Q1794" s="28"/>
      <c r="T1794" s="28"/>
      <c r="W1794" s="28"/>
      <c r="Z1794" s="28"/>
      <c r="AC1794" s="28"/>
      <c r="AF1794" s="28"/>
      <c r="AI1794" s="28"/>
      <c r="AL1794" s="28"/>
      <c r="AO1794" s="28"/>
      <c r="AR1794" s="28"/>
      <c r="AU1794" s="28"/>
      <c r="AX1794" s="28"/>
      <c r="BA1794" s="28"/>
      <c r="BD1794" s="28"/>
      <c r="BG1794" s="28"/>
      <c r="BJ1794" s="28"/>
      <c r="BM1794" s="28"/>
      <c r="BP1794" s="28"/>
      <c r="BS1794" s="28"/>
      <c r="BV1794" s="28"/>
      <c r="BY1794" s="28"/>
      <c r="CB1794" s="28"/>
      <c r="CE1794" s="28"/>
      <c r="CH1794" s="28"/>
      <c r="CK1794" s="28"/>
      <c r="CN1794" s="28"/>
      <c r="CQ1794" s="28"/>
      <c r="CT1794" s="28"/>
      <c r="CW1794" s="28"/>
      <c r="CZ1794" s="28"/>
      <c r="DC1794" s="28"/>
      <c r="DF1794" s="28"/>
      <c r="DI1794" s="28"/>
      <c r="DL1794" s="28"/>
      <c r="DO1794" s="28"/>
      <c r="DR1794" s="28"/>
      <c r="DU1794" s="28"/>
      <c r="DX1794" s="28"/>
      <c r="EA1794" s="28"/>
      <c r="ED1794" s="28"/>
      <c r="EG1794" s="28"/>
      <c r="EJ1794" s="28"/>
      <c r="EM1794" s="28"/>
      <c r="EP1794" s="28"/>
      <c r="ES1794" s="28"/>
      <c r="EV1794" s="28"/>
      <c r="EY1794" s="28"/>
      <c r="FB1794" s="28"/>
      <c r="FE1794" s="28"/>
      <c r="FH1794" s="28"/>
      <c r="FK1794" s="28"/>
      <c r="FN1794" s="28"/>
      <c r="FQ1794" s="28"/>
      <c r="FT1794" s="28"/>
      <c r="FW1794" s="28"/>
      <c r="FZ1794" s="28"/>
      <c r="GC1794" s="28"/>
    </row>
    <row r="1795" spans="1:185" s="25" customFormat="1" x14ac:dyDescent="0.3">
      <c r="A1795" s="27"/>
      <c r="B1795" s="28"/>
      <c r="C1795" s="27"/>
      <c r="D1795" s="26"/>
      <c r="E1795" s="28"/>
      <c r="H1795" s="28"/>
      <c r="K1795" s="28"/>
      <c r="N1795" s="28"/>
      <c r="Q1795" s="28"/>
      <c r="T1795" s="28"/>
      <c r="W1795" s="28"/>
      <c r="Z1795" s="28"/>
      <c r="AC1795" s="28"/>
      <c r="AF1795" s="28"/>
      <c r="AI1795" s="28"/>
      <c r="AL1795" s="28"/>
      <c r="AO1795" s="28"/>
      <c r="AR1795" s="28"/>
      <c r="AU1795" s="28"/>
      <c r="AX1795" s="28"/>
      <c r="BA1795" s="28"/>
      <c r="BD1795" s="28"/>
      <c r="BG1795" s="28"/>
      <c r="BJ1795" s="28"/>
      <c r="BM1795" s="28"/>
      <c r="BP1795" s="28"/>
      <c r="BS1795" s="28"/>
      <c r="BV1795" s="28"/>
      <c r="BY1795" s="28"/>
      <c r="CB1795" s="28"/>
      <c r="CE1795" s="28"/>
      <c r="CH1795" s="28"/>
      <c r="CK1795" s="28"/>
      <c r="CN1795" s="28"/>
      <c r="CQ1795" s="28"/>
      <c r="CT1795" s="28"/>
      <c r="CW1795" s="28"/>
      <c r="CZ1795" s="28"/>
      <c r="DC1795" s="28"/>
      <c r="DF1795" s="28"/>
      <c r="DI1795" s="28"/>
      <c r="DL1795" s="28"/>
      <c r="DO1795" s="28"/>
      <c r="DR1795" s="28"/>
      <c r="DU1795" s="28"/>
      <c r="DX1795" s="28"/>
      <c r="EA1795" s="28"/>
      <c r="ED1795" s="28"/>
      <c r="EG1795" s="28"/>
      <c r="EJ1795" s="28"/>
      <c r="EM1795" s="28"/>
      <c r="EP1795" s="28"/>
      <c r="ES1795" s="28"/>
      <c r="EV1795" s="28"/>
      <c r="EY1795" s="28"/>
      <c r="FB1795" s="28"/>
      <c r="FE1795" s="28"/>
      <c r="FH1795" s="28"/>
      <c r="FK1795" s="28"/>
      <c r="FN1795" s="28"/>
      <c r="FQ1795" s="28"/>
      <c r="FT1795" s="28"/>
      <c r="FW1795" s="28"/>
      <c r="FZ1795" s="28"/>
      <c r="GC1795" s="28"/>
    </row>
    <row r="1796" spans="1:185" s="25" customFormat="1" x14ac:dyDescent="0.3">
      <c r="A1796" s="27"/>
      <c r="B1796" s="28"/>
      <c r="C1796" s="27"/>
      <c r="D1796" s="26"/>
      <c r="E1796" s="28"/>
      <c r="H1796" s="28"/>
      <c r="K1796" s="28"/>
      <c r="N1796" s="28"/>
      <c r="Q1796" s="28"/>
      <c r="T1796" s="28"/>
      <c r="W1796" s="28"/>
      <c r="Z1796" s="28"/>
      <c r="AC1796" s="28"/>
      <c r="AF1796" s="28"/>
      <c r="AI1796" s="28"/>
      <c r="AL1796" s="28"/>
      <c r="AO1796" s="28"/>
      <c r="AR1796" s="28"/>
      <c r="AU1796" s="28"/>
      <c r="AX1796" s="28"/>
      <c r="BA1796" s="28"/>
      <c r="BD1796" s="28"/>
      <c r="BG1796" s="28"/>
      <c r="BJ1796" s="28"/>
      <c r="BM1796" s="28"/>
      <c r="BP1796" s="28"/>
      <c r="BS1796" s="28"/>
      <c r="BV1796" s="28"/>
      <c r="BY1796" s="28"/>
      <c r="CB1796" s="28"/>
      <c r="CE1796" s="28"/>
      <c r="CH1796" s="28"/>
      <c r="CK1796" s="28"/>
      <c r="CN1796" s="28"/>
      <c r="CQ1796" s="28"/>
      <c r="CT1796" s="28"/>
      <c r="CW1796" s="28"/>
      <c r="CZ1796" s="28"/>
      <c r="DC1796" s="28"/>
      <c r="DF1796" s="28"/>
      <c r="DI1796" s="28"/>
      <c r="DL1796" s="28"/>
      <c r="DO1796" s="28"/>
      <c r="DR1796" s="28"/>
      <c r="DU1796" s="28"/>
      <c r="DX1796" s="28"/>
      <c r="EA1796" s="28"/>
      <c r="ED1796" s="28"/>
      <c r="EG1796" s="28"/>
      <c r="EJ1796" s="28"/>
      <c r="EM1796" s="28"/>
      <c r="EP1796" s="28"/>
      <c r="ES1796" s="28"/>
      <c r="EV1796" s="28"/>
      <c r="EY1796" s="28"/>
      <c r="FB1796" s="28"/>
      <c r="FE1796" s="28"/>
      <c r="FH1796" s="28"/>
      <c r="FK1796" s="28"/>
      <c r="FN1796" s="28"/>
      <c r="FQ1796" s="28"/>
      <c r="FT1796" s="28"/>
      <c r="FW1796" s="28"/>
      <c r="FZ1796" s="28"/>
      <c r="GC1796" s="28"/>
    </row>
    <row r="1797" spans="1:185" s="25" customFormat="1" x14ac:dyDescent="0.3">
      <c r="A1797" s="27"/>
      <c r="B1797" s="28"/>
      <c r="C1797" s="27"/>
      <c r="D1797" s="26"/>
      <c r="E1797" s="28"/>
      <c r="H1797" s="28"/>
      <c r="K1797" s="28"/>
      <c r="N1797" s="28"/>
      <c r="Q1797" s="28"/>
      <c r="T1797" s="28"/>
      <c r="W1797" s="28"/>
      <c r="Z1797" s="28"/>
      <c r="AC1797" s="28"/>
      <c r="AF1797" s="28"/>
      <c r="AI1797" s="28"/>
      <c r="AL1797" s="28"/>
      <c r="AO1797" s="28"/>
      <c r="AR1797" s="28"/>
      <c r="AU1797" s="28"/>
      <c r="AX1797" s="28"/>
      <c r="BA1797" s="28"/>
      <c r="BD1797" s="28"/>
      <c r="BG1797" s="28"/>
      <c r="BJ1797" s="28"/>
      <c r="BM1797" s="28"/>
      <c r="BP1797" s="28"/>
      <c r="BS1797" s="28"/>
      <c r="BV1797" s="28"/>
      <c r="BY1797" s="28"/>
      <c r="CB1797" s="28"/>
      <c r="CE1797" s="28"/>
      <c r="CH1797" s="28"/>
      <c r="CK1797" s="28"/>
      <c r="CN1797" s="28"/>
      <c r="CQ1797" s="28"/>
      <c r="CT1797" s="28"/>
      <c r="CW1797" s="28"/>
      <c r="CZ1797" s="28"/>
      <c r="DC1797" s="28"/>
      <c r="DF1797" s="28"/>
      <c r="DI1797" s="28"/>
      <c r="DL1797" s="28"/>
      <c r="DO1797" s="28"/>
      <c r="DR1797" s="28"/>
      <c r="DU1797" s="28"/>
      <c r="DX1797" s="28"/>
      <c r="EA1797" s="28"/>
      <c r="ED1797" s="28"/>
      <c r="EG1797" s="28"/>
      <c r="EJ1797" s="28"/>
      <c r="EM1797" s="28"/>
      <c r="EP1797" s="28"/>
      <c r="ES1797" s="28"/>
      <c r="EV1797" s="28"/>
      <c r="EY1797" s="28"/>
      <c r="FB1797" s="28"/>
      <c r="FE1797" s="28"/>
      <c r="FH1797" s="28"/>
      <c r="FK1797" s="28"/>
      <c r="FN1797" s="28"/>
      <c r="FQ1797" s="28"/>
      <c r="FT1797" s="28"/>
      <c r="FW1797" s="28"/>
      <c r="FZ1797" s="28"/>
      <c r="GC1797" s="28"/>
    </row>
    <row r="1798" spans="1:185" s="25" customFormat="1" x14ac:dyDescent="0.3">
      <c r="A1798" s="27"/>
      <c r="B1798" s="28"/>
      <c r="C1798" s="27"/>
      <c r="D1798" s="26"/>
      <c r="E1798" s="28"/>
      <c r="H1798" s="28"/>
      <c r="K1798" s="28"/>
      <c r="N1798" s="28"/>
      <c r="Q1798" s="28"/>
      <c r="T1798" s="28"/>
      <c r="W1798" s="28"/>
      <c r="Z1798" s="28"/>
      <c r="AC1798" s="28"/>
      <c r="AF1798" s="28"/>
      <c r="AI1798" s="28"/>
      <c r="AL1798" s="28"/>
      <c r="AO1798" s="28"/>
      <c r="AR1798" s="28"/>
      <c r="AU1798" s="28"/>
      <c r="AX1798" s="28"/>
      <c r="BA1798" s="28"/>
      <c r="BD1798" s="28"/>
      <c r="BG1798" s="28"/>
      <c r="BJ1798" s="28"/>
      <c r="BM1798" s="28"/>
      <c r="BP1798" s="28"/>
      <c r="BS1798" s="28"/>
      <c r="BV1798" s="28"/>
      <c r="BY1798" s="28"/>
      <c r="CB1798" s="28"/>
      <c r="CE1798" s="28"/>
      <c r="CH1798" s="28"/>
      <c r="CK1798" s="28"/>
      <c r="CN1798" s="28"/>
      <c r="CQ1798" s="28"/>
      <c r="CT1798" s="28"/>
      <c r="CW1798" s="28"/>
      <c r="CZ1798" s="28"/>
      <c r="DC1798" s="28"/>
      <c r="DF1798" s="28"/>
      <c r="DI1798" s="28"/>
      <c r="DL1798" s="28"/>
      <c r="DO1798" s="28"/>
      <c r="DR1798" s="28"/>
      <c r="DU1798" s="28"/>
      <c r="DX1798" s="28"/>
      <c r="EA1798" s="28"/>
      <c r="ED1798" s="28"/>
      <c r="EG1798" s="28"/>
      <c r="EJ1798" s="28"/>
      <c r="EM1798" s="28"/>
      <c r="EP1798" s="28"/>
      <c r="ES1798" s="28"/>
      <c r="EV1798" s="28"/>
      <c r="EY1798" s="28"/>
      <c r="FB1798" s="28"/>
      <c r="FE1798" s="28"/>
      <c r="FH1798" s="28"/>
      <c r="FK1798" s="28"/>
      <c r="FN1798" s="28"/>
      <c r="FQ1798" s="28"/>
      <c r="FT1798" s="28"/>
      <c r="FW1798" s="28"/>
      <c r="FZ1798" s="28"/>
      <c r="GC1798" s="28"/>
    </row>
    <row r="1799" spans="1:185" s="25" customFormat="1" x14ac:dyDescent="0.3">
      <c r="A1799" s="27"/>
      <c r="B1799" s="28"/>
      <c r="C1799" s="27"/>
      <c r="D1799" s="26"/>
      <c r="E1799" s="28"/>
      <c r="H1799" s="28"/>
      <c r="K1799" s="28"/>
      <c r="N1799" s="28"/>
      <c r="Q1799" s="28"/>
      <c r="T1799" s="28"/>
      <c r="W1799" s="28"/>
      <c r="Z1799" s="28"/>
      <c r="AC1799" s="28"/>
      <c r="AF1799" s="28"/>
      <c r="AI1799" s="28"/>
      <c r="AL1799" s="28"/>
      <c r="AO1799" s="28"/>
      <c r="AR1799" s="28"/>
      <c r="AU1799" s="28"/>
      <c r="AX1799" s="28"/>
      <c r="BA1799" s="28"/>
      <c r="BD1799" s="28"/>
      <c r="BG1799" s="28"/>
      <c r="BJ1799" s="28"/>
      <c r="BM1799" s="28"/>
      <c r="BP1799" s="28"/>
      <c r="BS1799" s="28"/>
      <c r="BV1799" s="28"/>
      <c r="BY1799" s="28"/>
      <c r="CB1799" s="28"/>
      <c r="CE1799" s="28"/>
      <c r="CH1799" s="28"/>
      <c r="CK1799" s="28"/>
      <c r="CN1799" s="28"/>
      <c r="CQ1799" s="28"/>
      <c r="CT1799" s="28"/>
      <c r="CW1799" s="28"/>
      <c r="CZ1799" s="28"/>
      <c r="DC1799" s="28"/>
      <c r="DF1799" s="28"/>
      <c r="DI1799" s="28"/>
      <c r="DL1799" s="28"/>
      <c r="DO1799" s="28"/>
      <c r="DR1799" s="28"/>
      <c r="DU1799" s="28"/>
      <c r="DX1799" s="28"/>
      <c r="EA1799" s="28"/>
      <c r="ED1799" s="28"/>
      <c r="EG1799" s="28"/>
      <c r="EJ1799" s="28"/>
      <c r="EM1799" s="28"/>
      <c r="EP1799" s="28"/>
      <c r="ES1799" s="28"/>
      <c r="EV1799" s="28"/>
      <c r="EY1799" s="28"/>
      <c r="FB1799" s="28"/>
      <c r="FE1799" s="28"/>
      <c r="FH1799" s="28"/>
      <c r="FK1799" s="28"/>
      <c r="FN1799" s="28"/>
      <c r="FQ1799" s="28"/>
      <c r="FT1799" s="28"/>
      <c r="FW1799" s="28"/>
      <c r="FZ1799" s="28"/>
      <c r="GC1799" s="28"/>
    </row>
    <row r="1800" spans="1:185" s="25" customFormat="1" x14ac:dyDescent="0.3">
      <c r="A1800" s="27"/>
      <c r="B1800" s="28"/>
      <c r="C1800" s="27"/>
      <c r="D1800" s="26"/>
      <c r="E1800" s="28"/>
      <c r="H1800" s="28"/>
      <c r="K1800" s="28"/>
      <c r="N1800" s="28"/>
      <c r="Q1800" s="28"/>
      <c r="T1800" s="28"/>
      <c r="W1800" s="28"/>
      <c r="Z1800" s="28"/>
      <c r="AC1800" s="28"/>
      <c r="AF1800" s="28"/>
      <c r="AI1800" s="28"/>
      <c r="AL1800" s="28"/>
      <c r="AO1800" s="28"/>
      <c r="AR1800" s="28"/>
      <c r="AU1800" s="28"/>
      <c r="AX1800" s="28"/>
      <c r="BA1800" s="28"/>
      <c r="BD1800" s="28"/>
      <c r="BG1800" s="28"/>
      <c r="BJ1800" s="28"/>
      <c r="BM1800" s="28"/>
      <c r="BP1800" s="28"/>
      <c r="BS1800" s="28"/>
      <c r="BV1800" s="28"/>
      <c r="BY1800" s="28"/>
      <c r="CB1800" s="28"/>
      <c r="CE1800" s="28"/>
      <c r="CH1800" s="28"/>
      <c r="CK1800" s="28"/>
      <c r="CN1800" s="28"/>
      <c r="CQ1800" s="28"/>
      <c r="CT1800" s="28"/>
      <c r="CW1800" s="28"/>
      <c r="CZ1800" s="28"/>
      <c r="DC1800" s="28"/>
      <c r="DF1800" s="28"/>
      <c r="DI1800" s="28"/>
      <c r="DL1800" s="28"/>
      <c r="DO1800" s="28"/>
      <c r="DR1800" s="28"/>
      <c r="DU1800" s="28"/>
      <c r="DX1800" s="28"/>
      <c r="EA1800" s="28"/>
      <c r="ED1800" s="28"/>
      <c r="EG1800" s="28"/>
      <c r="EJ1800" s="28"/>
      <c r="EM1800" s="28"/>
      <c r="EP1800" s="28"/>
      <c r="ES1800" s="28"/>
      <c r="EV1800" s="28"/>
      <c r="EY1800" s="28"/>
      <c r="FB1800" s="28"/>
      <c r="FE1800" s="28"/>
      <c r="FH1800" s="28"/>
      <c r="FK1800" s="28"/>
      <c r="FN1800" s="28"/>
      <c r="FQ1800" s="28"/>
      <c r="FT1800" s="28"/>
      <c r="FW1800" s="28"/>
      <c r="FZ1800" s="28"/>
      <c r="GC1800" s="28"/>
    </row>
    <row r="1801" spans="1:185" s="25" customFormat="1" x14ac:dyDescent="0.3">
      <c r="A1801" s="27"/>
      <c r="B1801" s="28"/>
      <c r="C1801" s="27"/>
      <c r="D1801" s="26"/>
      <c r="E1801" s="28"/>
      <c r="H1801" s="28"/>
      <c r="K1801" s="28"/>
      <c r="N1801" s="28"/>
      <c r="Q1801" s="28"/>
      <c r="T1801" s="28"/>
      <c r="W1801" s="28"/>
      <c r="Z1801" s="28"/>
      <c r="AC1801" s="28"/>
      <c r="AF1801" s="28"/>
      <c r="AI1801" s="28"/>
      <c r="AL1801" s="28"/>
      <c r="AO1801" s="28"/>
      <c r="AR1801" s="28"/>
      <c r="AU1801" s="28"/>
      <c r="AX1801" s="28"/>
      <c r="BA1801" s="28"/>
      <c r="BD1801" s="28"/>
      <c r="BG1801" s="28"/>
      <c r="BJ1801" s="28"/>
      <c r="BM1801" s="28"/>
      <c r="BP1801" s="28"/>
      <c r="BS1801" s="28"/>
      <c r="BV1801" s="28"/>
      <c r="BY1801" s="28"/>
      <c r="CB1801" s="28"/>
      <c r="CE1801" s="28"/>
      <c r="CH1801" s="28"/>
      <c r="CK1801" s="28"/>
      <c r="CN1801" s="28"/>
      <c r="CQ1801" s="28"/>
      <c r="CT1801" s="28"/>
      <c r="CW1801" s="28"/>
      <c r="CZ1801" s="28"/>
      <c r="DC1801" s="28"/>
      <c r="DF1801" s="28"/>
      <c r="DI1801" s="28"/>
      <c r="DL1801" s="28"/>
      <c r="DO1801" s="28"/>
      <c r="DR1801" s="28"/>
      <c r="DU1801" s="28"/>
      <c r="DX1801" s="28"/>
      <c r="EA1801" s="28"/>
      <c r="ED1801" s="28"/>
      <c r="EG1801" s="28"/>
      <c r="EJ1801" s="28"/>
      <c r="EM1801" s="28"/>
      <c r="EP1801" s="28"/>
      <c r="ES1801" s="28"/>
      <c r="EV1801" s="28"/>
      <c r="EY1801" s="28"/>
      <c r="FB1801" s="28"/>
      <c r="FE1801" s="28"/>
      <c r="FH1801" s="28"/>
      <c r="FK1801" s="28"/>
      <c r="FN1801" s="28"/>
      <c r="FQ1801" s="28"/>
      <c r="FT1801" s="28"/>
      <c r="FW1801" s="28"/>
      <c r="FZ1801" s="28"/>
      <c r="GC1801" s="28"/>
    </row>
    <row r="1802" spans="1:185" s="25" customFormat="1" x14ac:dyDescent="0.3">
      <c r="A1802" s="27"/>
      <c r="B1802" s="28"/>
      <c r="C1802" s="27"/>
      <c r="D1802" s="26"/>
      <c r="E1802" s="28"/>
      <c r="H1802" s="28"/>
      <c r="K1802" s="28"/>
      <c r="N1802" s="28"/>
      <c r="Q1802" s="28"/>
      <c r="T1802" s="28"/>
      <c r="W1802" s="28"/>
      <c r="Z1802" s="28"/>
      <c r="AC1802" s="28"/>
      <c r="AF1802" s="28"/>
      <c r="AI1802" s="28"/>
      <c r="AL1802" s="28"/>
      <c r="AO1802" s="28"/>
      <c r="AR1802" s="28"/>
      <c r="AU1802" s="28"/>
      <c r="AX1802" s="28"/>
      <c r="BA1802" s="28"/>
      <c r="BD1802" s="28"/>
      <c r="BG1802" s="28"/>
      <c r="BJ1802" s="28"/>
      <c r="BM1802" s="28"/>
      <c r="BP1802" s="28"/>
      <c r="BS1802" s="28"/>
      <c r="BV1802" s="28"/>
      <c r="BY1802" s="28"/>
      <c r="CB1802" s="28"/>
      <c r="CE1802" s="28"/>
      <c r="CH1802" s="28"/>
      <c r="CK1802" s="28"/>
      <c r="CN1802" s="28"/>
      <c r="CQ1802" s="28"/>
      <c r="CT1802" s="28"/>
      <c r="CW1802" s="28"/>
      <c r="CZ1802" s="28"/>
      <c r="DC1802" s="28"/>
      <c r="DF1802" s="28"/>
      <c r="DI1802" s="28"/>
      <c r="DL1802" s="28"/>
      <c r="DO1802" s="28"/>
      <c r="DR1802" s="28"/>
      <c r="DU1802" s="28"/>
      <c r="DX1802" s="28"/>
      <c r="EA1802" s="28"/>
      <c r="ED1802" s="28"/>
      <c r="EG1802" s="28"/>
      <c r="EJ1802" s="28"/>
      <c r="EM1802" s="28"/>
      <c r="EP1802" s="28"/>
      <c r="ES1802" s="28"/>
      <c r="EV1802" s="28"/>
      <c r="EY1802" s="28"/>
      <c r="FB1802" s="28"/>
      <c r="FE1802" s="28"/>
      <c r="FH1802" s="28"/>
      <c r="FK1802" s="28"/>
      <c r="FN1802" s="28"/>
      <c r="FQ1802" s="28"/>
      <c r="FT1802" s="28"/>
      <c r="FW1802" s="28"/>
      <c r="FZ1802" s="28"/>
      <c r="GC1802" s="28"/>
    </row>
    <row r="1803" spans="1:185" s="25" customFormat="1" x14ac:dyDescent="0.3">
      <c r="A1803" s="27"/>
      <c r="B1803" s="28"/>
      <c r="C1803" s="27"/>
      <c r="D1803" s="26"/>
      <c r="E1803" s="28"/>
      <c r="H1803" s="28"/>
      <c r="K1803" s="28"/>
      <c r="N1803" s="28"/>
      <c r="Q1803" s="28"/>
      <c r="T1803" s="28"/>
      <c r="W1803" s="28"/>
      <c r="Z1803" s="28"/>
      <c r="AC1803" s="28"/>
      <c r="AF1803" s="28"/>
      <c r="AI1803" s="28"/>
      <c r="AL1803" s="28"/>
      <c r="AO1803" s="28"/>
      <c r="AR1803" s="28"/>
      <c r="AU1803" s="28"/>
      <c r="AX1803" s="28"/>
      <c r="BA1803" s="28"/>
      <c r="BD1803" s="28"/>
      <c r="BG1803" s="28"/>
      <c r="BJ1803" s="28"/>
      <c r="BM1803" s="28"/>
      <c r="BP1803" s="28"/>
      <c r="BS1803" s="28"/>
      <c r="BV1803" s="28"/>
      <c r="BY1803" s="28"/>
      <c r="CB1803" s="28"/>
      <c r="CE1803" s="28"/>
      <c r="CH1803" s="28"/>
      <c r="CK1803" s="28"/>
      <c r="CN1803" s="28"/>
      <c r="CQ1803" s="28"/>
      <c r="CT1803" s="28"/>
      <c r="CW1803" s="28"/>
      <c r="CZ1803" s="28"/>
      <c r="DC1803" s="28"/>
      <c r="DF1803" s="28"/>
      <c r="DI1803" s="28"/>
      <c r="DL1803" s="28"/>
      <c r="DO1803" s="28"/>
      <c r="DR1803" s="28"/>
      <c r="DU1803" s="28"/>
      <c r="DX1803" s="28"/>
      <c r="EA1803" s="28"/>
      <c r="ED1803" s="28"/>
      <c r="EG1803" s="28"/>
      <c r="EJ1803" s="28"/>
      <c r="EM1803" s="28"/>
      <c r="EP1803" s="28"/>
      <c r="ES1803" s="28"/>
      <c r="EV1803" s="28"/>
      <c r="EY1803" s="28"/>
      <c r="FB1803" s="28"/>
      <c r="FE1803" s="28"/>
      <c r="FH1803" s="28"/>
      <c r="FK1803" s="28"/>
      <c r="FN1803" s="28"/>
      <c r="FQ1803" s="28"/>
      <c r="FT1803" s="28"/>
      <c r="FW1803" s="28"/>
      <c r="FZ1803" s="28"/>
      <c r="GC1803" s="28"/>
    </row>
    <row r="1804" spans="1:185" s="25" customFormat="1" x14ac:dyDescent="0.3">
      <c r="A1804" s="27"/>
      <c r="B1804" s="28"/>
      <c r="C1804" s="27"/>
      <c r="D1804" s="26"/>
      <c r="E1804" s="28"/>
      <c r="H1804" s="28"/>
      <c r="K1804" s="28"/>
      <c r="N1804" s="28"/>
      <c r="Q1804" s="28"/>
      <c r="T1804" s="28"/>
      <c r="W1804" s="28"/>
      <c r="Z1804" s="28"/>
      <c r="AC1804" s="28"/>
      <c r="AF1804" s="28"/>
      <c r="AI1804" s="28"/>
      <c r="AL1804" s="28"/>
      <c r="AO1804" s="28"/>
      <c r="AR1804" s="28"/>
      <c r="AU1804" s="28"/>
      <c r="AX1804" s="28"/>
      <c r="BA1804" s="28"/>
      <c r="BD1804" s="28"/>
      <c r="BG1804" s="28"/>
      <c r="BJ1804" s="28"/>
      <c r="BM1804" s="28"/>
      <c r="BP1804" s="28"/>
      <c r="BS1804" s="28"/>
      <c r="BV1804" s="28"/>
      <c r="BY1804" s="28"/>
      <c r="CB1804" s="28"/>
      <c r="CE1804" s="28"/>
      <c r="CH1804" s="28"/>
      <c r="CK1804" s="28"/>
      <c r="CN1804" s="28"/>
      <c r="CQ1804" s="28"/>
      <c r="CT1804" s="28"/>
      <c r="CW1804" s="28"/>
      <c r="CZ1804" s="28"/>
      <c r="DC1804" s="28"/>
      <c r="DF1804" s="28"/>
      <c r="DI1804" s="28"/>
      <c r="DL1804" s="28"/>
      <c r="DO1804" s="28"/>
      <c r="DR1804" s="28"/>
      <c r="DU1804" s="28"/>
      <c r="DX1804" s="28"/>
      <c r="EA1804" s="28"/>
      <c r="ED1804" s="28"/>
      <c r="EG1804" s="28"/>
      <c r="EJ1804" s="28"/>
      <c r="EM1804" s="28"/>
      <c r="EP1804" s="28"/>
      <c r="ES1804" s="28"/>
      <c r="EV1804" s="28"/>
      <c r="EY1804" s="28"/>
      <c r="FB1804" s="28"/>
      <c r="FE1804" s="28"/>
      <c r="FH1804" s="28"/>
      <c r="FK1804" s="28"/>
      <c r="FN1804" s="28"/>
      <c r="FQ1804" s="28"/>
      <c r="FT1804" s="28"/>
      <c r="FW1804" s="28"/>
      <c r="FZ1804" s="28"/>
      <c r="GC1804" s="28"/>
    </row>
    <row r="1805" spans="1:185" s="25" customFormat="1" x14ac:dyDescent="0.3">
      <c r="A1805" s="27"/>
      <c r="B1805" s="28"/>
      <c r="C1805" s="27"/>
      <c r="D1805" s="26"/>
      <c r="E1805" s="28"/>
      <c r="H1805" s="28"/>
      <c r="K1805" s="28"/>
      <c r="N1805" s="28"/>
      <c r="Q1805" s="28"/>
      <c r="T1805" s="28"/>
      <c r="W1805" s="28"/>
      <c r="Z1805" s="28"/>
      <c r="AC1805" s="28"/>
      <c r="AF1805" s="28"/>
      <c r="AI1805" s="28"/>
      <c r="AL1805" s="28"/>
      <c r="AO1805" s="28"/>
      <c r="AR1805" s="28"/>
      <c r="AU1805" s="28"/>
      <c r="AX1805" s="28"/>
      <c r="BA1805" s="28"/>
      <c r="BD1805" s="28"/>
      <c r="BG1805" s="28"/>
      <c r="BJ1805" s="28"/>
      <c r="BM1805" s="28"/>
      <c r="BP1805" s="28"/>
      <c r="BS1805" s="28"/>
      <c r="BV1805" s="28"/>
      <c r="BY1805" s="28"/>
      <c r="CB1805" s="28"/>
      <c r="CE1805" s="28"/>
      <c r="CH1805" s="28"/>
      <c r="CK1805" s="28"/>
      <c r="CN1805" s="28"/>
      <c r="CQ1805" s="28"/>
      <c r="CT1805" s="28"/>
      <c r="CW1805" s="28"/>
      <c r="CZ1805" s="28"/>
      <c r="DC1805" s="28"/>
      <c r="DF1805" s="28"/>
      <c r="DI1805" s="28"/>
      <c r="DL1805" s="28"/>
      <c r="DO1805" s="28"/>
      <c r="DR1805" s="28"/>
      <c r="DU1805" s="28"/>
      <c r="DX1805" s="28"/>
      <c r="EA1805" s="28"/>
      <c r="ED1805" s="28"/>
      <c r="EG1805" s="28"/>
      <c r="EJ1805" s="28"/>
      <c r="EM1805" s="28"/>
      <c r="EP1805" s="28"/>
      <c r="ES1805" s="28"/>
      <c r="EV1805" s="28"/>
      <c r="EY1805" s="28"/>
      <c r="FB1805" s="28"/>
      <c r="FE1805" s="28"/>
      <c r="FH1805" s="28"/>
      <c r="FK1805" s="28"/>
      <c r="FN1805" s="28"/>
      <c r="FQ1805" s="28"/>
      <c r="FT1805" s="28"/>
      <c r="FW1805" s="28"/>
      <c r="FZ1805" s="28"/>
      <c r="GC1805" s="28"/>
    </row>
    <row r="1806" spans="1:185" s="25" customFormat="1" x14ac:dyDescent="0.3">
      <c r="A1806" s="27"/>
      <c r="B1806" s="28"/>
      <c r="C1806" s="27"/>
      <c r="D1806" s="26"/>
      <c r="E1806" s="28"/>
      <c r="H1806" s="28"/>
      <c r="K1806" s="28"/>
      <c r="N1806" s="28"/>
      <c r="Q1806" s="28"/>
      <c r="T1806" s="28"/>
      <c r="W1806" s="28"/>
      <c r="Z1806" s="28"/>
      <c r="AC1806" s="28"/>
      <c r="AF1806" s="28"/>
      <c r="AI1806" s="28"/>
      <c r="AL1806" s="28"/>
      <c r="AO1806" s="28"/>
      <c r="AR1806" s="28"/>
      <c r="AU1806" s="28"/>
      <c r="AX1806" s="28"/>
      <c r="BA1806" s="28"/>
      <c r="BD1806" s="28"/>
      <c r="BG1806" s="28"/>
      <c r="BJ1806" s="28"/>
      <c r="BM1806" s="28"/>
      <c r="BP1806" s="28"/>
      <c r="BS1806" s="28"/>
      <c r="BV1806" s="28"/>
      <c r="BY1806" s="28"/>
      <c r="CB1806" s="28"/>
      <c r="CE1806" s="28"/>
      <c r="CH1806" s="28"/>
      <c r="CK1806" s="28"/>
      <c r="CN1806" s="28"/>
      <c r="CQ1806" s="28"/>
      <c r="CT1806" s="28"/>
      <c r="CW1806" s="28"/>
      <c r="CZ1806" s="28"/>
      <c r="DC1806" s="28"/>
      <c r="DF1806" s="28"/>
      <c r="DI1806" s="28"/>
      <c r="DL1806" s="28"/>
      <c r="DO1806" s="28"/>
      <c r="DR1806" s="28"/>
      <c r="DU1806" s="28"/>
      <c r="DX1806" s="28"/>
      <c r="EA1806" s="28"/>
      <c r="ED1806" s="28"/>
      <c r="EG1806" s="28"/>
      <c r="EJ1806" s="28"/>
      <c r="EM1806" s="28"/>
      <c r="EP1806" s="28"/>
      <c r="ES1806" s="28"/>
      <c r="EV1806" s="28"/>
      <c r="EY1806" s="28"/>
      <c r="FB1806" s="28"/>
      <c r="FE1806" s="28"/>
      <c r="FH1806" s="28"/>
      <c r="FK1806" s="28"/>
      <c r="FN1806" s="28"/>
      <c r="FQ1806" s="28"/>
      <c r="FT1806" s="28"/>
      <c r="FW1806" s="28"/>
      <c r="FZ1806" s="28"/>
      <c r="GC1806" s="28"/>
    </row>
    <row r="1807" spans="1:185" s="25" customFormat="1" x14ac:dyDescent="0.3">
      <c r="A1807" s="27"/>
      <c r="B1807" s="28"/>
      <c r="C1807" s="27"/>
      <c r="D1807" s="26"/>
      <c r="E1807" s="28"/>
      <c r="H1807" s="28"/>
      <c r="K1807" s="28"/>
      <c r="N1807" s="28"/>
      <c r="Q1807" s="28"/>
      <c r="T1807" s="28"/>
      <c r="W1807" s="28"/>
      <c r="Z1807" s="28"/>
      <c r="AC1807" s="28"/>
      <c r="AF1807" s="28"/>
      <c r="AI1807" s="28"/>
      <c r="AL1807" s="28"/>
      <c r="AO1807" s="28"/>
      <c r="AR1807" s="28"/>
      <c r="AU1807" s="28"/>
      <c r="AX1807" s="28"/>
      <c r="BA1807" s="28"/>
      <c r="BD1807" s="28"/>
      <c r="BG1807" s="28"/>
      <c r="BJ1807" s="28"/>
      <c r="BM1807" s="28"/>
      <c r="BP1807" s="28"/>
      <c r="BS1807" s="28"/>
      <c r="BV1807" s="28"/>
      <c r="BY1807" s="28"/>
      <c r="CB1807" s="28"/>
      <c r="CE1807" s="28"/>
      <c r="CH1807" s="28"/>
      <c r="CK1807" s="28"/>
      <c r="CN1807" s="28"/>
      <c r="CQ1807" s="28"/>
      <c r="CT1807" s="28"/>
      <c r="CW1807" s="28"/>
      <c r="CZ1807" s="28"/>
      <c r="DC1807" s="28"/>
      <c r="DF1807" s="28"/>
      <c r="DI1807" s="28"/>
      <c r="DL1807" s="28"/>
      <c r="DO1807" s="28"/>
      <c r="DR1807" s="28"/>
      <c r="DU1807" s="28"/>
      <c r="DX1807" s="28"/>
      <c r="EA1807" s="28"/>
      <c r="ED1807" s="28"/>
      <c r="EG1807" s="28"/>
      <c r="EJ1807" s="28"/>
      <c r="EM1807" s="28"/>
      <c r="EP1807" s="28"/>
      <c r="ES1807" s="28"/>
      <c r="EV1807" s="28"/>
      <c r="EY1807" s="28"/>
      <c r="FB1807" s="28"/>
      <c r="FE1807" s="28"/>
      <c r="FH1807" s="28"/>
      <c r="FK1807" s="28"/>
      <c r="FN1807" s="28"/>
      <c r="FQ1807" s="28"/>
      <c r="FT1807" s="28"/>
      <c r="FW1807" s="28"/>
      <c r="FZ1807" s="28"/>
      <c r="GC1807" s="28"/>
    </row>
    <row r="1808" spans="1:185" s="25" customFormat="1" x14ac:dyDescent="0.3">
      <c r="A1808" s="27"/>
      <c r="B1808" s="28"/>
      <c r="C1808" s="27"/>
      <c r="D1808" s="26"/>
      <c r="E1808" s="28"/>
      <c r="H1808" s="28"/>
      <c r="K1808" s="28"/>
      <c r="N1808" s="28"/>
      <c r="Q1808" s="28"/>
      <c r="T1808" s="28"/>
      <c r="W1808" s="28"/>
      <c r="Z1808" s="28"/>
      <c r="AC1808" s="28"/>
      <c r="AF1808" s="28"/>
      <c r="AI1808" s="28"/>
      <c r="AL1808" s="28"/>
      <c r="AO1808" s="28"/>
      <c r="AR1808" s="28"/>
      <c r="AU1808" s="28"/>
      <c r="AX1808" s="28"/>
      <c r="BA1808" s="28"/>
      <c r="BD1808" s="28"/>
      <c r="BG1808" s="28"/>
      <c r="BJ1808" s="28"/>
      <c r="BM1808" s="28"/>
      <c r="BP1808" s="28"/>
      <c r="BS1808" s="28"/>
      <c r="BV1808" s="28"/>
      <c r="BY1808" s="28"/>
      <c r="CB1808" s="28"/>
      <c r="CE1808" s="28"/>
      <c r="CH1808" s="28"/>
      <c r="CK1808" s="28"/>
      <c r="CN1808" s="28"/>
      <c r="CQ1808" s="28"/>
      <c r="CT1808" s="28"/>
      <c r="CW1808" s="28"/>
      <c r="CZ1808" s="28"/>
      <c r="DC1808" s="28"/>
      <c r="DF1808" s="28"/>
      <c r="DI1808" s="28"/>
      <c r="DL1808" s="28"/>
      <c r="DO1808" s="28"/>
      <c r="DR1808" s="28"/>
      <c r="DU1808" s="28"/>
      <c r="DX1808" s="28"/>
      <c r="EA1808" s="28"/>
      <c r="ED1808" s="28"/>
      <c r="EG1808" s="28"/>
      <c r="EJ1808" s="28"/>
      <c r="EM1808" s="28"/>
      <c r="EP1808" s="28"/>
      <c r="ES1808" s="28"/>
      <c r="EV1808" s="28"/>
      <c r="EY1808" s="28"/>
      <c r="FB1808" s="28"/>
      <c r="FE1808" s="28"/>
      <c r="FH1808" s="28"/>
      <c r="FK1808" s="28"/>
      <c r="FN1808" s="28"/>
      <c r="FQ1808" s="28"/>
      <c r="FT1808" s="28"/>
      <c r="FW1808" s="28"/>
      <c r="FZ1808" s="28"/>
      <c r="GC1808" s="28"/>
    </row>
    <row r="1809" spans="1:185" s="25" customFormat="1" x14ac:dyDescent="0.3">
      <c r="A1809" s="27"/>
      <c r="B1809" s="28"/>
      <c r="C1809" s="27"/>
      <c r="D1809" s="26"/>
      <c r="E1809" s="28"/>
      <c r="H1809" s="28"/>
      <c r="K1809" s="28"/>
      <c r="N1809" s="28"/>
      <c r="Q1809" s="28"/>
      <c r="T1809" s="28"/>
      <c r="W1809" s="28"/>
      <c r="Z1809" s="28"/>
      <c r="AC1809" s="28"/>
      <c r="AF1809" s="28"/>
      <c r="AI1809" s="28"/>
      <c r="AL1809" s="28"/>
      <c r="AO1809" s="28"/>
      <c r="AR1809" s="28"/>
      <c r="AU1809" s="28"/>
      <c r="AX1809" s="28"/>
      <c r="BA1809" s="28"/>
      <c r="BD1809" s="28"/>
      <c r="BG1809" s="28"/>
      <c r="BJ1809" s="28"/>
      <c r="BM1809" s="28"/>
      <c r="BP1809" s="28"/>
      <c r="BS1809" s="28"/>
      <c r="BV1809" s="28"/>
      <c r="BY1809" s="28"/>
      <c r="CB1809" s="28"/>
      <c r="CE1809" s="28"/>
      <c r="CH1809" s="28"/>
      <c r="CK1809" s="28"/>
      <c r="CN1809" s="28"/>
      <c r="CQ1809" s="28"/>
      <c r="CT1809" s="28"/>
      <c r="CW1809" s="28"/>
      <c r="CZ1809" s="28"/>
      <c r="DC1809" s="28"/>
      <c r="DF1809" s="28"/>
      <c r="DI1809" s="28"/>
      <c r="DL1809" s="28"/>
      <c r="DO1809" s="28"/>
      <c r="DR1809" s="28"/>
      <c r="DU1809" s="28"/>
      <c r="DX1809" s="28"/>
      <c r="EA1809" s="28"/>
      <c r="ED1809" s="28"/>
      <c r="EG1809" s="28"/>
      <c r="EJ1809" s="28"/>
      <c r="EM1809" s="28"/>
      <c r="EP1809" s="28"/>
      <c r="ES1809" s="28"/>
      <c r="EV1809" s="28"/>
      <c r="EY1809" s="28"/>
      <c r="FB1809" s="28"/>
      <c r="FE1809" s="28"/>
      <c r="FH1809" s="28"/>
      <c r="FK1809" s="28"/>
      <c r="FN1809" s="28"/>
      <c r="FQ1809" s="28"/>
      <c r="FT1809" s="28"/>
      <c r="FW1809" s="28"/>
      <c r="FZ1809" s="28"/>
      <c r="GC1809" s="28"/>
    </row>
    <row r="1810" spans="1:185" s="25" customFormat="1" x14ac:dyDescent="0.3">
      <c r="A1810" s="27"/>
      <c r="B1810" s="28"/>
      <c r="C1810" s="27"/>
      <c r="D1810" s="26"/>
      <c r="E1810" s="28"/>
      <c r="H1810" s="28"/>
      <c r="K1810" s="28"/>
      <c r="N1810" s="28"/>
      <c r="Q1810" s="28"/>
      <c r="T1810" s="28"/>
      <c r="W1810" s="28"/>
      <c r="Z1810" s="28"/>
      <c r="AC1810" s="28"/>
      <c r="AF1810" s="28"/>
      <c r="AI1810" s="28"/>
      <c r="AL1810" s="28"/>
      <c r="AO1810" s="28"/>
      <c r="AR1810" s="28"/>
      <c r="AU1810" s="28"/>
      <c r="AX1810" s="28"/>
      <c r="BA1810" s="28"/>
      <c r="BD1810" s="28"/>
      <c r="BG1810" s="28"/>
      <c r="BJ1810" s="28"/>
      <c r="BM1810" s="28"/>
      <c r="BP1810" s="28"/>
      <c r="BS1810" s="28"/>
      <c r="BV1810" s="28"/>
      <c r="BY1810" s="28"/>
      <c r="CB1810" s="28"/>
      <c r="CE1810" s="28"/>
      <c r="CH1810" s="28"/>
      <c r="CK1810" s="28"/>
      <c r="CN1810" s="28"/>
      <c r="CQ1810" s="28"/>
      <c r="CT1810" s="28"/>
      <c r="CW1810" s="28"/>
      <c r="CZ1810" s="28"/>
      <c r="DC1810" s="28"/>
      <c r="DF1810" s="28"/>
      <c r="DI1810" s="28"/>
      <c r="DL1810" s="28"/>
      <c r="DO1810" s="28"/>
      <c r="DR1810" s="28"/>
      <c r="DU1810" s="28"/>
      <c r="DX1810" s="28"/>
      <c r="EA1810" s="28"/>
      <c r="ED1810" s="28"/>
      <c r="EG1810" s="28"/>
      <c r="EJ1810" s="28"/>
      <c r="EM1810" s="28"/>
      <c r="EP1810" s="28"/>
      <c r="ES1810" s="28"/>
      <c r="EV1810" s="28"/>
      <c r="EY1810" s="28"/>
      <c r="FB1810" s="28"/>
      <c r="FE1810" s="28"/>
      <c r="FH1810" s="28"/>
      <c r="FK1810" s="28"/>
      <c r="FN1810" s="28"/>
      <c r="FQ1810" s="28"/>
      <c r="FT1810" s="28"/>
      <c r="FW1810" s="28"/>
      <c r="FZ1810" s="28"/>
      <c r="GC1810" s="28"/>
    </row>
    <row r="1811" spans="1:185" s="25" customFormat="1" x14ac:dyDescent="0.3">
      <c r="A1811" s="27"/>
      <c r="B1811" s="28"/>
      <c r="C1811" s="27"/>
      <c r="D1811" s="26"/>
      <c r="E1811" s="28"/>
      <c r="H1811" s="28"/>
      <c r="K1811" s="28"/>
      <c r="N1811" s="28"/>
      <c r="Q1811" s="28"/>
      <c r="T1811" s="28"/>
      <c r="W1811" s="28"/>
      <c r="Z1811" s="28"/>
      <c r="AC1811" s="28"/>
      <c r="AF1811" s="28"/>
      <c r="AI1811" s="28"/>
      <c r="AL1811" s="28"/>
      <c r="AO1811" s="28"/>
      <c r="AR1811" s="28"/>
      <c r="AU1811" s="28"/>
      <c r="AX1811" s="28"/>
      <c r="BA1811" s="28"/>
      <c r="BD1811" s="28"/>
      <c r="BG1811" s="28"/>
      <c r="BJ1811" s="28"/>
      <c r="BM1811" s="28"/>
      <c r="BP1811" s="28"/>
      <c r="BS1811" s="28"/>
      <c r="BV1811" s="28"/>
      <c r="BY1811" s="28"/>
      <c r="CB1811" s="28"/>
      <c r="CE1811" s="28"/>
      <c r="CH1811" s="28"/>
      <c r="CK1811" s="28"/>
      <c r="CN1811" s="28"/>
      <c r="CQ1811" s="28"/>
      <c r="CT1811" s="28"/>
      <c r="CW1811" s="28"/>
      <c r="CZ1811" s="28"/>
      <c r="DC1811" s="28"/>
      <c r="DF1811" s="28"/>
      <c r="DI1811" s="28"/>
      <c r="DL1811" s="28"/>
      <c r="DO1811" s="28"/>
      <c r="DR1811" s="28"/>
      <c r="DU1811" s="28"/>
      <c r="DX1811" s="28"/>
      <c r="EA1811" s="28"/>
      <c r="ED1811" s="28"/>
      <c r="EG1811" s="28"/>
      <c r="EJ1811" s="28"/>
      <c r="EM1811" s="28"/>
      <c r="EP1811" s="28"/>
      <c r="ES1811" s="28"/>
      <c r="EV1811" s="28"/>
      <c r="EY1811" s="28"/>
      <c r="FB1811" s="28"/>
      <c r="FE1811" s="28"/>
      <c r="FH1811" s="28"/>
      <c r="FK1811" s="28"/>
      <c r="FN1811" s="28"/>
      <c r="FQ1811" s="28"/>
      <c r="FT1811" s="28"/>
      <c r="FW1811" s="28"/>
      <c r="FZ1811" s="28"/>
      <c r="GC1811" s="28"/>
    </row>
    <row r="1812" spans="1:185" s="25" customFormat="1" x14ac:dyDescent="0.3">
      <c r="A1812" s="27"/>
      <c r="B1812" s="28"/>
      <c r="C1812" s="27"/>
      <c r="D1812" s="26"/>
      <c r="E1812" s="28"/>
      <c r="H1812" s="28"/>
      <c r="K1812" s="28"/>
      <c r="N1812" s="28"/>
      <c r="Q1812" s="28"/>
      <c r="T1812" s="28"/>
      <c r="W1812" s="28"/>
      <c r="Z1812" s="28"/>
      <c r="AC1812" s="28"/>
      <c r="AF1812" s="28"/>
      <c r="AI1812" s="28"/>
      <c r="AL1812" s="28"/>
      <c r="AO1812" s="28"/>
      <c r="AR1812" s="28"/>
      <c r="AU1812" s="28"/>
      <c r="AX1812" s="28"/>
      <c r="BA1812" s="28"/>
      <c r="BD1812" s="28"/>
      <c r="BG1812" s="28"/>
      <c r="BJ1812" s="28"/>
      <c r="BM1812" s="28"/>
      <c r="BP1812" s="28"/>
      <c r="BS1812" s="28"/>
      <c r="BV1812" s="28"/>
      <c r="BY1812" s="28"/>
      <c r="CB1812" s="28"/>
      <c r="CE1812" s="28"/>
      <c r="CH1812" s="28"/>
      <c r="CK1812" s="28"/>
      <c r="CN1812" s="28"/>
      <c r="CQ1812" s="28"/>
      <c r="CT1812" s="28"/>
      <c r="CW1812" s="28"/>
      <c r="CZ1812" s="28"/>
      <c r="DC1812" s="28"/>
      <c r="DF1812" s="28"/>
      <c r="DI1812" s="28"/>
      <c r="DL1812" s="28"/>
      <c r="DO1812" s="28"/>
      <c r="DR1812" s="28"/>
      <c r="DU1812" s="28"/>
      <c r="DX1812" s="28"/>
      <c r="EA1812" s="28"/>
      <c r="ED1812" s="28"/>
      <c r="EG1812" s="28"/>
      <c r="EJ1812" s="28"/>
      <c r="EM1812" s="28"/>
      <c r="EP1812" s="28"/>
      <c r="ES1812" s="28"/>
      <c r="EV1812" s="28"/>
      <c r="EY1812" s="28"/>
      <c r="FB1812" s="28"/>
      <c r="FE1812" s="28"/>
      <c r="FH1812" s="28"/>
      <c r="FK1812" s="28"/>
      <c r="FN1812" s="28"/>
      <c r="FQ1812" s="28"/>
      <c r="FT1812" s="28"/>
      <c r="FW1812" s="28"/>
      <c r="FZ1812" s="28"/>
      <c r="GC1812" s="28"/>
    </row>
    <row r="1813" spans="1:185" s="25" customFormat="1" x14ac:dyDescent="0.3">
      <c r="A1813" s="27"/>
      <c r="B1813" s="28"/>
      <c r="C1813" s="27"/>
      <c r="D1813" s="26"/>
      <c r="E1813" s="28"/>
      <c r="H1813" s="28"/>
      <c r="K1813" s="28"/>
      <c r="N1813" s="28"/>
      <c r="Q1813" s="28"/>
      <c r="T1813" s="28"/>
      <c r="W1813" s="28"/>
      <c r="Z1813" s="28"/>
      <c r="AC1813" s="28"/>
      <c r="AF1813" s="28"/>
      <c r="AI1813" s="28"/>
      <c r="AL1813" s="28"/>
      <c r="AO1813" s="28"/>
      <c r="AR1813" s="28"/>
      <c r="AU1813" s="28"/>
      <c r="AX1813" s="28"/>
      <c r="BA1813" s="28"/>
      <c r="BD1813" s="28"/>
      <c r="BG1813" s="28"/>
      <c r="BJ1813" s="28"/>
      <c r="BM1813" s="28"/>
      <c r="BP1813" s="28"/>
      <c r="BS1813" s="28"/>
      <c r="BV1813" s="28"/>
      <c r="BY1813" s="28"/>
      <c r="CB1813" s="28"/>
      <c r="CE1813" s="28"/>
      <c r="CH1813" s="28"/>
      <c r="CK1813" s="28"/>
      <c r="CN1813" s="28"/>
      <c r="CQ1813" s="28"/>
      <c r="CT1813" s="28"/>
      <c r="CW1813" s="28"/>
      <c r="CZ1813" s="28"/>
      <c r="DC1813" s="28"/>
      <c r="DF1813" s="28"/>
      <c r="DI1813" s="28"/>
      <c r="DL1813" s="28"/>
      <c r="DO1813" s="28"/>
      <c r="DR1813" s="28"/>
      <c r="DU1813" s="28"/>
      <c r="DX1813" s="28"/>
      <c r="EA1813" s="28"/>
      <c r="ED1813" s="28"/>
      <c r="EG1813" s="28"/>
      <c r="EJ1813" s="28"/>
      <c r="EM1813" s="28"/>
      <c r="EP1813" s="28"/>
      <c r="ES1813" s="28"/>
      <c r="EV1813" s="28"/>
      <c r="EY1813" s="28"/>
      <c r="FB1813" s="28"/>
      <c r="FE1813" s="28"/>
      <c r="FH1813" s="28"/>
      <c r="FK1813" s="28"/>
      <c r="FN1813" s="28"/>
      <c r="FQ1813" s="28"/>
      <c r="FT1813" s="28"/>
      <c r="FW1813" s="28"/>
      <c r="FZ1813" s="28"/>
      <c r="GC1813" s="28"/>
    </row>
    <row r="1814" spans="1:185" s="25" customFormat="1" x14ac:dyDescent="0.3">
      <c r="A1814" s="27"/>
      <c r="B1814" s="28"/>
      <c r="C1814" s="27"/>
      <c r="D1814" s="26"/>
      <c r="E1814" s="28"/>
      <c r="H1814" s="28"/>
      <c r="K1814" s="28"/>
      <c r="N1814" s="28"/>
      <c r="Q1814" s="28"/>
      <c r="T1814" s="28"/>
      <c r="W1814" s="28"/>
      <c r="Z1814" s="28"/>
      <c r="AC1814" s="28"/>
      <c r="AF1814" s="28"/>
      <c r="AI1814" s="28"/>
      <c r="AL1814" s="28"/>
      <c r="AO1814" s="28"/>
      <c r="AR1814" s="28"/>
      <c r="AU1814" s="28"/>
      <c r="AX1814" s="28"/>
      <c r="BA1814" s="28"/>
      <c r="BD1814" s="28"/>
      <c r="BG1814" s="28"/>
      <c r="BJ1814" s="28"/>
      <c r="BM1814" s="28"/>
      <c r="BP1814" s="28"/>
      <c r="BS1814" s="28"/>
      <c r="BV1814" s="28"/>
      <c r="BY1814" s="28"/>
      <c r="CB1814" s="28"/>
      <c r="CE1814" s="28"/>
      <c r="CH1814" s="28"/>
      <c r="CK1814" s="28"/>
      <c r="CN1814" s="28"/>
      <c r="CQ1814" s="28"/>
      <c r="CT1814" s="28"/>
      <c r="CW1814" s="28"/>
      <c r="CZ1814" s="28"/>
      <c r="DC1814" s="28"/>
      <c r="DF1814" s="28"/>
      <c r="DI1814" s="28"/>
      <c r="DL1814" s="28"/>
      <c r="DO1814" s="28"/>
      <c r="DR1814" s="28"/>
      <c r="DU1814" s="28"/>
      <c r="DX1814" s="28"/>
      <c r="EA1814" s="28"/>
      <c r="ED1814" s="28"/>
      <c r="EG1814" s="28"/>
      <c r="EJ1814" s="28"/>
      <c r="EM1814" s="28"/>
      <c r="EP1814" s="28"/>
      <c r="ES1814" s="28"/>
      <c r="EV1814" s="28"/>
      <c r="EY1814" s="28"/>
      <c r="FB1814" s="28"/>
      <c r="FE1814" s="28"/>
      <c r="FH1814" s="28"/>
      <c r="FK1814" s="28"/>
      <c r="FN1814" s="28"/>
      <c r="FQ1814" s="28"/>
      <c r="FT1814" s="28"/>
      <c r="FW1814" s="28"/>
      <c r="FZ1814" s="28"/>
      <c r="GC1814" s="28"/>
    </row>
    <row r="1815" spans="1:185" s="25" customFormat="1" x14ac:dyDescent="0.3">
      <c r="A1815" s="27"/>
      <c r="B1815" s="28"/>
      <c r="C1815" s="27"/>
      <c r="D1815" s="26"/>
      <c r="E1815" s="28"/>
      <c r="H1815" s="28"/>
      <c r="K1815" s="28"/>
      <c r="N1815" s="28"/>
      <c r="Q1815" s="28"/>
      <c r="T1815" s="28"/>
      <c r="W1815" s="28"/>
      <c r="Z1815" s="28"/>
      <c r="AC1815" s="28"/>
      <c r="AF1815" s="28"/>
      <c r="AI1815" s="28"/>
      <c r="AL1815" s="28"/>
      <c r="AO1815" s="28"/>
      <c r="AR1815" s="28"/>
      <c r="AU1815" s="28"/>
      <c r="AX1815" s="28"/>
      <c r="BA1815" s="28"/>
      <c r="BD1815" s="28"/>
      <c r="BG1815" s="28"/>
      <c r="BJ1815" s="28"/>
      <c r="BM1815" s="28"/>
      <c r="BP1815" s="28"/>
      <c r="BS1815" s="28"/>
      <c r="BV1815" s="28"/>
      <c r="BY1815" s="28"/>
      <c r="CB1815" s="28"/>
      <c r="CE1815" s="28"/>
      <c r="CH1815" s="28"/>
      <c r="CK1815" s="28"/>
      <c r="CN1815" s="28"/>
      <c r="CQ1815" s="28"/>
      <c r="CT1815" s="28"/>
      <c r="CW1815" s="28"/>
      <c r="CZ1815" s="28"/>
      <c r="DC1815" s="28"/>
      <c r="DF1815" s="28"/>
      <c r="DI1815" s="28"/>
      <c r="DL1815" s="28"/>
      <c r="DO1815" s="28"/>
      <c r="DR1815" s="28"/>
      <c r="DU1815" s="28"/>
      <c r="DX1815" s="28"/>
      <c r="EA1815" s="28"/>
      <c r="ED1815" s="28"/>
      <c r="EG1815" s="28"/>
      <c r="EJ1815" s="28"/>
      <c r="EM1815" s="28"/>
      <c r="EP1815" s="28"/>
      <c r="ES1815" s="28"/>
      <c r="EV1815" s="28"/>
      <c r="EY1815" s="28"/>
      <c r="FB1815" s="28"/>
      <c r="FE1815" s="28"/>
      <c r="FH1815" s="28"/>
      <c r="FK1815" s="28"/>
      <c r="FN1815" s="28"/>
      <c r="FQ1815" s="28"/>
      <c r="FT1815" s="28"/>
      <c r="FW1815" s="28"/>
      <c r="FZ1815" s="28"/>
      <c r="GC1815" s="28"/>
    </row>
    <row r="1816" spans="1:185" s="25" customFormat="1" x14ac:dyDescent="0.3">
      <c r="A1816" s="27"/>
      <c r="B1816" s="28"/>
      <c r="C1816" s="27"/>
      <c r="D1816" s="26"/>
      <c r="E1816" s="28"/>
      <c r="H1816" s="28"/>
      <c r="K1816" s="28"/>
      <c r="N1816" s="28"/>
      <c r="Q1816" s="28"/>
      <c r="T1816" s="28"/>
      <c r="W1816" s="28"/>
      <c r="Z1816" s="28"/>
      <c r="AC1816" s="28"/>
      <c r="AF1816" s="28"/>
      <c r="AI1816" s="28"/>
      <c r="AL1816" s="28"/>
      <c r="AO1816" s="28"/>
      <c r="AR1816" s="28"/>
      <c r="AU1816" s="28"/>
      <c r="AX1816" s="28"/>
      <c r="BA1816" s="28"/>
      <c r="BD1816" s="28"/>
      <c r="BG1816" s="28"/>
      <c r="BJ1816" s="28"/>
      <c r="BM1816" s="28"/>
      <c r="BP1816" s="28"/>
      <c r="BS1816" s="28"/>
      <c r="BV1816" s="28"/>
      <c r="BY1816" s="28"/>
      <c r="CB1816" s="28"/>
      <c r="CE1816" s="28"/>
      <c r="CH1816" s="28"/>
      <c r="CK1816" s="28"/>
      <c r="CN1816" s="28"/>
      <c r="CQ1816" s="28"/>
      <c r="CT1816" s="28"/>
      <c r="CW1816" s="28"/>
      <c r="CZ1816" s="28"/>
      <c r="DC1816" s="28"/>
      <c r="DF1816" s="28"/>
      <c r="DI1816" s="28"/>
      <c r="DL1816" s="28"/>
      <c r="DO1816" s="28"/>
      <c r="DR1816" s="28"/>
      <c r="DU1816" s="28"/>
      <c r="DX1816" s="28"/>
      <c r="EA1816" s="28"/>
      <c r="ED1816" s="28"/>
      <c r="EG1816" s="28"/>
      <c r="EJ1816" s="28"/>
      <c r="EM1816" s="28"/>
      <c r="EP1816" s="28"/>
      <c r="ES1816" s="28"/>
      <c r="EV1816" s="28"/>
      <c r="EY1816" s="28"/>
      <c r="FB1816" s="28"/>
      <c r="FE1816" s="28"/>
      <c r="FH1816" s="28"/>
      <c r="FK1816" s="28"/>
      <c r="FN1816" s="28"/>
      <c r="FQ1816" s="28"/>
      <c r="FT1816" s="28"/>
      <c r="FW1816" s="28"/>
      <c r="FZ1816" s="28"/>
      <c r="GC1816" s="28"/>
    </row>
    <row r="1817" spans="1:185" s="25" customFormat="1" x14ac:dyDescent="0.3">
      <c r="A1817" s="27"/>
      <c r="B1817" s="28"/>
      <c r="C1817" s="27"/>
      <c r="D1817" s="26"/>
      <c r="E1817" s="28"/>
      <c r="H1817" s="28"/>
      <c r="K1817" s="28"/>
      <c r="N1817" s="28"/>
      <c r="Q1817" s="28"/>
      <c r="T1817" s="28"/>
      <c r="W1817" s="28"/>
      <c r="Z1817" s="28"/>
      <c r="AC1817" s="28"/>
      <c r="AF1817" s="28"/>
      <c r="AI1817" s="28"/>
      <c r="AL1817" s="28"/>
      <c r="AO1817" s="28"/>
      <c r="AR1817" s="28"/>
      <c r="AU1817" s="28"/>
      <c r="AX1817" s="28"/>
      <c r="BA1817" s="28"/>
      <c r="BD1817" s="28"/>
      <c r="BG1817" s="28"/>
      <c r="BJ1817" s="28"/>
      <c r="BM1817" s="28"/>
      <c r="BP1817" s="28"/>
      <c r="BS1817" s="28"/>
      <c r="BV1817" s="28"/>
      <c r="BY1817" s="28"/>
      <c r="CB1817" s="28"/>
      <c r="CE1817" s="28"/>
      <c r="CH1817" s="28"/>
      <c r="CK1817" s="28"/>
      <c r="CN1817" s="28"/>
      <c r="CQ1817" s="28"/>
      <c r="CT1817" s="28"/>
      <c r="CW1817" s="28"/>
      <c r="CZ1817" s="28"/>
      <c r="DC1817" s="28"/>
      <c r="DF1817" s="28"/>
      <c r="DI1817" s="28"/>
      <c r="DL1817" s="28"/>
      <c r="DO1817" s="28"/>
      <c r="DR1817" s="28"/>
      <c r="DU1817" s="28"/>
      <c r="DX1817" s="28"/>
      <c r="EA1817" s="28"/>
      <c r="ED1817" s="28"/>
      <c r="EG1817" s="28"/>
      <c r="EJ1817" s="28"/>
      <c r="EM1817" s="28"/>
      <c r="EP1817" s="28"/>
      <c r="ES1817" s="28"/>
      <c r="EV1817" s="28"/>
      <c r="EY1817" s="28"/>
      <c r="FB1817" s="28"/>
      <c r="FE1817" s="28"/>
      <c r="FH1817" s="28"/>
      <c r="FK1817" s="28"/>
      <c r="FN1817" s="28"/>
      <c r="FQ1817" s="28"/>
      <c r="FT1817" s="28"/>
      <c r="FW1817" s="28"/>
      <c r="FZ1817" s="28"/>
      <c r="GC1817" s="28"/>
    </row>
    <row r="1818" spans="1:185" s="25" customFormat="1" x14ac:dyDescent="0.3">
      <c r="A1818" s="27"/>
      <c r="B1818" s="28"/>
      <c r="C1818" s="27"/>
      <c r="D1818" s="26"/>
      <c r="E1818" s="28"/>
      <c r="H1818" s="28"/>
      <c r="K1818" s="28"/>
      <c r="N1818" s="28"/>
      <c r="Q1818" s="28"/>
      <c r="T1818" s="28"/>
      <c r="W1818" s="28"/>
      <c r="Z1818" s="28"/>
      <c r="AC1818" s="28"/>
      <c r="AF1818" s="28"/>
      <c r="AI1818" s="28"/>
      <c r="AL1818" s="28"/>
      <c r="AO1818" s="28"/>
      <c r="AR1818" s="28"/>
      <c r="AU1818" s="28"/>
      <c r="AX1818" s="28"/>
      <c r="BA1818" s="28"/>
      <c r="BD1818" s="28"/>
      <c r="BG1818" s="28"/>
      <c r="BJ1818" s="28"/>
      <c r="BM1818" s="28"/>
      <c r="BP1818" s="28"/>
      <c r="BS1818" s="28"/>
      <c r="BV1818" s="28"/>
      <c r="BY1818" s="28"/>
      <c r="CB1818" s="28"/>
      <c r="CE1818" s="28"/>
      <c r="CH1818" s="28"/>
      <c r="CK1818" s="28"/>
      <c r="CN1818" s="28"/>
      <c r="CQ1818" s="28"/>
      <c r="CT1818" s="28"/>
      <c r="CW1818" s="28"/>
      <c r="CZ1818" s="28"/>
      <c r="DC1818" s="28"/>
      <c r="DF1818" s="28"/>
      <c r="DI1818" s="28"/>
      <c r="DL1818" s="28"/>
      <c r="DO1818" s="28"/>
      <c r="DR1818" s="28"/>
      <c r="DU1818" s="28"/>
      <c r="DX1818" s="28"/>
      <c r="EA1818" s="28"/>
      <c r="ED1818" s="28"/>
      <c r="EG1818" s="28"/>
      <c r="EJ1818" s="28"/>
      <c r="EM1818" s="28"/>
      <c r="EP1818" s="28"/>
      <c r="ES1818" s="28"/>
      <c r="EV1818" s="28"/>
      <c r="EY1818" s="28"/>
      <c r="FB1818" s="28"/>
      <c r="FE1818" s="28"/>
      <c r="FH1818" s="28"/>
      <c r="FK1818" s="28"/>
      <c r="FN1818" s="28"/>
      <c r="FQ1818" s="28"/>
      <c r="FT1818" s="28"/>
      <c r="FW1818" s="28"/>
      <c r="FZ1818" s="28"/>
      <c r="GC1818" s="28"/>
    </row>
    <row r="1819" spans="1:185" s="25" customFormat="1" x14ac:dyDescent="0.3">
      <c r="A1819" s="27"/>
      <c r="B1819" s="28"/>
      <c r="C1819" s="27"/>
      <c r="D1819" s="26"/>
      <c r="E1819" s="28"/>
      <c r="H1819" s="28"/>
      <c r="K1819" s="28"/>
      <c r="N1819" s="28"/>
      <c r="Q1819" s="28"/>
      <c r="T1819" s="28"/>
      <c r="W1819" s="28"/>
      <c r="Z1819" s="28"/>
      <c r="AC1819" s="28"/>
      <c r="AF1819" s="28"/>
      <c r="AI1819" s="28"/>
      <c r="AL1819" s="28"/>
      <c r="AO1819" s="28"/>
      <c r="AR1819" s="28"/>
      <c r="AU1819" s="28"/>
      <c r="AX1819" s="28"/>
      <c r="BA1819" s="28"/>
      <c r="BD1819" s="28"/>
      <c r="BG1819" s="28"/>
      <c r="BJ1819" s="28"/>
      <c r="BM1819" s="28"/>
      <c r="BP1819" s="28"/>
      <c r="BS1819" s="28"/>
      <c r="BV1819" s="28"/>
      <c r="BY1819" s="28"/>
      <c r="CB1819" s="28"/>
      <c r="CE1819" s="28"/>
      <c r="CH1819" s="28"/>
      <c r="CK1819" s="28"/>
      <c r="CN1819" s="28"/>
      <c r="CQ1819" s="28"/>
      <c r="CT1819" s="28"/>
      <c r="CW1819" s="28"/>
      <c r="CZ1819" s="28"/>
      <c r="DC1819" s="28"/>
      <c r="DF1819" s="28"/>
      <c r="DI1819" s="28"/>
      <c r="DL1819" s="28"/>
      <c r="DO1819" s="28"/>
      <c r="DR1819" s="28"/>
      <c r="DU1819" s="28"/>
      <c r="DX1819" s="28"/>
      <c r="EA1819" s="28"/>
      <c r="ED1819" s="28"/>
      <c r="EG1819" s="28"/>
      <c r="EJ1819" s="28"/>
      <c r="EM1819" s="28"/>
      <c r="EP1819" s="28"/>
      <c r="ES1819" s="28"/>
      <c r="EV1819" s="28"/>
      <c r="EY1819" s="28"/>
      <c r="FB1819" s="28"/>
      <c r="FE1819" s="28"/>
      <c r="FH1819" s="28"/>
      <c r="FK1819" s="28"/>
      <c r="FN1819" s="28"/>
      <c r="FQ1819" s="28"/>
      <c r="FT1819" s="28"/>
      <c r="FW1819" s="28"/>
      <c r="FZ1819" s="28"/>
      <c r="GC1819" s="28"/>
    </row>
    <row r="1820" spans="1:185" s="25" customFormat="1" x14ac:dyDescent="0.3">
      <c r="A1820" s="27"/>
      <c r="B1820" s="28"/>
      <c r="C1820" s="27"/>
      <c r="D1820" s="26"/>
      <c r="E1820" s="28"/>
      <c r="H1820" s="28"/>
      <c r="K1820" s="28"/>
      <c r="N1820" s="28"/>
      <c r="Q1820" s="28"/>
      <c r="T1820" s="28"/>
      <c r="W1820" s="28"/>
      <c r="Z1820" s="28"/>
      <c r="AC1820" s="28"/>
      <c r="AF1820" s="28"/>
      <c r="AI1820" s="28"/>
      <c r="AL1820" s="28"/>
      <c r="AO1820" s="28"/>
      <c r="AR1820" s="28"/>
      <c r="AU1820" s="28"/>
      <c r="AX1820" s="28"/>
      <c r="BA1820" s="28"/>
      <c r="BD1820" s="28"/>
      <c r="BG1820" s="28"/>
      <c r="BJ1820" s="28"/>
      <c r="BM1820" s="28"/>
      <c r="BP1820" s="28"/>
      <c r="BS1820" s="28"/>
      <c r="BV1820" s="28"/>
      <c r="BY1820" s="28"/>
      <c r="CB1820" s="28"/>
      <c r="CE1820" s="28"/>
      <c r="CH1820" s="28"/>
      <c r="CK1820" s="28"/>
      <c r="CN1820" s="28"/>
      <c r="CQ1820" s="28"/>
      <c r="CT1820" s="28"/>
      <c r="CW1820" s="28"/>
      <c r="CZ1820" s="28"/>
      <c r="DC1820" s="28"/>
      <c r="DF1820" s="28"/>
      <c r="DI1820" s="28"/>
      <c r="DL1820" s="28"/>
      <c r="DO1820" s="28"/>
      <c r="DR1820" s="28"/>
      <c r="DU1820" s="28"/>
      <c r="DX1820" s="28"/>
      <c r="EA1820" s="28"/>
      <c r="ED1820" s="28"/>
      <c r="EG1820" s="28"/>
      <c r="EJ1820" s="28"/>
      <c r="EM1820" s="28"/>
      <c r="EP1820" s="28"/>
      <c r="ES1820" s="28"/>
      <c r="EV1820" s="28"/>
      <c r="EY1820" s="28"/>
      <c r="FB1820" s="28"/>
      <c r="FE1820" s="28"/>
      <c r="FH1820" s="28"/>
      <c r="FK1820" s="28"/>
      <c r="FN1820" s="28"/>
      <c r="FQ1820" s="28"/>
      <c r="FT1820" s="28"/>
      <c r="FW1820" s="28"/>
      <c r="FZ1820" s="28"/>
      <c r="GC1820" s="28"/>
    </row>
    <row r="1821" spans="1:185" s="25" customFormat="1" x14ac:dyDescent="0.3">
      <c r="A1821" s="27"/>
      <c r="B1821" s="28"/>
      <c r="C1821" s="27"/>
      <c r="D1821" s="26"/>
      <c r="E1821" s="28"/>
      <c r="H1821" s="28"/>
      <c r="K1821" s="28"/>
      <c r="N1821" s="28"/>
      <c r="Q1821" s="28"/>
      <c r="T1821" s="28"/>
      <c r="W1821" s="28"/>
      <c r="Z1821" s="28"/>
      <c r="AC1821" s="28"/>
      <c r="AF1821" s="28"/>
      <c r="AI1821" s="28"/>
      <c r="AL1821" s="28"/>
      <c r="AO1821" s="28"/>
      <c r="AR1821" s="28"/>
      <c r="AU1821" s="28"/>
      <c r="AX1821" s="28"/>
      <c r="BA1821" s="28"/>
      <c r="BD1821" s="28"/>
      <c r="BG1821" s="28"/>
      <c r="BJ1821" s="28"/>
      <c r="BM1821" s="28"/>
      <c r="BP1821" s="28"/>
      <c r="BS1821" s="28"/>
      <c r="BV1821" s="28"/>
      <c r="BY1821" s="28"/>
      <c r="CB1821" s="28"/>
      <c r="CE1821" s="28"/>
      <c r="CH1821" s="28"/>
      <c r="CK1821" s="28"/>
      <c r="CN1821" s="28"/>
      <c r="CQ1821" s="28"/>
      <c r="CT1821" s="28"/>
      <c r="CW1821" s="28"/>
      <c r="CZ1821" s="28"/>
      <c r="DC1821" s="28"/>
      <c r="DF1821" s="28"/>
      <c r="DI1821" s="28"/>
      <c r="DL1821" s="28"/>
      <c r="DO1821" s="28"/>
      <c r="DR1821" s="28"/>
      <c r="DU1821" s="28"/>
      <c r="DX1821" s="28"/>
      <c r="EA1821" s="28"/>
      <c r="ED1821" s="28"/>
      <c r="EG1821" s="28"/>
      <c r="EJ1821" s="28"/>
      <c r="EM1821" s="28"/>
      <c r="EP1821" s="28"/>
      <c r="ES1821" s="28"/>
      <c r="EV1821" s="28"/>
      <c r="EY1821" s="28"/>
      <c r="FB1821" s="28"/>
      <c r="FE1821" s="28"/>
      <c r="FH1821" s="28"/>
      <c r="FK1821" s="28"/>
      <c r="FN1821" s="28"/>
      <c r="FQ1821" s="28"/>
      <c r="FT1821" s="28"/>
      <c r="FW1821" s="28"/>
      <c r="FZ1821" s="28"/>
      <c r="GC1821" s="28"/>
    </row>
    <row r="1822" spans="1:185" s="25" customFormat="1" x14ac:dyDescent="0.3">
      <c r="A1822" s="27"/>
      <c r="B1822" s="28"/>
      <c r="C1822" s="27"/>
      <c r="D1822" s="26"/>
      <c r="E1822" s="28"/>
      <c r="H1822" s="28"/>
      <c r="K1822" s="28"/>
      <c r="N1822" s="28"/>
      <c r="Q1822" s="28"/>
      <c r="T1822" s="28"/>
      <c r="W1822" s="28"/>
      <c r="Z1822" s="28"/>
      <c r="AC1822" s="28"/>
      <c r="AF1822" s="28"/>
      <c r="AI1822" s="28"/>
      <c r="AL1822" s="28"/>
      <c r="AO1822" s="28"/>
      <c r="AR1822" s="28"/>
      <c r="AU1822" s="28"/>
      <c r="AX1822" s="28"/>
      <c r="BA1822" s="28"/>
      <c r="BD1822" s="28"/>
      <c r="BG1822" s="28"/>
      <c r="BJ1822" s="28"/>
      <c r="BM1822" s="28"/>
      <c r="BP1822" s="28"/>
      <c r="BS1822" s="28"/>
      <c r="BV1822" s="28"/>
      <c r="BY1822" s="28"/>
      <c r="CB1822" s="28"/>
      <c r="CE1822" s="28"/>
      <c r="CH1822" s="28"/>
      <c r="CK1822" s="28"/>
      <c r="CN1822" s="28"/>
      <c r="CQ1822" s="28"/>
      <c r="CT1822" s="28"/>
      <c r="CW1822" s="28"/>
      <c r="CZ1822" s="28"/>
      <c r="DC1822" s="28"/>
      <c r="DF1822" s="28"/>
      <c r="DI1822" s="28"/>
      <c r="DL1822" s="28"/>
      <c r="DO1822" s="28"/>
      <c r="DR1822" s="28"/>
      <c r="DU1822" s="28"/>
      <c r="DX1822" s="28"/>
      <c r="EA1822" s="28"/>
      <c r="ED1822" s="28"/>
      <c r="EG1822" s="28"/>
      <c r="EJ1822" s="28"/>
      <c r="EM1822" s="28"/>
      <c r="EP1822" s="28"/>
      <c r="ES1822" s="28"/>
      <c r="EV1822" s="28"/>
      <c r="EY1822" s="28"/>
      <c r="FB1822" s="28"/>
      <c r="FE1822" s="28"/>
      <c r="FH1822" s="28"/>
      <c r="FK1822" s="28"/>
      <c r="FN1822" s="28"/>
      <c r="FQ1822" s="28"/>
      <c r="FT1822" s="28"/>
      <c r="FW1822" s="28"/>
      <c r="FZ1822" s="28"/>
      <c r="GC1822" s="28"/>
    </row>
    <row r="1823" spans="1:185" s="25" customFormat="1" x14ac:dyDescent="0.3">
      <c r="A1823" s="27"/>
      <c r="B1823" s="28"/>
      <c r="C1823" s="27"/>
      <c r="D1823" s="26"/>
      <c r="E1823" s="28"/>
      <c r="H1823" s="28"/>
      <c r="K1823" s="28"/>
      <c r="N1823" s="28"/>
      <c r="Q1823" s="28"/>
      <c r="T1823" s="28"/>
      <c r="W1823" s="28"/>
      <c r="Z1823" s="28"/>
      <c r="AC1823" s="28"/>
      <c r="AF1823" s="28"/>
      <c r="AI1823" s="28"/>
      <c r="AL1823" s="28"/>
      <c r="AO1823" s="28"/>
      <c r="AR1823" s="28"/>
      <c r="AU1823" s="28"/>
      <c r="AX1823" s="28"/>
      <c r="BA1823" s="28"/>
      <c r="BD1823" s="28"/>
      <c r="BG1823" s="28"/>
      <c r="BJ1823" s="28"/>
      <c r="BM1823" s="28"/>
      <c r="BP1823" s="28"/>
      <c r="BS1823" s="28"/>
      <c r="BV1823" s="28"/>
      <c r="BY1823" s="28"/>
      <c r="CB1823" s="28"/>
      <c r="CE1823" s="28"/>
      <c r="CH1823" s="28"/>
      <c r="CK1823" s="28"/>
      <c r="CN1823" s="28"/>
      <c r="CQ1823" s="28"/>
      <c r="CT1823" s="28"/>
      <c r="CW1823" s="28"/>
      <c r="CZ1823" s="28"/>
      <c r="DC1823" s="28"/>
      <c r="DF1823" s="28"/>
      <c r="DI1823" s="28"/>
      <c r="DL1823" s="28"/>
      <c r="DO1823" s="28"/>
      <c r="DR1823" s="28"/>
      <c r="DU1823" s="28"/>
      <c r="DX1823" s="28"/>
      <c r="EA1823" s="28"/>
      <c r="ED1823" s="28"/>
      <c r="EG1823" s="28"/>
      <c r="EJ1823" s="28"/>
      <c r="EM1823" s="28"/>
      <c r="EP1823" s="28"/>
      <c r="ES1823" s="28"/>
      <c r="EV1823" s="28"/>
      <c r="EY1823" s="28"/>
      <c r="FB1823" s="28"/>
      <c r="FE1823" s="28"/>
      <c r="FH1823" s="28"/>
      <c r="FK1823" s="28"/>
      <c r="FN1823" s="28"/>
      <c r="FQ1823" s="28"/>
      <c r="FT1823" s="28"/>
      <c r="FW1823" s="28"/>
      <c r="FZ1823" s="28"/>
      <c r="GC1823" s="28"/>
    </row>
    <row r="1824" spans="1:185" s="25" customFormat="1" x14ac:dyDescent="0.3">
      <c r="A1824" s="27"/>
      <c r="B1824" s="28"/>
      <c r="C1824" s="27"/>
      <c r="D1824" s="26"/>
      <c r="E1824" s="28"/>
      <c r="H1824" s="28"/>
      <c r="K1824" s="28"/>
      <c r="N1824" s="28"/>
      <c r="Q1824" s="28"/>
      <c r="T1824" s="28"/>
      <c r="W1824" s="28"/>
      <c r="Z1824" s="28"/>
      <c r="AC1824" s="28"/>
      <c r="AF1824" s="28"/>
      <c r="AI1824" s="28"/>
      <c r="AL1824" s="28"/>
      <c r="AO1824" s="28"/>
      <c r="AR1824" s="28"/>
      <c r="AU1824" s="28"/>
      <c r="AX1824" s="28"/>
      <c r="BA1824" s="28"/>
      <c r="BD1824" s="28"/>
      <c r="BG1824" s="28"/>
      <c r="BJ1824" s="28"/>
      <c r="BM1824" s="28"/>
      <c r="BP1824" s="28"/>
      <c r="BS1824" s="28"/>
      <c r="BV1824" s="28"/>
      <c r="BY1824" s="28"/>
      <c r="CB1824" s="28"/>
      <c r="CE1824" s="28"/>
      <c r="CH1824" s="28"/>
      <c r="CK1824" s="28"/>
      <c r="CN1824" s="28"/>
      <c r="CQ1824" s="28"/>
      <c r="CT1824" s="28"/>
      <c r="CW1824" s="28"/>
      <c r="CZ1824" s="28"/>
      <c r="DC1824" s="28"/>
      <c r="DF1824" s="28"/>
      <c r="DI1824" s="28"/>
      <c r="DL1824" s="28"/>
      <c r="DO1824" s="28"/>
      <c r="DR1824" s="28"/>
      <c r="DU1824" s="28"/>
      <c r="DX1824" s="28"/>
      <c r="EA1824" s="28"/>
      <c r="ED1824" s="28"/>
      <c r="EG1824" s="28"/>
      <c r="EJ1824" s="28"/>
      <c r="EM1824" s="28"/>
      <c r="EP1824" s="28"/>
      <c r="ES1824" s="28"/>
      <c r="EV1824" s="28"/>
      <c r="EY1824" s="28"/>
      <c r="FB1824" s="28"/>
      <c r="FE1824" s="28"/>
      <c r="FH1824" s="28"/>
      <c r="FK1824" s="28"/>
      <c r="FN1824" s="28"/>
      <c r="FQ1824" s="28"/>
      <c r="FT1824" s="28"/>
      <c r="FW1824" s="28"/>
      <c r="FZ1824" s="28"/>
      <c r="GC1824" s="28"/>
    </row>
    <row r="1825" spans="1:185" s="25" customFormat="1" x14ac:dyDescent="0.3">
      <c r="A1825" s="27"/>
      <c r="B1825" s="28"/>
      <c r="C1825" s="27"/>
      <c r="D1825" s="26"/>
      <c r="E1825" s="28"/>
      <c r="H1825" s="28"/>
      <c r="K1825" s="28"/>
      <c r="N1825" s="28"/>
      <c r="Q1825" s="28"/>
      <c r="T1825" s="28"/>
      <c r="W1825" s="28"/>
      <c r="Z1825" s="28"/>
      <c r="AC1825" s="28"/>
      <c r="AF1825" s="28"/>
      <c r="AI1825" s="28"/>
      <c r="AL1825" s="28"/>
      <c r="AO1825" s="28"/>
      <c r="AR1825" s="28"/>
      <c r="AU1825" s="28"/>
      <c r="AX1825" s="28"/>
      <c r="BA1825" s="28"/>
      <c r="BD1825" s="28"/>
      <c r="BG1825" s="28"/>
      <c r="BJ1825" s="28"/>
      <c r="BM1825" s="28"/>
      <c r="BP1825" s="28"/>
      <c r="BS1825" s="28"/>
      <c r="BV1825" s="28"/>
      <c r="BY1825" s="28"/>
      <c r="CB1825" s="28"/>
      <c r="CE1825" s="28"/>
      <c r="CH1825" s="28"/>
      <c r="CK1825" s="28"/>
      <c r="CN1825" s="28"/>
      <c r="CQ1825" s="28"/>
      <c r="CT1825" s="28"/>
      <c r="CW1825" s="28"/>
      <c r="CZ1825" s="28"/>
      <c r="DC1825" s="28"/>
      <c r="DF1825" s="28"/>
      <c r="DI1825" s="28"/>
      <c r="DL1825" s="28"/>
      <c r="DO1825" s="28"/>
      <c r="DR1825" s="28"/>
      <c r="DU1825" s="28"/>
      <c r="DX1825" s="28"/>
      <c r="EA1825" s="28"/>
      <c r="ED1825" s="28"/>
      <c r="EG1825" s="28"/>
      <c r="EJ1825" s="28"/>
      <c r="EM1825" s="28"/>
      <c r="EP1825" s="28"/>
      <c r="ES1825" s="28"/>
      <c r="EV1825" s="28"/>
      <c r="EY1825" s="28"/>
      <c r="FB1825" s="28"/>
      <c r="FE1825" s="28"/>
      <c r="FH1825" s="28"/>
      <c r="FK1825" s="28"/>
      <c r="FN1825" s="28"/>
      <c r="FQ1825" s="28"/>
      <c r="FT1825" s="28"/>
      <c r="FW1825" s="28"/>
      <c r="FZ1825" s="28"/>
      <c r="GC1825" s="28"/>
    </row>
    <row r="1826" spans="1:185" s="25" customFormat="1" x14ac:dyDescent="0.3">
      <c r="A1826" s="27"/>
      <c r="B1826" s="28"/>
      <c r="C1826" s="27"/>
      <c r="D1826" s="26"/>
      <c r="E1826" s="28"/>
      <c r="H1826" s="28"/>
      <c r="K1826" s="28"/>
      <c r="N1826" s="28"/>
      <c r="Q1826" s="28"/>
      <c r="T1826" s="28"/>
      <c r="W1826" s="28"/>
      <c r="Z1826" s="28"/>
      <c r="AC1826" s="28"/>
      <c r="AF1826" s="28"/>
      <c r="AI1826" s="28"/>
      <c r="AL1826" s="28"/>
      <c r="AO1826" s="28"/>
      <c r="AR1826" s="28"/>
      <c r="AU1826" s="28"/>
      <c r="AX1826" s="28"/>
      <c r="BA1826" s="28"/>
      <c r="BD1826" s="28"/>
      <c r="BG1826" s="28"/>
      <c r="BJ1826" s="28"/>
      <c r="BM1826" s="28"/>
      <c r="BP1826" s="28"/>
      <c r="BS1826" s="28"/>
      <c r="BV1826" s="28"/>
      <c r="BY1826" s="28"/>
      <c r="CB1826" s="28"/>
      <c r="CE1826" s="28"/>
      <c r="CH1826" s="28"/>
      <c r="CK1826" s="28"/>
      <c r="CN1826" s="28"/>
      <c r="CQ1826" s="28"/>
      <c r="CT1826" s="28"/>
      <c r="CW1826" s="28"/>
      <c r="CZ1826" s="28"/>
      <c r="DC1826" s="28"/>
      <c r="DF1826" s="28"/>
      <c r="DI1826" s="28"/>
      <c r="DL1826" s="28"/>
      <c r="DO1826" s="28"/>
      <c r="DR1826" s="28"/>
      <c r="DU1826" s="28"/>
      <c r="DX1826" s="28"/>
      <c r="EA1826" s="28"/>
      <c r="ED1826" s="28"/>
      <c r="EG1826" s="28"/>
      <c r="EJ1826" s="28"/>
      <c r="EM1826" s="28"/>
      <c r="EP1826" s="28"/>
      <c r="ES1826" s="28"/>
      <c r="EV1826" s="28"/>
      <c r="EY1826" s="28"/>
      <c r="FB1826" s="28"/>
      <c r="FE1826" s="28"/>
      <c r="FH1826" s="28"/>
      <c r="FK1826" s="28"/>
      <c r="FN1826" s="28"/>
      <c r="FQ1826" s="28"/>
      <c r="FT1826" s="28"/>
      <c r="FW1826" s="28"/>
      <c r="FZ1826" s="28"/>
      <c r="GC1826" s="28"/>
    </row>
    <row r="1827" spans="1:185" s="25" customFormat="1" x14ac:dyDescent="0.3">
      <c r="A1827" s="27"/>
      <c r="B1827" s="28"/>
      <c r="C1827" s="27"/>
      <c r="D1827" s="26"/>
      <c r="E1827" s="28"/>
      <c r="H1827" s="28"/>
      <c r="K1827" s="28"/>
      <c r="N1827" s="28"/>
      <c r="Q1827" s="28"/>
      <c r="T1827" s="28"/>
      <c r="W1827" s="28"/>
      <c r="Z1827" s="28"/>
      <c r="AC1827" s="28"/>
      <c r="AF1827" s="28"/>
      <c r="AI1827" s="28"/>
      <c r="AL1827" s="28"/>
      <c r="AO1827" s="28"/>
      <c r="AR1827" s="28"/>
      <c r="AU1827" s="28"/>
      <c r="AX1827" s="28"/>
      <c r="BA1827" s="28"/>
      <c r="BD1827" s="28"/>
      <c r="BG1827" s="28"/>
      <c r="BJ1827" s="28"/>
      <c r="BM1827" s="28"/>
      <c r="BP1827" s="28"/>
      <c r="BS1827" s="28"/>
      <c r="BV1827" s="28"/>
      <c r="BY1827" s="28"/>
      <c r="CB1827" s="28"/>
      <c r="CE1827" s="28"/>
      <c r="CH1827" s="28"/>
      <c r="CK1827" s="28"/>
      <c r="CN1827" s="28"/>
      <c r="CQ1827" s="28"/>
      <c r="CT1827" s="28"/>
      <c r="CW1827" s="28"/>
      <c r="CZ1827" s="28"/>
      <c r="DC1827" s="28"/>
      <c r="DF1827" s="28"/>
      <c r="DI1827" s="28"/>
      <c r="DL1827" s="28"/>
      <c r="DO1827" s="28"/>
      <c r="DR1827" s="28"/>
      <c r="DU1827" s="28"/>
      <c r="DX1827" s="28"/>
      <c r="EA1827" s="28"/>
      <c r="ED1827" s="28"/>
      <c r="EG1827" s="28"/>
      <c r="EJ1827" s="28"/>
      <c r="EM1827" s="28"/>
      <c r="EP1827" s="28"/>
      <c r="ES1827" s="28"/>
      <c r="EV1827" s="28"/>
      <c r="EY1827" s="28"/>
      <c r="FB1827" s="28"/>
      <c r="FE1827" s="28"/>
      <c r="FH1827" s="28"/>
      <c r="FK1827" s="28"/>
      <c r="FN1827" s="28"/>
      <c r="FQ1827" s="28"/>
      <c r="FT1827" s="28"/>
      <c r="FW1827" s="28"/>
      <c r="FZ1827" s="28"/>
      <c r="GC1827" s="28"/>
    </row>
    <row r="1828" spans="1:185" s="25" customFormat="1" x14ac:dyDescent="0.3">
      <c r="A1828" s="27"/>
      <c r="B1828" s="28"/>
      <c r="C1828" s="27"/>
      <c r="D1828" s="26"/>
      <c r="E1828" s="28"/>
      <c r="H1828" s="28"/>
      <c r="K1828" s="28"/>
      <c r="N1828" s="28"/>
      <c r="Q1828" s="28"/>
      <c r="T1828" s="28"/>
      <c r="W1828" s="28"/>
      <c r="Z1828" s="28"/>
      <c r="AC1828" s="28"/>
      <c r="AF1828" s="28"/>
      <c r="AI1828" s="28"/>
      <c r="AL1828" s="28"/>
      <c r="AO1828" s="28"/>
      <c r="AR1828" s="28"/>
      <c r="AU1828" s="28"/>
      <c r="AX1828" s="28"/>
      <c r="BA1828" s="28"/>
      <c r="BD1828" s="28"/>
      <c r="BG1828" s="28"/>
      <c r="BJ1828" s="28"/>
      <c r="BM1828" s="28"/>
      <c r="BP1828" s="28"/>
      <c r="BS1828" s="28"/>
      <c r="BV1828" s="28"/>
      <c r="BY1828" s="28"/>
      <c r="CB1828" s="28"/>
      <c r="CE1828" s="28"/>
      <c r="CH1828" s="28"/>
      <c r="CK1828" s="28"/>
      <c r="CN1828" s="28"/>
      <c r="CQ1828" s="28"/>
      <c r="CT1828" s="28"/>
      <c r="CW1828" s="28"/>
      <c r="CZ1828" s="28"/>
      <c r="DC1828" s="28"/>
      <c r="DF1828" s="28"/>
      <c r="DI1828" s="28"/>
      <c r="DL1828" s="28"/>
      <c r="DO1828" s="28"/>
      <c r="DR1828" s="28"/>
      <c r="DU1828" s="28"/>
      <c r="DX1828" s="28"/>
      <c r="EA1828" s="28"/>
      <c r="ED1828" s="28"/>
      <c r="EG1828" s="28"/>
      <c r="EJ1828" s="28"/>
      <c r="EM1828" s="28"/>
      <c r="EP1828" s="28"/>
      <c r="ES1828" s="28"/>
      <c r="EV1828" s="28"/>
      <c r="EY1828" s="28"/>
      <c r="FB1828" s="28"/>
      <c r="FE1828" s="28"/>
      <c r="FH1828" s="28"/>
      <c r="FK1828" s="28"/>
      <c r="FN1828" s="28"/>
      <c r="FQ1828" s="28"/>
      <c r="FT1828" s="28"/>
      <c r="FW1828" s="28"/>
      <c r="FZ1828" s="28"/>
      <c r="GC1828" s="28"/>
    </row>
    <row r="1829" spans="1:185" s="25" customFormat="1" x14ac:dyDescent="0.3">
      <c r="A1829" s="27"/>
      <c r="B1829" s="28"/>
      <c r="C1829" s="27"/>
      <c r="D1829" s="26"/>
      <c r="E1829" s="28"/>
      <c r="H1829" s="28"/>
      <c r="K1829" s="28"/>
      <c r="N1829" s="28"/>
      <c r="Q1829" s="28"/>
      <c r="T1829" s="28"/>
      <c r="W1829" s="28"/>
      <c r="Z1829" s="28"/>
      <c r="AC1829" s="28"/>
      <c r="AF1829" s="28"/>
      <c r="AI1829" s="28"/>
      <c r="AL1829" s="28"/>
      <c r="AO1829" s="28"/>
      <c r="AR1829" s="28"/>
      <c r="AU1829" s="28"/>
      <c r="AX1829" s="28"/>
      <c r="BA1829" s="28"/>
      <c r="BD1829" s="28"/>
      <c r="BG1829" s="28"/>
      <c r="BJ1829" s="28"/>
      <c r="BM1829" s="28"/>
      <c r="BP1829" s="28"/>
      <c r="BS1829" s="28"/>
      <c r="BV1829" s="28"/>
      <c r="BY1829" s="28"/>
      <c r="CB1829" s="28"/>
      <c r="CE1829" s="28"/>
      <c r="CH1829" s="28"/>
      <c r="CK1829" s="28"/>
      <c r="CN1829" s="28"/>
      <c r="CQ1829" s="28"/>
      <c r="CT1829" s="28"/>
      <c r="CW1829" s="28"/>
      <c r="CZ1829" s="28"/>
      <c r="DC1829" s="28"/>
      <c r="DF1829" s="28"/>
      <c r="DI1829" s="28"/>
      <c r="DL1829" s="28"/>
      <c r="DO1829" s="28"/>
      <c r="DR1829" s="28"/>
      <c r="DU1829" s="28"/>
      <c r="DX1829" s="28"/>
      <c r="EA1829" s="28"/>
      <c r="ED1829" s="28"/>
      <c r="EG1829" s="28"/>
      <c r="EJ1829" s="28"/>
      <c r="EM1829" s="28"/>
      <c r="EP1829" s="28"/>
      <c r="ES1829" s="28"/>
      <c r="EV1829" s="28"/>
      <c r="EY1829" s="28"/>
      <c r="FB1829" s="28"/>
      <c r="FE1829" s="28"/>
      <c r="FH1829" s="28"/>
      <c r="FK1829" s="28"/>
      <c r="FN1829" s="28"/>
      <c r="FQ1829" s="28"/>
      <c r="FT1829" s="28"/>
      <c r="FW1829" s="28"/>
      <c r="FZ1829" s="28"/>
      <c r="GC1829" s="28"/>
    </row>
    <row r="1830" spans="1:185" s="25" customFormat="1" x14ac:dyDescent="0.3">
      <c r="A1830" s="27"/>
      <c r="B1830" s="28"/>
      <c r="C1830" s="27"/>
      <c r="D1830" s="26"/>
      <c r="E1830" s="28"/>
      <c r="H1830" s="28"/>
      <c r="K1830" s="28"/>
      <c r="N1830" s="28"/>
      <c r="Q1830" s="28"/>
      <c r="T1830" s="28"/>
      <c r="W1830" s="28"/>
      <c r="Z1830" s="28"/>
      <c r="AC1830" s="28"/>
      <c r="AF1830" s="28"/>
      <c r="AI1830" s="28"/>
      <c r="AL1830" s="28"/>
      <c r="AO1830" s="28"/>
      <c r="AR1830" s="28"/>
      <c r="AU1830" s="28"/>
      <c r="AX1830" s="28"/>
      <c r="BA1830" s="28"/>
      <c r="BD1830" s="28"/>
      <c r="BG1830" s="28"/>
      <c r="BJ1830" s="28"/>
      <c r="BM1830" s="28"/>
      <c r="BP1830" s="28"/>
      <c r="BS1830" s="28"/>
      <c r="BV1830" s="28"/>
      <c r="BY1830" s="28"/>
      <c r="CB1830" s="28"/>
      <c r="CE1830" s="28"/>
      <c r="CH1830" s="28"/>
      <c r="CK1830" s="28"/>
      <c r="CN1830" s="28"/>
      <c r="CQ1830" s="28"/>
      <c r="CT1830" s="28"/>
      <c r="CW1830" s="28"/>
      <c r="CZ1830" s="28"/>
      <c r="DC1830" s="28"/>
      <c r="DF1830" s="28"/>
      <c r="DI1830" s="28"/>
      <c r="DL1830" s="28"/>
      <c r="DO1830" s="28"/>
      <c r="DR1830" s="28"/>
      <c r="DU1830" s="28"/>
      <c r="DX1830" s="28"/>
      <c r="EA1830" s="28"/>
      <c r="ED1830" s="28"/>
      <c r="EG1830" s="28"/>
      <c r="EJ1830" s="28"/>
      <c r="EM1830" s="28"/>
      <c r="EP1830" s="28"/>
      <c r="ES1830" s="28"/>
      <c r="EV1830" s="28"/>
      <c r="EY1830" s="28"/>
      <c r="FB1830" s="28"/>
      <c r="FE1830" s="28"/>
      <c r="FH1830" s="28"/>
      <c r="FK1830" s="28"/>
      <c r="FN1830" s="28"/>
      <c r="FQ1830" s="28"/>
      <c r="FT1830" s="28"/>
      <c r="FW1830" s="28"/>
      <c r="FZ1830" s="28"/>
      <c r="GC1830" s="28"/>
    </row>
    <row r="1831" spans="1:185" s="25" customFormat="1" x14ac:dyDescent="0.3">
      <c r="A1831" s="27"/>
      <c r="B1831" s="28"/>
      <c r="C1831" s="27"/>
      <c r="D1831" s="26"/>
      <c r="E1831" s="28"/>
      <c r="H1831" s="28"/>
      <c r="K1831" s="28"/>
      <c r="N1831" s="28"/>
      <c r="Q1831" s="28"/>
      <c r="T1831" s="28"/>
      <c r="W1831" s="28"/>
      <c r="Z1831" s="28"/>
      <c r="AC1831" s="28"/>
      <c r="AF1831" s="28"/>
      <c r="AI1831" s="28"/>
      <c r="AL1831" s="28"/>
      <c r="AO1831" s="28"/>
      <c r="AR1831" s="28"/>
      <c r="AU1831" s="28"/>
      <c r="AX1831" s="28"/>
      <c r="BA1831" s="28"/>
      <c r="BD1831" s="28"/>
      <c r="BG1831" s="28"/>
      <c r="BJ1831" s="28"/>
      <c r="BM1831" s="28"/>
      <c r="BP1831" s="28"/>
      <c r="BS1831" s="28"/>
      <c r="BV1831" s="28"/>
      <c r="BY1831" s="28"/>
      <c r="CB1831" s="28"/>
      <c r="CE1831" s="28"/>
      <c r="CH1831" s="28"/>
      <c r="CK1831" s="28"/>
      <c r="CN1831" s="28"/>
      <c r="CQ1831" s="28"/>
      <c r="CT1831" s="28"/>
      <c r="CW1831" s="28"/>
      <c r="CZ1831" s="28"/>
      <c r="DC1831" s="28"/>
      <c r="DF1831" s="28"/>
      <c r="DI1831" s="28"/>
      <c r="DL1831" s="28"/>
      <c r="DO1831" s="28"/>
      <c r="DR1831" s="28"/>
      <c r="DU1831" s="28"/>
      <c r="DX1831" s="28"/>
      <c r="EA1831" s="28"/>
      <c r="ED1831" s="28"/>
      <c r="EG1831" s="28"/>
      <c r="EJ1831" s="28"/>
      <c r="EM1831" s="28"/>
      <c r="EP1831" s="28"/>
      <c r="ES1831" s="28"/>
      <c r="EV1831" s="28"/>
      <c r="EY1831" s="28"/>
      <c r="FB1831" s="28"/>
      <c r="FE1831" s="28"/>
      <c r="FH1831" s="28"/>
      <c r="FK1831" s="28"/>
      <c r="FN1831" s="28"/>
      <c r="FQ1831" s="28"/>
      <c r="FT1831" s="28"/>
      <c r="FW1831" s="28"/>
      <c r="FZ1831" s="28"/>
      <c r="GC1831" s="28"/>
    </row>
    <row r="1832" spans="1:185" s="25" customFormat="1" x14ac:dyDescent="0.3">
      <c r="A1832" s="27"/>
      <c r="B1832" s="28"/>
      <c r="C1832" s="27"/>
      <c r="D1832" s="26"/>
      <c r="E1832" s="28"/>
      <c r="H1832" s="28"/>
      <c r="K1832" s="28"/>
      <c r="N1832" s="28"/>
      <c r="Q1832" s="28"/>
      <c r="T1832" s="28"/>
      <c r="W1832" s="28"/>
      <c r="Z1832" s="28"/>
      <c r="AC1832" s="28"/>
      <c r="AF1832" s="28"/>
      <c r="AI1832" s="28"/>
      <c r="AL1832" s="28"/>
      <c r="AO1832" s="28"/>
      <c r="AR1832" s="28"/>
      <c r="AU1832" s="28"/>
      <c r="AX1832" s="28"/>
      <c r="BA1832" s="28"/>
      <c r="BD1832" s="28"/>
      <c r="BG1832" s="28"/>
      <c r="BJ1832" s="28"/>
      <c r="BM1832" s="28"/>
      <c r="BP1832" s="28"/>
      <c r="BS1832" s="28"/>
      <c r="BV1832" s="28"/>
      <c r="BY1832" s="28"/>
      <c r="CB1832" s="28"/>
      <c r="CE1832" s="28"/>
      <c r="CH1832" s="28"/>
      <c r="CK1832" s="28"/>
      <c r="CN1832" s="28"/>
      <c r="CQ1832" s="28"/>
      <c r="CT1832" s="28"/>
      <c r="CW1832" s="28"/>
      <c r="CZ1832" s="28"/>
      <c r="DC1832" s="28"/>
      <c r="DF1832" s="28"/>
      <c r="DI1832" s="28"/>
      <c r="DL1832" s="28"/>
      <c r="DO1832" s="28"/>
      <c r="DR1832" s="28"/>
      <c r="DU1832" s="28"/>
      <c r="DX1832" s="28"/>
      <c r="EA1832" s="28"/>
      <c r="ED1832" s="28"/>
      <c r="EG1832" s="28"/>
      <c r="EJ1832" s="28"/>
      <c r="EM1832" s="28"/>
      <c r="EP1832" s="28"/>
      <c r="ES1832" s="28"/>
      <c r="EV1832" s="28"/>
      <c r="EY1832" s="28"/>
      <c r="FB1832" s="28"/>
      <c r="FE1832" s="28"/>
      <c r="FH1832" s="28"/>
      <c r="FK1832" s="28"/>
      <c r="FN1832" s="28"/>
      <c r="FQ1832" s="28"/>
      <c r="FT1832" s="28"/>
      <c r="FW1832" s="28"/>
      <c r="FZ1832" s="28"/>
      <c r="GC1832" s="28"/>
    </row>
    <row r="1833" spans="1:185" s="25" customFormat="1" x14ac:dyDescent="0.3">
      <c r="A1833" s="27"/>
      <c r="B1833" s="28"/>
      <c r="C1833" s="27"/>
      <c r="D1833" s="26"/>
      <c r="E1833" s="28"/>
      <c r="H1833" s="28"/>
      <c r="K1833" s="28"/>
      <c r="N1833" s="28"/>
      <c r="Q1833" s="28"/>
      <c r="T1833" s="28"/>
      <c r="W1833" s="28"/>
      <c r="Z1833" s="28"/>
      <c r="AC1833" s="28"/>
      <c r="AF1833" s="28"/>
      <c r="AI1833" s="28"/>
      <c r="AL1833" s="28"/>
      <c r="AO1833" s="28"/>
      <c r="AR1833" s="28"/>
      <c r="AU1833" s="28"/>
      <c r="AX1833" s="28"/>
      <c r="BA1833" s="28"/>
      <c r="BD1833" s="28"/>
      <c r="BG1833" s="28"/>
      <c r="BJ1833" s="28"/>
      <c r="BM1833" s="28"/>
      <c r="BP1833" s="28"/>
      <c r="BS1833" s="28"/>
      <c r="BV1833" s="28"/>
      <c r="BY1833" s="28"/>
      <c r="CB1833" s="28"/>
      <c r="CE1833" s="28"/>
      <c r="CH1833" s="28"/>
      <c r="CK1833" s="28"/>
      <c r="CN1833" s="28"/>
      <c r="CQ1833" s="28"/>
      <c r="CT1833" s="28"/>
      <c r="CW1833" s="28"/>
      <c r="CZ1833" s="28"/>
      <c r="DC1833" s="28"/>
      <c r="DF1833" s="28"/>
      <c r="DI1833" s="28"/>
      <c r="DL1833" s="28"/>
      <c r="DO1833" s="28"/>
      <c r="DR1833" s="28"/>
      <c r="DU1833" s="28"/>
      <c r="DX1833" s="28"/>
      <c r="EA1833" s="28"/>
      <c r="ED1833" s="28"/>
      <c r="EG1833" s="28"/>
      <c r="EJ1833" s="28"/>
      <c r="EM1833" s="28"/>
      <c r="EP1833" s="28"/>
      <c r="ES1833" s="28"/>
      <c r="EV1833" s="28"/>
      <c r="EY1833" s="28"/>
      <c r="FB1833" s="28"/>
      <c r="FE1833" s="28"/>
      <c r="FH1833" s="28"/>
      <c r="FK1833" s="28"/>
      <c r="FN1833" s="28"/>
      <c r="FQ1833" s="28"/>
      <c r="FT1833" s="28"/>
      <c r="FW1833" s="28"/>
      <c r="FZ1833" s="28"/>
      <c r="GC1833" s="28"/>
    </row>
    <row r="1834" spans="1:185" s="25" customFormat="1" x14ac:dyDescent="0.3">
      <c r="A1834" s="27"/>
      <c r="B1834" s="28"/>
      <c r="C1834" s="27"/>
      <c r="D1834" s="26"/>
      <c r="E1834" s="28"/>
      <c r="H1834" s="28"/>
      <c r="K1834" s="28"/>
      <c r="N1834" s="28"/>
      <c r="Q1834" s="28"/>
      <c r="T1834" s="28"/>
      <c r="W1834" s="28"/>
      <c r="Z1834" s="28"/>
      <c r="AC1834" s="28"/>
      <c r="AF1834" s="28"/>
      <c r="AI1834" s="28"/>
      <c r="AL1834" s="28"/>
      <c r="AO1834" s="28"/>
      <c r="AR1834" s="28"/>
      <c r="AU1834" s="28"/>
      <c r="AX1834" s="28"/>
      <c r="BA1834" s="28"/>
      <c r="BD1834" s="28"/>
      <c r="BG1834" s="28"/>
      <c r="BJ1834" s="28"/>
      <c r="BM1834" s="28"/>
      <c r="BP1834" s="28"/>
      <c r="BS1834" s="28"/>
      <c r="BV1834" s="28"/>
      <c r="BY1834" s="28"/>
      <c r="CB1834" s="28"/>
      <c r="CE1834" s="28"/>
      <c r="CH1834" s="28"/>
      <c r="CK1834" s="28"/>
      <c r="CN1834" s="28"/>
      <c r="CQ1834" s="28"/>
      <c r="CT1834" s="28"/>
      <c r="CW1834" s="28"/>
      <c r="CZ1834" s="28"/>
      <c r="DC1834" s="28"/>
      <c r="DF1834" s="28"/>
      <c r="DI1834" s="28"/>
      <c r="DL1834" s="28"/>
      <c r="DO1834" s="28"/>
      <c r="DR1834" s="28"/>
      <c r="DU1834" s="28"/>
      <c r="DX1834" s="28"/>
      <c r="EA1834" s="28"/>
      <c r="ED1834" s="28"/>
      <c r="EG1834" s="28"/>
      <c r="EJ1834" s="28"/>
      <c r="EM1834" s="28"/>
      <c r="EP1834" s="28"/>
      <c r="ES1834" s="28"/>
      <c r="EV1834" s="28"/>
      <c r="EY1834" s="28"/>
      <c r="FB1834" s="28"/>
      <c r="FE1834" s="28"/>
      <c r="FH1834" s="28"/>
      <c r="FK1834" s="28"/>
      <c r="FN1834" s="28"/>
      <c r="FQ1834" s="28"/>
      <c r="FT1834" s="28"/>
      <c r="FW1834" s="28"/>
      <c r="FZ1834" s="28"/>
      <c r="GC1834" s="28"/>
    </row>
    <row r="1835" spans="1:185" s="25" customFormat="1" x14ac:dyDescent="0.3">
      <c r="A1835" s="27"/>
      <c r="B1835" s="28"/>
      <c r="C1835" s="27"/>
      <c r="D1835" s="26"/>
      <c r="E1835" s="28"/>
      <c r="H1835" s="28"/>
      <c r="K1835" s="28"/>
      <c r="N1835" s="28"/>
      <c r="Q1835" s="28"/>
      <c r="T1835" s="28"/>
      <c r="W1835" s="28"/>
      <c r="Z1835" s="28"/>
      <c r="AC1835" s="28"/>
      <c r="AF1835" s="28"/>
      <c r="AI1835" s="28"/>
      <c r="AL1835" s="28"/>
      <c r="AO1835" s="28"/>
      <c r="AR1835" s="28"/>
      <c r="AU1835" s="28"/>
      <c r="AX1835" s="28"/>
      <c r="BA1835" s="28"/>
      <c r="BD1835" s="28"/>
      <c r="BG1835" s="28"/>
      <c r="BJ1835" s="28"/>
      <c r="BM1835" s="28"/>
      <c r="BP1835" s="28"/>
      <c r="BS1835" s="28"/>
      <c r="BV1835" s="28"/>
      <c r="BY1835" s="28"/>
      <c r="CB1835" s="28"/>
      <c r="CE1835" s="28"/>
      <c r="CH1835" s="28"/>
      <c r="CK1835" s="28"/>
      <c r="CN1835" s="28"/>
      <c r="CQ1835" s="28"/>
      <c r="CT1835" s="28"/>
      <c r="CW1835" s="28"/>
      <c r="CZ1835" s="28"/>
      <c r="DC1835" s="28"/>
      <c r="DF1835" s="28"/>
      <c r="DI1835" s="28"/>
      <c r="DL1835" s="28"/>
      <c r="DO1835" s="28"/>
      <c r="DR1835" s="28"/>
      <c r="DU1835" s="28"/>
      <c r="DX1835" s="28"/>
      <c r="EA1835" s="28"/>
      <c r="ED1835" s="28"/>
      <c r="EG1835" s="28"/>
      <c r="EJ1835" s="28"/>
      <c r="EM1835" s="28"/>
      <c r="EP1835" s="28"/>
      <c r="ES1835" s="28"/>
      <c r="EV1835" s="28"/>
      <c r="EY1835" s="28"/>
      <c r="FB1835" s="28"/>
      <c r="FE1835" s="28"/>
      <c r="FH1835" s="28"/>
      <c r="FK1835" s="28"/>
      <c r="FN1835" s="28"/>
      <c r="FQ1835" s="28"/>
      <c r="FT1835" s="28"/>
      <c r="FW1835" s="28"/>
      <c r="FZ1835" s="28"/>
      <c r="GC1835" s="28"/>
    </row>
    <row r="1836" spans="1:185" s="25" customFormat="1" x14ac:dyDescent="0.3">
      <c r="A1836" s="27"/>
      <c r="B1836" s="28"/>
      <c r="C1836" s="27"/>
      <c r="D1836" s="26"/>
      <c r="E1836" s="28"/>
      <c r="H1836" s="28"/>
      <c r="K1836" s="28"/>
      <c r="N1836" s="28"/>
      <c r="Q1836" s="28"/>
      <c r="T1836" s="28"/>
      <c r="W1836" s="28"/>
      <c r="Z1836" s="28"/>
      <c r="AC1836" s="28"/>
      <c r="AF1836" s="28"/>
      <c r="AI1836" s="28"/>
      <c r="AL1836" s="28"/>
      <c r="AO1836" s="28"/>
      <c r="AR1836" s="28"/>
      <c r="AU1836" s="28"/>
      <c r="AX1836" s="28"/>
      <c r="BA1836" s="28"/>
      <c r="BD1836" s="28"/>
      <c r="BG1836" s="28"/>
      <c r="BJ1836" s="28"/>
      <c r="BM1836" s="28"/>
      <c r="BP1836" s="28"/>
      <c r="BS1836" s="28"/>
      <c r="BV1836" s="28"/>
      <c r="BY1836" s="28"/>
      <c r="CB1836" s="28"/>
      <c r="CE1836" s="28"/>
      <c r="CH1836" s="28"/>
      <c r="CK1836" s="28"/>
      <c r="CN1836" s="28"/>
      <c r="CQ1836" s="28"/>
      <c r="CT1836" s="28"/>
      <c r="CW1836" s="28"/>
      <c r="CZ1836" s="28"/>
      <c r="DC1836" s="28"/>
      <c r="DF1836" s="28"/>
      <c r="DI1836" s="28"/>
      <c r="DL1836" s="28"/>
      <c r="DO1836" s="28"/>
      <c r="DR1836" s="28"/>
      <c r="DU1836" s="28"/>
      <c r="DX1836" s="28"/>
      <c r="EA1836" s="28"/>
      <c r="ED1836" s="28"/>
      <c r="EG1836" s="28"/>
      <c r="EJ1836" s="28"/>
      <c r="EM1836" s="28"/>
      <c r="EP1836" s="28"/>
      <c r="ES1836" s="28"/>
      <c r="EV1836" s="28"/>
      <c r="EY1836" s="28"/>
      <c r="FB1836" s="28"/>
      <c r="FE1836" s="28"/>
      <c r="FH1836" s="28"/>
      <c r="FK1836" s="28"/>
      <c r="FN1836" s="28"/>
      <c r="FQ1836" s="28"/>
      <c r="FT1836" s="28"/>
      <c r="FW1836" s="28"/>
      <c r="FZ1836" s="28"/>
      <c r="GC1836" s="28"/>
    </row>
    <row r="1837" spans="1:185" s="25" customFormat="1" x14ac:dyDescent="0.3">
      <c r="A1837" s="27"/>
      <c r="B1837" s="28"/>
      <c r="C1837" s="27"/>
      <c r="D1837" s="26"/>
      <c r="E1837" s="28"/>
      <c r="H1837" s="28"/>
      <c r="K1837" s="28"/>
      <c r="N1837" s="28"/>
      <c r="Q1837" s="28"/>
      <c r="T1837" s="28"/>
      <c r="W1837" s="28"/>
      <c r="Z1837" s="28"/>
      <c r="AC1837" s="28"/>
      <c r="AF1837" s="28"/>
      <c r="AI1837" s="28"/>
      <c r="AL1837" s="28"/>
      <c r="AO1837" s="28"/>
      <c r="AR1837" s="28"/>
      <c r="AU1837" s="28"/>
      <c r="AX1837" s="28"/>
      <c r="BA1837" s="28"/>
      <c r="BD1837" s="28"/>
      <c r="BG1837" s="28"/>
      <c r="BJ1837" s="28"/>
      <c r="BM1837" s="28"/>
      <c r="BP1837" s="28"/>
      <c r="BS1837" s="28"/>
      <c r="BV1837" s="28"/>
      <c r="BY1837" s="28"/>
      <c r="CB1837" s="28"/>
      <c r="CE1837" s="28"/>
      <c r="CH1837" s="28"/>
      <c r="CK1837" s="28"/>
      <c r="CN1837" s="28"/>
      <c r="CQ1837" s="28"/>
      <c r="CT1837" s="28"/>
      <c r="CW1837" s="28"/>
      <c r="CZ1837" s="28"/>
      <c r="DC1837" s="28"/>
      <c r="DF1837" s="28"/>
      <c r="DI1837" s="28"/>
      <c r="DL1837" s="28"/>
      <c r="DO1837" s="28"/>
      <c r="DR1837" s="28"/>
      <c r="DU1837" s="28"/>
      <c r="DX1837" s="28"/>
      <c r="EA1837" s="28"/>
      <c r="ED1837" s="28"/>
      <c r="EG1837" s="28"/>
      <c r="EJ1837" s="28"/>
      <c r="EM1837" s="28"/>
      <c r="EP1837" s="28"/>
      <c r="ES1837" s="28"/>
      <c r="EV1837" s="28"/>
      <c r="EY1837" s="28"/>
      <c r="FB1837" s="28"/>
      <c r="FE1837" s="28"/>
      <c r="FH1837" s="28"/>
      <c r="FK1837" s="28"/>
      <c r="FN1837" s="28"/>
      <c r="FQ1837" s="28"/>
      <c r="FT1837" s="28"/>
      <c r="FW1837" s="28"/>
      <c r="FZ1837" s="28"/>
      <c r="GC1837" s="28"/>
    </row>
    <row r="1838" spans="1:185" s="25" customFormat="1" x14ac:dyDescent="0.3">
      <c r="A1838" s="27"/>
      <c r="B1838" s="28"/>
      <c r="C1838" s="27"/>
      <c r="D1838" s="26"/>
      <c r="E1838" s="28"/>
      <c r="H1838" s="28"/>
      <c r="K1838" s="28"/>
      <c r="N1838" s="28"/>
      <c r="Q1838" s="28"/>
      <c r="T1838" s="28"/>
      <c r="W1838" s="28"/>
      <c r="Z1838" s="28"/>
      <c r="AC1838" s="28"/>
      <c r="AF1838" s="28"/>
      <c r="AI1838" s="28"/>
      <c r="AL1838" s="28"/>
      <c r="AO1838" s="28"/>
      <c r="AR1838" s="28"/>
      <c r="AU1838" s="28"/>
      <c r="AX1838" s="28"/>
      <c r="BA1838" s="28"/>
      <c r="BD1838" s="28"/>
      <c r="BG1838" s="28"/>
      <c r="BJ1838" s="28"/>
      <c r="BM1838" s="28"/>
      <c r="BP1838" s="28"/>
      <c r="BS1838" s="28"/>
      <c r="BV1838" s="28"/>
      <c r="BY1838" s="28"/>
      <c r="CB1838" s="28"/>
      <c r="CE1838" s="28"/>
      <c r="CH1838" s="28"/>
      <c r="CK1838" s="28"/>
      <c r="CN1838" s="28"/>
      <c r="CQ1838" s="28"/>
      <c r="CT1838" s="28"/>
      <c r="CW1838" s="28"/>
      <c r="CZ1838" s="28"/>
      <c r="DC1838" s="28"/>
      <c r="DF1838" s="28"/>
      <c r="DI1838" s="28"/>
      <c r="DL1838" s="28"/>
      <c r="DO1838" s="28"/>
      <c r="DR1838" s="28"/>
      <c r="DU1838" s="28"/>
      <c r="DX1838" s="28"/>
      <c r="EA1838" s="28"/>
      <c r="ED1838" s="28"/>
      <c r="EG1838" s="28"/>
      <c r="EJ1838" s="28"/>
      <c r="EM1838" s="28"/>
      <c r="EP1838" s="28"/>
      <c r="ES1838" s="28"/>
      <c r="EV1838" s="28"/>
      <c r="EY1838" s="28"/>
      <c r="FB1838" s="28"/>
      <c r="FE1838" s="28"/>
      <c r="FH1838" s="28"/>
      <c r="FK1838" s="28"/>
      <c r="FN1838" s="28"/>
      <c r="FQ1838" s="28"/>
      <c r="FT1838" s="28"/>
      <c r="FW1838" s="28"/>
      <c r="FZ1838" s="28"/>
      <c r="GC1838" s="28"/>
    </row>
    <row r="1839" spans="1:185" s="25" customFormat="1" x14ac:dyDescent="0.3">
      <c r="A1839" s="27"/>
      <c r="B1839" s="28"/>
      <c r="C1839" s="27"/>
      <c r="D1839" s="26"/>
      <c r="E1839" s="28"/>
      <c r="H1839" s="28"/>
      <c r="K1839" s="28"/>
      <c r="N1839" s="28"/>
      <c r="Q1839" s="28"/>
      <c r="T1839" s="28"/>
      <c r="W1839" s="28"/>
      <c r="Z1839" s="28"/>
      <c r="AC1839" s="28"/>
      <c r="AF1839" s="28"/>
      <c r="AI1839" s="28"/>
      <c r="AL1839" s="28"/>
      <c r="AO1839" s="28"/>
      <c r="AR1839" s="28"/>
      <c r="AU1839" s="28"/>
      <c r="AX1839" s="28"/>
      <c r="BA1839" s="28"/>
      <c r="BD1839" s="28"/>
      <c r="BG1839" s="28"/>
      <c r="BJ1839" s="28"/>
      <c r="BM1839" s="28"/>
      <c r="BP1839" s="28"/>
      <c r="BS1839" s="28"/>
      <c r="BV1839" s="28"/>
      <c r="BY1839" s="28"/>
      <c r="CB1839" s="28"/>
      <c r="CE1839" s="28"/>
      <c r="CH1839" s="28"/>
      <c r="CK1839" s="28"/>
      <c r="CN1839" s="28"/>
      <c r="CQ1839" s="28"/>
      <c r="CT1839" s="28"/>
      <c r="CW1839" s="28"/>
      <c r="CZ1839" s="28"/>
      <c r="DC1839" s="28"/>
      <c r="DF1839" s="28"/>
      <c r="DI1839" s="28"/>
      <c r="DL1839" s="28"/>
      <c r="DO1839" s="28"/>
      <c r="DR1839" s="28"/>
      <c r="DU1839" s="28"/>
      <c r="DX1839" s="28"/>
      <c r="EA1839" s="28"/>
      <c r="ED1839" s="28"/>
      <c r="EG1839" s="28"/>
      <c r="EJ1839" s="28"/>
      <c r="EM1839" s="28"/>
      <c r="EP1839" s="28"/>
      <c r="ES1839" s="28"/>
      <c r="EV1839" s="28"/>
      <c r="EY1839" s="28"/>
      <c r="FB1839" s="28"/>
      <c r="FE1839" s="28"/>
      <c r="FH1839" s="28"/>
      <c r="FK1839" s="28"/>
      <c r="FN1839" s="28"/>
      <c r="FQ1839" s="28"/>
      <c r="FT1839" s="28"/>
      <c r="FW1839" s="28"/>
      <c r="FZ1839" s="28"/>
      <c r="GC1839" s="28"/>
    </row>
    <row r="1840" spans="1:185" s="25" customFormat="1" x14ac:dyDescent="0.3">
      <c r="A1840" s="27"/>
      <c r="B1840" s="28"/>
      <c r="C1840" s="27"/>
      <c r="D1840" s="26"/>
      <c r="E1840" s="28"/>
      <c r="H1840" s="28"/>
      <c r="K1840" s="28"/>
      <c r="N1840" s="28"/>
      <c r="Q1840" s="28"/>
      <c r="T1840" s="28"/>
      <c r="W1840" s="28"/>
      <c r="Z1840" s="28"/>
      <c r="AC1840" s="28"/>
      <c r="AF1840" s="28"/>
      <c r="AI1840" s="28"/>
      <c r="AL1840" s="28"/>
      <c r="AO1840" s="28"/>
      <c r="AR1840" s="28"/>
      <c r="AU1840" s="28"/>
      <c r="AX1840" s="28"/>
      <c r="BA1840" s="28"/>
      <c r="BD1840" s="28"/>
      <c r="BG1840" s="28"/>
      <c r="BJ1840" s="28"/>
      <c r="BM1840" s="28"/>
      <c r="BP1840" s="28"/>
      <c r="BS1840" s="28"/>
      <c r="BV1840" s="28"/>
      <c r="BY1840" s="28"/>
      <c r="CB1840" s="28"/>
      <c r="CE1840" s="28"/>
      <c r="CH1840" s="28"/>
      <c r="CK1840" s="28"/>
      <c r="CN1840" s="28"/>
      <c r="CQ1840" s="28"/>
      <c r="CT1840" s="28"/>
      <c r="CW1840" s="28"/>
      <c r="CZ1840" s="28"/>
      <c r="DC1840" s="28"/>
      <c r="DF1840" s="28"/>
      <c r="DI1840" s="28"/>
      <c r="DL1840" s="28"/>
      <c r="DO1840" s="28"/>
      <c r="DR1840" s="28"/>
      <c r="DU1840" s="28"/>
      <c r="DX1840" s="28"/>
      <c r="EA1840" s="28"/>
      <c r="ED1840" s="28"/>
      <c r="EG1840" s="28"/>
      <c r="EJ1840" s="28"/>
      <c r="EM1840" s="28"/>
      <c r="EP1840" s="28"/>
      <c r="ES1840" s="28"/>
      <c r="EV1840" s="28"/>
      <c r="EY1840" s="28"/>
      <c r="FB1840" s="28"/>
      <c r="FE1840" s="28"/>
      <c r="FH1840" s="28"/>
      <c r="FK1840" s="28"/>
      <c r="FN1840" s="28"/>
      <c r="FQ1840" s="28"/>
      <c r="FT1840" s="28"/>
      <c r="FW1840" s="28"/>
      <c r="FZ1840" s="28"/>
      <c r="GC1840" s="28"/>
    </row>
    <row r="1841" spans="1:185" s="25" customFormat="1" x14ac:dyDescent="0.3">
      <c r="A1841" s="27"/>
      <c r="B1841" s="28"/>
      <c r="C1841" s="27"/>
      <c r="D1841" s="26"/>
      <c r="E1841" s="28"/>
      <c r="H1841" s="28"/>
      <c r="K1841" s="28"/>
      <c r="N1841" s="28"/>
      <c r="Q1841" s="28"/>
      <c r="T1841" s="28"/>
      <c r="W1841" s="28"/>
      <c r="Z1841" s="28"/>
      <c r="AC1841" s="28"/>
      <c r="AF1841" s="28"/>
      <c r="AI1841" s="28"/>
      <c r="AL1841" s="28"/>
      <c r="AO1841" s="28"/>
      <c r="AR1841" s="28"/>
      <c r="AU1841" s="28"/>
      <c r="AX1841" s="28"/>
      <c r="BA1841" s="28"/>
      <c r="BD1841" s="28"/>
      <c r="BG1841" s="28"/>
      <c r="BJ1841" s="28"/>
      <c r="BM1841" s="28"/>
      <c r="BP1841" s="28"/>
      <c r="BS1841" s="28"/>
      <c r="BV1841" s="28"/>
      <c r="BY1841" s="28"/>
      <c r="CB1841" s="28"/>
      <c r="CE1841" s="28"/>
      <c r="CH1841" s="28"/>
      <c r="CK1841" s="28"/>
      <c r="CN1841" s="28"/>
      <c r="CQ1841" s="28"/>
      <c r="CT1841" s="28"/>
      <c r="CW1841" s="28"/>
      <c r="CZ1841" s="28"/>
      <c r="DC1841" s="28"/>
      <c r="DF1841" s="28"/>
      <c r="DI1841" s="28"/>
      <c r="DL1841" s="28"/>
      <c r="DO1841" s="28"/>
      <c r="DR1841" s="28"/>
      <c r="DU1841" s="28"/>
      <c r="DX1841" s="28"/>
      <c r="EA1841" s="28"/>
      <c r="ED1841" s="28"/>
      <c r="EG1841" s="28"/>
      <c r="EJ1841" s="28"/>
      <c r="EM1841" s="28"/>
      <c r="EP1841" s="28"/>
      <c r="ES1841" s="28"/>
      <c r="EV1841" s="28"/>
      <c r="EY1841" s="28"/>
      <c r="FB1841" s="28"/>
      <c r="FE1841" s="28"/>
      <c r="FH1841" s="28"/>
      <c r="FK1841" s="28"/>
      <c r="FN1841" s="28"/>
      <c r="FQ1841" s="28"/>
      <c r="FT1841" s="28"/>
      <c r="FW1841" s="28"/>
      <c r="FZ1841" s="28"/>
      <c r="GC1841" s="28"/>
    </row>
    <row r="1842" spans="1:185" s="25" customFormat="1" x14ac:dyDescent="0.3">
      <c r="A1842" s="27"/>
      <c r="B1842" s="28"/>
      <c r="C1842" s="27"/>
      <c r="D1842" s="26"/>
      <c r="E1842" s="28"/>
      <c r="H1842" s="28"/>
      <c r="K1842" s="28"/>
      <c r="N1842" s="28"/>
      <c r="Q1842" s="28"/>
      <c r="T1842" s="28"/>
      <c r="W1842" s="28"/>
      <c r="Z1842" s="28"/>
      <c r="AC1842" s="28"/>
      <c r="AF1842" s="28"/>
      <c r="AI1842" s="28"/>
      <c r="AL1842" s="28"/>
      <c r="AO1842" s="28"/>
      <c r="AR1842" s="28"/>
      <c r="AU1842" s="28"/>
      <c r="AX1842" s="28"/>
      <c r="BA1842" s="28"/>
      <c r="BD1842" s="28"/>
      <c r="BG1842" s="28"/>
      <c r="BJ1842" s="28"/>
      <c r="BM1842" s="28"/>
      <c r="BP1842" s="28"/>
      <c r="BS1842" s="28"/>
      <c r="BV1842" s="28"/>
      <c r="BY1842" s="28"/>
      <c r="CB1842" s="28"/>
      <c r="CE1842" s="28"/>
      <c r="CH1842" s="28"/>
      <c r="CK1842" s="28"/>
      <c r="CN1842" s="28"/>
      <c r="CQ1842" s="28"/>
      <c r="CT1842" s="28"/>
      <c r="CW1842" s="28"/>
      <c r="CZ1842" s="28"/>
      <c r="DC1842" s="28"/>
      <c r="DF1842" s="28"/>
      <c r="DI1842" s="28"/>
      <c r="DL1842" s="28"/>
      <c r="DO1842" s="28"/>
      <c r="DR1842" s="28"/>
      <c r="DU1842" s="28"/>
      <c r="DX1842" s="28"/>
      <c r="EA1842" s="28"/>
      <c r="ED1842" s="28"/>
      <c r="EG1842" s="28"/>
      <c r="EJ1842" s="28"/>
      <c r="EM1842" s="28"/>
      <c r="EP1842" s="28"/>
      <c r="ES1842" s="28"/>
      <c r="EV1842" s="28"/>
      <c r="EY1842" s="28"/>
      <c r="FB1842" s="28"/>
      <c r="FE1842" s="28"/>
      <c r="FH1842" s="28"/>
      <c r="FK1842" s="28"/>
      <c r="FN1842" s="28"/>
      <c r="FQ1842" s="28"/>
      <c r="FT1842" s="28"/>
      <c r="FW1842" s="28"/>
      <c r="FZ1842" s="28"/>
      <c r="GC1842" s="28"/>
    </row>
    <row r="1843" spans="1:185" s="25" customFormat="1" x14ac:dyDescent="0.3">
      <c r="A1843" s="27"/>
      <c r="B1843" s="28"/>
      <c r="C1843" s="27"/>
      <c r="D1843" s="26"/>
      <c r="E1843" s="28"/>
      <c r="H1843" s="28"/>
      <c r="K1843" s="28"/>
      <c r="N1843" s="28"/>
      <c r="Q1843" s="28"/>
      <c r="T1843" s="28"/>
      <c r="W1843" s="28"/>
      <c r="Z1843" s="28"/>
      <c r="AC1843" s="28"/>
      <c r="AF1843" s="28"/>
      <c r="AI1843" s="28"/>
      <c r="AL1843" s="28"/>
      <c r="AO1843" s="28"/>
      <c r="AR1843" s="28"/>
      <c r="AU1843" s="28"/>
      <c r="AX1843" s="28"/>
      <c r="BA1843" s="28"/>
      <c r="BD1843" s="28"/>
      <c r="BG1843" s="28"/>
      <c r="BJ1843" s="28"/>
      <c r="BM1843" s="28"/>
      <c r="BP1843" s="28"/>
      <c r="BS1843" s="28"/>
      <c r="BV1843" s="28"/>
      <c r="BY1843" s="28"/>
      <c r="CB1843" s="28"/>
      <c r="CE1843" s="28"/>
      <c r="CH1843" s="28"/>
      <c r="CK1843" s="28"/>
      <c r="CN1843" s="28"/>
      <c r="CQ1843" s="28"/>
      <c r="CT1843" s="28"/>
      <c r="CW1843" s="28"/>
      <c r="CZ1843" s="28"/>
      <c r="DC1843" s="28"/>
      <c r="DF1843" s="28"/>
      <c r="DI1843" s="28"/>
      <c r="DL1843" s="28"/>
      <c r="DO1843" s="28"/>
      <c r="DR1843" s="28"/>
      <c r="DU1843" s="28"/>
      <c r="DX1843" s="28"/>
      <c r="EA1843" s="28"/>
      <c r="ED1843" s="28"/>
      <c r="EG1843" s="28"/>
      <c r="EJ1843" s="28"/>
      <c r="EM1843" s="28"/>
      <c r="EP1843" s="28"/>
      <c r="ES1843" s="28"/>
      <c r="EV1843" s="28"/>
      <c r="EY1843" s="28"/>
      <c r="FB1843" s="28"/>
      <c r="FE1843" s="28"/>
      <c r="FH1843" s="28"/>
      <c r="FK1843" s="28"/>
      <c r="FN1843" s="28"/>
      <c r="FQ1843" s="28"/>
      <c r="FT1843" s="28"/>
      <c r="FW1843" s="28"/>
      <c r="FZ1843" s="28"/>
      <c r="GC1843" s="28"/>
    </row>
    <row r="1844" spans="1:185" s="25" customFormat="1" x14ac:dyDescent="0.3">
      <c r="A1844" s="27"/>
      <c r="B1844" s="28"/>
      <c r="C1844" s="27"/>
      <c r="D1844" s="26"/>
      <c r="E1844" s="28"/>
      <c r="H1844" s="28"/>
      <c r="K1844" s="28"/>
      <c r="N1844" s="28"/>
      <c r="Q1844" s="28"/>
      <c r="T1844" s="28"/>
      <c r="W1844" s="28"/>
      <c r="Z1844" s="28"/>
      <c r="AC1844" s="28"/>
      <c r="AF1844" s="28"/>
      <c r="AI1844" s="28"/>
      <c r="AL1844" s="28"/>
      <c r="AO1844" s="28"/>
      <c r="AR1844" s="28"/>
      <c r="AU1844" s="28"/>
      <c r="AX1844" s="28"/>
      <c r="BA1844" s="28"/>
      <c r="BD1844" s="28"/>
      <c r="BG1844" s="28"/>
      <c r="BJ1844" s="28"/>
      <c r="BM1844" s="28"/>
      <c r="BP1844" s="28"/>
      <c r="BS1844" s="28"/>
      <c r="BV1844" s="28"/>
      <c r="BY1844" s="28"/>
      <c r="CB1844" s="28"/>
      <c r="CE1844" s="28"/>
      <c r="CH1844" s="28"/>
      <c r="CK1844" s="28"/>
      <c r="CN1844" s="28"/>
      <c r="CQ1844" s="28"/>
      <c r="CT1844" s="28"/>
      <c r="CW1844" s="28"/>
      <c r="CZ1844" s="28"/>
      <c r="DC1844" s="28"/>
      <c r="DF1844" s="28"/>
      <c r="DI1844" s="28"/>
      <c r="DL1844" s="28"/>
      <c r="DO1844" s="28"/>
      <c r="DR1844" s="28"/>
      <c r="DU1844" s="28"/>
      <c r="DX1844" s="28"/>
      <c r="EA1844" s="28"/>
      <c r="ED1844" s="28"/>
      <c r="EG1844" s="28"/>
      <c r="EJ1844" s="28"/>
      <c r="EM1844" s="28"/>
      <c r="EP1844" s="28"/>
      <c r="ES1844" s="28"/>
      <c r="EV1844" s="28"/>
      <c r="EY1844" s="28"/>
      <c r="FB1844" s="28"/>
      <c r="FE1844" s="28"/>
      <c r="FH1844" s="28"/>
      <c r="FK1844" s="28"/>
      <c r="FN1844" s="28"/>
      <c r="FQ1844" s="28"/>
      <c r="FT1844" s="28"/>
      <c r="FW1844" s="28"/>
      <c r="FZ1844" s="28"/>
      <c r="GC1844" s="28"/>
    </row>
    <row r="1845" spans="1:185" s="25" customFormat="1" x14ac:dyDescent="0.3">
      <c r="A1845" s="27"/>
      <c r="B1845" s="28"/>
      <c r="C1845" s="27"/>
      <c r="D1845" s="26"/>
      <c r="E1845" s="28"/>
      <c r="H1845" s="28"/>
      <c r="K1845" s="28"/>
      <c r="N1845" s="28"/>
      <c r="Q1845" s="28"/>
      <c r="T1845" s="28"/>
      <c r="W1845" s="28"/>
      <c r="Z1845" s="28"/>
      <c r="AC1845" s="28"/>
      <c r="AF1845" s="28"/>
      <c r="AI1845" s="28"/>
      <c r="AL1845" s="28"/>
      <c r="AO1845" s="28"/>
      <c r="AR1845" s="28"/>
      <c r="AU1845" s="28"/>
      <c r="AX1845" s="28"/>
      <c r="BA1845" s="28"/>
      <c r="BD1845" s="28"/>
      <c r="BG1845" s="28"/>
      <c r="BJ1845" s="28"/>
      <c r="BM1845" s="28"/>
      <c r="BP1845" s="28"/>
      <c r="BS1845" s="28"/>
      <c r="BV1845" s="28"/>
      <c r="BY1845" s="28"/>
      <c r="CB1845" s="28"/>
      <c r="CE1845" s="28"/>
      <c r="CH1845" s="28"/>
      <c r="CK1845" s="28"/>
      <c r="CN1845" s="28"/>
      <c r="CQ1845" s="28"/>
      <c r="CT1845" s="28"/>
      <c r="CW1845" s="28"/>
      <c r="CZ1845" s="28"/>
      <c r="DC1845" s="28"/>
      <c r="DF1845" s="28"/>
      <c r="DI1845" s="28"/>
      <c r="DL1845" s="28"/>
      <c r="DO1845" s="28"/>
      <c r="DR1845" s="28"/>
      <c r="DU1845" s="28"/>
      <c r="DX1845" s="28"/>
      <c r="EA1845" s="28"/>
      <c r="ED1845" s="28"/>
      <c r="EG1845" s="28"/>
      <c r="EJ1845" s="28"/>
      <c r="EM1845" s="28"/>
      <c r="EP1845" s="28"/>
      <c r="ES1845" s="28"/>
      <c r="EV1845" s="28"/>
      <c r="EY1845" s="28"/>
      <c r="FB1845" s="28"/>
      <c r="FE1845" s="28"/>
      <c r="FH1845" s="28"/>
      <c r="FK1845" s="28"/>
      <c r="FN1845" s="28"/>
      <c r="FQ1845" s="28"/>
      <c r="FT1845" s="28"/>
      <c r="FW1845" s="28"/>
      <c r="FZ1845" s="28"/>
      <c r="GC1845" s="28"/>
    </row>
    <row r="1846" spans="1:185" s="25" customFormat="1" x14ac:dyDescent="0.3">
      <c r="A1846" s="27"/>
      <c r="B1846" s="28"/>
      <c r="C1846" s="27"/>
      <c r="D1846" s="26"/>
      <c r="E1846" s="28"/>
      <c r="H1846" s="28"/>
      <c r="K1846" s="28"/>
      <c r="N1846" s="28"/>
      <c r="Q1846" s="28"/>
      <c r="T1846" s="28"/>
      <c r="W1846" s="28"/>
      <c r="Z1846" s="28"/>
      <c r="AC1846" s="28"/>
      <c r="AF1846" s="28"/>
      <c r="AI1846" s="28"/>
      <c r="AL1846" s="28"/>
      <c r="AO1846" s="28"/>
      <c r="AR1846" s="28"/>
      <c r="AU1846" s="28"/>
      <c r="AX1846" s="28"/>
      <c r="BA1846" s="28"/>
      <c r="BD1846" s="28"/>
      <c r="BG1846" s="28"/>
      <c r="BJ1846" s="28"/>
      <c r="BM1846" s="28"/>
      <c r="BP1846" s="28"/>
      <c r="BS1846" s="28"/>
      <c r="BV1846" s="28"/>
      <c r="BY1846" s="28"/>
      <c r="CB1846" s="28"/>
      <c r="CE1846" s="28"/>
      <c r="CH1846" s="28"/>
      <c r="CK1846" s="28"/>
      <c r="CN1846" s="28"/>
      <c r="CQ1846" s="28"/>
      <c r="CT1846" s="28"/>
      <c r="CW1846" s="28"/>
      <c r="CZ1846" s="28"/>
      <c r="DC1846" s="28"/>
      <c r="DF1846" s="28"/>
      <c r="DI1846" s="28"/>
      <c r="DL1846" s="28"/>
      <c r="DO1846" s="28"/>
      <c r="DR1846" s="28"/>
      <c r="DU1846" s="28"/>
      <c r="DX1846" s="28"/>
      <c r="EA1846" s="28"/>
      <c r="ED1846" s="28"/>
      <c r="EG1846" s="28"/>
      <c r="EJ1846" s="28"/>
      <c r="EM1846" s="28"/>
      <c r="EP1846" s="28"/>
      <c r="ES1846" s="28"/>
      <c r="EV1846" s="28"/>
      <c r="EY1846" s="28"/>
      <c r="FB1846" s="28"/>
      <c r="FE1846" s="28"/>
      <c r="FH1846" s="28"/>
      <c r="FK1846" s="28"/>
      <c r="FN1846" s="28"/>
      <c r="FQ1846" s="28"/>
      <c r="FT1846" s="28"/>
      <c r="FW1846" s="28"/>
      <c r="FZ1846" s="28"/>
      <c r="GC1846" s="28"/>
    </row>
    <row r="1847" spans="1:185" s="25" customFormat="1" x14ac:dyDescent="0.3">
      <c r="A1847" s="27"/>
      <c r="B1847" s="28"/>
      <c r="C1847" s="27"/>
      <c r="D1847" s="26"/>
      <c r="E1847" s="28"/>
      <c r="H1847" s="28"/>
      <c r="K1847" s="28"/>
      <c r="N1847" s="28"/>
      <c r="Q1847" s="28"/>
      <c r="T1847" s="28"/>
      <c r="W1847" s="28"/>
      <c r="Z1847" s="28"/>
      <c r="AC1847" s="28"/>
      <c r="AF1847" s="28"/>
      <c r="AI1847" s="28"/>
      <c r="AL1847" s="28"/>
      <c r="AO1847" s="28"/>
      <c r="AR1847" s="28"/>
      <c r="AU1847" s="28"/>
      <c r="AX1847" s="28"/>
      <c r="BA1847" s="28"/>
      <c r="BD1847" s="28"/>
      <c r="BG1847" s="28"/>
      <c r="BJ1847" s="28"/>
      <c r="BM1847" s="28"/>
      <c r="BP1847" s="28"/>
      <c r="BS1847" s="28"/>
      <c r="BV1847" s="28"/>
      <c r="BY1847" s="28"/>
      <c r="CB1847" s="28"/>
      <c r="CE1847" s="28"/>
      <c r="CH1847" s="28"/>
      <c r="CK1847" s="28"/>
      <c r="CN1847" s="28"/>
      <c r="CQ1847" s="28"/>
      <c r="CT1847" s="28"/>
      <c r="CW1847" s="28"/>
      <c r="CZ1847" s="28"/>
      <c r="DC1847" s="28"/>
      <c r="DF1847" s="28"/>
      <c r="DI1847" s="28"/>
      <c r="DL1847" s="28"/>
      <c r="DO1847" s="28"/>
      <c r="DR1847" s="28"/>
      <c r="DU1847" s="28"/>
      <c r="DX1847" s="28"/>
      <c r="EA1847" s="28"/>
      <c r="ED1847" s="28"/>
      <c r="EG1847" s="28"/>
      <c r="EJ1847" s="28"/>
      <c r="EM1847" s="28"/>
      <c r="EP1847" s="28"/>
      <c r="ES1847" s="28"/>
      <c r="EV1847" s="28"/>
      <c r="EY1847" s="28"/>
      <c r="FB1847" s="28"/>
      <c r="FE1847" s="28"/>
      <c r="FH1847" s="28"/>
      <c r="FK1847" s="28"/>
      <c r="FN1847" s="28"/>
      <c r="FQ1847" s="28"/>
      <c r="FT1847" s="28"/>
      <c r="FW1847" s="28"/>
      <c r="FZ1847" s="28"/>
      <c r="GC1847" s="28"/>
    </row>
    <row r="1848" spans="1:185" s="25" customFormat="1" x14ac:dyDescent="0.3">
      <c r="A1848" s="27"/>
      <c r="B1848" s="28"/>
      <c r="C1848" s="27"/>
      <c r="D1848" s="26"/>
      <c r="E1848" s="28"/>
      <c r="H1848" s="28"/>
      <c r="K1848" s="28"/>
      <c r="N1848" s="28"/>
      <c r="Q1848" s="28"/>
      <c r="T1848" s="28"/>
      <c r="W1848" s="28"/>
      <c r="Z1848" s="28"/>
      <c r="AC1848" s="28"/>
      <c r="AF1848" s="28"/>
      <c r="AI1848" s="28"/>
      <c r="AL1848" s="28"/>
      <c r="AO1848" s="28"/>
      <c r="AR1848" s="28"/>
      <c r="AU1848" s="28"/>
      <c r="AX1848" s="28"/>
      <c r="BA1848" s="28"/>
      <c r="BD1848" s="28"/>
      <c r="BG1848" s="28"/>
      <c r="BJ1848" s="28"/>
      <c r="BM1848" s="28"/>
      <c r="BP1848" s="28"/>
      <c r="BS1848" s="28"/>
      <c r="BV1848" s="28"/>
      <c r="BY1848" s="28"/>
      <c r="CB1848" s="28"/>
      <c r="CE1848" s="28"/>
      <c r="CH1848" s="28"/>
      <c r="CK1848" s="28"/>
      <c r="CN1848" s="28"/>
      <c r="CQ1848" s="28"/>
      <c r="CT1848" s="28"/>
      <c r="CW1848" s="28"/>
      <c r="CZ1848" s="28"/>
      <c r="DC1848" s="28"/>
      <c r="DF1848" s="28"/>
      <c r="DI1848" s="28"/>
      <c r="DL1848" s="28"/>
      <c r="DO1848" s="28"/>
      <c r="DR1848" s="28"/>
      <c r="DU1848" s="28"/>
      <c r="DX1848" s="28"/>
      <c r="EA1848" s="28"/>
      <c r="ED1848" s="28"/>
      <c r="EG1848" s="28"/>
      <c r="EJ1848" s="28"/>
      <c r="EM1848" s="28"/>
      <c r="EP1848" s="28"/>
      <c r="ES1848" s="28"/>
      <c r="EV1848" s="28"/>
      <c r="EY1848" s="28"/>
      <c r="FB1848" s="28"/>
      <c r="FE1848" s="28"/>
      <c r="FH1848" s="28"/>
      <c r="FK1848" s="28"/>
      <c r="FN1848" s="28"/>
      <c r="FQ1848" s="28"/>
      <c r="FT1848" s="28"/>
      <c r="FW1848" s="28"/>
      <c r="FZ1848" s="28"/>
      <c r="GC1848" s="28"/>
    </row>
    <row r="1849" spans="1:185" s="25" customFormat="1" x14ac:dyDescent="0.3">
      <c r="A1849" s="27"/>
      <c r="B1849" s="28"/>
      <c r="C1849" s="27"/>
      <c r="D1849" s="26"/>
      <c r="E1849" s="28"/>
      <c r="H1849" s="28"/>
      <c r="K1849" s="28"/>
      <c r="N1849" s="28"/>
      <c r="Q1849" s="28"/>
      <c r="T1849" s="28"/>
      <c r="W1849" s="28"/>
      <c r="Z1849" s="28"/>
      <c r="AC1849" s="28"/>
      <c r="AF1849" s="28"/>
      <c r="AI1849" s="28"/>
      <c r="AL1849" s="28"/>
      <c r="AO1849" s="28"/>
      <c r="AR1849" s="28"/>
      <c r="AU1849" s="28"/>
      <c r="AX1849" s="28"/>
      <c r="BA1849" s="28"/>
      <c r="BD1849" s="28"/>
      <c r="BG1849" s="28"/>
      <c r="BJ1849" s="28"/>
      <c r="BM1849" s="28"/>
      <c r="BP1849" s="28"/>
      <c r="BS1849" s="28"/>
      <c r="BV1849" s="28"/>
      <c r="BY1849" s="28"/>
      <c r="CB1849" s="28"/>
      <c r="CE1849" s="28"/>
      <c r="CH1849" s="28"/>
      <c r="CK1849" s="28"/>
      <c r="CN1849" s="28"/>
      <c r="CQ1849" s="28"/>
      <c r="CT1849" s="28"/>
      <c r="CW1849" s="28"/>
      <c r="CZ1849" s="28"/>
      <c r="DC1849" s="28"/>
      <c r="DF1849" s="28"/>
      <c r="DI1849" s="28"/>
      <c r="DL1849" s="28"/>
      <c r="DO1849" s="28"/>
      <c r="DR1849" s="28"/>
      <c r="DU1849" s="28"/>
      <c r="DX1849" s="28"/>
      <c r="EA1849" s="28"/>
      <c r="ED1849" s="28"/>
      <c r="EG1849" s="28"/>
      <c r="EJ1849" s="28"/>
      <c r="EM1849" s="28"/>
      <c r="EP1849" s="28"/>
      <c r="ES1849" s="28"/>
      <c r="EV1849" s="28"/>
      <c r="EY1849" s="28"/>
      <c r="FB1849" s="28"/>
      <c r="FE1849" s="28"/>
      <c r="FH1849" s="28"/>
      <c r="FK1849" s="28"/>
      <c r="FN1849" s="28"/>
      <c r="FQ1849" s="28"/>
      <c r="FT1849" s="28"/>
      <c r="FW1849" s="28"/>
      <c r="FZ1849" s="28"/>
      <c r="GC1849" s="28"/>
    </row>
    <row r="1850" spans="1:185" s="25" customFormat="1" x14ac:dyDescent="0.3">
      <c r="A1850" s="27"/>
      <c r="B1850" s="28"/>
      <c r="C1850" s="27"/>
      <c r="D1850" s="26"/>
      <c r="E1850" s="28"/>
      <c r="H1850" s="28"/>
      <c r="K1850" s="28"/>
      <c r="N1850" s="28"/>
      <c r="Q1850" s="28"/>
      <c r="T1850" s="28"/>
      <c r="W1850" s="28"/>
      <c r="Z1850" s="28"/>
      <c r="AC1850" s="28"/>
      <c r="AF1850" s="28"/>
      <c r="AI1850" s="28"/>
      <c r="AL1850" s="28"/>
      <c r="AO1850" s="28"/>
      <c r="AR1850" s="28"/>
      <c r="AU1850" s="28"/>
      <c r="AX1850" s="28"/>
      <c r="BA1850" s="28"/>
      <c r="BD1850" s="28"/>
      <c r="BG1850" s="28"/>
      <c r="BJ1850" s="28"/>
      <c r="BM1850" s="28"/>
      <c r="BP1850" s="28"/>
      <c r="BS1850" s="28"/>
      <c r="BV1850" s="28"/>
      <c r="BY1850" s="28"/>
      <c r="CB1850" s="28"/>
      <c r="CE1850" s="28"/>
      <c r="CH1850" s="28"/>
      <c r="CK1850" s="28"/>
      <c r="CN1850" s="28"/>
      <c r="CQ1850" s="28"/>
      <c r="CT1850" s="28"/>
      <c r="CW1850" s="28"/>
      <c r="CZ1850" s="28"/>
      <c r="DC1850" s="28"/>
      <c r="DF1850" s="28"/>
      <c r="DI1850" s="28"/>
      <c r="DL1850" s="28"/>
      <c r="DO1850" s="28"/>
      <c r="DR1850" s="28"/>
      <c r="DU1850" s="28"/>
      <c r="DX1850" s="28"/>
      <c r="EA1850" s="28"/>
      <c r="ED1850" s="28"/>
      <c r="EG1850" s="28"/>
      <c r="EJ1850" s="28"/>
      <c r="EM1850" s="28"/>
      <c r="EP1850" s="28"/>
      <c r="ES1850" s="28"/>
      <c r="EV1850" s="28"/>
      <c r="EY1850" s="28"/>
      <c r="FB1850" s="28"/>
      <c r="FE1850" s="28"/>
      <c r="FH1850" s="28"/>
      <c r="FK1850" s="28"/>
      <c r="FN1850" s="28"/>
      <c r="FQ1850" s="28"/>
      <c r="FT1850" s="28"/>
      <c r="FW1850" s="28"/>
      <c r="FZ1850" s="28"/>
      <c r="GC1850" s="28"/>
    </row>
    <row r="1851" spans="1:185" s="25" customFormat="1" x14ac:dyDescent="0.3">
      <c r="A1851" s="27"/>
      <c r="B1851" s="28"/>
      <c r="C1851" s="27"/>
      <c r="D1851" s="26"/>
      <c r="E1851" s="28"/>
      <c r="H1851" s="28"/>
      <c r="K1851" s="28"/>
      <c r="N1851" s="28"/>
      <c r="Q1851" s="28"/>
      <c r="T1851" s="28"/>
      <c r="W1851" s="28"/>
      <c r="Z1851" s="28"/>
      <c r="AC1851" s="28"/>
      <c r="AF1851" s="28"/>
      <c r="AI1851" s="28"/>
      <c r="AL1851" s="28"/>
      <c r="AO1851" s="28"/>
      <c r="AR1851" s="28"/>
      <c r="AU1851" s="28"/>
      <c r="AX1851" s="28"/>
      <c r="BA1851" s="28"/>
      <c r="BD1851" s="28"/>
      <c r="BG1851" s="28"/>
      <c r="BJ1851" s="28"/>
      <c r="BM1851" s="28"/>
      <c r="BP1851" s="28"/>
      <c r="BS1851" s="28"/>
      <c r="BV1851" s="28"/>
      <c r="BY1851" s="28"/>
      <c r="CB1851" s="28"/>
      <c r="CE1851" s="28"/>
      <c r="CH1851" s="28"/>
      <c r="CK1851" s="28"/>
      <c r="CN1851" s="28"/>
      <c r="CQ1851" s="28"/>
      <c r="CT1851" s="28"/>
      <c r="CW1851" s="28"/>
      <c r="CZ1851" s="28"/>
      <c r="DC1851" s="28"/>
      <c r="DF1851" s="28"/>
      <c r="DI1851" s="28"/>
      <c r="DL1851" s="28"/>
      <c r="DO1851" s="28"/>
      <c r="DR1851" s="28"/>
      <c r="DU1851" s="28"/>
      <c r="DX1851" s="28"/>
      <c r="EA1851" s="28"/>
      <c r="ED1851" s="28"/>
      <c r="EG1851" s="28"/>
      <c r="EJ1851" s="28"/>
      <c r="EM1851" s="28"/>
      <c r="EP1851" s="28"/>
      <c r="ES1851" s="28"/>
      <c r="EV1851" s="28"/>
      <c r="EY1851" s="28"/>
      <c r="FB1851" s="28"/>
      <c r="FE1851" s="28"/>
      <c r="FH1851" s="28"/>
      <c r="FK1851" s="28"/>
      <c r="FN1851" s="28"/>
      <c r="FQ1851" s="28"/>
      <c r="FT1851" s="28"/>
      <c r="FW1851" s="28"/>
      <c r="FZ1851" s="28"/>
      <c r="GC1851" s="28"/>
    </row>
    <row r="1852" spans="1:185" s="25" customFormat="1" x14ac:dyDescent="0.3">
      <c r="A1852" s="27"/>
      <c r="B1852" s="28"/>
      <c r="C1852" s="27"/>
      <c r="D1852" s="26"/>
      <c r="E1852" s="28"/>
      <c r="H1852" s="28"/>
      <c r="K1852" s="28"/>
      <c r="N1852" s="28"/>
      <c r="Q1852" s="28"/>
      <c r="T1852" s="28"/>
      <c r="W1852" s="28"/>
      <c r="Z1852" s="28"/>
      <c r="AC1852" s="28"/>
      <c r="AF1852" s="28"/>
      <c r="AI1852" s="28"/>
      <c r="AL1852" s="28"/>
      <c r="AO1852" s="28"/>
      <c r="AR1852" s="28"/>
      <c r="AU1852" s="28"/>
      <c r="AX1852" s="28"/>
      <c r="BA1852" s="28"/>
      <c r="BD1852" s="28"/>
      <c r="BG1852" s="28"/>
      <c r="BJ1852" s="28"/>
      <c r="BM1852" s="28"/>
      <c r="BP1852" s="28"/>
      <c r="BS1852" s="28"/>
      <c r="BV1852" s="28"/>
      <c r="BY1852" s="28"/>
      <c r="CB1852" s="28"/>
      <c r="CE1852" s="28"/>
      <c r="CH1852" s="28"/>
      <c r="CK1852" s="28"/>
      <c r="CN1852" s="28"/>
      <c r="CQ1852" s="28"/>
      <c r="CT1852" s="28"/>
      <c r="CW1852" s="28"/>
      <c r="CZ1852" s="28"/>
      <c r="DC1852" s="28"/>
      <c r="DF1852" s="28"/>
      <c r="DI1852" s="28"/>
      <c r="DL1852" s="28"/>
      <c r="DO1852" s="28"/>
      <c r="DR1852" s="28"/>
      <c r="DU1852" s="28"/>
      <c r="DX1852" s="28"/>
      <c r="EA1852" s="28"/>
      <c r="ED1852" s="28"/>
      <c r="EG1852" s="28"/>
      <c r="EJ1852" s="28"/>
      <c r="EM1852" s="28"/>
      <c r="EP1852" s="28"/>
      <c r="ES1852" s="28"/>
      <c r="EV1852" s="28"/>
      <c r="EY1852" s="28"/>
      <c r="FB1852" s="28"/>
      <c r="FE1852" s="28"/>
      <c r="FH1852" s="28"/>
      <c r="FK1852" s="28"/>
      <c r="FN1852" s="28"/>
      <c r="FQ1852" s="28"/>
      <c r="FT1852" s="28"/>
      <c r="FW1852" s="28"/>
      <c r="FZ1852" s="28"/>
      <c r="GC1852" s="28"/>
    </row>
    <row r="1853" spans="1:185" s="25" customFormat="1" x14ac:dyDescent="0.3">
      <c r="A1853" s="27"/>
      <c r="B1853" s="28"/>
      <c r="C1853" s="27"/>
      <c r="D1853" s="26"/>
      <c r="E1853" s="28"/>
      <c r="H1853" s="28"/>
      <c r="K1853" s="28"/>
      <c r="N1853" s="28"/>
      <c r="Q1853" s="28"/>
      <c r="T1853" s="28"/>
      <c r="W1853" s="28"/>
      <c r="Z1853" s="28"/>
      <c r="AC1853" s="28"/>
      <c r="AF1853" s="28"/>
      <c r="AI1853" s="28"/>
      <c r="AL1853" s="28"/>
      <c r="AO1853" s="28"/>
      <c r="AR1853" s="28"/>
      <c r="AU1853" s="28"/>
      <c r="AX1853" s="28"/>
      <c r="BA1853" s="28"/>
      <c r="BD1853" s="28"/>
      <c r="BG1853" s="28"/>
      <c r="BJ1853" s="28"/>
      <c r="BM1853" s="28"/>
      <c r="BP1853" s="28"/>
      <c r="BS1853" s="28"/>
      <c r="BV1853" s="28"/>
      <c r="BY1853" s="28"/>
      <c r="CB1853" s="28"/>
      <c r="CE1853" s="28"/>
      <c r="CH1853" s="28"/>
      <c r="CK1853" s="28"/>
      <c r="CN1853" s="28"/>
      <c r="CQ1853" s="28"/>
      <c r="CT1853" s="28"/>
      <c r="CW1853" s="28"/>
      <c r="CZ1853" s="28"/>
      <c r="DC1853" s="28"/>
      <c r="DF1853" s="28"/>
      <c r="DI1853" s="28"/>
      <c r="DL1853" s="28"/>
      <c r="DO1853" s="28"/>
      <c r="DR1853" s="28"/>
      <c r="DU1853" s="28"/>
      <c r="DX1853" s="28"/>
      <c r="EA1853" s="28"/>
      <c r="ED1853" s="28"/>
      <c r="EG1853" s="28"/>
      <c r="EJ1853" s="28"/>
      <c r="EM1853" s="28"/>
      <c r="EP1853" s="28"/>
      <c r="ES1853" s="28"/>
      <c r="EV1853" s="28"/>
      <c r="EY1853" s="28"/>
      <c r="FB1853" s="28"/>
      <c r="FE1853" s="28"/>
      <c r="FH1853" s="28"/>
      <c r="FK1853" s="28"/>
      <c r="FN1853" s="28"/>
      <c r="FQ1853" s="28"/>
      <c r="FT1853" s="28"/>
      <c r="FW1853" s="28"/>
      <c r="FZ1853" s="28"/>
      <c r="GC1853" s="28"/>
    </row>
    <row r="1854" spans="1:185" s="25" customFormat="1" x14ac:dyDescent="0.3">
      <c r="A1854" s="27"/>
      <c r="B1854" s="28"/>
      <c r="C1854" s="27"/>
      <c r="D1854" s="26"/>
      <c r="E1854" s="28"/>
      <c r="H1854" s="28"/>
      <c r="K1854" s="28"/>
      <c r="N1854" s="28"/>
      <c r="Q1854" s="28"/>
      <c r="T1854" s="28"/>
      <c r="W1854" s="28"/>
      <c r="Z1854" s="28"/>
      <c r="AC1854" s="28"/>
      <c r="AF1854" s="28"/>
      <c r="AI1854" s="28"/>
      <c r="AL1854" s="28"/>
      <c r="AO1854" s="28"/>
      <c r="AR1854" s="28"/>
      <c r="AU1854" s="28"/>
      <c r="AX1854" s="28"/>
      <c r="BA1854" s="28"/>
      <c r="BD1854" s="28"/>
      <c r="BG1854" s="28"/>
      <c r="BJ1854" s="28"/>
      <c r="BM1854" s="28"/>
      <c r="BP1854" s="28"/>
      <c r="BS1854" s="28"/>
      <c r="BV1854" s="28"/>
      <c r="BY1854" s="28"/>
      <c r="CB1854" s="28"/>
      <c r="CE1854" s="28"/>
      <c r="CH1854" s="28"/>
      <c r="CK1854" s="28"/>
      <c r="CN1854" s="28"/>
      <c r="CQ1854" s="28"/>
      <c r="CT1854" s="28"/>
      <c r="CW1854" s="28"/>
      <c r="CZ1854" s="28"/>
      <c r="DC1854" s="28"/>
      <c r="DF1854" s="28"/>
      <c r="DI1854" s="28"/>
      <c r="DL1854" s="28"/>
      <c r="DO1854" s="28"/>
      <c r="DR1854" s="28"/>
      <c r="DU1854" s="28"/>
      <c r="DX1854" s="28"/>
      <c r="EA1854" s="28"/>
      <c r="ED1854" s="28"/>
      <c r="EG1854" s="28"/>
      <c r="EJ1854" s="28"/>
      <c r="EM1854" s="28"/>
      <c r="EP1854" s="28"/>
      <c r="ES1854" s="28"/>
      <c r="EV1854" s="28"/>
      <c r="EY1854" s="28"/>
      <c r="FB1854" s="28"/>
      <c r="FE1854" s="28"/>
      <c r="FH1854" s="28"/>
      <c r="FK1854" s="28"/>
      <c r="FN1854" s="28"/>
      <c r="FQ1854" s="28"/>
      <c r="FT1854" s="28"/>
      <c r="FW1854" s="28"/>
      <c r="FZ1854" s="28"/>
      <c r="GC1854" s="28"/>
    </row>
    <row r="1855" spans="1:185" s="25" customFormat="1" x14ac:dyDescent="0.3">
      <c r="A1855" s="27"/>
      <c r="B1855" s="28"/>
      <c r="C1855" s="27"/>
      <c r="D1855" s="26"/>
      <c r="E1855" s="28"/>
      <c r="H1855" s="28"/>
      <c r="K1855" s="28"/>
      <c r="N1855" s="28"/>
      <c r="Q1855" s="28"/>
      <c r="T1855" s="28"/>
      <c r="W1855" s="28"/>
      <c r="Z1855" s="28"/>
      <c r="AC1855" s="28"/>
      <c r="AF1855" s="28"/>
      <c r="AI1855" s="28"/>
      <c r="AL1855" s="28"/>
      <c r="AO1855" s="28"/>
      <c r="AR1855" s="28"/>
      <c r="AU1855" s="28"/>
      <c r="AX1855" s="28"/>
      <c r="BA1855" s="28"/>
      <c r="BD1855" s="28"/>
      <c r="BG1855" s="28"/>
      <c r="BJ1855" s="28"/>
      <c r="BM1855" s="28"/>
      <c r="BP1855" s="28"/>
      <c r="BS1855" s="28"/>
      <c r="BV1855" s="28"/>
      <c r="BY1855" s="28"/>
      <c r="CB1855" s="28"/>
      <c r="CE1855" s="28"/>
      <c r="CH1855" s="28"/>
      <c r="CK1855" s="28"/>
      <c r="CN1855" s="28"/>
      <c r="CQ1855" s="28"/>
      <c r="CT1855" s="28"/>
      <c r="CW1855" s="28"/>
      <c r="CZ1855" s="28"/>
      <c r="DC1855" s="28"/>
      <c r="DF1855" s="28"/>
      <c r="DI1855" s="28"/>
      <c r="DL1855" s="28"/>
      <c r="DO1855" s="28"/>
      <c r="DR1855" s="28"/>
      <c r="DU1855" s="28"/>
      <c r="DX1855" s="28"/>
      <c r="EA1855" s="28"/>
      <c r="ED1855" s="28"/>
      <c r="EG1855" s="28"/>
      <c r="EJ1855" s="28"/>
      <c r="EM1855" s="28"/>
      <c r="EP1855" s="28"/>
      <c r="ES1855" s="28"/>
      <c r="EV1855" s="28"/>
      <c r="EY1855" s="28"/>
      <c r="FB1855" s="28"/>
      <c r="FE1855" s="28"/>
      <c r="FH1855" s="28"/>
      <c r="FK1855" s="28"/>
      <c r="FN1855" s="28"/>
      <c r="FQ1855" s="28"/>
      <c r="FT1855" s="28"/>
      <c r="FW1855" s="28"/>
      <c r="FZ1855" s="28"/>
      <c r="GC1855" s="28"/>
    </row>
    <row r="1856" spans="1:185" s="25" customFormat="1" x14ac:dyDescent="0.3">
      <c r="A1856" s="27"/>
      <c r="B1856" s="28"/>
      <c r="C1856" s="27"/>
      <c r="D1856" s="26"/>
      <c r="E1856" s="28"/>
      <c r="H1856" s="28"/>
      <c r="K1856" s="28"/>
      <c r="N1856" s="28"/>
      <c r="Q1856" s="28"/>
      <c r="T1856" s="28"/>
      <c r="W1856" s="28"/>
      <c r="Z1856" s="28"/>
      <c r="AC1856" s="28"/>
      <c r="AF1856" s="28"/>
      <c r="AI1856" s="28"/>
      <c r="AL1856" s="28"/>
      <c r="AO1856" s="28"/>
      <c r="AR1856" s="28"/>
      <c r="AU1856" s="28"/>
      <c r="AX1856" s="28"/>
      <c r="BA1856" s="28"/>
      <c r="BD1856" s="28"/>
      <c r="BG1856" s="28"/>
      <c r="BJ1856" s="28"/>
      <c r="BM1856" s="28"/>
      <c r="BP1856" s="28"/>
      <c r="BS1856" s="28"/>
      <c r="BV1856" s="28"/>
      <c r="BY1856" s="28"/>
      <c r="CB1856" s="28"/>
      <c r="CE1856" s="28"/>
      <c r="CH1856" s="28"/>
      <c r="CK1856" s="28"/>
      <c r="CN1856" s="28"/>
      <c r="CQ1856" s="28"/>
      <c r="CT1856" s="28"/>
      <c r="CW1856" s="28"/>
      <c r="CZ1856" s="28"/>
      <c r="DC1856" s="28"/>
      <c r="DF1856" s="28"/>
      <c r="DI1856" s="28"/>
      <c r="DL1856" s="28"/>
      <c r="DO1856" s="28"/>
      <c r="DR1856" s="28"/>
      <c r="DU1856" s="28"/>
      <c r="DX1856" s="28"/>
      <c r="EA1856" s="28"/>
      <c r="ED1856" s="28"/>
      <c r="EG1856" s="28"/>
      <c r="EJ1856" s="28"/>
      <c r="EM1856" s="28"/>
      <c r="EP1856" s="28"/>
      <c r="ES1856" s="28"/>
      <c r="EV1856" s="28"/>
      <c r="EY1856" s="28"/>
      <c r="FB1856" s="28"/>
      <c r="FE1856" s="28"/>
      <c r="FH1856" s="28"/>
      <c r="FK1856" s="28"/>
      <c r="FN1856" s="28"/>
      <c r="FQ1856" s="28"/>
      <c r="FT1856" s="28"/>
      <c r="FW1856" s="28"/>
      <c r="FZ1856" s="28"/>
      <c r="GC1856" s="28"/>
    </row>
    <row r="1857" spans="1:185" s="25" customFormat="1" x14ac:dyDescent="0.3">
      <c r="A1857" s="27"/>
      <c r="B1857" s="28"/>
      <c r="C1857" s="27"/>
      <c r="D1857" s="26"/>
      <c r="E1857" s="28"/>
      <c r="H1857" s="28"/>
      <c r="K1857" s="28"/>
      <c r="N1857" s="28"/>
      <c r="Q1857" s="28"/>
      <c r="T1857" s="28"/>
      <c r="W1857" s="28"/>
      <c r="Z1857" s="28"/>
      <c r="AC1857" s="28"/>
      <c r="AF1857" s="28"/>
      <c r="AI1857" s="28"/>
      <c r="AL1857" s="28"/>
      <c r="AO1857" s="28"/>
      <c r="AR1857" s="28"/>
      <c r="AU1857" s="28"/>
      <c r="AX1857" s="28"/>
      <c r="BA1857" s="28"/>
      <c r="BD1857" s="28"/>
      <c r="BG1857" s="28"/>
      <c r="BJ1857" s="28"/>
      <c r="BM1857" s="28"/>
      <c r="BP1857" s="28"/>
      <c r="BS1857" s="28"/>
      <c r="BV1857" s="28"/>
      <c r="BY1857" s="28"/>
      <c r="CB1857" s="28"/>
      <c r="CE1857" s="28"/>
      <c r="CH1857" s="28"/>
      <c r="CK1857" s="28"/>
      <c r="CN1857" s="28"/>
      <c r="CQ1857" s="28"/>
      <c r="CT1857" s="28"/>
      <c r="CW1857" s="28"/>
      <c r="CZ1857" s="28"/>
      <c r="DC1857" s="28"/>
      <c r="DF1857" s="28"/>
      <c r="DI1857" s="28"/>
      <c r="DL1857" s="28"/>
      <c r="DO1857" s="28"/>
      <c r="DR1857" s="28"/>
      <c r="DU1857" s="28"/>
      <c r="DX1857" s="28"/>
      <c r="EA1857" s="28"/>
      <c r="ED1857" s="28"/>
      <c r="EG1857" s="28"/>
      <c r="EJ1857" s="28"/>
      <c r="EM1857" s="28"/>
      <c r="EP1857" s="28"/>
      <c r="ES1857" s="28"/>
      <c r="EV1857" s="28"/>
      <c r="EY1857" s="28"/>
      <c r="FB1857" s="28"/>
      <c r="FE1857" s="28"/>
      <c r="FH1857" s="28"/>
      <c r="FK1857" s="28"/>
      <c r="FN1857" s="28"/>
      <c r="FQ1857" s="28"/>
      <c r="FT1857" s="28"/>
      <c r="FW1857" s="28"/>
      <c r="FZ1857" s="28"/>
      <c r="GC1857" s="28"/>
    </row>
    <row r="1858" spans="1:185" s="25" customFormat="1" x14ac:dyDescent="0.3">
      <c r="A1858" s="27"/>
      <c r="B1858" s="28"/>
      <c r="C1858" s="27"/>
      <c r="D1858" s="26"/>
      <c r="E1858" s="28"/>
      <c r="H1858" s="28"/>
      <c r="K1858" s="28"/>
      <c r="N1858" s="28"/>
      <c r="Q1858" s="28"/>
      <c r="T1858" s="28"/>
      <c r="W1858" s="28"/>
      <c r="Z1858" s="28"/>
      <c r="AC1858" s="28"/>
      <c r="AF1858" s="28"/>
      <c r="AI1858" s="28"/>
      <c r="AL1858" s="28"/>
      <c r="AO1858" s="28"/>
      <c r="AR1858" s="28"/>
      <c r="AU1858" s="28"/>
      <c r="AX1858" s="28"/>
      <c r="BA1858" s="28"/>
      <c r="BD1858" s="28"/>
      <c r="BG1858" s="28"/>
      <c r="BJ1858" s="28"/>
      <c r="BM1858" s="28"/>
      <c r="BP1858" s="28"/>
      <c r="BS1858" s="28"/>
      <c r="BV1858" s="28"/>
      <c r="BY1858" s="28"/>
      <c r="CB1858" s="28"/>
      <c r="CE1858" s="28"/>
      <c r="CH1858" s="28"/>
      <c r="CK1858" s="28"/>
      <c r="CN1858" s="28"/>
      <c r="CQ1858" s="28"/>
      <c r="CT1858" s="28"/>
      <c r="CW1858" s="28"/>
      <c r="CZ1858" s="28"/>
      <c r="DC1858" s="28"/>
      <c r="DF1858" s="28"/>
      <c r="DI1858" s="28"/>
      <c r="DL1858" s="28"/>
      <c r="DO1858" s="28"/>
      <c r="DR1858" s="28"/>
      <c r="DU1858" s="28"/>
      <c r="DX1858" s="28"/>
      <c r="EA1858" s="28"/>
      <c r="ED1858" s="28"/>
      <c r="EG1858" s="28"/>
      <c r="EJ1858" s="28"/>
      <c r="EM1858" s="28"/>
      <c r="EP1858" s="28"/>
      <c r="ES1858" s="28"/>
      <c r="EV1858" s="28"/>
      <c r="EY1858" s="28"/>
      <c r="FB1858" s="28"/>
      <c r="FE1858" s="28"/>
      <c r="FH1858" s="28"/>
      <c r="FK1858" s="28"/>
      <c r="FN1858" s="28"/>
      <c r="FQ1858" s="28"/>
      <c r="FT1858" s="28"/>
      <c r="FW1858" s="28"/>
      <c r="FZ1858" s="28"/>
      <c r="GC1858" s="28"/>
    </row>
    <row r="1859" spans="1:185" s="25" customFormat="1" x14ac:dyDescent="0.3">
      <c r="A1859" s="27"/>
      <c r="B1859" s="28"/>
      <c r="C1859" s="27"/>
      <c r="D1859" s="26"/>
      <c r="E1859" s="28"/>
      <c r="H1859" s="28"/>
      <c r="K1859" s="28"/>
      <c r="N1859" s="28"/>
      <c r="Q1859" s="28"/>
      <c r="T1859" s="28"/>
      <c r="W1859" s="28"/>
      <c r="Z1859" s="28"/>
      <c r="AC1859" s="28"/>
      <c r="AF1859" s="28"/>
      <c r="AI1859" s="28"/>
      <c r="AL1859" s="28"/>
      <c r="AO1859" s="28"/>
      <c r="AR1859" s="28"/>
      <c r="AU1859" s="28"/>
      <c r="AX1859" s="28"/>
      <c r="BA1859" s="28"/>
      <c r="BD1859" s="28"/>
      <c r="BG1859" s="28"/>
      <c r="BJ1859" s="28"/>
      <c r="BM1859" s="28"/>
      <c r="BP1859" s="28"/>
      <c r="BS1859" s="28"/>
      <c r="BV1859" s="28"/>
      <c r="BY1859" s="28"/>
      <c r="CB1859" s="28"/>
      <c r="CE1859" s="28"/>
      <c r="CH1859" s="28"/>
      <c r="CK1859" s="28"/>
      <c r="CN1859" s="28"/>
      <c r="CQ1859" s="28"/>
      <c r="CT1859" s="28"/>
      <c r="CW1859" s="28"/>
      <c r="CZ1859" s="28"/>
      <c r="DC1859" s="28"/>
      <c r="DF1859" s="28"/>
      <c r="DI1859" s="28"/>
      <c r="DL1859" s="28"/>
      <c r="DO1859" s="28"/>
      <c r="DR1859" s="28"/>
      <c r="DU1859" s="28"/>
      <c r="DX1859" s="28"/>
      <c r="EA1859" s="28"/>
      <c r="ED1859" s="28"/>
      <c r="EG1859" s="28"/>
      <c r="EJ1859" s="28"/>
      <c r="EM1859" s="28"/>
      <c r="EP1859" s="28"/>
      <c r="ES1859" s="28"/>
      <c r="EV1859" s="28"/>
      <c r="EY1859" s="28"/>
      <c r="FB1859" s="28"/>
      <c r="FE1859" s="28"/>
      <c r="FH1859" s="28"/>
      <c r="FK1859" s="28"/>
      <c r="FN1859" s="28"/>
      <c r="FQ1859" s="28"/>
      <c r="FT1859" s="28"/>
      <c r="FW1859" s="28"/>
      <c r="FZ1859" s="28"/>
      <c r="GC1859" s="28"/>
    </row>
    <row r="1860" spans="1:185" s="25" customFormat="1" x14ac:dyDescent="0.3">
      <c r="A1860" s="27"/>
      <c r="B1860" s="28"/>
      <c r="C1860" s="27"/>
      <c r="D1860" s="26"/>
      <c r="E1860" s="28"/>
      <c r="H1860" s="28"/>
      <c r="K1860" s="28"/>
      <c r="N1860" s="28"/>
      <c r="Q1860" s="28"/>
      <c r="T1860" s="28"/>
      <c r="W1860" s="28"/>
      <c r="Z1860" s="28"/>
      <c r="AC1860" s="28"/>
      <c r="AF1860" s="28"/>
      <c r="AI1860" s="28"/>
      <c r="AL1860" s="28"/>
      <c r="AO1860" s="28"/>
      <c r="AR1860" s="28"/>
      <c r="AU1860" s="28"/>
      <c r="AX1860" s="28"/>
      <c r="BA1860" s="28"/>
      <c r="BD1860" s="28"/>
      <c r="BG1860" s="28"/>
      <c r="BJ1860" s="28"/>
      <c r="BM1860" s="28"/>
      <c r="BP1860" s="28"/>
      <c r="BS1860" s="28"/>
      <c r="BV1860" s="28"/>
      <c r="BY1860" s="28"/>
      <c r="CB1860" s="28"/>
      <c r="CE1860" s="28"/>
      <c r="CH1860" s="28"/>
      <c r="CK1860" s="28"/>
      <c r="CN1860" s="28"/>
      <c r="CQ1860" s="28"/>
      <c r="CT1860" s="28"/>
      <c r="CW1860" s="28"/>
      <c r="CZ1860" s="28"/>
      <c r="DC1860" s="28"/>
      <c r="DF1860" s="28"/>
      <c r="DI1860" s="28"/>
      <c r="DL1860" s="28"/>
      <c r="DO1860" s="28"/>
      <c r="DR1860" s="28"/>
      <c r="DU1860" s="28"/>
      <c r="DX1860" s="28"/>
      <c r="EA1860" s="28"/>
      <c r="ED1860" s="28"/>
      <c r="EG1860" s="28"/>
      <c r="EJ1860" s="28"/>
      <c r="EM1860" s="28"/>
      <c r="EP1860" s="28"/>
      <c r="ES1860" s="28"/>
      <c r="EV1860" s="28"/>
      <c r="EY1860" s="28"/>
      <c r="FB1860" s="28"/>
      <c r="FE1860" s="28"/>
      <c r="FH1860" s="28"/>
      <c r="FK1860" s="28"/>
      <c r="FN1860" s="28"/>
      <c r="FQ1860" s="28"/>
      <c r="FT1860" s="28"/>
      <c r="FW1860" s="28"/>
      <c r="FZ1860" s="28"/>
      <c r="GC1860" s="28"/>
    </row>
    <row r="1861" spans="1:185" s="25" customFormat="1" x14ac:dyDescent="0.3">
      <c r="A1861" s="27"/>
      <c r="B1861" s="28"/>
      <c r="C1861" s="27"/>
      <c r="D1861" s="26"/>
      <c r="E1861" s="28"/>
      <c r="H1861" s="28"/>
      <c r="K1861" s="28"/>
      <c r="N1861" s="28"/>
      <c r="Q1861" s="28"/>
      <c r="T1861" s="28"/>
      <c r="W1861" s="28"/>
      <c r="Z1861" s="28"/>
      <c r="AC1861" s="28"/>
      <c r="AF1861" s="28"/>
      <c r="AI1861" s="28"/>
      <c r="AL1861" s="28"/>
      <c r="AO1861" s="28"/>
      <c r="AR1861" s="28"/>
      <c r="AU1861" s="28"/>
      <c r="AX1861" s="28"/>
      <c r="BA1861" s="28"/>
      <c r="BD1861" s="28"/>
      <c r="BG1861" s="28"/>
      <c r="BJ1861" s="28"/>
      <c r="BM1861" s="28"/>
      <c r="BP1861" s="28"/>
      <c r="BS1861" s="28"/>
      <c r="BV1861" s="28"/>
      <c r="BY1861" s="28"/>
      <c r="CB1861" s="28"/>
      <c r="CE1861" s="28"/>
      <c r="CH1861" s="28"/>
      <c r="CK1861" s="28"/>
      <c r="CN1861" s="28"/>
      <c r="CQ1861" s="28"/>
      <c r="CT1861" s="28"/>
      <c r="CW1861" s="28"/>
      <c r="CZ1861" s="28"/>
      <c r="DC1861" s="28"/>
      <c r="DF1861" s="28"/>
      <c r="DI1861" s="28"/>
      <c r="DL1861" s="28"/>
      <c r="DO1861" s="28"/>
      <c r="DR1861" s="28"/>
      <c r="DU1861" s="28"/>
      <c r="DX1861" s="28"/>
      <c r="EA1861" s="28"/>
      <c r="ED1861" s="28"/>
      <c r="EG1861" s="28"/>
      <c r="EJ1861" s="28"/>
      <c r="EM1861" s="28"/>
      <c r="EP1861" s="28"/>
      <c r="ES1861" s="28"/>
      <c r="EV1861" s="28"/>
      <c r="EY1861" s="28"/>
      <c r="FB1861" s="28"/>
      <c r="FE1861" s="28"/>
      <c r="FH1861" s="28"/>
      <c r="FK1861" s="28"/>
      <c r="FN1861" s="28"/>
      <c r="FQ1861" s="28"/>
      <c r="FT1861" s="28"/>
      <c r="FW1861" s="28"/>
      <c r="FZ1861" s="28"/>
      <c r="GC1861" s="28"/>
    </row>
    <row r="1862" spans="1:185" s="25" customFormat="1" x14ac:dyDescent="0.3">
      <c r="A1862" s="27"/>
      <c r="B1862" s="28"/>
      <c r="C1862" s="27"/>
      <c r="D1862" s="26"/>
      <c r="E1862" s="28"/>
      <c r="H1862" s="28"/>
      <c r="K1862" s="28"/>
      <c r="N1862" s="28"/>
      <c r="Q1862" s="28"/>
      <c r="T1862" s="28"/>
      <c r="W1862" s="28"/>
      <c r="Z1862" s="28"/>
      <c r="AC1862" s="28"/>
      <c r="AF1862" s="28"/>
      <c r="AI1862" s="28"/>
      <c r="AL1862" s="28"/>
      <c r="AO1862" s="28"/>
      <c r="AR1862" s="28"/>
      <c r="AU1862" s="28"/>
      <c r="AX1862" s="28"/>
      <c r="BA1862" s="28"/>
      <c r="BD1862" s="28"/>
      <c r="BG1862" s="28"/>
      <c r="BJ1862" s="28"/>
      <c r="BM1862" s="28"/>
      <c r="BP1862" s="28"/>
      <c r="BS1862" s="28"/>
      <c r="BV1862" s="28"/>
      <c r="BY1862" s="28"/>
      <c r="CB1862" s="28"/>
      <c r="CE1862" s="28"/>
      <c r="CH1862" s="28"/>
      <c r="CK1862" s="28"/>
      <c r="CN1862" s="28"/>
      <c r="CQ1862" s="28"/>
      <c r="CT1862" s="28"/>
      <c r="CW1862" s="28"/>
      <c r="CZ1862" s="28"/>
      <c r="DC1862" s="28"/>
      <c r="DF1862" s="28"/>
      <c r="DI1862" s="28"/>
      <c r="DL1862" s="28"/>
      <c r="DO1862" s="28"/>
      <c r="DR1862" s="28"/>
      <c r="DU1862" s="28"/>
      <c r="DX1862" s="28"/>
      <c r="EA1862" s="28"/>
      <c r="ED1862" s="28"/>
      <c r="EG1862" s="28"/>
      <c r="EJ1862" s="28"/>
      <c r="EM1862" s="28"/>
      <c r="EP1862" s="28"/>
      <c r="ES1862" s="28"/>
      <c r="EV1862" s="28"/>
      <c r="EY1862" s="28"/>
      <c r="FB1862" s="28"/>
      <c r="FE1862" s="28"/>
      <c r="FH1862" s="28"/>
      <c r="FK1862" s="28"/>
      <c r="FN1862" s="28"/>
      <c r="FQ1862" s="28"/>
      <c r="FT1862" s="28"/>
      <c r="FW1862" s="28"/>
      <c r="FZ1862" s="28"/>
      <c r="GC1862" s="28"/>
    </row>
    <row r="1863" spans="1:185" s="25" customFormat="1" x14ac:dyDescent="0.3">
      <c r="A1863" s="27"/>
      <c r="B1863" s="28"/>
      <c r="C1863" s="27"/>
      <c r="D1863" s="26"/>
      <c r="E1863" s="28"/>
      <c r="H1863" s="28"/>
      <c r="K1863" s="28"/>
      <c r="N1863" s="28"/>
      <c r="Q1863" s="28"/>
      <c r="T1863" s="28"/>
      <c r="W1863" s="28"/>
      <c r="Z1863" s="28"/>
      <c r="AC1863" s="28"/>
      <c r="AF1863" s="28"/>
      <c r="AI1863" s="28"/>
      <c r="AL1863" s="28"/>
      <c r="AO1863" s="28"/>
      <c r="AR1863" s="28"/>
      <c r="AU1863" s="28"/>
      <c r="AX1863" s="28"/>
      <c r="BA1863" s="28"/>
      <c r="BD1863" s="28"/>
      <c r="BG1863" s="28"/>
      <c r="BJ1863" s="28"/>
      <c r="BM1863" s="28"/>
      <c r="BP1863" s="28"/>
      <c r="BS1863" s="28"/>
      <c r="BV1863" s="28"/>
      <c r="BY1863" s="28"/>
      <c r="CB1863" s="28"/>
      <c r="CE1863" s="28"/>
      <c r="CH1863" s="28"/>
      <c r="CK1863" s="28"/>
      <c r="CN1863" s="28"/>
      <c r="CQ1863" s="28"/>
      <c r="CT1863" s="28"/>
      <c r="CW1863" s="28"/>
      <c r="CZ1863" s="28"/>
      <c r="DC1863" s="28"/>
      <c r="DF1863" s="28"/>
      <c r="DI1863" s="28"/>
      <c r="DL1863" s="28"/>
      <c r="DO1863" s="28"/>
      <c r="DR1863" s="28"/>
      <c r="DU1863" s="28"/>
      <c r="DX1863" s="28"/>
      <c r="EA1863" s="28"/>
      <c r="ED1863" s="28"/>
      <c r="EG1863" s="28"/>
      <c r="EJ1863" s="28"/>
      <c r="EM1863" s="28"/>
      <c r="EP1863" s="28"/>
      <c r="ES1863" s="28"/>
      <c r="EV1863" s="28"/>
      <c r="EY1863" s="28"/>
      <c r="FB1863" s="28"/>
      <c r="FE1863" s="28"/>
      <c r="FH1863" s="28"/>
      <c r="FK1863" s="28"/>
      <c r="FN1863" s="28"/>
      <c r="FQ1863" s="28"/>
      <c r="FT1863" s="28"/>
      <c r="FW1863" s="28"/>
      <c r="FZ1863" s="28"/>
      <c r="GC1863" s="28"/>
    </row>
    <row r="1864" spans="1:185" s="25" customFormat="1" x14ac:dyDescent="0.3">
      <c r="A1864" s="27"/>
      <c r="B1864" s="28"/>
      <c r="C1864" s="27"/>
      <c r="D1864" s="26"/>
      <c r="E1864" s="28"/>
      <c r="H1864" s="28"/>
      <c r="K1864" s="28"/>
      <c r="N1864" s="28"/>
      <c r="Q1864" s="28"/>
      <c r="T1864" s="28"/>
      <c r="W1864" s="28"/>
      <c r="Z1864" s="28"/>
      <c r="AC1864" s="28"/>
      <c r="AF1864" s="28"/>
      <c r="AI1864" s="28"/>
      <c r="AL1864" s="28"/>
      <c r="AO1864" s="28"/>
      <c r="AR1864" s="28"/>
      <c r="AU1864" s="28"/>
      <c r="AX1864" s="28"/>
      <c r="BA1864" s="28"/>
      <c r="BD1864" s="28"/>
      <c r="BG1864" s="28"/>
      <c r="BJ1864" s="28"/>
      <c r="BM1864" s="28"/>
      <c r="BP1864" s="28"/>
      <c r="BS1864" s="28"/>
      <c r="BV1864" s="28"/>
      <c r="BY1864" s="28"/>
      <c r="CB1864" s="28"/>
      <c r="CE1864" s="28"/>
      <c r="CH1864" s="28"/>
      <c r="CK1864" s="28"/>
      <c r="CN1864" s="28"/>
      <c r="CQ1864" s="28"/>
      <c r="CT1864" s="28"/>
      <c r="CW1864" s="28"/>
      <c r="CZ1864" s="28"/>
      <c r="DC1864" s="28"/>
      <c r="DF1864" s="28"/>
      <c r="DI1864" s="28"/>
      <c r="DL1864" s="28"/>
      <c r="DO1864" s="28"/>
      <c r="DR1864" s="28"/>
      <c r="DU1864" s="28"/>
      <c r="DX1864" s="28"/>
      <c r="EA1864" s="28"/>
      <c r="ED1864" s="28"/>
      <c r="EG1864" s="28"/>
      <c r="EJ1864" s="28"/>
      <c r="EM1864" s="28"/>
      <c r="EP1864" s="28"/>
      <c r="ES1864" s="28"/>
      <c r="EV1864" s="28"/>
      <c r="EY1864" s="28"/>
      <c r="FB1864" s="28"/>
      <c r="FE1864" s="28"/>
      <c r="FH1864" s="28"/>
      <c r="FK1864" s="28"/>
      <c r="FN1864" s="28"/>
      <c r="FQ1864" s="28"/>
      <c r="FT1864" s="28"/>
      <c r="FW1864" s="28"/>
      <c r="FZ1864" s="28"/>
      <c r="GC1864" s="28"/>
    </row>
    <row r="1865" spans="1:185" s="25" customFormat="1" x14ac:dyDescent="0.3">
      <c r="A1865" s="27"/>
      <c r="B1865" s="28"/>
      <c r="C1865" s="27"/>
      <c r="D1865" s="26"/>
      <c r="E1865" s="28"/>
      <c r="H1865" s="28"/>
      <c r="K1865" s="28"/>
      <c r="N1865" s="28"/>
      <c r="Q1865" s="28"/>
      <c r="T1865" s="28"/>
      <c r="W1865" s="28"/>
      <c r="Z1865" s="28"/>
      <c r="AC1865" s="28"/>
      <c r="AF1865" s="28"/>
      <c r="AI1865" s="28"/>
      <c r="AL1865" s="28"/>
      <c r="AO1865" s="28"/>
      <c r="AR1865" s="28"/>
      <c r="AU1865" s="28"/>
      <c r="AX1865" s="28"/>
      <c r="BA1865" s="28"/>
      <c r="BD1865" s="28"/>
      <c r="BG1865" s="28"/>
      <c r="BJ1865" s="28"/>
      <c r="BM1865" s="28"/>
      <c r="BP1865" s="28"/>
      <c r="BS1865" s="28"/>
      <c r="BV1865" s="28"/>
      <c r="BY1865" s="28"/>
      <c r="CB1865" s="28"/>
      <c r="CE1865" s="28"/>
      <c r="CH1865" s="28"/>
      <c r="CK1865" s="28"/>
      <c r="CN1865" s="28"/>
      <c r="CQ1865" s="28"/>
      <c r="CT1865" s="28"/>
      <c r="CW1865" s="28"/>
      <c r="CZ1865" s="28"/>
      <c r="DC1865" s="28"/>
      <c r="DF1865" s="28"/>
      <c r="DI1865" s="28"/>
      <c r="DL1865" s="28"/>
      <c r="DO1865" s="28"/>
      <c r="DR1865" s="28"/>
      <c r="DU1865" s="28"/>
      <c r="DX1865" s="28"/>
      <c r="EA1865" s="28"/>
      <c r="ED1865" s="28"/>
      <c r="EG1865" s="28"/>
      <c r="EJ1865" s="28"/>
      <c r="EM1865" s="28"/>
      <c r="EP1865" s="28"/>
      <c r="ES1865" s="28"/>
      <c r="EV1865" s="28"/>
      <c r="EY1865" s="28"/>
      <c r="FB1865" s="28"/>
      <c r="FE1865" s="28"/>
      <c r="FH1865" s="28"/>
      <c r="FK1865" s="28"/>
      <c r="FN1865" s="28"/>
      <c r="FQ1865" s="28"/>
      <c r="FT1865" s="28"/>
      <c r="FW1865" s="28"/>
      <c r="FZ1865" s="28"/>
      <c r="GC1865" s="28"/>
    </row>
    <row r="1866" spans="1:185" s="25" customFormat="1" x14ac:dyDescent="0.3">
      <c r="A1866" s="27"/>
      <c r="B1866" s="28"/>
      <c r="C1866" s="27"/>
      <c r="D1866" s="26"/>
      <c r="E1866" s="28"/>
      <c r="H1866" s="28"/>
      <c r="K1866" s="28"/>
      <c r="N1866" s="28"/>
      <c r="Q1866" s="28"/>
      <c r="T1866" s="28"/>
      <c r="W1866" s="28"/>
      <c r="Z1866" s="28"/>
      <c r="AC1866" s="28"/>
      <c r="AF1866" s="28"/>
      <c r="AI1866" s="28"/>
      <c r="AL1866" s="28"/>
      <c r="AO1866" s="28"/>
      <c r="AR1866" s="28"/>
      <c r="AU1866" s="28"/>
      <c r="AX1866" s="28"/>
      <c r="BA1866" s="28"/>
      <c r="BD1866" s="28"/>
      <c r="BG1866" s="28"/>
      <c r="BJ1866" s="28"/>
      <c r="BM1866" s="28"/>
      <c r="BP1866" s="28"/>
      <c r="BS1866" s="28"/>
      <c r="BV1866" s="28"/>
      <c r="BY1866" s="28"/>
      <c r="CB1866" s="28"/>
      <c r="CE1866" s="28"/>
      <c r="CH1866" s="28"/>
      <c r="CK1866" s="28"/>
      <c r="CN1866" s="28"/>
      <c r="CQ1866" s="28"/>
      <c r="CT1866" s="28"/>
      <c r="CW1866" s="28"/>
      <c r="CZ1866" s="28"/>
      <c r="DC1866" s="28"/>
      <c r="DF1866" s="28"/>
      <c r="DI1866" s="28"/>
      <c r="DL1866" s="28"/>
      <c r="DO1866" s="28"/>
      <c r="DR1866" s="28"/>
      <c r="DU1866" s="28"/>
      <c r="DX1866" s="28"/>
      <c r="EA1866" s="28"/>
      <c r="ED1866" s="28"/>
      <c r="EG1866" s="28"/>
      <c r="EJ1866" s="28"/>
      <c r="EM1866" s="28"/>
      <c r="EP1866" s="28"/>
      <c r="ES1866" s="28"/>
      <c r="EV1866" s="28"/>
      <c r="EY1866" s="28"/>
      <c r="FB1866" s="28"/>
      <c r="FE1866" s="28"/>
      <c r="FH1866" s="28"/>
      <c r="FK1866" s="28"/>
      <c r="FN1866" s="28"/>
      <c r="FQ1866" s="28"/>
      <c r="FT1866" s="28"/>
      <c r="FW1866" s="28"/>
      <c r="FZ1866" s="28"/>
      <c r="GC1866" s="28"/>
    </row>
    <row r="1867" spans="1:185" s="25" customFormat="1" x14ac:dyDescent="0.3">
      <c r="A1867" s="27"/>
      <c r="B1867" s="28"/>
      <c r="C1867" s="27"/>
      <c r="D1867" s="26"/>
      <c r="E1867" s="28"/>
      <c r="H1867" s="28"/>
      <c r="K1867" s="28"/>
      <c r="N1867" s="28"/>
      <c r="Q1867" s="28"/>
      <c r="T1867" s="28"/>
      <c r="W1867" s="28"/>
      <c r="Z1867" s="28"/>
      <c r="AC1867" s="28"/>
      <c r="AF1867" s="28"/>
      <c r="AI1867" s="28"/>
      <c r="AL1867" s="28"/>
      <c r="AO1867" s="28"/>
      <c r="AR1867" s="28"/>
      <c r="AU1867" s="28"/>
      <c r="AX1867" s="28"/>
      <c r="BA1867" s="28"/>
      <c r="BD1867" s="28"/>
      <c r="BG1867" s="28"/>
      <c r="BJ1867" s="28"/>
      <c r="BM1867" s="28"/>
      <c r="BP1867" s="28"/>
      <c r="BS1867" s="28"/>
      <c r="BV1867" s="28"/>
      <c r="BY1867" s="28"/>
      <c r="CB1867" s="28"/>
      <c r="CE1867" s="28"/>
      <c r="CH1867" s="28"/>
      <c r="CK1867" s="28"/>
      <c r="CN1867" s="28"/>
      <c r="CQ1867" s="28"/>
      <c r="CT1867" s="28"/>
      <c r="CW1867" s="28"/>
      <c r="CZ1867" s="28"/>
      <c r="DC1867" s="28"/>
      <c r="DF1867" s="28"/>
      <c r="DI1867" s="28"/>
      <c r="DL1867" s="28"/>
      <c r="DO1867" s="28"/>
      <c r="DR1867" s="28"/>
      <c r="DU1867" s="28"/>
      <c r="DX1867" s="28"/>
      <c r="EA1867" s="28"/>
      <c r="ED1867" s="28"/>
      <c r="EG1867" s="28"/>
      <c r="EJ1867" s="28"/>
      <c r="EM1867" s="28"/>
      <c r="EP1867" s="28"/>
      <c r="ES1867" s="28"/>
      <c r="EV1867" s="28"/>
      <c r="EY1867" s="28"/>
      <c r="FB1867" s="28"/>
      <c r="FE1867" s="28"/>
      <c r="FH1867" s="28"/>
      <c r="FK1867" s="28"/>
      <c r="FN1867" s="28"/>
      <c r="FQ1867" s="28"/>
      <c r="FT1867" s="28"/>
      <c r="FW1867" s="28"/>
      <c r="FZ1867" s="28"/>
      <c r="GC1867" s="28"/>
    </row>
    <row r="1868" spans="1:185" s="25" customFormat="1" x14ac:dyDescent="0.3">
      <c r="A1868" s="27"/>
      <c r="B1868" s="28"/>
      <c r="C1868" s="27"/>
      <c r="D1868" s="26"/>
      <c r="E1868" s="28"/>
      <c r="H1868" s="28"/>
      <c r="K1868" s="28"/>
      <c r="N1868" s="28"/>
      <c r="Q1868" s="28"/>
      <c r="T1868" s="28"/>
      <c r="W1868" s="28"/>
      <c r="Z1868" s="28"/>
      <c r="AC1868" s="28"/>
      <c r="AF1868" s="28"/>
      <c r="AI1868" s="28"/>
      <c r="AL1868" s="28"/>
      <c r="AO1868" s="28"/>
      <c r="AR1868" s="28"/>
      <c r="AU1868" s="28"/>
      <c r="AX1868" s="28"/>
      <c r="BA1868" s="28"/>
      <c r="BD1868" s="28"/>
      <c r="BG1868" s="28"/>
      <c r="BJ1868" s="28"/>
      <c r="BM1868" s="28"/>
      <c r="BP1868" s="28"/>
      <c r="BS1868" s="28"/>
      <c r="BV1868" s="28"/>
      <c r="BY1868" s="28"/>
      <c r="CB1868" s="28"/>
      <c r="CE1868" s="28"/>
      <c r="CH1868" s="28"/>
      <c r="CK1868" s="28"/>
      <c r="CN1868" s="28"/>
      <c r="CQ1868" s="28"/>
      <c r="CT1868" s="28"/>
      <c r="CW1868" s="28"/>
      <c r="CZ1868" s="28"/>
      <c r="DC1868" s="28"/>
      <c r="DF1868" s="28"/>
      <c r="DI1868" s="28"/>
      <c r="DL1868" s="28"/>
      <c r="DO1868" s="28"/>
      <c r="DR1868" s="28"/>
      <c r="DU1868" s="28"/>
      <c r="DX1868" s="28"/>
      <c r="EA1868" s="28"/>
      <c r="ED1868" s="28"/>
      <c r="EG1868" s="28"/>
      <c r="EJ1868" s="28"/>
      <c r="EM1868" s="28"/>
      <c r="EP1868" s="28"/>
      <c r="ES1868" s="28"/>
      <c r="EV1868" s="28"/>
      <c r="EY1868" s="28"/>
      <c r="FB1868" s="28"/>
      <c r="FE1868" s="28"/>
      <c r="FH1868" s="28"/>
      <c r="FK1868" s="28"/>
      <c r="FN1868" s="28"/>
      <c r="FQ1868" s="28"/>
      <c r="FT1868" s="28"/>
      <c r="FW1868" s="28"/>
      <c r="FZ1868" s="28"/>
      <c r="GC1868" s="28"/>
    </row>
    <row r="1869" spans="1:185" s="25" customFormat="1" x14ac:dyDescent="0.3">
      <c r="A1869" s="27"/>
      <c r="B1869" s="28"/>
      <c r="C1869" s="27"/>
      <c r="D1869" s="26"/>
      <c r="E1869" s="28"/>
      <c r="H1869" s="28"/>
      <c r="K1869" s="28"/>
      <c r="N1869" s="28"/>
      <c r="Q1869" s="28"/>
      <c r="T1869" s="28"/>
      <c r="W1869" s="28"/>
      <c r="Z1869" s="28"/>
      <c r="AC1869" s="28"/>
      <c r="AF1869" s="28"/>
      <c r="AI1869" s="28"/>
      <c r="AL1869" s="28"/>
      <c r="AO1869" s="28"/>
      <c r="AR1869" s="28"/>
      <c r="AU1869" s="28"/>
      <c r="AX1869" s="28"/>
      <c r="BA1869" s="28"/>
      <c r="BD1869" s="28"/>
      <c r="BG1869" s="28"/>
      <c r="BJ1869" s="28"/>
      <c r="BM1869" s="28"/>
      <c r="BP1869" s="28"/>
      <c r="BS1869" s="28"/>
      <c r="BV1869" s="28"/>
      <c r="BY1869" s="28"/>
      <c r="CB1869" s="28"/>
      <c r="CE1869" s="28"/>
      <c r="CH1869" s="28"/>
      <c r="CK1869" s="28"/>
      <c r="CN1869" s="28"/>
      <c r="CQ1869" s="28"/>
      <c r="CT1869" s="28"/>
      <c r="CW1869" s="28"/>
      <c r="CZ1869" s="28"/>
      <c r="DC1869" s="28"/>
      <c r="DF1869" s="28"/>
      <c r="DI1869" s="28"/>
      <c r="DL1869" s="28"/>
      <c r="DO1869" s="28"/>
      <c r="DR1869" s="28"/>
      <c r="DU1869" s="28"/>
      <c r="DX1869" s="28"/>
      <c r="EA1869" s="28"/>
      <c r="ED1869" s="28"/>
      <c r="EG1869" s="28"/>
      <c r="EJ1869" s="28"/>
      <c r="EM1869" s="28"/>
      <c r="EP1869" s="28"/>
      <c r="ES1869" s="28"/>
      <c r="EV1869" s="28"/>
      <c r="EY1869" s="28"/>
      <c r="FB1869" s="28"/>
      <c r="FE1869" s="28"/>
      <c r="FH1869" s="28"/>
      <c r="FK1869" s="28"/>
      <c r="FN1869" s="28"/>
      <c r="FQ1869" s="28"/>
      <c r="FT1869" s="28"/>
      <c r="FW1869" s="28"/>
      <c r="FZ1869" s="28"/>
      <c r="GC1869" s="28"/>
    </row>
    <row r="1870" spans="1:185" s="25" customFormat="1" x14ac:dyDescent="0.3">
      <c r="A1870" s="27"/>
      <c r="B1870" s="28"/>
      <c r="C1870" s="27"/>
      <c r="D1870" s="26"/>
      <c r="E1870" s="28"/>
      <c r="H1870" s="28"/>
      <c r="K1870" s="28"/>
      <c r="N1870" s="28"/>
      <c r="Q1870" s="28"/>
      <c r="T1870" s="28"/>
      <c r="W1870" s="28"/>
      <c r="Z1870" s="28"/>
      <c r="AC1870" s="28"/>
      <c r="AF1870" s="28"/>
      <c r="AI1870" s="28"/>
      <c r="AL1870" s="28"/>
      <c r="AO1870" s="28"/>
      <c r="AR1870" s="28"/>
      <c r="AU1870" s="28"/>
      <c r="AX1870" s="28"/>
      <c r="BA1870" s="28"/>
      <c r="BD1870" s="28"/>
      <c r="BG1870" s="28"/>
      <c r="BJ1870" s="28"/>
      <c r="BM1870" s="28"/>
      <c r="BP1870" s="28"/>
      <c r="BS1870" s="28"/>
      <c r="BV1870" s="28"/>
      <c r="BY1870" s="28"/>
      <c r="CB1870" s="28"/>
      <c r="CE1870" s="28"/>
      <c r="CH1870" s="28"/>
      <c r="CK1870" s="28"/>
      <c r="CN1870" s="28"/>
      <c r="CQ1870" s="28"/>
      <c r="CT1870" s="28"/>
      <c r="CW1870" s="28"/>
      <c r="CZ1870" s="28"/>
      <c r="DC1870" s="28"/>
      <c r="DF1870" s="28"/>
      <c r="DI1870" s="28"/>
      <c r="DL1870" s="28"/>
      <c r="DO1870" s="28"/>
      <c r="DR1870" s="28"/>
      <c r="DU1870" s="28"/>
      <c r="DX1870" s="28"/>
      <c r="EA1870" s="28"/>
      <c r="ED1870" s="28"/>
      <c r="EG1870" s="28"/>
      <c r="EJ1870" s="28"/>
      <c r="EM1870" s="28"/>
      <c r="EP1870" s="28"/>
      <c r="ES1870" s="28"/>
      <c r="EV1870" s="28"/>
      <c r="EY1870" s="28"/>
      <c r="FB1870" s="28"/>
      <c r="FE1870" s="28"/>
      <c r="FH1870" s="28"/>
      <c r="FK1870" s="28"/>
      <c r="FN1870" s="28"/>
      <c r="FQ1870" s="28"/>
      <c r="FT1870" s="28"/>
      <c r="FW1870" s="28"/>
      <c r="FZ1870" s="28"/>
      <c r="GC1870" s="28"/>
    </row>
    <row r="1871" spans="1:185" s="25" customFormat="1" x14ac:dyDescent="0.3">
      <c r="A1871" s="27"/>
      <c r="B1871" s="28"/>
      <c r="C1871" s="27"/>
      <c r="D1871" s="26"/>
      <c r="E1871" s="28"/>
      <c r="H1871" s="28"/>
      <c r="K1871" s="28"/>
      <c r="N1871" s="28"/>
      <c r="Q1871" s="28"/>
      <c r="T1871" s="28"/>
      <c r="W1871" s="28"/>
      <c r="Z1871" s="28"/>
      <c r="AC1871" s="28"/>
      <c r="AF1871" s="28"/>
      <c r="AI1871" s="28"/>
      <c r="AL1871" s="28"/>
      <c r="AO1871" s="28"/>
      <c r="AR1871" s="28"/>
      <c r="AU1871" s="28"/>
      <c r="AX1871" s="28"/>
      <c r="BA1871" s="28"/>
      <c r="BD1871" s="28"/>
      <c r="BG1871" s="28"/>
      <c r="BJ1871" s="28"/>
      <c r="BM1871" s="28"/>
      <c r="BP1871" s="28"/>
      <c r="BS1871" s="28"/>
      <c r="BV1871" s="28"/>
      <c r="BY1871" s="28"/>
      <c r="CB1871" s="28"/>
      <c r="CE1871" s="28"/>
      <c r="CH1871" s="28"/>
      <c r="CK1871" s="28"/>
      <c r="CN1871" s="28"/>
      <c r="CQ1871" s="28"/>
      <c r="CT1871" s="28"/>
      <c r="CW1871" s="28"/>
      <c r="CZ1871" s="28"/>
      <c r="DC1871" s="28"/>
      <c r="DF1871" s="28"/>
      <c r="DI1871" s="28"/>
      <c r="DL1871" s="28"/>
      <c r="DO1871" s="28"/>
      <c r="DR1871" s="28"/>
      <c r="DU1871" s="28"/>
      <c r="DX1871" s="28"/>
      <c r="EA1871" s="28"/>
      <c r="ED1871" s="28"/>
      <c r="EG1871" s="28"/>
      <c r="EJ1871" s="28"/>
      <c r="EM1871" s="28"/>
      <c r="EP1871" s="28"/>
      <c r="ES1871" s="28"/>
      <c r="EV1871" s="28"/>
      <c r="EY1871" s="28"/>
      <c r="FB1871" s="28"/>
      <c r="FE1871" s="28"/>
      <c r="FH1871" s="28"/>
      <c r="FK1871" s="28"/>
      <c r="FN1871" s="28"/>
      <c r="FQ1871" s="28"/>
      <c r="FT1871" s="28"/>
      <c r="FW1871" s="28"/>
      <c r="FZ1871" s="28"/>
      <c r="GC1871" s="28"/>
    </row>
    <row r="1872" spans="1:185" s="25" customFormat="1" x14ac:dyDescent="0.3">
      <c r="A1872" s="27"/>
      <c r="B1872" s="28"/>
      <c r="C1872" s="27"/>
      <c r="D1872" s="26"/>
      <c r="E1872" s="28"/>
      <c r="H1872" s="28"/>
      <c r="K1872" s="28"/>
      <c r="N1872" s="28"/>
      <c r="Q1872" s="28"/>
      <c r="T1872" s="28"/>
      <c r="W1872" s="28"/>
      <c r="Z1872" s="28"/>
      <c r="AC1872" s="28"/>
      <c r="AF1872" s="28"/>
      <c r="AI1872" s="28"/>
      <c r="AL1872" s="28"/>
      <c r="AO1872" s="28"/>
      <c r="AR1872" s="28"/>
      <c r="AU1872" s="28"/>
      <c r="AX1872" s="28"/>
      <c r="BA1872" s="28"/>
      <c r="BD1872" s="28"/>
      <c r="BG1872" s="28"/>
      <c r="BJ1872" s="28"/>
      <c r="BM1872" s="28"/>
      <c r="BP1872" s="28"/>
      <c r="BS1872" s="28"/>
      <c r="BV1872" s="28"/>
      <c r="BY1872" s="28"/>
      <c r="CB1872" s="28"/>
      <c r="CE1872" s="28"/>
      <c r="CH1872" s="28"/>
      <c r="CK1872" s="28"/>
      <c r="CN1872" s="28"/>
      <c r="CQ1872" s="28"/>
      <c r="CT1872" s="28"/>
      <c r="CW1872" s="28"/>
      <c r="CZ1872" s="28"/>
      <c r="DC1872" s="28"/>
      <c r="DF1872" s="28"/>
      <c r="DI1872" s="28"/>
      <c r="DL1872" s="28"/>
      <c r="DO1872" s="28"/>
      <c r="DR1872" s="28"/>
      <c r="DU1872" s="28"/>
      <c r="DX1872" s="28"/>
      <c r="EA1872" s="28"/>
      <c r="ED1872" s="28"/>
      <c r="EG1872" s="28"/>
      <c r="EJ1872" s="28"/>
      <c r="EM1872" s="28"/>
      <c r="EP1872" s="28"/>
      <c r="ES1872" s="28"/>
      <c r="EV1872" s="28"/>
      <c r="EY1872" s="28"/>
      <c r="FB1872" s="28"/>
      <c r="FE1872" s="28"/>
      <c r="FH1872" s="28"/>
      <c r="FK1872" s="28"/>
      <c r="FN1872" s="28"/>
      <c r="FQ1872" s="28"/>
      <c r="FT1872" s="28"/>
      <c r="FW1872" s="28"/>
      <c r="FZ1872" s="28"/>
      <c r="GC1872" s="28"/>
    </row>
    <row r="1873" spans="1:185" s="25" customFormat="1" x14ac:dyDescent="0.3">
      <c r="A1873" s="27"/>
      <c r="B1873" s="28"/>
      <c r="C1873" s="27"/>
      <c r="D1873" s="26"/>
      <c r="E1873" s="28"/>
      <c r="H1873" s="28"/>
      <c r="K1873" s="28"/>
      <c r="N1873" s="28"/>
      <c r="Q1873" s="28"/>
      <c r="T1873" s="28"/>
      <c r="W1873" s="28"/>
      <c r="Z1873" s="28"/>
      <c r="AC1873" s="28"/>
      <c r="AF1873" s="28"/>
      <c r="AI1873" s="28"/>
      <c r="AL1873" s="28"/>
      <c r="AO1873" s="28"/>
      <c r="AR1873" s="28"/>
      <c r="AU1873" s="28"/>
      <c r="AX1873" s="28"/>
      <c r="BA1873" s="28"/>
      <c r="BD1873" s="28"/>
      <c r="BG1873" s="28"/>
      <c r="BJ1873" s="28"/>
      <c r="BM1873" s="28"/>
      <c r="BP1873" s="28"/>
      <c r="BS1873" s="28"/>
      <c r="BV1873" s="28"/>
      <c r="BY1873" s="28"/>
      <c r="CB1873" s="28"/>
      <c r="CE1873" s="28"/>
      <c r="CH1873" s="28"/>
      <c r="CK1873" s="28"/>
      <c r="CN1873" s="28"/>
      <c r="CQ1873" s="28"/>
      <c r="CT1873" s="28"/>
      <c r="CW1873" s="28"/>
      <c r="CZ1873" s="28"/>
      <c r="DC1873" s="28"/>
      <c r="DF1873" s="28"/>
      <c r="DI1873" s="28"/>
      <c r="DL1873" s="28"/>
      <c r="DO1873" s="28"/>
      <c r="DR1873" s="28"/>
      <c r="DU1873" s="28"/>
      <c r="DX1873" s="28"/>
      <c r="EA1873" s="28"/>
      <c r="ED1873" s="28"/>
      <c r="EG1873" s="28"/>
      <c r="EJ1873" s="28"/>
      <c r="EM1873" s="28"/>
      <c r="EP1873" s="28"/>
      <c r="ES1873" s="28"/>
      <c r="EV1873" s="28"/>
      <c r="EY1873" s="28"/>
      <c r="FB1873" s="28"/>
      <c r="FE1873" s="28"/>
      <c r="FH1873" s="28"/>
      <c r="FK1873" s="28"/>
      <c r="FN1873" s="28"/>
      <c r="FQ1873" s="28"/>
      <c r="FT1873" s="28"/>
      <c r="FW1873" s="28"/>
      <c r="FZ1873" s="28"/>
      <c r="GC1873" s="28"/>
    </row>
    <row r="1874" spans="1:185" s="25" customFormat="1" x14ac:dyDescent="0.3">
      <c r="A1874" s="27"/>
      <c r="B1874" s="28"/>
      <c r="C1874" s="27"/>
      <c r="D1874" s="26"/>
      <c r="E1874" s="28"/>
      <c r="H1874" s="28"/>
      <c r="K1874" s="28"/>
      <c r="N1874" s="28"/>
      <c r="Q1874" s="28"/>
      <c r="T1874" s="28"/>
      <c r="W1874" s="28"/>
      <c r="Z1874" s="28"/>
      <c r="AC1874" s="28"/>
      <c r="AF1874" s="28"/>
      <c r="AI1874" s="28"/>
      <c r="AL1874" s="28"/>
      <c r="AO1874" s="28"/>
      <c r="AR1874" s="28"/>
      <c r="AU1874" s="28"/>
      <c r="AX1874" s="28"/>
      <c r="BA1874" s="28"/>
      <c r="BD1874" s="28"/>
      <c r="BG1874" s="28"/>
      <c r="BJ1874" s="28"/>
      <c r="BM1874" s="28"/>
      <c r="BP1874" s="28"/>
      <c r="BS1874" s="28"/>
      <c r="BV1874" s="28"/>
      <c r="BY1874" s="28"/>
      <c r="CB1874" s="28"/>
      <c r="CE1874" s="28"/>
      <c r="CH1874" s="28"/>
      <c r="CK1874" s="28"/>
      <c r="CN1874" s="28"/>
      <c r="CQ1874" s="28"/>
      <c r="CT1874" s="28"/>
      <c r="CW1874" s="28"/>
      <c r="CZ1874" s="28"/>
      <c r="DC1874" s="28"/>
      <c r="DF1874" s="28"/>
      <c r="DI1874" s="28"/>
      <c r="DL1874" s="28"/>
      <c r="DO1874" s="28"/>
      <c r="DR1874" s="28"/>
      <c r="DU1874" s="28"/>
      <c r="DX1874" s="28"/>
      <c r="EA1874" s="28"/>
      <c r="ED1874" s="28"/>
      <c r="EG1874" s="28"/>
      <c r="EJ1874" s="28"/>
      <c r="EM1874" s="28"/>
      <c r="EP1874" s="28"/>
      <c r="ES1874" s="28"/>
      <c r="EV1874" s="28"/>
      <c r="EY1874" s="28"/>
      <c r="FB1874" s="28"/>
      <c r="FE1874" s="28"/>
      <c r="FH1874" s="28"/>
      <c r="FK1874" s="28"/>
      <c r="FN1874" s="28"/>
      <c r="FQ1874" s="28"/>
      <c r="FT1874" s="28"/>
      <c r="FW1874" s="28"/>
      <c r="FZ1874" s="28"/>
      <c r="GC1874" s="28"/>
    </row>
    <row r="1875" spans="1:185" s="25" customFormat="1" x14ac:dyDescent="0.3">
      <c r="A1875" s="27"/>
      <c r="B1875" s="28"/>
      <c r="C1875" s="27"/>
      <c r="D1875" s="26"/>
      <c r="E1875" s="28"/>
      <c r="H1875" s="28"/>
      <c r="K1875" s="28"/>
      <c r="N1875" s="28"/>
      <c r="Q1875" s="28"/>
      <c r="T1875" s="28"/>
      <c r="W1875" s="28"/>
      <c r="Z1875" s="28"/>
      <c r="AC1875" s="28"/>
      <c r="AF1875" s="28"/>
      <c r="AI1875" s="28"/>
      <c r="AL1875" s="28"/>
      <c r="AO1875" s="28"/>
      <c r="AR1875" s="28"/>
      <c r="AU1875" s="28"/>
      <c r="AX1875" s="28"/>
      <c r="BA1875" s="28"/>
      <c r="BD1875" s="28"/>
      <c r="BG1875" s="28"/>
      <c r="BJ1875" s="28"/>
      <c r="BM1875" s="28"/>
      <c r="BP1875" s="28"/>
      <c r="BS1875" s="28"/>
      <c r="BV1875" s="28"/>
      <c r="BY1875" s="28"/>
      <c r="CB1875" s="28"/>
      <c r="CE1875" s="28"/>
      <c r="CH1875" s="28"/>
      <c r="CK1875" s="28"/>
      <c r="CN1875" s="28"/>
      <c r="CQ1875" s="28"/>
      <c r="CT1875" s="28"/>
      <c r="CW1875" s="28"/>
      <c r="CZ1875" s="28"/>
      <c r="DC1875" s="28"/>
      <c r="DF1875" s="28"/>
      <c r="DI1875" s="28"/>
      <c r="DL1875" s="28"/>
      <c r="DO1875" s="28"/>
      <c r="DR1875" s="28"/>
      <c r="DU1875" s="28"/>
      <c r="DX1875" s="28"/>
      <c r="EA1875" s="28"/>
      <c r="ED1875" s="28"/>
      <c r="EG1875" s="28"/>
      <c r="EJ1875" s="28"/>
      <c r="EM1875" s="28"/>
      <c r="EP1875" s="28"/>
      <c r="ES1875" s="28"/>
      <c r="EV1875" s="28"/>
      <c r="EY1875" s="28"/>
      <c r="FB1875" s="28"/>
      <c r="FE1875" s="28"/>
      <c r="FH1875" s="28"/>
      <c r="FK1875" s="28"/>
      <c r="FN1875" s="28"/>
      <c r="FQ1875" s="28"/>
      <c r="FT1875" s="28"/>
      <c r="FW1875" s="28"/>
      <c r="FZ1875" s="28"/>
      <c r="GC1875" s="28"/>
    </row>
    <row r="1876" spans="1:185" s="25" customFormat="1" x14ac:dyDescent="0.3">
      <c r="A1876" s="27"/>
      <c r="B1876" s="28"/>
      <c r="C1876" s="27"/>
      <c r="D1876" s="26"/>
      <c r="E1876" s="28"/>
      <c r="H1876" s="28"/>
      <c r="K1876" s="28"/>
      <c r="N1876" s="28"/>
      <c r="Q1876" s="28"/>
      <c r="T1876" s="28"/>
      <c r="W1876" s="28"/>
      <c r="Z1876" s="28"/>
      <c r="AC1876" s="28"/>
      <c r="AF1876" s="28"/>
      <c r="AI1876" s="28"/>
      <c r="AL1876" s="28"/>
      <c r="AO1876" s="28"/>
      <c r="AR1876" s="28"/>
      <c r="AU1876" s="28"/>
      <c r="AX1876" s="28"/>
      <c r="BA1876" s="28"/>
      <c r="BD1876" s="28"/>
      <c r="BG1876" s="28"/>
      <c r="BJ1876" s="28"/>
      <c r="BM1876" s="28"/>
      <c r="BP1876" s="28"/>
      <c r="BS1876" s="28"/>
      <c r="BV1876" s="28"/>
      <c r="BY1876" s="28"/>
      <c r="CB1876" s="28"/>
      <c r="CE1876" s="28"/>
      <c r="CH1876" s="28"/>
      <c r="CK1876" s="28"/>
      <c r="CN1876" s="28"/>
      <c r="CQ1876" s="28"/>
      <c r="CT1876" s="28"/>
      <c r="CW1876" s="28"/>
      <c r="CZ1876" s="28"/>
      <c r="DC1876" s="28"/>
      <c r="DF1876" s="28"/>
      <c r="DI1876" s="28"/>
      <c r="DL1876" s="28"/>
      <c r="DO1876" s="28"/>
      <c r="DR1876" s="28"/>
      <c r="DU1876" s="28"/>
      <c r="DX1876" s="28"/>
      <c r="EA1876" s="28"/>
      <c r="ED1876" s="28"/>
      <c r="EG1876" s="28"/>
      <c r="EJ1876" s="28"/>
      <c r="EM1876" s="28"/>
      <c r="EP1876" s="28"/>
      <c r="ES1876" s="28"/>
      <c r="EV1876" s="28"/>
      <c r="EY1876" s="28"/>
      <c r="FB1876" s="28"/>
      <c r="FE1876" s="28"/>
      <c r="FH1876" s="28"/>
      <c r="FK1876" s="28"/>
      <c r="FN1876" s="28"/>
      <c r="FQ1876" s="28"/>
      <c r="FT1876" s="28"/>
      <c r="FW1876" s="28"/>
      <c r="FZ1876" s="28"/>
      <c r="GC1876" s="28"/>
    </row>
    <row r="1877" spans="1:185" s="25" customFormat="1" x14ac:dyDescent="0.3">
      <c r="A1877" s="27"/>
      <c r="B1877" s="28"/>
      <c r="C1877" s="27"/>
      <c r="D1877" s="26"/>
      <c r="E1877" s="28"/>
      <c r="H1877" s="28"/>
      <c r="K1877" s="28"/>
      <c r="N1877" s="28"/>
      <c r="Q1877" s="28"/>
      <c r="T1877" s="28"/>
      <c r="W1877" s="28"/>
      <c r="Z1877" s="28"/>
      <c r="AC1877" s="28"/>
      <c r="AF1877" s="28"/>
      <c r="AI1877" s="28"/>
      <c r="AL1877" s="28"/>
      <c r="AO1877" s="28"/>
      <c r="AR1877" s="28"/>
      <c r="AU1877" s="28"/>
      <c r="AX1877" s="28"/>
      <c r="BA1877" s="28"/>
      <c r="BD1877" s="28"/>
      <c r="BG1877" s="28"/>
      <c r="BJ1877" s="28"/>
      <c r="BM1877" s="28"/>
      <c r="BP1877" s="28"/>
      <c r="BS1877" s="28"/>
      <c r="BV1877" s="28"/>
      <c r="BY1877" s="28"/>
      <c r="CB1877" s="28"/>
      <c r="CE1877" s="28"/>
      <c r="CH1877" s="28"/>
      <c r="CK1877" s="28"/>
      <c r="CN1877" s="28"/>
      <c r="CQ1877" s="28"/>
      <c r="CT1877" s="28"/>
      <c r="CW1877" s="28"/>
      <c r="CZ1877" s="28"/>
      <c r="DC1877" s="28"/>
      <c r="DF1877" s="28"/>
      <c r="DI1877" s="28"/>
      <c r="DL1877" s="28"/>
      <c r="DO1877" s="28"/>
      <c r="DR1877" s="28"/>
      <c r="DU1877" s="28"/>
      <c r="DX1877" s="28"/>
      <c r="EA1877" s="28"/>
      <c r="ED1877" s="28"/>
      <c r="EG1877" s="28"/>
      <c r="EJ1877" s="28"/>
      <c r="EM1877" s="28"/>
      <c r="EP1877" s="28"/>
      <c r="ES1877" s="28"/>
      <c r="EV1877" s="28"/>
      <c r="EY1877" s="28"/>
      <c r="FB1877" s="28"/>
      <c r="FE1877" s="28"/>
      <c r="FH1877" s="28"/>
      <c r="FK1877" s="28"/>
      <c r="FN1877" s="28"/>
      <c r="FQ1877" s="28"/>
      <c r="FT1877" s="28"/>
      <c r="FW1877" s="28"/>
      <c r="FZ1877" s="28"/>
      <c r="GC1877" s="28"/>
    </row>
    <row r="1878" spans="1:185" s="25" customFormat="1" x14ac:dyDescent="0.3">
      <c r="A1878" s="27"/>
      <c r="B1878" s="28"/>
      <c r="C1878" s="27"/>
      <c r="D1878" s="26"/>
      <c r="E1878" s="28"/>
      <c r="H1878" s="28"/>
      <c r="K1878" s="28"/>
      <c r="N1878" s="28"/>
      <c r="Q1878" s="28"/>
      <c r="T1878" s="28"/>
      <c r="W1878" s="28"/>
      <c r="Z1878" s="28"/>
      <c r="AC1878" s="28"/>
      <c r="AF1878" s="28"/>
      <c r="AI1878" s="28"/>
      <c r="AL1878" s="28"/>
      <c r="AO1878" s="28"/>
      <c r="AR1878" s="28"/>
      <c r="AU1878" s="28"/>
      <c r="AX1878" s="28"/>
      <c r="BA1878" s="28"/>
      <c r="BD1878" s="28"/>
      <c r="BG1878" s="28"/>
      <c r="BJ1878" s="28"/>
      <c r="BM1878" s="28"/>
      <c r="BP1878" s="28"/>
      <c r="BS1878" s="28"/>
      <c r="BV1878" s="28"/>
      <c r="BY1878" s="28"/>
      <c r="CB1878" s="28"/>
      <c r="CE1878" s="28"/>
      <c r="CH1878" s="28"/>
      <c r="CK1878" s="28"/>
      <c r="CN1878" s="28"/>
      <c r="CQ1878" s="28"/>
      <c r="CT1878" s="28"/>
      <c r="CW1878" s="28"/>
      <c r="CZ1878" s="28"/>
      <c r="DC1878" s="28"/>
      <c r="DF1878" s="28"/>
      <c r="DI1878" s="28"/>
      <c r="DL1878" s="28"/>
      <c r="DO1878" s="28"/>
      <c r="DR1878" s="28"/>
      <c r="DU1878" s="28"/>
      <c r="DX1878" s="28"/>
      <c r="EA1878" s="28"/>
      <c r="ED1878" s="28"/>
      <c r="EG1878" s="28"/>
      <c r="EJ1878" s="28"/>
      <c r="EM1878" s="28"/>
      <c r="EP1878" s="28"/>
      <c r="ES1878" s="28"/>
      <c r="EV1878" s="28"/>
      <c r="EY1878" s="28"/>
      <c r="FB1878" s="28"/>
      <c r="FE1878" s="28"/>
      <c r="FH1878" s="28"/>
      <c r="FK1878" s="28"/>
      <c r="FN1878" s="28"/>
      <c r="FQ1878" s="28"/>
      <c r="FT1878" s="28"/>
      <c r="FW1878" s="28"/>
      <c r="FZ1878" s="28"/>
      <c r="GC1878" s="28"/>
    </row>
    <row r="1879" spans="1:185" s="25" customFormat="1" x14ac:dyDescent="0.3">
      <c r="A1879" s="27"/>
      <c r="B1879" s="28"/>
      <c r="C1879" s="27"/>
      <c r="D1879" s="26"/>
      <c r="E1879" s="28"/>
      <c r="H1879" s="28"/>
      <c r="K1879" s="28"/>
      <c r="N1879" s="28"/>
      <c r="Q1879" s="28"/>
      <c r="T1879" s="28"/>
      <c r="W1879" s="28"/>
      <c r="Z1879" s="28"/>
      <c r="AC1879" s="28"/>
      <c r="AF1879" s="28"/>
      <c r="AI1879" s="28"/>
      <c r="AL1879" s="28"/>
      <c r="AO1879" s="28"/>
      <c r="AR1879" s="28"/>
      <c r="AU1879" s="28"/>
      <c r="AX1879" s="28"/>
      <c r="BA1879" s="28"/>
      <c r="BD1879" s="28"/>
      <c r="BG1879" s="28"/>
      <c r="BJ1879" s="28"/>
      <c r="BM1879" s="28"/>
      <c r="BP1879" s="28"/>
      <c r="BS1879" s="28"/>
      <c r="BV1879" s="28"/>
      <c r="BY1879" s="28"/>
      <c r="CB1879" s="28"/>
      <c r="CE1879" s="28"/>
      <c r="CH1879" s="28"/>
      <c r="CK1879" s="28"/>
      <c r="CN1879" s="28"/>
      <c r="CQ1879" s="28"/>
      <c r="CT1879" s="28"/>
      <c r="CW1879" s="28"/>
      <c r="CZ1879" s="28"/>
      <c r="DC1879" s="28"/>
      <c r="DF1879" s="28"/>
      <c r="DI1879" s="28"/>
      <c r="DL1879" s="28"/>
      <c r="DO1879" s="28"/>
      <c r="DR1879" s="28"/>
      <c r="DU1879" s="28"/>
      <c r="DX1879" s="28"/>
      <c r="EA1879" s="28"/>
      <c r="ED1879" s="28"/>
      <c r="EG1879" s="28"/>
      <c r="EJ1879" s="28"/>
      <c r="EM1879" s="28"/>
      <c r="EP1879" s="28"/>
      <c r="ES1879" s="28"/>
      <c r="EV1879" s="28"/>
      <c r="EY1879" s="28"/>
      <c r="FB1879" s="28"/>
      <c r="FE1879" s="28"/>
      <c r="FH1879" s="28"/>
      <c r="FK1879" s="28"/>
      <c r="FN1879" s="28"/>
      <c r="FQ1879" s="28"/>
      <c r="FT1879" s="28"/>
      <c r="FW1879" s="28"/>
      <c r="FZ1879" s="28"/>
      <c r="GC1879" s="28"/>
    </row>
    <row r="1880" spans="1:185" s="25" customFormat="1" x14ac:dyDescent="0.3">
      <c r="A1880" s="27"/>
      <c r="B1880" s="28"/>
      <c r="C1880" s="27"/>
      <c r="D1880" s="26"/>
      <c r="E1880" s="28"/>
      <c r="H1880" s="28"/>
      <c r="K1880" s="28"/>
      <c r="N1880" s="28"/>
      <c r="Q1880" s="28"/>
      <c r="T1880" s="28"/>
      <c r="W1880" s="28"/>
      <c r="Z1880" s="28"/>
      <c r="AC1880" s="28"/>
      <c r="AF1880" s="28"/>
      <c r="AI1880" s="28"/>
      <c r="AL1880" s="28"/>
      <c r="AO1880" s="28"/>
      <c r="AR1880" s="28"/>
      <c r="AU1880" s="28"/>
      <c r="AX1880" s="28"/>
      <c r="BA1880" s="28"/>
      <c r="BD1880" s="28"/>
      <c r="BG1880" s="28"/>
      <c r="BJ1880" s="28"/>
      <c r="BM1880" s="28"/>
      <c r="BP1880" s="28"/>
      <c r="BS1880" s="28"/>
      <c r="BV1880" s="28"/>
      <c r="BY1880" s="28"/>
      <c r="CB1880" s="28"/>
      <c r="CE1880" s="28"/>
      <c r="CH1880" s="28"/>
      <c r="CK1880" s="28"/>
      <c r="CN1880" s="28"/>
      <c r="CQ1880" s="28"/>
      <c r="CT1880" s="28"/>
      <c r="CW1880" s="28"/>
      <c r="CZ1880" s="28"/>
      <c r="DC1880" s="28"/>
      <c r="DF1880" s="28"/>
      <c r="DI1880" s="28"/>
      <c r="DL1880" s="28"/>
      <c r="DO1880" s="28"/>
      <c r="DR1880" s="28"/>
      <c r="DU1880" s="28"/>
      <c r="DX1880" s="28"/>
      <c r="EA1880" s="28"/>
      <c r="ED1880" s="28"/>
      <c r="EG1880" s="28"/>
      <c r="EJ1880" s="28"/>
      <c r="EM1880" s="28"/>
      <c r="EP1880" s="28"/>
      <c r="ES1880" s="28"/>
      <c r="EV1880" s="28"/>
      <c r="EY1880" s="28"/>
      <c r="FB1880" s="28"/>
      <c r="FE1880" s="28"/>
      <c r="FH1880" s="28"/>
      <c r="FK1880" s="28"/>
      <c r="FN1880" s="28"/>
      <c r="FQ1880" s="28"/>
      <c r="FT1880" s="28"/>
      <c r="FW1880" s="28"/>
      <c r="FZ1880" s="28"/>
      <c r="GC1880" s="28"/>
    </row>
    <row r="1881" spans="1:185" s="25" customFormat="1" x14ac:dyDescent="0.3">
      <c r="A1881" s="27"/>
      <c r="B1881" s="28"/>
      <c r="C1881" s="27"/>
      <c r="D1881" s="26"/>
      <c r="E1881" s="28"/>
      <c r="H1881" s="28"/>
      <c r="K1881" s="28"/>
      <c r="N1881" s="28"/>
      <c r="Q1881" s="28"/>
      <c r="T1881" s="28"/>
      <c r="W1881" s="28"/>
      <c r="Z1881" s="28"/>
      <c r="AC1881" s="28"/>
      <c r="AF1881" s="28"/>
      <c r="AI1881" s="28"/>
      <c r="AL1881" s="28"/>
      <c r="AO1881" s="28"/>
      <c r="AR1881" s="28"/>
      <c r="AU1881" s="28"/>
      <c r="AX1881" s="28"/>
      <c r="BA1881" s="28"/>
      <c r="BD1881" s="28"/>
      <c r="BG1881" s="28"/>
      <c r="BJ1881" s="28"/>
      <c r="BM1881" s="28"/>
      <c r="BP1881" s="28"/>
      <c r="BS1881" s="28"/>
      <c r="BV1881" s="28"/>
      <c r="BY1881" s="28"/>
      <c r="CB1881" s="28"/>
      <c r="CE1881" s="28"/>
      <c r="CH1881" s="28"/>
      <c r="CK1881" s="28"/>
      <c r="CN1881" s="28"/>
      <c r="CQ1881" s="28"/>
      <c r="CT1881" s="28"/>
      <c r="CW1881" s="28"/>
      <c r="CZ1881" s="28"/>
      <c r="DC1881" s="28"/>
      <c r="DF1881" s="28"/>
      <c r="DI1881" s="28"/>
      <c r="DL1881" s="28"/>
      <c r="DO1881" s="28"/>
      <c r="DR1881" s="28"/>
      <c r="DU1881" s="28"/>
      <c r="DX1881" s="28"/>
      <c r="EA1881" s="28"/>
      <c r="ED1881" s="28"/>
      <c r="EG1881" s="28"/>
      <c r="EJ1881" s="28"/>
      <c r="EM1881" s="28"/>
      <c r="EP1881" s="28"/>
      <c r="ES1881" s="28"/>
      <c r="EV1881" s="28"/>
      <c r="EY1881" s="28"/>
      <c r="FB1881" s="28"/>
      <c r="FE1881" s="28"/>
      <c r="FH1881" s="28"/>
      <c r="FK1881" s="28"/>
      <c r="FN1881" s="28"/>
      <c r="FQ1881" s="28"/>
      <c r="FT1881" s="28"/>
      <c r="FW1881" s="28"/>
      <c r="FZ1881" s="28"/>
      <c r="GC1881" s="28"/>
    </row>
    <row r="1882" spans="1:185" s="25" customFormat="1" x14ac:dyDescent="0.3">
      <c r="A1882" s="27"/>
      <c r="B1882" s="28"/>
      <c r="C1882" s="27"/>
      <c r="D1882" s="26"/>
      <c r="E1882" s="28"/>
      <c r="H1882" s="28"/>
      <c r="K1882" s="28"/>
      <c r="N1882" s="28"/>
      <c r="Q1882" s="28"/>
      <c r="T1882" s="28"/>
      <c r="W1882" s="28"/>
      <c r="Z1882" s="28"/>
      <c r="AC1882" s="28"/>
      <c r="AF1882" s="28"/>
      <c r="AI1882" s="28"/>
      <c r="AL1882" s="28"/>
      <c r="AO1882" s="28"/>
      <c r="AR1882" s="28"/>
      <c r="AU1882" s="28"/>
      <c r="AX1882" s="28"/>
      <c r="BA1882" s="28"/>
      <c r="BD1882" s="28"/>
      <c r="BG1882" s="28"/>
      <c r="BJ1882" s="28"/>
      <c r="BM1882" s="28"/>
      <c r="BP1882" s="28"/>
      <c r="BS1882" s="28"/>
      <c r="BV1882" s="28"/>
      <c r="BY1882" s="28"/>
      <c r="CB1882" s="28"/>
      <c r="CE1882" s="28"/>
      <c r="CH1882" s="28"/>
      <c r="CK1882" s="28"/>
      <c r="CN1882" s="28"/>
      <c r="CQ1882" s="28"/>
      <c r="CT1882" s="28"/>
      <c r="CW1882" s="28"/>
      <c r="CZ1882" s="28"/>
      <c r="DC1882" s="28"/>
      <c r="DF1882" s="28"/>
      <c r="DI1882" s="28"/>
      <c r="DL1882" s="28"/>
      <c r="DO1882" s="28"/>
      <c r="DR1882" s="28"/>
      <c r="DU1882" s="28"/>
      <c r="DX1882" s="28"/>
      <c r="EA1882" s="28"/>
      <c r="ED1882" s="28"/>
      <c r="EG1882" s="28"/>
      <c r="EJ1882" s="28"/>
      <c r="EM1882" s="28"/>
      <c r="EP1882" s="28"/>
      <c r="ES1882" s="28"/>
      <c r="EV1882" s="28"/>
      <c r="EY1882" s="28"/>
      <c r="FB1882" s="28"/>
      <c r="FE1882" s="28"/>
      <c r="FH1882" s="28"/>
      <c r="FK1882" s="28"/>
      <c r="FN1882" s="28"/>
      <c r="FQ1882" s="28"/>
      <c r="FT1882" s="28"/>
      <c r="FW1882" s="28"/>
      <c r="FZ1882" s="28"/>
      <c r="GC1882" s="28"/>
    </row>
    <row r="1883" spans="1:185" s="25" customFormat="1" x14ac:dyDescent="0.3">
      <c r="A1883" s="27"/>
      <c r="B1883" s="28"/>
      <c r="C1883" s="27"/>
      <c r="D1883" s="26"/>
      <c r="E1883" s="28"/>
      <c r="H1883" s="28"/>
      <c r="K1883" s="28"/>
      <c r="N1883" s="28"/>
      <c r="Q1883" s="28"/>
      <c r="T1883" s="28"/>
      <c r="W1883" s="28"/>
      <c r="Z1883" s="28"/>
      <c r="AC1883" s="28"/>
      <c r="AF1883" s="28"/>
      <c r="AI1883" s="28"/>
      <c r="AL1883" s="28"/>
      <c r="AO1883" s="28"/>
      <c r="AR1883" s="28"/>
      <c r="AU1883" s="28"/>
      <c r="AX1883" s="28"/>
      <c r="BA1883" s="28"/>
      <c r="BD1883" s="28"/>
      <c r="BG1883" s="28"/>
      <c r="BJ1883" s="28"/>
      <c r="BM1883" s="28"/>
      <c r="BP1883" s="28"/>
      <c r="BS1883" s="28"/>
      <c r="BV1883" s="28"/>
      <c r="BY1883" s="28"/>
      <c r="CB1883" s="28"/>
      <c r="CE1883" s="28"/>
      <c r="CH1883" s="28"/>
      <c r="CK1883" s="28"/>
      <c r="CN1883" s="28"/>
      <c r="CQ1883" s="28"/>
      <c r="CT1883" s="28"/>
      <c r="CW1883" s="28"/>
      <c r="CZ1883" s="28"/>
      <c r="DC1883" s="28"/>
      <c r="DF1883" s="28"/>
      <c r="DI1883" s="28"/>
      <c r="DL1883" s="28"/>
      <c r="DO1883" s="28"/>
      <c r="DR1883" s="28"/>
      <c r="DU1883" s="28"/>
      <c r="DX1883" s="28"/>
      <c r="EA1883" s="28"/>
      <c r="ED1883" s="28"/>
      <c r="EG1883" s="28"/>
      <c r="EJ1883" s="28"/>
      <c r="EM1883" s="28"/>
      <c r="EP1883" s="28"/>
      <c r="ES1883" s="28"/>
      <c r="EV1883" s="28"/>
      <c r="EY1883" s="28"/>
      <c r="FB1883" s="28"/>
      <c r="FE1883" s="28"/>
      <c r="FH1883" s="28"/>
      <c r="FK1883" s="28"/>
      <c r="FN1883" s="28"/>
      <c r="FQ1883" s="28"/>
      <c r="FT1883" s="28"/>
      <c r="FW1883" s="28"/>
      <c r="FZ1883" s="28"/>
      <c r="GC1883" s="28"/>
    </row>
    <row r="1884" spans="1:185" s="25" customFormat="1" x14ac:dyDescent="0.3">
      <c r="A1884" s="27"/>
      <c r="B1884" s="28"/>
      <c r="C1884" s="27"/>
      <c r="D1884" s="26"/>
      <c r="E1884" s="28"/>
      <c r="H1884" s="28"/>
      <c r="K1884" s="28"/>
      <c r="N1884" s="28"/>
      <c r="Q1884" s="28"/>
      <c r="T1884" s="28"/>
      <c r="W1884" s="28"/>
      <c r="Z1884" s="28"/>
      <c r="AC1884" s="28"/>
      <c r="AF1884" s="28"/>
      <c r="AI1884" s="28"/>
      <c r="AL1884" s="28"/>
      <c r="AO1884" s="28"/>
      <c r="AR1884" s="28"/>
      <c r="AU1884" s="28"/>
      <c r="AX1884" s="28"/>
      <c r="BA1884" s="28"/>
      <c r="BD1884" s="28"/>
      <c r="BG1884" s="28"/>
      <c r="BJ1884" s="28"/>
      <c r="BM1884" s="28"/>
      <c r="BP1884" s="28"/>
      <c r="BS1884" s="28"/>
      <c r="BV1884" s="28"/>
      <c r="BY1884" s="28"/>
      <c r="CB1884" s="28"/>
      <c r="CE1884" s="28"/>
      <c r="CH1884" s="28"/>
      <c r="CK1884" s="28"/>
      <c r="CN1884" s="28"/>
      <c r="CQ1884" s="28"/>
      <c r="CT1884" s="28"/>
      <c r="CW1884" s="28"/>
      <c r="CZ1884" s="28"/>
      <c r="DC1884" s="28"/>
      <c r="DF1884" s="28"/>
      <c r="DI1884" s="28"/>
      <c r="DL1884" s="28"/>
      <c r="DO1884" s="28"/>
      <c r="DR1884" s="28"/>
      <c r="DU1884" s="28"/>
      <c r="DX1884" s="28"/>
      <c r="EA1884" s="28"/>
      <c r="ED1884" s="28"/>
      <c r="EG1884" s="28"/>
      <c r="EJ1884" s="28"/>
      <c r="EM1884" s="28"/>
      <c r="EP1884" s="28"/>
      <c r="ES1884" s="28"/>
      <c r="EV1884" s="28"/>
      <c r="EY1884" s="28"/>
      <c r="FB1884" s="28"/>
      <c r="FE1884" s="28"/>
      <c r="FH1884" s="28"/>
      <c r="FK1884" s="28"/>
      <c r="FN1884" s="28"/>
      <c r="FQ1884" s="28"/>
      <c r="FT1884" s="28"/>
      <c r="FW1884" s="28"/>
      <c r="FZ1884" s="28"/>
      <c r="GC1884" s="28"/>
    </row>
    <row r="1885" spans="1:185" s="25" customFormat="1" x14ac:dyDescent="0.3">
      <c r="A1885" s="27"/>
      <c r="B1885" s="28"/>
      <c r="C1885" s="27"/>
      <c r="D1885" s="26"/>
      <c r="E1885" s="28"/>
      <c r="H1885" s="28"/>
      <c r="K1885" s="28"/>
      <c r="N1885" s="28"/>
      <c r="Q1885" s="28"/>
      <c r="T1885" s="28"/>
      <c r="W1885" s="28"/>
      <c r="Z1885" s="28"/>
      <c r="AC1885" s="28"/>
      <c r="AF1885" s="28"/>
      <c r="AI1885" s="28"/>
      <c r="AL1885" s="28"/>
      <c r="AO1885" s="28"/>
      <c r="AR1885" s="28"/>
      <c r="AU1885" s="28"/>
      <c r="AX1885" s="28"/>
      <c r="BA1885" s="28"/>
      <c r="BD1885" s="28"/>
      <c r="BG1885" s="28"/>
      <c r="BJ1885" s="28"/>
      <c r="BM1885" s="28"/>
      <c r="BP1885" s="28"/>
      <c r="BS1885" s="28"/>
      <c r="BV1885" s="28"/>
      <c r="BY1885" s="28"/>
      <c r="CB1885" s="28"/>
      <c r="CE1885" s="28"/>
      <c r="CH1885" s="28"/>
      <c r="CK1885" s="28"/>
      <c r="CN1885" s="28"/>
      <c r="CQ1885" s="28"/>
      <c r="CT1885" s="28"/>
      <c r="CW1885" s="28"/>
      <c r="CZ1885" s="28"/>
      <c r="DC1885" s="28"/>
      <c r="DF1885" s="28"/>
      <c r="DI1885" s="28"/>
      <c r="DL1885" s="28"/>
      <c r="DO1885" s="28"/>
      <c r="DR1885" s="28"/>
      <c r="DU1885" s="28"/>
      <c r="DX1885" s="28"/>
      <c r="EA1885" s="28"/>
      <c r="ED1885" s="28"/>
      <c r="EG1885" s="28"/>
      <c r="EJ1885" s="28"/>
      <c r="EM1885" s="28"/>
      <c r="EP1885" s="28"/>
      <c r="ES1885" s="28"/>
      <c r="EV1885" s="28"/>
      <c r="EY1885" s="28"/>
      <c r="FB1885" s="28"/>
      <c r="FE1885" s="28"/>
      <c r="FH1885" s="28"/>
      <c r="FK1885" s="28"/>
      <c r="FN1885" s="28"/>
      <c r="FQ1885" s="28"/>
      <c r="FT1885" s="28"/>
      <c r="FW1885" s="28"/>
      <c r="FZ1885" s="28"/>
      <c r="GC1885" s="28"/>
    </row>
    <row r="1886" spans="1:185" s="25" customFormat="1" x14ac:dyDescent="0.3">
      <c r="A1886" s="27"/>
      <c r="B1886" s="28"/>
      <c r="C1886" s="27"/>
      <c r="D1886" s="26"/>
      <c r="E1886" s="28"/>
      <c r="H1886" s="28"/>
      <c r="K1886" s="28"/>
      <c r="N1886" s="28"/>
      <c r="Q1886" s="28"/>
      <c r="T1886" s="28"/>
      <c r="W1886" s="28"/>
      <c r="Z1886" s="28"/>
      <c r="AC1886" s="28"/>
      <c r="AF1886" s="28"/>
      <c r="AI1886" s="28"/>
      <c r="AL1886" s="28"/>
      <c r="AO1886" s="28"/>
      <c r="AR1886" s="28"/>
      <c r="AU1886" s="28"/>
      <c r="AX1886" s="28"/>
      <c r="BA1886" s="28"/>
      <c r="BD1886" s="28"/>
      <c r="BG1886" s="28"/>
      <c r="BJ1886" s="28"/>
      <c r="BM1886" s="28"/>
      <c r="BP1886" s="28"/>
      <c r="BS1886" s="28"/>
      <c r="BV1886" s="28"/>
      <c r="BY1886" s="28"/>
      <c r="CB1886" s="28"/>
      <c r="CE1886" s="28"/>
      <c r="CH1886" s="28"/>
      <c r="CK1886" s="28"/>
      <c r="CN1886" s="28"/>
      <c r="CQ1886" s="28"/>
      <c r="CT1886" s="28"/>
      <c r="CW1886" s="28"/>
      <c r="CZ1886" s="28"/>
      <c r="DC1886" s="28"/>
      <c r="DF1886" s="28"/>
      <c r="DI1886" s="28"/>
      <c r="DL1886" s="28"/>
      <c r="DO1886" s="28"/>
      <c r="DR1886" s="28"/>
      <c r="DU1886" s="28"/>
      <c r="DX1886" s="28"/>
      <c r="EA1886" s="28"/>
      <c r="ED1886" s="28"/>
      <c r="EG1886" s="28"/>
      <c r="EJ1886" s="28"/>
      <c r="EM1886" s="28"/>
      <c r="EP1886" s="28"/>
      <c r="ES1886" s="28"/>
      <c r="EV1886" s="28"/>
      <c r="EY1886" s="28"/>
      <c r="FB1886" s="28"/>
      <c r="FE1886" s="28"/>
      <c r="FH1886" s="28"/>
      <c r="FK1886" s="28"/>
      <c r="FN1886" s="28"/>
      <c r="FQ1886" s="28"/>
      <c r="FT1886" s="28"/>
      <c r="FW1886" s="28"/>
      <c r="FZ1886" s="28"/>
      <c r="GC1886" s="28"/>
    </row>
    <row r="1887" spans="1:185" s="25" customFormat="1" x14ac:dyDescent="0.3">
      <c r="A1887" s="27"/>
      <c r="B1887" s="28"/>
      <c r="C1887" s="27"/>
      <c r="D1887" s="26"/>
      <c r="E1887" s="28"/>
      <c r="H1887" s="28"/>
      <c r="K1887" s="28"/>
      <c r="N1887" s="28"/>
      <c r="Q1887" s="28"/>
      <c r="T1887" s="28"/>
      <c r="W1887" s="28"/>
      <c r="Z1887" s="28"/>
      <c r="AC1887" s="28"/>
      <c r="AF1887" s="28"/>
      <c r="AI1887" s="28"/>
      <c r="AL1887" s="28"/>
      <c r="AO1887" s="28"/>
      <c r="AR1887" s="28"/>
      <c r="AU1887" s="28"/>
      <c r="AX1887" s="28"/>
      <c r="BA1887" s="28"/>
      <c r="BD1887" s="28"/>
      <c r="BG1887" s="28"/>
      <c r="BJ1887" s="28"/>
      <c r="BM1887" s="28"/>
      <c r="BP1887" s="28"/>
      <c r="BS1887" s="28"/>
      <c r="BV1887" s="28"/>
      <c r="BY1887" s="28"/>
      <c r="CB1887" s="28"/>
      <c r="CE1887" s="28"/>
      <c r="CH1887" s="28"/>
      <c r="CK1887" s="28"/>
      <c r="CN1887" s="28"/>
      <c r="CQ1887" s="28"/>
      <c r="CT1887" s="28"/>
      <c r="CW1887" s="28"/>
      <c r="CZ1887" s="28"/>
      <c r="DC1887" s="28"/>
      <c r="DF1887" s="28"/>
      <c r="DI1887" s="28"/>
      <c r="DL1887" s="28"/>
      <c r="DO1887" s="28"/>
      <c r="DR1887" s="28"/>
      <c r="DU1887" s="28"/>
      <c r="DX1887" s="28"/>
      <c r="EA1887" s="28"/>
      <c r="ED1887" s="28"/>
      <c r="EG1887" s="28"/>
      <c r="EJ1887" s="28"/>
      <c r="EM1887" s="28"/>
      <c r="EP1887" s="28"/>
      <c r="ES1887" s="28"/>
      <c r="EV1887" s="28"/>
      <c r="EY1887" s="28"/>
      <c r="FB1887" s="28"/>
      <c r="FE1887" s="28"/>
      <c r="FH1887" s="28"/>
      <c r="FK1887" s="28"/>
      <c r="FN1887" s="28"/>
      <c r="FQ1887" s="28"/>
      <c r="FT1887" s="28"/>
      <c r="FW1887" s="28"/>
      <c r="FZ1887" s="28"/>
      <c r="GC1887" s="28"/>
    </row>
    <row r="1888" spans="1:185" s="25" customFormat="1" x14ac:dyDescent="0.3">
      <c r="A1888" s="27"/>
      <c r="B1888" s="28"/>
      <c r="C1888" s="27"/>
      <c r="D1888" s="26"/>
      <c r="E1888" s="28"/>
      <c r="H1888" s="28"/>
      <c r="K1888" s="28"/>
      <c r="N1888" s="28"/>
      <c r="Q1888" s="28"/>
      <c r="T1888" s="28"/>
      <c r="W1888" s="28"/>
      <c r="Z1888" s="28"/>
      <c r="AC1888" s="28"/>
      <c r="AF1888" s="28"/>
      <c r="AI1888" s="28"/>
      <c r="AL1888" s="28"/>
      <c r="AO1888" s="28"/>
      <c r="AR1888" s="28"/>
      <c r="AU1888" s="28"/>
      <c r="AX1888" s="28"/>
      <c r="BA1888" s="28"/>
      <c r="BD1888" s="28"/>
      <c r="BG1888" s="28"/>
      <c r="BJ1888" s="28"/>
      <c r="BM1888" s="28"/>
      <c r="BP1888" s="28"/>
      <c r="BS1888" s="28"/>
      <c r="BV1888" s="28"/>
      <c r="BY1888" s="28"/>
      <c r="CB1888" s="28"/>
      <c r="CE1888" s="28"/>
      <c r="CH1888" s="28"/>
      <c r="CK1888" s="28"/>
      <c r="CN1888" s="28"/>
      <c r="CQ1888" s="28"/>
      <c r="CT1888" s="28"/>
      <c r="CW1888" s="28"/>
      <c r="CZ1888" s="28"/>
      <c r="DC1888" s="28"/>
      <c r="DF1888" s="28"/>
      <c r="DI1888" s="28"/>
      <c r="DL1888" s="28"/>
      <c r="DO1888" s="28"/>
      <c r="DR1888" s="28"/>
      <c r="DU1888" s="28"/>
      <c r="DX1888" s="28"/>
      <c r="EA1888" s="28"/>
      <c r="ED1888" s="28"/>
      <c r="EG1888" s="28"/>
      <c r="EJ1888" s="28"/>
      <c r="EM1888" s="28"/>
      <c r="EP1888" s="28"/>
      <c r="ES1888" s="28"/>
      <c r="EV1888" s="28"/>
      <c r="EY1888" s="28"/>
      <c r="FB1888" s="28"/>
      <c r="FE1888" s="28"/>
      <c r="FH1888" s="28"/>
      <c r="FK1888" s="28"/>
      <c r="FN1888" s="28"/>
      <c r="FQ1888" s="28"/>
      <c r="FT1888" s="28"/>
      <c r="FW1888" s="28"/>
      <c r="FZ1888" s="28"/>
      <c r="GC1888" s="28"/>
    </row>
    <row r="1889" spans="1:185" s="25" customFormat="1" x14ac:dyDescent="0.3">
      <c r="A1889" s="27"/>
      <c r="B1889" s="28"/>
      <c r="C1889" s="27"/>
      <c r="D1889" s="26"/>
      <c r="E1889" s="28"/>
      <c r="H1889" s="28"/>
      <c r="K1889" s="28"/>
      <c r="N1889" s="28"/>
      <c r="Q1889" s="28"/>
      <c r="T1889" s="28"/>
      <c r="W1889" s="28"/>
      <c r="Z1889" s="28"/>
      <c r="AC1889" s="28"/>
      <c r="AF1889" s="28"/>
      <c r="AI1889" s="28"/>
      <c r="AL1889" s="28"/>
      <c r="AO1889" s="28"/>
      <c r="AR1889" s="28"/>
      <c r="AU1889" s="28"/>
      <c r="AX1889" s="28"/>
      <c r="BA1889" s="28"/>
      <c r="BD1889" s="28"/>
      <c r="BG1889" s="28"/>
      <c r="BJ1889" s="28"/>
      <c r="BM1889" s="28"/>
      <c r="BP1889" s="28"/>
      <c r="BS1889" s="28"/>
      <c r="BV1889" s="28"/>
      <c r="BY1889" s="28"/>
      <c r="CB1889" s="28"/>
      <c r="CE1889" s="28"/>
      <c r="CH1889" s="28"/>
      <c r="CK1889" s="28"/>
      <c r="CN1889" s="28"/>
      <c r="CQ1889" s="28"/>
      <c r="CT1889" s="28"/>
      <c r="CW1889" s="28"/>
      <c r="CZ1889" s="28"/>
      <c r="DC1889" s="28"/>
      <c r="DF1889" s="28"/>
      <c r="DI1889" s="28"/>
      <c r="DL1889" s="28"/>
      <c r="DO1889" s="28"/>
      <c r="DR1889" s="28"/>
      <c r="DU1889" s="28"/>
      <c r="DX1889" s="28"/>
      <c r="EA1889" s="28"/>
      <c r="ED1889" s="28"/>
      <c r="EG1889" s="28"/>
      <c r="EJ1889" s="28"/>
      <c r="EM1889" s="28"/>
      <c r="EP1889" s="28"/>
      <c r="ES1889" s="28"/>
      <c r="EV1889" s="28"/>
      <c r="EY1889" s="28"/>
      <c r="FB1889" s="28"/>
      <c r="FE1889" s="28"/>
      <c r="FH1889" s="28"/>
      <c r="FK1889" s="28"/>
      <c r="FN1889" s="28"/>
      <c r="FQ1889" s="28"/>
      <c r="FT1889" s="28"/>
      <c r="FW1889" s="28"/>
      <c r="FZ1889" s="28"/>
      <c r="GC1889" s="28"/>
    </row>
    <row r="1890" spans="1:185" s="25" customFormat="1" x14ac:dyDescent="0.3">
      <c r="A1890" s="27"/>
      <c r="B1890" s="28"/>
      <c r="C1890" s="27"/>
      <c r="D1890" s="26"/>
      <c r="E1890" s="28"/>
      <c r="H1890" s="28"/>
      <c r="K1890" s="28"/>
      <c r="N1890" s="28"/>
      <c r="Q1890" s="28"/>
      <c r="T1890" s="28"/>
      <c r="W1890" s="28"/>
      <c r="Z1890" s="28"/>
      <c r="AC1890" s="28"/>
      <c r="AF1890" s="28"/>
      <c r="AI1890" s="28"/>
      <c r="AL1890" s="28"/>
      <c r="AO1890" s="28"/>
      <c r="AR1890" s="28"/>
      <c r="AU1890" s="28"/>
      <c r="AX1890" s="28"/>
      <c r="BA1890" s="28"/>
      <c r="BD1890" s="28"/>
      <c r="BG1890" s="28"/>
      <c r="BJ1890" s="28"/>
      <c r="BM1890" s="28"/>
      <c r="BP1890" s="28"/>
      <c r="BS1890" s="28"/>
      <c r="BV1890" s="28"/>
      <c r="BY1890" s="28"/>
      <c r="CB1890" s="28"/>
      <c r="CE1890" s="28"/>
      <c r="CH1890" s="28"/>
      <c r="CK1890" s="28"/>
      <c r="CN1890" s="28"/>
      <c r="CQ1890" s="28"/>
      <c r="CT1890" s="28"/>
      <c r="CW1890" s="28"/>
      <c r="CZ1890" s="28"/>
      <c r="DC1890" s="28"/>
      <c r="DF1890" s="28"/>
      <c r="DI1890" s="28"/>
      <c r="DL1890" s="28"/>
      <c r="DO1890" s="28"/>
      <c r="DR1890" s="28"/>
      <c r="DU1890" s="28"/>
      <c r="DX1890" s="28"/>
      <c r="EA1890" s="28"/>
      <c r="ED1890" s="28"/>
      <c r="EG1890" s="28"/>
      <c r="EJ1890" s="28"/>
      <c r="EM1890" s="28"/>
      <c r="EP1890" s="28"/>
      <c r="ES1890" s="28"/>
      <c r="EV1890" s="28"/>
      <c r="EY1890" s="28"/>
      <c r="FB1890" s="28"/>
      <c r="FE1890" s="28"/>
      <c r="FH1890" s="28"/>
      <c r="FK1890" s="28"/>
      <c r="FN1890" s="28"/>
      <c r="FQ1890" s="28"/>
      <c r="FT1890" s="28"/>
      <c r="FW1890" s="28"/>
      <c r="FZ1890" s="28"/>
      <c r="GC1890" s="28"/>
    </row>
    <row r="1891" spans="1:185" s="25" customFormat="1" x14ac:dyDescent="0.3">
      <c r="A1891" s="27"/>
      <c r="B1891" s="28"/>
      <c r="C1891" s="27"/>
      <c r="D1891" s="26"/>
      <c r="E1891" s="28"/>
      <c r="H1891" s="28"/>
      <c r="K1891" s="28"/>
      <c r="N1891" s="28"/>
      <c r="Q1891" s="28"/>
      <c r="T1891" s="28"/>
      <c r="W1891" s="28"/>
      <c r="Z1891" s="28"/>
      <c r="AC1891" s="28"/>
      <c r="AF1891" s="28"/>
      <c r="AI1891" s="28"/>
      <c r="AL1891" s="28"/>
      <c r="AO1891" s="28"/>
      <c r="AR1891" s="28"/>
      <c r="AU1891" s="28"/>
      <c r="AX1891" s="28"/>
      <c r="BA1891" s="28"/>
      <c r="BD1891" s="28"/>
      <c r="BG1891" s="28"/>
      <c r="BJ1891" s="28"/>
      <c r="BM1891" s="28"/>
      <c r="BP1891" s="28"/>
      <c r="BS1891" s="28"/>
      <c r="BV1891" s="28"/>
      <c r="BY1891" s="28"/>
      <c r="CB1891" s="28"/>
      <c r="CE1891" s="28"/>
      <c r="CH1891" s="28"/>
      <c r="CK1891" s="28"/>
      <c r="CN1891" s="28"/>
      <c r="CQ1891" s="28"/>
      <c r="CT1891" s="28"/>
      <c r="CW1891" s="28"/>
      <c r="CZ1891" s="28"/>
      <c r="DC1891" s="28"/>
      <c r="DF1891" s="28"/>
      <c r="DI1891" s="28"/>
      <c r="DL1891" s="28"/>
      <c r="DO1891" s="28"/>
      <c r="DR1891" s="28"/>
      <c r="DU1891" s="28"/>
      <c r="DX1891" s="28"/>
      <c r="EA1891" s="28"/>
      <c r="ED1891" s="28"/>
      <c r="EG1891" s="28"/>
      <c r="EJ1891" s="28"/>
      <c r="EM1891" s="28"/>
      <c r="EP1891" s="28"/>
      <c r="ES1891" s="28"/>
      <c r="EV1891" s="28"/>
      <c r="EY1891" s="28"/>
      <c r="FB1891" s="28"/>
      <c r="FE1891" s="28"/>
      <c r="FH1891" s="28"/>
      <c r="FK1891" s="28"/>
      <c r="FN1891" s="28"/>
      <c r="FQ1891" s="28"/>
      <c r="FT1891" s="28"/>
      <c r="FW1891" s="28"/>
      <c r="FZ1891" s="28"/>
      <c r="GC1891" s="28"/>
    </row>
    <row r="1892" spans="1:185" s="25" customFormat="1" x14ac:dyDescent="0.3">
      <c r="A1892" s="27"/>
      <c r="B1892" s="28"/>
      <c r="C1892" s="27"/>
      <c r="D1892" s="26"/>
      <c r="E1892" s="28"/>
      <c r="H1892" s="28"/>
      <c r="K1892" s="28"/>
      <c r="N1892" s="28"/>
      <c r="Q1892" s="28"/>
      <c r="T1892" s="28"/>
      <c r="W1892" s="28"/>
      <c r="Z1892" s="28"/>
      <c r="AC1892" s="28"/>
      <c r="AF1892" s="28"/>
      <c r="AI1892" s="28"/>
      <c r="AL1892" s="28"/>
      <c r="AO1892" s="28"/>
      <c r="AR1892" s="28"/>
      <c r="AU1892" s="28"/>
      <c r="AX1892" s="28"/>
      <c r="BA1892" s="28"/>
      <c r="BD1892" s="28"/>
      <c r="BG1892" s="28"/>
      <c r="BJ1892" s="28"/>
      <c r="BM1892" s="28"/>
      <c r="BP1892" s="28"/>
      <c r="BS1892" s="28"/>
      <c r="BV1892" s="28"/>
      <c r="BY1892" s="28"/>
      <c r="CB1892" s="28"/>
      <c r="CE1892" s="28"/>
      <c r="CH1892" s="28"/>
      <c r="CK1892" s="28"/>
      <c r="CN1892" s="28"/>
      <c r="CQ1892" s="28"/>
      <c r="CT1892" s="28"/>
      <c r="CW1892" s="28"/>
      <c r="CZ1892" s="28"/>
      <c r="DC1892" s="28"/>
      <c r="DF1892" s="28"/>
      <c r="DI1892" s="28"/>
      <c r="DL1892" s="28"/>
      <c r="DO1892" s="28"/>
      <c r="DR1892" s="28"/>
      <c r="DU1892" s="28"/>
      <c r="DX1892" s="28"/>
      <c r="EA1892" s="28"/>
      <c r="ED1892" s="28"/>
      <c r="EG1892" s="28"/>
      <c r="EJ1892" s="28"/>
      <c r="EM1892" s="28"/>
      <c r="EP1892" s="28"/>
      <c r="ES1892" s="28"/>
      <c r="EV1892" s="28"/>
      <c r="EY1892" s="28"/>
      <c r="FB1892" s="28"/>
      <c r="FE1892" s="28"/>
      <c r="FH1892" s="28"/>
      <c r="FK1892" s="28"/>
      <c r="FN1892" s="28"/>
      <c r="FQ1892" s="28"/>
      <c r="FT1892" s="28"/>
      <c r="FW1892" s="28"/>
      <c r="FZ1892" s="28"/>
      <c r="GC1892" s="28"/>
    </row>
    <row r="1893" spans="1:185" s="25" customFormat="1" x14ac:dyDescent="0.3">
      <c r="A1893" s="27"/>
      <c r="B1893" s="28"/>
      <c r="C1893" s="27"/>
      <c r="D1893" s="26"/>
      <c r="E1893" s="28"/>
      <c r="H1893" s="28"/>
      <c r="K1893" s="28"/>
      <c r="N1893" s="28"/>
      <c r="Q1893" s="28"/>
      <c r="T1893" s="28"/>
      <c r="W1893" s="28"/>
      <c r="Z1893" s="28"/>
      <c r="AC1893" s="28"/>
      <c r="AF1893" s="28"/>
      <c r="AI1893" s="28"/>
      <c r="AL1893" s="28"/>
      <c r="AO1893" s="28"/>
      <c r="AR1893" s="28"/>
      <c r="AU1893" s="28"/>
      <c r="AX1893" s="28"/>
      <c r="BA1893" s="28"/>
      <c r="BD1893" s="28"/>
      <c r="BG1893" s="28"/>
      <c r="BJ1893" s="28"/>
      <c r="BM1893" s="28"/>
      <c r="BP1893" s="28"/>
      <c r="BS1893" s="28"/>
      <c r="BV1893" s="28"/>
      <c r="BY1893" s="28"/>
      <c r="CB1893" s="28"/>
      <c r="CE1893" s="28"/>
      <c r="CH1893" s="28"/>
      <c r="CK1893" s="28"/>
      <c r="CN1893" s="28"/>
      <c r="CQ1893" s="28"/>
      <c r="CT1893" s="28"/>
      <c r="CW1893" s="28"/>
      <c r="CZ1893" s="28"/>
      <c r="DC1893" s="28"/>
      <c r="DF1893" s="28"/>
      <c r="DI1893" s="28"/>
      <c r="DL1893" s="28"/>
      <c r="DO1893" s="28"/>
      <c r="DR1893" s="28"/>
      <c r="DU1893" s="28"/>
      <c r="DX1893" s="28"/>
      <c r="EA1893" s="28"/>
      <c r="ED1893" s="28"/>
      <c r="EG1893" s="28"/>
      <c r="EJ1893" s="28"/>
      <c r="EM1893" s="28"/>
      <c r="EP1893" s="28"/>
      <c r="ES1893" s="28"/>
      <c r="EV1893" s="28"/>
      <c r="EY1893" s="28"/>
      <c r="FB1893" s="28"/>
      <c r="FE1893" s="28"/>
      <c r="FH1893" s="28"/>
      <c r="FK1893" s="28"/>
      <c r="FN1893" s="28"/>
      <c r="FQ1893" s="28"/>
      <c r="FT1893" s="28"/>
      <c r="FW1893" s="28"/>
      <c r="FZ1893" s="28"/>
      <c r="GC1893" s="28"/>
    </row>
    <row r="1894" spans="1:185" s="25" customFormat="1" x14ac:dyDescent="0.3">
      <c r="A1894" s="27"/>
      <c r="B1894" s="28"/>
      <c r="C1894" s="27"/>
      <c r="D1894" s="26"/>
      <c r="E1894" s="28"/>
      <c r="H1894" s="28"/>
      <c r="K1894" s="28"/>
      <c r="N1894" s="28"/>
      <c r="Q1894" s="28"/>
      <c r="T1894" s="28"/>
      <c r="W1894" s="28"/>
      <c r="Z1894" s="28"/>
      <c r="AC1894" s="28"/>
      <c r="AF1894" s="28"/>
      <c r="AI1894" s="28"/>
      <c r="AL1894" s="28"/>
      <c r="AO1894" s="28"/>
      <c r="AR1894" s="28"/>
      <c r="AU1894" s="28"/>
      <c r="AX1894" s="28"/>
      <c r="BA1894" s="28"/>
      <c r="BD1894" s="28"/>
      <c r="BG1894" s="28"/>
      <c r="BJ1894" s="28"/>
      <c r="BM1894" s="28"/>
      <c r="BP1894" s="28"/>
      <c r="BS1894" s="28"/>
      <c r="BV1894" s="28"/>
      <c r="BY1894" s="28"/>
      <c r="CB1894" s="28"/>
      <c r="CE1894" s="28"/>
      <c r="CH1894" s="28"/>
      <c r="CK1894" s="28"/>
      <c r="CN1894" s="28"/>
      <c r="CQ1894" s="28"/>
      <c r="CT1894" s="28"/>
      <c r="CW1894" s="28"/>
      <c r="CZ1894" s="28"/>
      <c r="DC1894" s="28"/>
      <c r="DF1894" s="28"/>
      <c r="DI1894" s="28"/>
      <c r="DL1894" s="28"/>
      <c r="DO1894" s="28"/>
      <c r="DR1894" s="28"/>
      <c r="DU1894" s="28"/>
      <c r="DX1894" s="28"/>
      <c r="EA1894" s="28"/>
      <c r="ED1894" s="28"/>
      <c r="EG1894" s="28"/>
      <c r="EJ1894" s="28"/>
      <c r="EM1894" s="28"/>
      <c r="EP1894" s="28"/>
      <c r="ES1894" s="28"/>
      <c r="EV1894" s="28"/>
      <c r="EY1894" s="28"/>
      <c r="FB1894" s="28"/>
      <c r="FE1894" s="28"/>
      <c r="FH1894" s="28"/>
      <c r="FK1894" s="28"/>
      <c r="FN1894" s="28"/>
      <c r="FQ1894" s="28"/>
      <c r="FT1894" s="28"/>
      <c r="FW1894" s="28"/>
      <c r="FZ1894" s="28"/>
      <c r="GC1894" s="28"/>
    </row>
    <row r="1895" spans="1:185" s="25" customFormat="1" x14ac:dyDescent="0.3">
      <c r="A1895" s="27"/>
      <c r="B1895" s="28"/>
      <c r="C1895" s="27"/>
      <c r="D1895" s="26"/>
      <c r="E1895" s="28"/>
      <c r="H1895" s="28"/>
      <c r="K1895" s="28"/>
      <c r="N1895" s="28"/>
      <c r="Q1895" s="28"/>
      <c r="T1895" s="28"/>
      <c r="W1895" s="28"/>
      <c r="Z1895" s="28"/>
      <c r="AC1895" s="28"/>
      <c r="AF1895" s="28"/>
      <c r="AI1895" s="28"/>
      <c r="AL1895" s="28"/>
      <c r="AO1895" s="28"/>
      <c r="AR1895" s="28"/>
      <c r="AU1895" s="28"/>
      <c r="AX1895" s="28"/>
      <c r="BA1895" s="28"/>
      <c r="BD1895" s="28"/>
      <c r="BG1895" s="28"/>
      <c r="BJ1895" s="28"/>
      <c r="BM1895" s="28"/>
      <c r="BP1895" s="28"/>
      <c r="BS1895" s="28"/>
      <c r="BV1895" s="28"/>
      <c r="BY1895" s="28"/>
      <c r="CB1895" s="28"/>
      <c r="CE1895" s="28"/>
      <c r="CH1895" s="28"/>
      <c r="CK1895" s="28"/>
      <c r="CN1895" s="28"/>
      <c r="CQ1895" s="28"/>
      <c r="CT1895" s="28"/>
      <c r="CW1895" s="28"/>
      <c r="CZ1895" s="28"/>
      <c r="DC1895" s="28"/>
      <c r="DF1895" s="28"/>
      <c r="DI1895" s="28"/>
      <c r="DL1895" s="28"/>
      <c r="DO1895" s="28"/>
      <c r="DR1895" s="28"/>
      <c r="DU1895" s="28"/>
      <c r="DX1895" s="28"/>
      <c r="EA1895" s="28"/>
      <c r="ED1895" s="28"/>
      <c r="EG1895" s="28"/>
      <c r="EJ1895" s="28"/>
      <c r="EM1895" s="28"/>
      <c r="EP1895" s="28"/>
      <c r="ES1895" s="28"/>
      <c r="EV1895" s="28"/>
      <c r="EY1895" s="28"/>
      <c r="FB1895" s="28"/>
      <c r="FE1895" s="28"/>
      <c r="FH1895" s="28"/>
      <c r="FK1895" s="28"/>
      <c r="FN1895" s="28"/>
      <c r="FQ1895" s="28"/>
      <c r="FT1895" s="28"/>
      <c r="FW1895" s="28"/>
      <c r="FZ1895" s="28"/>
      <c r="GC1895" s="28"/>
    </row>
    <row r="1896" spans="1:185" s="25" customFormat="1" x14ac:dyDescent="0.3">
      <c r="A1896" s="27"/>
      <c r="B1896" s="28"/>
      <c r="C1896" s="27"/>
      <c r="D1896" s="26"/>
      <c r="E1896" s="28"/>
      <c r="H1896" s="28"/>
      <c r="K1896" s="28"/>
      <c r="N1896" s="28"/>
      <c r="Q1896" s="28"/>
      <c r="T1896" s="28"/>
      <c r="W1896" s="28"/>
      <c r="Z1896" s="28"/>
      <c r="AC1896" s="28"/>
      <c r="AF1896" s="28"/>
      <c r="AI1896" s="28"/>
      <c r="AL1896" s="28"/>
      <c r="AO1896" s="28"/>
      <c r="AR1896" s="28"/>
      <c r="AU1896" s="28"/>
      <c r="AX1896" s="28"/>
      <c r="BA1896" s="28"/>
      <c r="BD1896" s="28"/>
      <c r="BG1896" s="28"/>
      <c r="BJ1896" s="28"/>
      <c r="BM1896" s="28"/>
      <c r="BP1896" s="28"/>
      <c r="BS1896" s="28"/>
      <c r="BV1896" s="28"/>
      <c r="BY1896" s="28"/>
      <c r="CB1896" s="28"/>
      <c r="CE1896" s="28"/>
      <c r="CH1896" s="28"/>
      <c r="CK1896" s="28"/>
      <c r="CN1896" s="28"/>
      <c r="CQ1896" s="28"/>
      <c r="CT1896" s="28"/>
      <c r="CW1896" s="28"/>
      <c r="CZ1896" s="28"/>
      <c r="DC1896" s="28"/>
      <c r="DF1896" s="28"/>
      <c r="DI1896" s="28"/>
      <c r="DL1896" s="28"/>
      <c r="DO1896" s="28"/>
      <c r="DR1896" s="28"/>
      <c r="DU1896" s="28"/>
      <c r="DX1896" s="28"/>
      <c r="EA1896" s="28"/>
      <c r="ED1896" s="28"/>
      <c r="EG1896" s="28"/>
      <c r="EJ1896" s="28"/>
      <c r="EM1896" s="28"/>
      <c r="EP1896" s="28"/>
      <c r="ES1896" s="28"/>
      <c r="EV1896" s="28"/>
      <c r="EY1896" s="28"/>
      <c r="FB1896" s="28"/>
      <c r="FE1896" s="28"/>
      <c r="FH1896" s="28"/>
      <c r="FK1896" s="28"/>
      <c r="FN1896" s="28"/>
      <c r="FQ1896" s="28"/>
      <c r="FT1896" s="28"/>
      <c r="FW1896" s="28"/>
      <c r="FZ1896" s="28"/>
      <c r="GC1896" s="28"/>
    </row>
    <row r="1897" spans="1:185" s="25" customFormat="1" x14ac:dyDescent="0.3">
      <c r="A1897" s="27"/>
      <c r="B1897" s="28"/>
      <c r="C1897" s="27"/>
      <c r="D1897" s="26"/>
      <c r="E1897" s="28"/>
      <c r="H1897" s="28"/>
      <c r="K1897" s="28"/>
      <c r="N1897" s="28"/>
      <c r="Q1897" s="28"/>
      <c r="T1897" s="28"/>
      <c r="W1897" s="28"/>
      <c r="Z1897" s="28"/>
      <c r="AC1897" s="28"/>
      <c r="AF1897" s="28"/>
      <c r="AI1897" s="28"/>
      <c r="AL1897" s="28"/>
      <c r="AO1897" s="28"/>
      <c r="AR1897" s="28"/>
      <c r="AU1897" s="28"/>
      <c r="AX1897" s="28"/>
      <c r="BA1897" s="28"/>
      <c r="BD1897" s="28"/>
      <c r="BG1897" s="28"/>
      <c r="BJ1897" s="28"/>
      <c r="BM1897" s="28"/>
      <c r="BP1897" s="28"/>
      <c r="BS1897" s="28"/>
      <c r="BV1897" s="28"/>
      <c r="BY1897" s="28"/>
      <c r="CB1897" s="28"/>
      <c r="CE1897" s="28"/>
      <c r="CH1897" s="28"/>
      <c r="CK1897" s="28"/>
      <c r="CN1897" s="28"/>
      <c r="CQ1897" s="28"/>
      <c r="CT1897" s="28"/>
      <c r="CW1897" s="28"/>
      <c r="CZ1897" s="28"/>
      <c r="DC1897" s="28"/>
      <c r="DF1897" s="28"/>
      <c r="DI1897" s="28"/>
      <c r="DL1897" s="28"/>
      <c r="DO1897" s="28"/>
      <c r="DR1897" s="28"/>
      <c r="DU1897" s="28"/>
      <c r="DX1897" s="28"/>
      <c r="EA1897" s="28"/>
      <c r="ED1897" s="28"/>
      <c r="EG1897" s="28"/>
      <c r="EJ1897" s="28"/>
      <c r="EM1897" s="28"/>
      <c r="EP1897" s="28"/>
      <c r="ES1897" s="28"/>
      <c r="EV1897" s="28"/>
      <c r="EY1897" s="28"/>
      <c r="FB1897" s="28"/>
      <c r="FE1897" s="28"/>
      <c r="FH1897" s="28"/>
      <c r="FK1897" s="28"/>
      <c r="FN1897" s="28"/>
      <c r="FQ1897" s="28"/>
      <c r="FT1897" s="28"/>
      <c r="FW1897" s="28"/>
      <c r="FZ1897" s="28"/>
      <c r="GC1897" s="28"/>
    </row>
    <row r="1898" spans="1:185" s="25" customFormat="1" x14ac:dyDescent="0.3">
      <c r="A1898" s="27"/>
      <c r="B1898" s="28"/>
      <c r="C1898" s="27"/>
      <c r="D1898" s="26"/>
      <c r="E1898" s="28"/>
      <c r="H1898" s="28"/>
      <c r="K1898" s="28"/>
      <c r="N1898" s="28"/>
      <c r="Q1898" s="28"/>
      <c r="T1898" s="28"/>
      <c r="W1898" s="28"/>
      <c r="Z1898" s="28"/>
      <c r="AC1898" s="28"/>
      <c r="AF1898" s="28"/>
      <c r="AI1898" s="28"/>
      <c r="AL1898" s="28"/>
      <c r="AO1898" s="28"/>
      <c r="AR1898" s="28"/>
      <c r="AU1898" s="28"/>
      <c r="AX1898" s="28"/>
      <c r="BA1898" s="28"/>
      <c r="BD1898" s="28"/>
      <c r="BG1898" s="28"/>
      <c r="BJ1898" s="28"/>
      <c r="BM1898" s="28"/>
      <c r="BP1898" s="28"/>
      <c r="BS1898" s="28"/>
      <c r="BV1898" s="28"/>
      <c r="BY1898" s="28"/>
      <c r="CB1898" s="28"/>
      <c r="CE1898" s="28"/>
      <c r="CH1898" s="28"/>
      <c r="CK1898" s="28"/>
      <c r="CN1898" s="28"/>
      <c r="CQ1898" s="28"/>
      <c r="CT1898" s="28"/>
      <c r="CW1898" s="28"/>
      <c r="CZ1898" s="28"/>
      <c r="DC1898" s="28"/>
      <c r="DF1898" s="28"/>
      <c r="DI1898" s="28"/>
      <c r="DL1898" s="28"/>
      <c r="DO1898" s="28"/>
      <c r="DR1898" s="28"/>
      <c r="DU1898" s="28"/>
      <c r="DX1898" s="28"/>
      <c r="EA1898" s="28"/>
      <c r="ED1898" s="28"/>
      <c r="EG1898" s="28"/>
      <c r="EJ1898" s="28"/>
      <c r="EM1898" s="28"/>
      <c r="EP1898" s="28"/>
      <c r="ES1898" s="28"/>
      <c r="EV1898" s="28"/>
      <c r="EY1898" s="28"/>
      <c r="FB1898" s="28"/>
      <c r="FE1898" s="28"/>
      <c r="FH1898" s="28"/>
      <c r="FK1898" s="28"/>
      <c r="FN1898" s="28"/>
      <c r="FQ1898" s="28"/>
      <c r="FT1898" s="28"/>
      <c r="FW1898" s="28"/>
      <c r="FZ1898" s="28"/>
      <c r="GC1898" s="28"/>
    </row>
    <row r="1899" spans="1:185" s="25" customFormat="1" x14ac:dyDescent="0.3">
      <c r="A1899" s="27"/>
      <c r="B1899" s="28"/>
      <c r="C1899" s="27"/>
      <c r="D1899" s="26"/>
      <c r="E1899" s="28"/>
      <c r="H1899" s="28"/>
      <c r="K1899" s="28"/>
      <c r="N1899" s="28"/>
      <c r="Q1899" s="28"/>
      <c r="T1899" s="28"/>
      <c r="W1899" s="28"/>
      <c r="Z1899" s="28"/>
      <c r="AC1899" s="28"/>
      <c r="AF1899" s="28"/>
      <c r="AI1899" s="28"/>
      <c r="AL1899" s="28"/>
      <c r="AO1899" s="28"/>
      <c r="AR1899" s="28"/>
      <c r="AU1899" s="28"/>
      <c r="AX1899" s="28"/>
      <c r="BA1899" s="28"/>
      <c r="BD1899" s="28"/>
      <c r="BG1899" s="28"/>
      <c r="BJ1899" s="28"/>
      <c r="BM1899" s="28"/>
      <c r="BP1899" s="28"/>
      <c r="BS1899" s="28"/>
      <c r="BV1899" s="28"/>
      <c r="BY1899" s="28"/>
      <c r="CB1899" s="28"/>
      <c r="CE1899" s="28"/>
      <c r="CH1899" s="28"/>
      <c r="CK1899" s="28"/>
      <c r="CN1899" s="28"/>
      <c r="CQ1899" s="28"/>
      <c r="CT1899" s="28"/>
      <c r="CW1899" s="28"/>
      <c r="CZ1899" s="28"/>
      <c r="DC1899" s="28"/>
      <c r="DF1899" s="28"/>
      <c r="DI1899" s="28"/>
      <c r="DL1899" s="28"/>
      <c r="DO1899" s="28"/>
      <c r="DR1899" s="28"/>
      <c r="DU1899" s="28"/>
      <c r="DX1899" s="28"/>
      <c r="EA1899" s="28"/>
      <c r="ED1899" s="28"/>
      <c r="EG1899" s="28"/>
      <c r="EJ1899" s="28"/>
      <c r="EM1899" s="28"/>
      <c r="EP1899" s="28"/>
      <c r="ES1899" s="28"/>
      <c r="EV1899" s="28"/>
      <c r="EY1899" s="28"/>
      <c r="FB1899" s="28"/>
      <c r="FE1899" s="28"/>
      <c r="FH1899" s="28"/>
      <c r="FK1899" s="28"/>
      <c r="FN1899" s="28"/>
      <c r="FQ1899" s="28"/>
      <c r="FT1899" s="28"/>
      <c r="FW1899" s="28"/>
      <c r="FZ1899" s="28"/>
      <c r="GC1899" s="28"/>
    </row>
    <row r="1900" spans="1:185" s="25" customFormat="1" x14ac:dyDescent="0.3">
      <c r="A1900" s="27"/>
      <c r="B1900" s="28"/>
      <c r="C1900" s="27"/>
      <c r="D1900" s="26"/>
      <c r="E1900" s="28"/>
      <c r="H1900" s="28"/>
      <c r="K1900" s="28"/>
      <c r="N1900" s="28"/>
      <c r="Q1900" s="28"/>
      <c r="T1900" s="28"/>
      <c r="W1900" s="28"/>
      <c r="Z1900" s="28"/>
      <c r="AC1900" s="28"/>
      <c r="AF1900" s="28"/>
      <c r="AI1900" s="28"/>
      <c r="AL1900" s="28"/>
      <c r="AO1900" s="28"/>
      <c r="AR1900" s="28"/>
      <c r="AU1900" s="28"/>
      <c r="AX1900" s="28"/>
      <c r="BA1900" s="28"/>
      <c r="BD1900" s="28"/>
      <c r="BG1900" s="28"/>
      <c r="BJ1900" s="28"/>
      <c r="BM1900" s="28"/>
      <c r="BP1900" s="28"/>
      <c r="BS1900" s="28"/>
      <c r="BV1900" s="28"/>
      <c r="BY1900" s="28"/>
      <c r="CB1900" s="28"/>
      <c r="CE1900" s="28"/>
      <c r="CH1900" s="28"/>
      <c r="CK1900" s="28"/>
      <c r="CN1900" s="28"/>
      <c r="CQ1900" s="28"/>
      <c r="CT1900" s="28"/>
      <c r="CW1900" s="28"/>
      <c r="CZ1900" s="28"/>
      <c r="DC1900" s="28"/>
      <c r="DF1900" s="28"/>
      <c r="DI1900" s="28"/>
      <c r="DL1900" s="28"/>
      <c r="DO1900" s="28"/>
      <c r="DR1900" s="28"/>
      <c r="DU1900" s="28"/>
      <c r="DX1900" s="28"/>
      <c r="EA1900" s="28"/>
      <c r="ED1900" s="28"/>
      <c r="EG1900" s="28"/>
      <c r="EJ1900" s="28"/>
      <c r="EM1900" s="28"/>
      <c r="EP1900" s="28"/>
      <c r="ES1900" s="28"/>
      <c r="EV1900" s="28"/>
      <c r="EY1900" s="28"/>
      <c r="FB1900" s="28"/>
      <c r="FE1900" s="28"/>
      <c r="FH1900" s="28"/>
      <c r="FK1900" s="28"/>
      <c r="FN1900" s="28"/>
      <c r="FQ1900" s="28"/>
      <c r="FT1900" s="28"/>
      <c r="FW1900" s="28"/>
      <c r="FZ1900" s="28"/>
      <c r="GC1900" s="28"/>
    </row>
    <row r="1901" spans="1:185" s="25" customFormat="1" x14ac:dyDescent="0.3">
      <c r="A1901" s="27"/>
      <c r="B1901" s="28"/>
      <c r="C1901" s="27"/>
      <c r="D1901" s="26"/>
      <c r="E1901" s="28"/>
      <c r="H1901" s="28"/>
      <c r="K1901" s="28"/>
      <c r="N1901" s="28"/>
      <c r="Q1901" s="28"/>
      <c r="T1901" s="28"/>
      <c r="W1901" s="28"/>
      <c r="Z1901" s="28"/>
      <c r="AC1901" s="28"/>
      <c r="AF1901" s="28"/>
      <c r="AI1901" s="28"/>
      <c r="AL1901" s="28"/>
      <c r="AO1901" s="28"/>
      <c r="AR1901" s="28"/>
      <c r="AU1901" s="28"/>
      <c r="AX1901" s="28"/>
      <c r="BA1901" s="28"/>
      <c r="BD1901" s="28"/>
      <c r="BG1901" s="28"/>
      <c r="BJ1901" s="28"/>
      <c r="BM1901" s="28"/>
      <c r="BP1901" s="28"/>
      <c r="BS1901" s="28"/>
      <c r="BV1901" s="28"/>
      <c r="BY1901" s="28"/>
      <c r="CB1901" s="28"/>
      <c r="CE1901" s="28"/>
      <c r="CH1901" s="28"/>
      <c r="CK1901" s="28"/>
      <c r="CN1901" s="28"/>
      <c r="CQ1901" s="28"/>
      <c r="CT1901" s="28"/>
      <c r="CW1901" s="28"/>
      <c r="CZ1901" s="28"/>
      <c r="DC1901" s="28"/>
      <c r="DF1901" s="28"/>
      <c r="DI1901" s="28"/>
      <c r="DL1901" s="28"/>
      <c r="DO1901" s="28"/>
      <c r="DR1901" s="28"/>
      <c r="DU1901" s="28"/>
      <c r="DX1901" s="28"/>
      <c r="EA1901" s="28"/>
      <c r="ED1901" s="28"/>
      <c r="EG1901" s="28"/>
      <c r="EJ1901" s="28"/>
      <c r="EM1901" s="28"/>
      <c r="EP1901" s="28"/>
      <c r="ES1901" s="28"/>
      <c r="EV1901" s="28"/>
      <c r="EY1901" s="28"/>
      <c r="FB1901" s="28"/>
      <c r="FE1901" s="28"/>
      <c r="FH1901" s="28"/>
      <c r="FK1901" s="28"/>
      <c r="FN1901" s="28"/>
      <c r="FQ1901" s="28"/>
      <c r="FT1901" s="28"/>
      <c r="FW1901" s="28"/>
      <c r="FZ1901" s="28"/>
      <c r="GC1901" s="28"/>
    </row>
    <row r="1902" spans="1:185" s="25" customFormat="1" x14ac:dyDescent="0.3">
      <c r="A1902" s="27"/>
      <c r="B1902" s="28"/>
      <c r="C1902" s="27"/>
      <c r="D1902" s="26"/>
      <c r="E1902" s="28"/>
      <c r="H1902" s="28"/>
      <c r="K1902" s="28"/>
      <c r="N1902" s="28"/>
      <c r="Q1902" s="28"/>
      <c r="T1902" s="28"/>
      <c r="W1902" s="28"/>
      <c r="Z1902" s="28"/>
      <c r="AC1902" s="28"/>
      <c r="AF1902" s="28"/>
      <c r="AI1902" s="28"/>
      <c r="AL1902" s="28"/>
      <c r="AO1902" s="28"/>
      <c r="AR1902" s="28"/>
      <c r="AU1902" s="28"/>
      <c r="AX1902" s="28"/>
      <c r="BA1902" s="28"/>
      <c r="BD1902" s="28"/>
      <c r="BG1902" s="28"/>
      <c r="BJ1902" s="28"/>
      <c r="BM1902" s="28"/>
      <c r="BP1902" s="28"/>
      <c r="BS1902" s="28"/>
      <c r="BV1902" s="28"/>
      <c r="BY1902" s="28"/>
      <c r="CB1902" s="28"/>
      <c r="CE1902" s="28"/>
      <c r="CH1902" s="28"/>
      <c r="CK1902" s="28"/>
      <c r="CN1902" s="28"/>
      <c r="CQ1902" s="28"/>
      <c r="CT1902" s="28"/>
      <c r="CW1902" s="28"/>
      <c r="CZ1902" s="28"/>
      <c r="DC1902" s="28"/>
      <c r="DF1902" s="28"/>
      <c r="DI1902" s="28"/>
      <c r="DL1902" s="28"/>
      <c r="DO1902" s="28"/>
      <c r="DR1902" s="28"/>
      <c r="DU1902" s="28"/>
      <c r="DX1902" s="28"/>
      <c r="EA1902" s="28"/>
      <c r="ED1902" s="28"/>
      <c r="EG1902" s="28"/>
      <c r="EJ1902" s="28"/>
      <c r="EM1902" s="28"/>
      <c r="EP1902" s="28"/>
      <c r="ES1902" s="28"/>
      <c r="EV1902" s="28"/>
      <c r="EY1902" s="28"/>
      <c r="FB1902" s="28"/>
      <c r="FE1902" s="28"/>
      <c r="FH1902" s="28"/>
      <c r="FK1902" s="28"/>
      <c r="FN1902" s="28"/>
      <c r="FQ1902" s="28"/>
      <c r="FT1902" s="28"/>
      <c r="FW1902" s="28"/>
      <c r="FZ1902" s="28"/>
      <c r="GC1902" s="28"/>
    </row>
    <row r="1903" spans="1:185" s="25" customFormat="1" x14ac:dyDescent="0.3">
      <c r="A1903" s="27"/>
      <c r="B1903" s="28"/>
      <c r="C1903" s="27"/>
      <c r="D1903" s="26"/>
      <c r="E1903" s="28"/>
      <c r="H1903" s="28"/>
      <c r="K1903" s="28"/>
      <c r="N1903" s="28"/>
      <c r="Q1903" s="28"/>
      <c r="T1903" s="28"/>
      <c r="W1903" s="28"/>
      <c r="Z1903" s="28"/>
      <c r="AC1903" s="28"/>
      <c r="AF1903" s="28"/>
      <c r="AI1903" s="28"/>
      <c r="AL1903" s="28"/>
      <c r="AO1903" s="28"/>
      <c r="AR1903" s="28"/>
      <c r="AU1903" s="28"/>
      <c r="AX1903" s="28"/>
      <c r="BA1903" s="28"/>
      <c r="BD1903" s="28"/>
      <c r="BG1903" s="28"/>
      <c r="BJ1903" s="28"/>
      <c r="BM1903" s="28"/>
      <c r="BP1903" s="28"/>
      <c r="BS1903" s="28"/>
      <c r="BV1903" s="28"/>
      <c r="BY1903" s="28"/>
      <c r="CB1903" s="28"/>
      <c r="CE1903" s="28"/>
      <c r="CH1903" s="28"/>
      <c r="CK1903" s="28"/>
      <c r="CN1903" s="28"/>
      <c r="CQ1903" s="28"/>
      <c r="CT1903" s="28"/>
      <c r="CW1903" s="28"/>
      <c r="CZ1903" s="28"/>
      <c r="DC1903" s="28"/>
      <c r="DF1903" s="28"/>
      <c r="DI1903" s="28"/>
      <c r="DL1903" s="28"/>
      <c r="DO1903" s="28"/>
      <c r="DR1903" s="28"/>
      <c r="DU1903" s="28"/>
      <c r="DX1903" s="28"/>
      <c r="EA1903" s="28"/>
      <c r="ED1903" s="28"/>
      <c r="EG1903" s="28"/>
      <c r="EJ1903" s="28"/>
      <c r="EM1903" s="28"/>
      <c r="EP1903" s="28"/>
      <c r="ES1903" s="28"/>
      <c r="EV1903" s="28"/>
      <c r="EY1903" s="28"/>
      <c r="FB1903" s="28"/>
      <c r="FE1903" s="28"/>
      <c r="FH1903" s="28"/>
      <c r="FK1903" s="28"/>
      <c r="FN1903" s="28"/>
      <c r="FQ1903" s="28"/>
      <c r="FT1903" s="28"/>
      <c r="FW1903" s="28"/>
      <c r="FZ1903" s="28"/>
      <c r="GC1903" s="28"/>
    </row>
    <row r="1904" spans="1:185" s="25" customFormat="1" x14ac:dyDescent="0.3">
      <c r="A1904" s="27"/>
      <c r="B1904" s="28"/>
      <c r="C1904" s="27"/>
      <c r="D1904" s="26"/>
      <c r="E1904" s="28"/>
      <c r="H1904" s="28"/>
      <c r="K1904" s="28"/>
      <c r="N1904" s="28"/>
      <c r="Q1904" s="28"/>
      <c r="T1904" s="28"/>
      <c r="W1904" s="28"/>
      <c r="Z1904" s="28"/>
      <c r="AC1904" s="28"/>
      <c r="AF1904" s="28"/>
      <c r="AI1904" s="28"/>
      <c r="AL1904" s="28"/>
      <c r="AO1904" s="28"/>
      <c r="AR1904" s="28"/>
      <c r="AU1904" s="28"/>
      <c r="AX1904" s="28"/>
      <c r="BA1904" s="28"/>
      <c r="BD1904" s="28"/>
      <c r="BG1904" s="28"/>
      <c r="BJ1904" s="28"/>
      <c r="BM1904" s="28"/>
      <c r="BP1904" s="28"/>
      <c r="BS1904" s="28"/>
      <c r="BV1904" s="28"/>
      <c r="BY1904" s="28"/>
      <c r="CB1904" s="28"/>
      <c r="CE1904" s="28"/>
      <c r="CH1904" s="28"/>
      <c r="CK1904" s="28"/>
      <c r="CN1904" s="28"/>
      <c r="CQ1904" s="28"/>
      <c r="CT1904" s="28"/>
      <c r="CW1904" s="28"/>
      <c r="CZ1904" s="28"/>
      <c r="DC1904" s="28"/>
      <c r="DF1904" s="28"/>
      <c r="DI1904" s="28"/>
      <c r="DL1904" s="28"/>
      <c r="DO1904" s="28"/>
      <c r="DR1904" s="28"/>
      <c r="DU1904" s="28"/>
      <c r="DX1904" s="28"/>
      <c r="EA1904" s="28"/>
      <c r="ED1904" s="28"/>
      <c r="EG1904" s="28"/>
      <c r="EJ1904" s="28"/>
      <c r="EM1904" s="28"/>
      <c r="EP1904" s="28"/>
      <c r="ES1904" s="28"/>
      <c r="EV1904" s="28"/>
      <c r="EY1904" s="28"/>
      <c r="FB1904" s="28"/>
      <c r="FE1904" s="28"/>
      <c r="FH1904" s="28"/>
      <c r="FK1904" s="28"/>
      <c r="FN1904" s="28"/>
      <c r="FQ1904" s="28"/>
      <c r="FT1904" s="28"/>
      <c r="FW1904" s="28"/>
      <c r="FZ1904" s="28"/>
      <c r="GC1904" s="28"/>
    </row>
    <row r="1905" spans="1:185" s="25" customFormat="1" x14ac:dyDescent="0.3">
      <c r="A1905" s="27"/>
      <c r="B1905" s="28"/>
      <c r="C1905" s="27"/>
      <c r="D1905" s="26"/>
      <c r="E1905" s="28"/>
      <c r="H1905" s="28"/>
      <c r="K1905" s="28"/>
      <c r="N1905" s="28"/>
      <c r="Q1905" s="28"/>
      <c r="T1905" s="28"/>
      <c r="W1905" s="28"/>
      <c r="Z1905" s="28"/>
      <c r="AC1905" s="28"/>
      <c r="AF1905" s="28"/>
      <c r="AI1905" s="28"/>
      <c r="AL1905" s="28"/>
      <c r="AO1905" s="28"/>
      <c r="AR1905" s="28"/>
      <c r="AU1905" s="28"/>
      <c r="AX1905" s="28"/>
      <c r="BA1905" s="28"/>
      <c r="BD1905" s="28"/>
      <c r="BG1905" s="28"/>
      <c r="BJ1905" s="28"/>
      <c r="BM1905" s="28"/>
      <c r="BP1905" s="28"/>
      <c r="BS1905" s="28"/>
      <c r="BV1905" s="28"/>
      <c r="BY1905" s="28"/>
      <c r="CB1905" s="28"/>
      <c r="CE1905" s="28"/>
      <c r="CH1905" s="28"/>
      <c r="CK1905" s="28"/>
      <c r="CN1905" s="28"/>
      <c r="CQ1905" s="28"/>
      <c r="CT1905" s="28"/>
      <c r="CW1905" s="28"/>
      <c r="CZ1905" s="28"/>
      <c r="DC1905" s="28"/>
      <c r="DF1905" s="28"/>
      <c r="DI1905" s="28"/>
      <c r="DL1905" s="28"/>
      <c r="DO1905" s="28"/>
      <c r="DR1905" s="28"/>
      <c r="DU1905" s="28"/>
      <c r="DX1905" s="28"/>
      <c r="EA1905" s="28"/>
      <c r="ED1905" s="28"/>
      <c r="EG1905" s="28"/>
      <c r="EJ1905" s="28"/>
      <c r="EM1905" s="28"/>
      <c r="EP1905" s="28"/>
      <c r="ES1905" s="28"/>
      <c r="EV1905" s="28"/>
      <c r="EY1905" s="28"/>
      <c r="FB1905" s="28"/>
      <c r="FE1905" s="28"/>
      <c r="FH1905" s="28"/>
      <c r="FK1905" s="28"/>
      <c r="FN1905" s="28"/>
      <c r="FQ1905" s="28"/>
      <c r="FT1905" s="28"/>
      <c r="FW1905" s="28"/>
      <c r="FZ1905" s="28"/>
      <c r="GC1905" s="28"/>
    </row>
    <row r="1906" spans="1:185" s="25" customFormat="1" x14ac:dyDescent="0.3">
      <c r="A1906" s="27"/>
      <c r="B1906" s="28"/>
      <c r="C1906" s="27"/>
      <c r="D1906" s="26"/>
      <c r="E1906" s="28"/>
      <c r="H1906" s="28"/>
      <c r="K1906" s="28"/>
      <c r="N1906" s="28"/>
      <c r="Q1906" s="28"/>
      <c r="T1906" s="28"/>
      <c r="W1906" s="28"/>
      <c r="Z1906" s="28"/>
      <c r="AC1906" s="28"/>
      <c r="AF1906" s="28"/>
      <c r="AI1906" s="28"/>
      <c r="AL1906" s="28"/>
      <c r="AO1906" s="28"/>
      <c r="AR1906" s="28"/>
      <c r="AU1906" s="28"/>
      <c r="AX1906" s="28"/>
      <c r="BA1906" s="28"/>
      <c r="BD1906" s="28"/>
      <c r="BG1906" s="28"/>
      <c r="BJ1906" s="28"/>
      <c r="BM1906" s="28"/>
      <c r="BP1906" s="28"/>
      <c r="BS1906" s="28"/>
      <c r="BV1906" s="28"/>
      <c r="BY1906" s="28"/>
      <c r="CB1906" s="28"/>
      <c r="CE1906" s="28"/>
      <c r="CH1906" s="28"/>
      <c r="CK1906" s="28"/>
      <c r="CN1906" s="28"/>
      <c r="CQ1906" s="28"/>
      <c r="CT1906" s="28"/>
      <c r="CW1906" s="28"/>
      <c r="CZ1906" s="28"/>
      <c r="DC1906" s="28"/>
      <c r="DF1906" s="28"/>
      <c r="DI1906" s="28"/>
      <c r="DL1906" s="28"/>
      <c r="DO1906" s="28"/>
      <c r="DR1906" s="28"/>
      <c r="DU1906" s="28"/>
      <c r="DX1906" s="28"/>
      <c r="EA1906" s="28"/>
      <c r="ED1906" s="28"/>
      <c r="EG1906" s="28"/>
      <c r="EJ1906" s="28"/>
      <c r="EM1906" s="28"/>
      <c r="EP1906" s="28"/>
      <c r="ES1906" s="28"/>
      <c r="EV1906" s="28"/>
      <c r="EY1906" s="28"/>
      <c r="FB1906" s="28"/>
      <c r="FE1906" s="28"/>
      <c r="FH1906" s="28"/>
      <c r="FK1906" s="28"/>
      <c r="FN1906" s="28"/>
      <c r="FQ1906" s="28"/>
      <c r="FT1906" s="28"/>
      <c r="FW1906" s="28"/>
      <c r="FZ1906" s="28"/>
      <c r="GC1906" s="28"/>
    </row>
    <row r="1907" spans="1:185" s="25" customFormat="1" x14ac:dyDescent="0.3">
      <c r="A1907" s="27"/>
      <c r="B1907" s="28"/>
      <c r="C1907" s="27"/>
      <c r="D1907" s="26"/>
      <c r="E1907" s="28"/>
      <c r="H1907" s="28"/>
      <c r="K1907" s="28"/>
      <c r="N1907" s="28"/>
      <c r="Q1907" s="28"/>
      <c r="T1907" s="28"/>
      <c r="W1907" s="28"/>
      <c r="Z1907" s="28"/>
      <c r="AC1907" s="28"/>
      <c r="AF1907" s="28"/>
      <c r="AI1907" s="28"/>
      <c r="AL1907" s="28"/>
      <c r="AO1907" s="28"/>
      <c r="AR1907" s="28"/>
      <c r="AU1907" s="28"/>
      <c r="AX1907" s="28"/>
      <c r="BA1907" s="28"/>
      <c r="BD1907" s="28"/>
      <c r="BG1907" s="28"/>
      <c r="BJ1907" s="28"/>
      <c r="BM1907" s="28"/>
      <c r="BP1907" s="28"/>
      <c r="BS1907" s="28"/>
      <c r="BV1907" s="28"/>
      <c r="BY1907" s="28"/>
      <c r="CB1907" s="28"/>
      <c r="CE1907" s="28"/>
      <c r="CH1907" s="28"/>
      <c r="CK1907" s="28"/>
      <c r="CN1907" s="28"/>
      <c r="CQ1907" s="28"/>
      <c r="CT1907" s="28"/>
      <c r="CW1907" s="28"/>
      <c r="CZ1907" s="28"/>
      <c r="DC1907" s="28"/>
      <c r="DF1907" s="28"/>
      <c r="DI1907" s="28"/>
      <c r="DL1907" s="28"/>
      <c r="DO1907" s="28"/>
      <c r="DR1907" s="28"/>
      <c r="DU1907" s="28"/>
      <c r="DX1907" s="28"/>
      <c r="EA1907" s="28"/>
      <c r="ED1907" s="28"/>
      <c r="EG1907" s="28"/>
      <c r="EJ1907" s="28"/>
      <c r="EM1907" s="28"/>
      <c r="EP1907" s="28"/>
      <c r="ES1907" s="28"/>
      <c r="EV1907" s="28"/>
      <c r="EY1907" s="28"/>
      <c r="FB1907" s="28"/>
      <c r="FE1907" s="28"/>
      <c r="FH1907" s="28"/>
      <c r="FK1907" s="28"/>
      <c r="FN1907" s="28"/>
      <c r="FQ1907" s="28"/>
      <c r="FT1907" s="28"/>
      <c r="FW1907" s="28"/>
      <c r="FZ1907" s="28"/>
      <c r="GC1907" s="28"/>
    </row>
    <row r="1908" spans="1:185" s="25" customFormat="1" x14ac:dyDescent="0.3">
      <c r="A1908" s="27"/>
      <c r="B1908" s="28"/>
      <c r="C1908" s="27"/>
      <c r="D1908" s="26"/>
      <c r="E1908" s="28"/>
      <c r="H1908" s="28"/>
      <c r="K1908" s="28"/>
      <c r="N1908" s="28"/>
      <c r="Q1908" s="28"/>
      <c r="T1908" s="28"/>
      <c r="W1908" s="28"/>
      <c r="Z1908" s="28"/>
      <c r="AC1908" s="28"/>
      <c r="AF1908" s="28"/>
      <c r="AI1908" s="28"/>
      <c r="AL1908" s="28"/>
      <c r="AO1908" s="28"/>
      <c r="AR1908" s="28"/>
      <c r="AU1908" s="28"/>
      <c r="AX1908" s="28"/>
      <c r="BA1908" s="28"/>
      <c r="BD1908" s="28"/>
      <c r="BG1908" s="28"/>
      <c r="BJ1908" s="28"/>
      <c r="BM1908" s="28"/>
      <c r="BP1908" s="28"/>
      <c r="BS1908" s="28"/>
      <c r="BV1908" s="28"/>
      <c r="BY1908" s="28"/>
      <c r="CB1908" s="28"/>
      <c r="CE1908" s="28"/>
      <c r="CH1908" s="28"/>
      <c r="CK1908" s="28"/>
      <c r="CN1908" s="28"/>
      <c r="CQ1908" s="28"/>
      <c r="CT1908" s="28"/>
      <c r="CW1908" s="28"/>
      <c r="CZ1908" s="28"/>
      <c r="DC1908" s="28"/>
      <c r="DF1908" s="28"/>
      <c r="DI1908" s="28"/>
      <c r="DL1908" s="28"/>
      <c r="DO1908" s="28"/>
      <c r="DR1908" s="28"/>
      <c r="DU1908" s="28"/>
      <c r="DX1908" s="28"/>
      <c r="EA1908" s="28"/>
      <c r="ED1908" s="28"/>
      <c r="EG1908" s="28"/>
      <c r="EJ1908" s="28"/>
      <c r="EM1908" s="28"/>
      <c r="EP1908" s="28"/>
      <c r="ES1908" s="28"/>
      <c r="EV1908" s="28"/>
      <c r="EY1908" s="28"/>
      <c r="FB1908" s="28"/>
      <c r="FE1908" s="28"/>
      <c r="FH1908" s="28"/>
      <c r="FK1908" s="28"/>
      <c r="FN1908" s="28"/>
      <c r="FQ1908" s="28"/>
      <c r="FT1908" s="28"/>
      <c r="FW1908" s="28"/>
      <c r="FZ1908" s="28"/>
      <c r="GC1908" s="28"/>
    </row>
    <row r="1909" spans="1:185" s="25" customFormat="1" x14ac:dyDescent="0.3">
      <c r="A1909" s="27"/>
      <c r="B1909" s="28"/>
      <c r="C1909" s="27"/>
      <c r="D1909" s="26"/>
      <c r="E1909" s="28"/>
      <c r="H1909" s="28"/>
      <c r="K1909" s="28"/>
      <c r="N1909" s="28"/>
      <c r="Q1909" s="28"/>
      <c r="T1909" s="28"/>
      <c r="W1909" s="28"/>
      <c r="Z1909" s="28"/>
      <c r="AC1909" s="28"/>
      <c r="AF1909" s="28"/>
      <c r="AI1909" s="28"/>
      <c r="AL1909" s="28"/>
      <c r="AO1909" s="28"/>
      <c r="AR1909" s="28"/>
      <c r="AU1909" s="28"/>
      <c r="AX1909" s="28"/>
      <c r="BA1909" s="28"/>
      <c r="BD1909" s="28"/>
      <c r="BG1909" s="28"/>
      <c r="BJ1909" s="28"/>
      <c r="BM1909" s="28"/>
      <c r="BP1909" s="28"/>
      <c r="BS1909" s="28"/>
      <c r="BV1909" s="28"/>
      <c r="BY1909" s="28"/>
      <c r="CB1909" s="28"/>
      <c r="CE1909" s="28"/>
      <c r="CH1909" s="28"/>
      <c r="CK1909" s="28"/>
      <c r="CN1909" s="28"/>
      <c r="CQ1909" s="28"/>
      <c r="CT1909" s="28"/>
      <c r="CW1909" s="28"/>
      <c r="CZ1909" s="28"/>
      <c r="DC1909" s="28"/>
      <c r="DF1909" s="28"/>
      <c r="DI1909" s="28"/>
      <c r="DL1909" s="28"/>
      <c r="DO1909" s="28"/>
      <c r="DR1909" s="28"/>
      <c r="DU1909" s="28"/>
      <c r="DX1909" s="28"/>
      <c r="EA1909" s="28"/>
      <c r="ED1909" s="28"/>
      <c r="EG1909" s="28"/>
      <c r="EJ1909" s="28"/>
      <c r="EM1909" s="28"/>
      <c r="EP1909" s="28"/>
      <c r="ES1909" s="28"/>
      <c r="EV1909" s="28"/>
      <c r="EY1909" s="28"/>
      <c r="FB1909" s="28"/>
      <c r="FE1909" s="28"/>
      <c r="FH1909" s="28"/>
      <c r="FK1909" s="28"/>
      <c r="FN1909" s="28"/>
      <c r="FQ1909" s="28"/>
      <c r="FT1909" s="28"/>
      <c r="FW1909" s="28"/>
      <c r="FZ1909" s="28"/>
      <c r="GC1909" s="28"/>
    </row>
    <row r="1910" spans="1:185" s="25" customFormat="1" x14ac:dyDescent="0.3">
      <c r="A1910" s="27"/>
      <c r="B1910" s="28"/>
      <c r="C1910" s="27"/>
      <c r="D1910" s="26"/>
      <c r="E1910" s="28"/>
      <c r="H1910" s="28"/>
      <c r="K1910" s="28"/>
      <c r="N1910" s="28"/>
      <c r="Q1910" s="28"/>
      <c r="T1910" s="28"/>
      <c r="W1910" s="28"/>
      <c r="Z1910" s="28"/>
      <c r="AC1910" s="28"/>
      <c r="AF1910" s="28"/>
      <c r="AI1910" s="28"/>
      <c r="AL1910" s="28"/>
      <c r="AO1910" s="28"/>
      <c r="AR1910" s="28"/>
      <c r="AU1910" s="28"/>
      <c r="AX1910" s="28"/>
      <c r="BA1910" s="28"/>
      <c r="BD1910" s="28"/>
      <c r="BG1910" s="28"/>
      <c r="BJ1910" s="28"/>
      <c r="BM1910" s="28"/>
      <c r="BP1910" s="28"/>
      <c r="BS1910" s="28"/>
      <c r="BV1910" s="28"/>
      <c r="BY1910" s="28"/>
      <c r="CB1910" s="28"/>
      <c r="CE1910" s="28"/>
      <c r="CH1910" s="28"/>
      <c r="CK1910" s="28"/>
      <c r="CN1910" s="28"/>
      <c r="CQ1910" s="28"/>
      <c r="CT1910" s="28"/>
      <c r="CW1910" s="28"/>
      <c r="CZ1910" s="28"/>
      <c r="DC1910" s="28"/>
      <c r="DF1910" s="28"/>
      <c r="DI1910" s="28"/>
      <c r="DL1910" s="28"/>
      <c r="DO1910" s="28"/>
      <c r="DR1910" s="28"/>
      <c r="DU1910" s="28"/>
      <c r="DX1910" s="28"/>
      <c r="EA1910" s="28"/>
      <c r="ED1910" s="28"/>
      <c r="EG1910" s="28"/>
      <c r="EJ1910" s="28"/>
      <c r="EM1910" s="28"/>
      <c r="EP1910" s="28"/>
      <c r="ES1910" s="28"/>
      <c r="EV1910" s="28"/>
      <c r="EY1910" s="28"/>
      <c r="FB1910" s="28"/>
      <c r="FE1910" s="28"/>
      <c r="FH1910" s="28"/>
      <c r="FK1910" s="28"/>
      <c r="FN1910" s="28"/>
      <c r="FQ1910" s="28"/>
      <c r="FT1910" s="28"/>
      <c r="FW1910" s="28"/>
      <c r="FZ1910" s="28"/>
      <c r="GC1910" s="28"/>
    </row>
    <row r="1911" spans="1:185" s="25" customFormat="1" x14ac:dyDescent="0.3">
      <c r="A1911" s="27"/>
      <c r="B1911" s="28"/>
      <c r="C1911" s="27"/>
      <c r="D1911" s="26"/>
      <c r="E1911" s="28"/>
      <c r="H1911" s="28"/>
      <c r="K1911" s="28"/>
      <c r="N1911" s="28"/>
      <c r="Q1911" s="28"/>
      <c r="T1911" s="28"/>
      <c r="W1911" s="28"/>
      <c r="Z1911" s="28"/>
      <c r="AC1911" s="28"/>
      <c r="AF1911" s="28"/>
      <c r="AI1911" s="28"/>
      <c r="AL1911" s="28"/>
      <c r="AO1911" s="28"/>
      <c r="AR1911" s="28"/>
      <c r="AU1911" s="28"/>
      <c r="AX1911" s="28"/>
      <c r="BA1911" s="28"/>
      <c r="BD1911" s="28"/>
      <c r="BG1911" s="28"/>
      <c r="BJ1911" s="28"/>
      <c r="BM1911" s="28"/>
      <c r="BP1911" s="28"/>
      <c r="BS1911" s="28"/>
      <c r="BV1911" s="28"/>
      <c r="BY1911" s="28"/>
      <c r="CB1911" s="28"/>
      <c r="CE1911" s="28"/>
      <c r="CH1911" s="28"/>
      <c r="CK1911" s="28"/>
      <c r="CN1911" s="28"/>
      <c r="CQ1911" s="28"/>
      <c r="CT1911" s="28"/>
      <c r="CW1911" s="28"/>
      <c r="CZ1911" s="28"/>
      <c r="DC1911" s="28"/>
      <c r="DF1911" s="28"/>
      <c r="DI1911" s="28"/>
      <c r="DL1911" s="28"/>
      <c r="DO1911" s="28"/>
      <c r="DR1911" s="28"/>
      <c r="DU1911" s="28"/>
      <c r="DX1911" s="28"/>
      <c r="EA1911" s="28"/>
      <c r="ED1911" s="28"/>
      <c r="EG1911" s="28"/>
      <c r="EJ1911" s="28"/>
      <c r="EM1911" s="28"/>
      <c r="EP1911" s="28"/>
      <c r="ES1911" s="28"/>
      <c r="EV1911" s="28"/>
      <c r="EY1911" s="28"/>
      <c r="FB1911" s="28"/>
      <c r="FE1911" s="28"/>
      <c r="FH1911" s="28"/>
      <c r="FK1911" s="28"/>
      <c r="FN1911" s="28"/>
      <c r="FQ1911" s="28"/>
      <c r="FT1911" s="28"/>
      <c r="FW1911" s="28"/>
      <c r="FZ1911" s="28"/>
      <c r="GC1911" s="28"/>
    </row>
    <row r="1912" spans="1:185" s="25" customFormat="1" x14ac:dyDescent="0.3">
      <c r="A1912" s="27"/>
      <c r="B1912" s="28"/>
      <c r="C1912" s="27"/>
      <c r="D1912" s="26"/>
      <c r="E1912" s="28"/>
      <c r="H1912" s="28"/>
      <c r="K1912" s="28"/>
      <c r="N1912" s="28"/>
      <c r="Q1912" s="28"/>
      <c r="T1912" s="28"/>
      <c r="W1912" s="28"/>
      <c r="Z1912" s="28"/>
      <c r="AC1912" s="28"/>
      <c r="AF1912" s="28"/>
      <c r="AI1912" s="28"/>
      <c r="AL1912" s="28"/>
      <c r="AO1912" s="28"/>
      <c r="AR1912" s="28"/>
      <c r="AU1912" s="28"/>
      <c r="AX1912" s="28"/>
      <c r="BA1912" s="28"/>
      <c r="BD1912" s="28"/>
      <c r="BG1912" s="28"/>
      <c r="BJ1912" s="28"/>
      <c r="BM1912" s="28"/>
      <c r="BP1912" s="28"/>
      <c r="BS1912" s="28"/>
      <c r="BV1912" s="28"/>
      <c r="BY1912" s="28"/>
      <c r="CB1912" s="28"/>
      <c r="CE1912" s="28"/>
      <c r="CH1912" s="28"/>
      <c r="CK1912" s="28"/>
      <c r="CN1912" s="28"/>
      <c r="CQ1912" s="28"/>
      <c r="CT1912" s="28"/>
      <c r="CW1912" s="28"/>
      <c r="CZ1912" s="28"/>
      <c r="DC1912" s="28"/>
      <c r="DF1912" s="28"/>
      <c r="DI1912" s="28"/>
      <c r="DL1912" s="28"/>
      <c r="DO1912" s="28"/>
      <c r="DR1912" s="28"/>
      <c r="DU1912" s="28"/>
      <c r="DX1912" s="28"/>
      <c r="EA1912" s="28"/>
      <c r="ED1912" s="28"/>
      <c r="EG1912" s="28"/>
      <c r="EJ1912" s="28"/>
      <c r="EM1912" s="28"/>
      <c r="EP1912" s="28"/>
      <c r="ES1912" s="28"/>
      <c r="EV1912" s="28"/>
      <c r="EY1912" s="28"/>
      <c r="FB1912" s="28"/>
      <c r="FE1912" s="28"/>
      <c r="FH1912" s="28"/>
      <c r="FK1912" s="28"/>
      <c r="FN1912" s="28"/>
      <c r="FQ1912" s="28"/>
      <c r="FT1912" s="28"/>
      <c r="FW1912" s="28"/>
      <c r="FZ1912" s="28"/>
      <c r="GC1912" s="28"/>
    </row>
    <row r="1913" spans="1:185" s="25" customFormat="1" x14ac:dyDescent="0.3">
      <c r="A1913" s="27"/>
      <c r="B1913" s="28"/>
      <c r="C1913" s="27"/>
      <c r="D1913" s="26"/>
      <c r="E1913" s="28"/>
      <c r="H1913" s="28"/>
      <c r="K1913" s="28"/>
      <c r="N1913" s="28"/>
      <c r="Q1913" s="28"/>
      <c r="T1913" s="28"/>
      <c r="W1913" s="28"/>
      <c r="Z1913" s="28"/>
      <c r="AC1913" s="28"/>
      <c r="AF1913" s="28"/>
      <c r="AI1913" s="28"/>
      <c r="AL1913" s="28"/>
      <c r="AO1913" s="28"/>
      <c r="AR1913" s="28"/>
      <c r="AU1913" s="28"/>
      <c r="AX1913" s="28"/>
      <c r="BA1913" s="28"/>
      <c r="BD1913" s="28"/>
      <c r="BG1913" s="28"/>
      <c r="BJ1913" s="28"/>
      <c r="BM1913" s="28"/>
      <c r="BP1913" s="28"/>
      <c r="BS1913" s="28"/>
      <c r="BV1913" s="28"/>
      <c r="BY1913" s="28"/>
      <c r="CB1913" s="28"/>
      <c r="CE1913" s="28"/>
      <c r="CH1913" s="28"/>
      <c r="CK1913" s="28"/>
      <c r="CN1913" s="28"/>
      <c r="CQ1913" s="28"/>
      <c r="CT1913" s="28"/>
      <c r="CW1913" s="28"/>
      <c r="CZ1913" s="28"/>
      <c r="DC1913" s="28"/>
      <c r="DF1913" s="28"/>
      <c r="DI1913" s="28"/>
      <c r="DL1913" s="28"/>
      <c r="DO1913" s="28"/>
      <c r="DR1913" s="28"/>
      <c r="DU1913" s="28"/>
      <c r="DX1913" s="28"/>
      <c r="EA1913" s="28"/>
      <c r="ED1913" s="28"/>
      <c r="EG1913" s="28"/>
      <c r="EJ1913" s="28"/>
      <c r="EM1913" s="28"/>
      <c r="EP1913" s="28"/>
      <c r="ES1913" s="28"/>
      <c r="EV1913" s="28"/>
      <c r="EY1913" s="28"/>
      <c r="FB1913" s="28"/>
      <c r="FE1913" s="28"/>
      <c r="FH1913" s="28"/>
      <c r="FK1913" s="28"/>
      <c r="FN1913" s="28"/>
      <c r="FQ1913" s="28"/>
      <c r="FT1913" s="28"/>
      <c r="FW1913" s="28"/>
      <c r="FZ1913" s="28"/>
      <c r="GC1913" s="28"/>
    </row>
    <row r="1914" spans="1:185" s="25" customFormat="1" x14ac:dyDescent="0.3">
      <c r="A1914" s="27"/>
      <c r="B1914" s="28"/>
      <c r="C1914" s="27"/>
      <c r="D1914" s="26"/>
      <c r="E1914" s="28"/>
      <c r="H1914" s="28"/>
      <c r="K1914" s="28"/>
      <c r="N1914" s="28"/>
      <c r="Q1914" s="28"/>
      <c r="T1914" s="28"/>
      <c r="W1914" s="28"/>
      <c r="Z1914" s="28"/>
      <c r="AC1914" s="28"/>
      <c r="AF1914" s="28"/>
      <c r="AI1914" s="28"/>
      <c r="AL1914" s="28"/>
      <c r="AO1914" s="28"/>
      <c r="AR1914" s="28"/>
      <c r="AU1914" s="28"/>
      <c r="AX1914" s="28"/>
      <c r="BA1914" s="28"/>
      <c r="BD1914" s="28"/>
      <c r="BG1914" s="28"/>
      <c r="BJ1914" s="28"/>
      <c r="BM1914" s="28"/>
      <c r="BP1914" s="28"/>
      <c r="BS1914" s="28"/>
      <c r="BV1914" s="28"/>
      <c r="BY1914" s="28"/>
      <c r="CB1914" s="28"/>
      <c r="CE1914" s="28"/>
      <c r="CH1914" s="28"/>
      <c r="CK1914" s="28"/>
      <c r="CN1914" s="28"/>
      <c r="CQ1914" s="28"/>
      <c r="CT1914" s="28"/>
      <c r="CW1914" s="28"/>
      <c r="CZ1914" s="28"/>
      <c r="DC1914" s="28"/>
      <c r="DF1914" s="28"/>
      <c r="DI1914" s="28"/>
      <c r="DL1914" s="28"/>
      <c r="DO1914" s="28"/>
      <c r="DR1914" s="28"/>
      <c r="DU1914" s="28"/>
      <c r="DX1914" s="28"/>
      <c r="EA1914" s="28"/>
      <c r="ED1914" s="28"/>
      <c r="EG1914" s="28"/>
      <c r="EJ1914" s="28"/>
      <c r="EM1914" s="28"/>
      <c r="EP1914" s="28"/>
      <c r="ES1914" s="28"/>
      <c r="EV1914" s="28"/>
      <c r="EY1914" s="28"/>
      <c r="FB1914" s="28"/>
      <c r="FE1914" s="28"/>
      <c r="FH1914" s="28"/>
      <c r="FK1914" s="28"/>
      <c r="FN1914" s="28"/>
      <c r="FQ1914" s="28"/>
      <c r="FT1914" s="28"/>
      <c r="FW1914" s="28"/>
      <c r="FZ1914" s="28"/>
      <c r="GC1914" s="28"/>
    </row>
    <row r="1915" spans="1:185" s="25" customFormat="1" x14ac:dyDescent="0.3">
      <c r="A1915" s="27"/>
      <c r="B1915" s="28"/>
      <c r="C1915" s="27"/>
      <c r="D1915" s="26"/>
      <c r="E1915" s="28"/>
      <c r="H1915" s="28"/>
      <c r="K1915" s="28"/>
      <c r="N1915" s="28"/>
      <c r="Q1915" s="28"/>
      <c r="T1915" s="28"/>
      <c r="W1915" s="28"/>
      <c r="Z1915" s="28"/>
      <c r="AC1915" s="28"/>
      <c r="AF1915" s="28"/>
      <c r="AI1915" s="28"/>
      <c r="AL1915" s="28"/>
      <c r="AO1915" s="28"/>
      <c r="AR1915" s="28"/>
      <c r="AU1915" s="28"/>
      <c r="AX1915" s="28"/>
      <c r="BA1915" s="28"/>
      <c r="BD1915" s="28"/>
      <c r="BG1915" s="28"/>
      <c r="BJ1915" s="28"/>
      <c r="BM1915" s="28"/>
      <c r="BP1915" s="28"/>
      <c r="BS1915" s="28"/>
      <c r="BV1915" s="28"/>
      <c r="BY1915" s="28"/>
      <c r="CB1915" s="28"/>
      <c r="CE1915" s="28"/>
      <c r="CH1915" s="28"/>
      <c r="CK1915" s="28"/>
      <c r="CN1915" s="28"/>
      <c r="CQ1915" s="28"/>
      <c r="CT1915" s="28"/>
      <c r="CW1915" s="28"/>
      <c r="CZ1915" s="28"/>
      <c r="DC1915" s="28"/>
      <c r="DF1915" s="28"/>
      <c r="DI1915" s="28"/>
      <c r="DL1915" s="28"/>
      <c r="DO1915" s="28"/>
      <c r="DR1915" s="28"/>
      <c r="DU1915" s="28"/>
      <c r="DX1915" s="28"/>
      <c r="EA1915" s="28"/>
      <c r="ED1915" s="28"/>
      <c r="EG1915" s="28"/>
      <c r="EJ1915" s="28"/>
      <c r="EM1915" s="28"/>
      <c r="EP1915" s="28"/>
      <c r="ES1915" s="28"/>
      <c r="EV1915" s="28"/>
      <c r="EY1915" s="28"/>
      <c r="FB1915" s="28"/>
      <c r="FE1915" s="28"/>
      <c r="FH1915" s="28"/>
      <c r="FK1915" s="28"/>
      <c r="FN1915" s="28"/>
      <c r="FQ1915" s="28"/>
      <c r="FT1915" s="28"/>
      <c r="FW1915" s="28"/>
      <c r="FZ1915" s="28"/>
      <c r="GC1915" s="28"/>
    </row>
    <row r="1916" spans="1:185" s="25" customFormat="1" x14ac:dyDescent="0.3">
      <c r="A1916" s="27"/>
      <c r="B1916" s="28"/>
      <c r="C1916" s="27"/>
      <c r="D1916" s="26"/>
      <c r="E1916" s="28"/>
      <c r="H1916" s="28"/>
      <c r="K1916" s="28"/>
      <c r="N1916" s="28"/>
      <c r="Q1916" s="28"/>
      <c r="T1916" s="28"/>
      <c r="W1916" s="28"/>
      <c r="Z1916" s="28"/>
      <c r="AC1916" s="28"/>
      <c r="AF1916" s="28"/>
      <c r="AI1916" s="28"/>
      <c r="AL1916" s="28"/>
      <c r="AO1916" s="28"/>
      <c r="AR1916" s="28"/>
      <c r="AU1916" s="28"/>
      <c r="AX1916" s="28"/>
      <c r="BA1916" s="28"/>
      <c r="BD1916" s="28"/>
      <c r="BG1916" s="28"/>
      <c r="BJ1916" s="28"/>
      <c r="BM1916" s="28"/>
      <c r="BP1916" s="28"/>
      <c r="BS1916" s="28"/>
      <c r="BV1916" s="28"/>
      <c r="BY1916" s="28"/>
      <c r="CB1916" s="28"/>
      <c r="CE1916" s="28"/>
      <c r="CH1916" s="28"/>
      <c r="CK1916" s="28"/>
      <c r="CN1916" s="28"/>
      <c r="CQ1916" s="28"/>
      <c r="CT1916" s="28"/>
      <c r="CW1916" s="28"/>
      <c r="CZ1916" s="28"/>
      <c r="DC1916" s="28"/>
      <c r="DF1916" s="28"/>
      <c r="DI1916" s="28"/>
      <c r="DL1916" s="28"/>
      <c r="DO1916" s="28"/>
      <c r="DR1916" s="28"/>
      <c r="DU1916" s="28"/>
      <c r="DX1916" s="28"/>
      <c r="EA1916" s="28"/>
      <c r="ED1916" s="28"/>
      <c r="EG1916" s="28"/>
      <c r="EJ1916" s="28"/>
      <c r="EM1916" s="28"/>
      <c r="EP1916" s="28"/>
      <c r="ES1916" s="28"/>
      <c r="EV1916" s="28"/>
      <c r="EY1916" s="28"/>
      <c r="FB1916" s="28"/>
      <c r="FE1916" s="28"/>
      <c r="FH1916" s="28"/>
      <c r="FK1916" s="28"/>
      <c r="FN1916" s="28"/>
      <c r="FQ1916" s="28"/>
      <c r="FT1916" s="28"/>
      <c r="FW1916" s="28"/>
      <c r="FZ1916" s="28"/>
      <c r="GC1916" s="28"/>
    </row>
    <row r="1917" spans="1:185" s="25" customFormat="1" x14ac:dyDescent="0.3">
      <c r="A1917" s="27"/>
      <c r="B1917" s="28"/>
      <c r="C1917" s="27"/>
      <c r="D1917" s="26"/>
      <c r="E1917" s="28"/>
      <c r="H1917" s="28"/>
      <c r="K1917" s="28"/>
      <c r="N1917" s="28"/>
      <c r="Q1917" s="28"/>
      <c r="T1917" s="28"/>
      <c r="W1917" s="28"/>
      <c r="Z1917" s="28"/>
      <c r="AC1917" s="28"/>
      <c r="AF1917" s="28"/>
      <c r="AI1917" s="28"/>
      <c r="AL1917" s="28"/>
      <c r="AO1917" s="28"/>
      <c r="AR1917" s="28"/>
      <c r="AU1917" s="28"/>
      <c r="AX1917" s="28"/>
      <c r="BA1917" s="28"/>
      <c r="BD1917" s="28"/>
      <c r="BG1917" s="28"/>
      <c r="BJ1917" s="28"/>
      <c r="BM1917" s="28"/>
      <c r="BP1917" s="28"/>
      <c r="BS1917" s="28"/>
      <c r="BV1917" s="28"/>
      <c r="BY1917" s="28"/>
      <c r="CB1917" s="28"/>
      <c r="CE1917" s="28"/>
      <c r="CH1917" s="28"/>
      <c r="CK1917" s="28"/>
      <c r="CN1917" s="28"/>
      <c r="CQ1917" s="28"/>
      <c r="CT1917" s="28"/>
      <c r="CW1917" s="28"/>
      <c r="CZ1917" s="28"/>
      <c r="DC1917" s="28"/>
      <c r="DF1917" s="28"/>
      <c r="DI1917" s="28"/>
      <c r="DL1917" s="28"/>
      <c r="DO1917" s="28"/>
      <c r="DR1917" s="28"/>
      <c r="DU1917" s="28"/>
      <c r="DX1917" s="28"/>
      <c r="EA1917" s="28"/>
      <c r="ED1917" s="28"/>
      <c r="EG1917" s="28"/>
      <c r="EJ1917" s="28"/>
      <c r="EM1917" s="28"/>
      <c r="EP1917" s="28"/>
      <c r="ES1917" s="28"/>
      <c r="EV1917" s="28"/>
      <c r="EY1917" s="28"/>
      <c r="FB1917" s="28"/>
      <c r="FE1917" s="28"/>
      <c r="FH1917" s="28"/>
      <c r="FK1917" s="28"/>
      <c r="FN1917" s="28"/>
      <c r="FQ1917" s="28"/>
      <c r="FT1917" s="28"/>
      <c r="FW1917" s="28"/>
      <c r="FZ1917" s="28"/>
      <c r="GC1917" s="28"/>
    </row>
    <row r="1918" spans="1:185" s="25" customFormat="1" x14ac:dyDescent="0.3">
      <c r="A1918" s="27"/>
      <c r="B1918" s="28"/>
      <c r="C1918" s="27"/>
      <c r="D1918" s="26"/>
      <c r="E1918" s="28"/>
      <c r="H1918" s="28"/>
      <c r="K1918" s="28"/>
      <c r="N1918" s="28"/>
      <c r="Q1918" s="28"/>
      <c r="T1918" s="28"/>
      <c r="W1918" s="28"/>
      <c r="Z1918" s="28"/>
      <c r="AC1918" s="28"/>
      <c r="AF1918" s="28"/>
      <c r="AI1918" s="28"/>
      <c r="AL1918" s="28"/>
      <c r="AO1918" s="28"/>
      <c r="AR1918" s="28"/>
      <c r="AU1918" s="28"/>
      <c r="AX1918" s="28"/>
      <c r="BA1918" s="28"/>
      <c r="BD1918" s="28"/>
      <c r="BG1918" s="28"/>
      <c r="BJ1918" s="28"/>
      <c r="BM1918" s="28"/>
      <c r="BP1918" s="28"/>
      <c r="BS1918" s="28"/>
      <c r="BV1918" s="28"/>
      <c r="BY1918" s="28"/>
      <c r="CB1918" s="28"/>
      <c r="CE1918" s="28"/>
      <c r="CH1918" s="28"/>
      <c r="CK1918" s="28"/>
      <c r="CN1918" s="28"/>
      <c r="CQ1918" s="28"/>
      <c r="CT1918" s="28"/>
      <c r="CW1918" s="28"/>
      <c r="CZ1918" s="28"/>
      <c r="DC1918" s="28"/>
      <c r="DF1918" s="28"/>
      <c r="DI1918" s="28"/>
      <c r="DL1918" s="28"/>
      <c r="DO1918" s="28"/>
      <c r="DR1918" s="28"/>
      <c r="DU1918" s="28"/>
      <c r="DX1918" s="28"/>
      <c r="EA1918" s="28"/>
      <c r="ED1918" s="28"/>
      <c r="EG1918" s="28"/>
      <c r="EJ1918" s="28"/>
      <c r="EM1918" s="28"/>
      <c r="EP1918" s="28"/>
      <c r="ES1918" s="28"/>
      <c r="EV1918" s="28"/>
      <c r="EY1918" s="28"/>
      <c r="FB1918" s="28"/>
      <c r="FE1918" s="28"/>
      <c r="FH1918" s="28"/>
      <c r="FK1918" s="28"/>
      <c r="FN1918" s="28"/>
      <c r="FQ1918" s="28"/>
      <c r="FT1918" s="28"/>
      <c r="FW1918" s="28"/>
      <c r="FZ1918" s="28"/>
      <c r="GC1918" s="28"/>
    </row>
    <row r="1919" spans="1:185" s="25" customFormat="1" x14ac:dyDescent="0.3">
      <c r="A1919" s="27"/>
      <c r="B1919" s="28"/>
      <c r="C1919" s="27"/>
      <c r="D1919" s="26"/>
      <c r="E1919" s="28"/>
      <c r="H1919" s="28"/>
      <c r="K1919" s="28"/>
      <c r="N1919" s="28"/>
      <c r="Q1919" s="28"/>
      <c r="T1919" s="28"/>
      <c r="W1919" s="28"/>
      <c r="Z1919" s="28"/>
      <c r="AC1919" s="28"/>
      <c r="AF1919" s="28"/>
      <c r="AI1919" s="28"/>
      <c r="AL1919" s="28"/>
      <c r="AO1919" s="28"/>
      <c r="AR1919" s="28"/>
      <c r="AU1919" s="28"/>
      <c r="AX1919" s="28"/>
      <c r="BA1919" s="28"/>
      <c r="BD1919" s="28"/>
      <c r="BG1919" s="28"/>
      <c r="BJ1919" s="28"/>
      <c r="BM1919" s="28"/>
      <c r="BP1919" s="28"/>
      <c r="BS1919" s="28"/>
      <c r="BV1919" s="28"/>
      <c r="BY1919" s="28"/>
      <c r="CB1919" s="28"/>
      <c r="CE1919" s="28"/>
      <c r="CH1919" s="28"/>
      <c r="CK1919" s="28"/>
      <c r="CN1919" s="28"/>
      <c r="CQ1919" s="28"/>
      <c r="CT1919" s="28"/>
      <c r="CW1919" s="28"/>
      <c r="CZ1919" s="28"/>
      <c r="DC1919" s="28"/>
      <c r="DF1919" s="28"/>
      <c r="DI1919" s="28"/>
      <c r="DL1919" s="28"/>
      <c r="DO1919" s="28"/>
      <c r="DR1919" s="28"/>
      <c r="DU1919" s="28"/>
      <c r="DX1919" s="28"/>
      <c r="EA1919" s="28"/>
      <c r="ED1919" s="28"/>
      <c r="EG1919" s="28"/>
      <c r="EJ1919" s="28"/>
      <c r="EM1919" s="28"/>
      <c r="EP1919" s="28"/>
      <c r="ES1919" s="28"/>
      <c r="EV1919" s="28"/>
      <c r="EY1919" s="28"/>
      <c r="FB1919" s="28"/>
      <c r="FE1919" s="28"/>
      <c r="FH1919" s="28"/>
      <c r="FK1919" s="28"/>
      <c r="FN1919" s="28"/>
      <c r="FQ1919" s="28"/>
      <c r="FT1919" s="28"/>
      <c r="FW1919" s="28"/>
      <c r="FZ1919" s="28"/>
      <c r="GC1919" s="28"/>
    </row>
    <row r="1920" spans="1:185" s="25" customFormat="1" x14ac:dyDescent="0.3">
      <c r="A1920" s="27"/>
      <c r="B1920" s="28"/>
      <c r="C1920" s="27"/>
      <c r="D1920" s="26"/>
      <c r="E1920" s="28"/>
      <c r="H1920" s="28"/>
      <c r="K1920" s="28"/>
      <c r="N1920" s="28"/>
      <c r="Q1920" s="28"/>
      <c r="T1920" s="28"/>
      <c r="W1920" s="28"/>
      <c r="Z1920" s="28"/>
      <c r="AC1920" s="28"/>
      <c r="AF1920" s="28"/>
      <c r="AI1920" s="28"/>
      <c r="AL1920" s="28"/>
      <c r="AO1920" s="28"/>
      <c r="AR1920" s="28"/>
      <c r="AU1920" s="28"/>
      <c r="AX1920" s="28"/>
      <c r="BA1920" s="28"/>
      <c r="BD1920" s="28"/>
      <c r="BG1920" s="28"/>
      <c r="BJ1920" s="28"/>
      <c r="BM1920" s="28"/>
      <c r="BP1920" s="28"/>
      <c r="BS1920" s="28"/>
      <c r="BV1920" s="28"/>
      <c r="BY1920" s="28"/>
      <c r="CB1920" s="28"/>
      <c r="CE1920" s="28"/>
      <c r="CH1920" s="28"/>
      <c r="CK1920" s="28"/>
      <c r="CN1920" s="28"/>
      <c r="CQ1920" s="28"/>
      <c r="CT1920" s="28"/>
      <c r="CW1920" s="28"/>
      <c r="CZ1920" s="28"/>
      <c r="DC1920" s="28"/>
      <c r="DF1920" s="28"/>
      <c r="DI1920" s="28"/>
      <c r="DL1920" s="28"/>
      <c r="DO1920" s="28"/>
      <c r="DR1920" s="28"/>
      <c r="DU1920" s="28"/>
      <c r="DX1920" s="28"/>
      <c r="EA1920" s="28"/>
      <c r="ED1920" s="28"/>
      <c r="EG1920" s="28"/>
      <c r="EJ1920" s="28"/>
      <c r="EM1920" s="28"/>
      <c r="EP1920" s="28"/>
      <c r="ES1920" s="28"/>
      <c r="EV1920" s="28"/>
      <c r="EY1920" s="28"/>
      <c r="FB1920" s="28"/>
      <c r="FE1920" s="28"/>
      <c r="FH1920" s="28"/>
      <c r="FK1920" s="28"/>
      <c r="FN1920" s="28"/>
      <c r="FQ1920" s="28"/>
      <c r="FT1920" s="28"/>
      <c r="FW1920" s="28"/>
      <c r="FZ1920" s="28"/>
      <c r="GC1920" s="28"/>
    </row>
    <row r="1921" spans="1:185" s="25" customFormat="1" x14ac:dyDescent="0.3">
      <c r="A1921" s="27"/>
      <c r="B1921" s="28"/>
      <c r="C1921" s="27"/>
      <c r="D1921" s="26"/>
      <c r="E1921" s="28"/>
      <c r="H1921" s="28"/>
      <c r="K1921" s="28"/>
      <c r="N1921" s="28"/>
      <c r="Q1921" s="28"/>
      <c r="T1921" s="28"/>
      <c r="W1921" s="28"/>
      <c r="Z1921" s="28"/>
      <c r="AC1921" s="28"/>
      <c r="AF1921" s="28"/>
      <c r="AI1921" s="28"/>
      <c r="AL1921" s="28"/>
      <c r="AO1921" s="28"/>
      <c r="AR1921" s="28"/>
      <c r="AU1921" s="28"/>
      <c r="AX1921" s="28"/>
      <c r="BA1921" s="28"/>
      <c r="BD1921" s="28"/>
      <c r="BG1921" s="28"/>
      <c r="BJ1921" s="28"/>
      <c r="BM1921" s="28"/>
      <c r="BP1921" s="28"/>
      <c r="BS1921" s="28"/>
      <c r="BV1921" s="28"/>
      <c r="BY1921" s="28"/>
      <c r="CB1921" s="28"/>
      <c r="CE1921" s="28"/>
      <c r="CH1921" s="28"/>
      <c r="CK1921" s="28"/>
      <c r="CN1921" s="28"/>
      <c r="CQ1921" s="28"/>
      <c r="CT1921" s="28"/>
      <c r="CW1921" s="28"/>
      <c r="CZ1921" s="28"/>
      <c r="DC1921" s="28"/>
      <c r="DF1921" s="28"/>
      <c r="DI1921" s="28"/>
      <c r="DL1921" s="28"/>
      <c r="DO1921" s="28"/>
      <c r="DR1921" s="28"/>
      <c r="DU1921" s="28"/>
      <c r="DX1921" s="28"/>
      <c r="EA1921" s="28"/>
      <c r="ED1921" s="28"/>
      <c r="EG1921" s="28"/>
      <c r="EJ1921" s="28"/>
      <c r="EM1921" s="28"/>
      <c r="EP1921" s="28"/>
      <c r="ES1921" s="28"/>
      <c r="EV1921" s="28"/>
      <c r="EY1921" s="28"/>
      <c r="FB1921" s="28"/>
      <c r="FE1921" s="28"/>
      <c r="FH1921" s="28"/>
      <c r="FK1921" s="28"/>
      <c r="FN1921" s="28"/>
      <c r="FQ1921" s="28"/>
      <c r="FT1921" s="28"/>
      <c r="FW1921" s="28"/>
      <c r="FZ1921" s="28"/>
      <c r="GC1921" s="28"/>
    </row>
    <row r="1922" spans="1:185" s="25" customFormat="1" x14ac:dyDescent="0.3">
      <c r="A1922" s="27"/>
      <c r="B1922" s="28"/>
      <c r="C1922" s="27"/>
      <c r="D1922" s="26"/>
      <c r="E1922" s="28"/>
      <c r="H1922" s="28"/>
      <c r="K1922" s="28"/>
      <c r="N1922" s="28"/>
      <c r="Q1922" s="28"/>
      <c r="T1922" s="28"/>
      <c r="W1922" s="28"/>
      <c r="Z1922" s="28"/>
      <c r="AC1922" s="28"/>
      <c r="AF1922" s="28"/>
      <c r="AI1922" s="28"/>
      <c r="AL1922" s="28"/>
      <c r="AO1922" s="28"/>
      <c r="AR1922" s="28"/>
      <c r="AU1922" s="28"/>
      <c r="AX1922" s="28"/>
      <c r="BA1922" s="28"/>
      <c r="BD1922" s="28"/>
      <c r="BG1922" s="28"/>
      <c r="BJ1922" s="28"/>
      <c r="BM1922" s="28"/>
      <c r="BP1922" s="28"/>
      <c r="BS1922" s="28"/>
      <c r="BV1922" s="28"/>
      <c r="BY1922" s="28"/>
      <c r="CB1922" s="28"/>
      <c r="CE1922" s="28"/>
      <c r="CH1922" s="28"/>
      <c r="CK1922" s="28"/>
      <c r="CN1922" s="28"/>
      <c r="CQ1922" s="28"/>
      <c r="CT1922" s="28"/>
      <c r="CW1922" s="28"/>
      <c r="CZ1922" s="28"/>
      <c r="DC1922" s="28"/>
      <c r="DF1922" s="28"/>
      <c r="DI1922" s="28"/>
      <c r="DL1922" s="28"/>
      <c r="DO1922" s="28"/>
      <c r="DR1922" s="28"/>
      <c r="DU1922" s="28"/>
      <c r="DX1922" s="28"/>
      <c r="EA1922" s="28"/>
      <c r="ED1922" s="28"/>
      <c r="EG1922" s="28"/>
      <c r="EJ1922" s="28"/>
      <c r="EM1922" s="28"/>
      <c r="EP1922" s="28"/>
      <c r="ES1922" s="28"/>
      <c r="EV1922" s="28"/>
      <c r="EY1922" s="28"/>
      <c r="FB1922" s="28"/>
      <c r="FE1922" s="28"/>
      <c r="FH1922" s="28"/>
      <c r="FK1922" s="28"/>
      <c r="FN1922" s="28"/>
      <c r="FQ1922" s="28"/>
      <c r="FT1922" s="28"/>
      <c r="FW1922" s="28"/>
      <c r="FZ1922" s="28"/>
      <c r="GC1922" s="28"/>
    </row>
    <row r="1923" spans="1:185" s="25" customFormat="1" x14ac:dyDescent="0.3">
      <c r="A1923" s="27"/>
      <c r="B1923" s="28"/>
      <c r="C1923" s="27"/>
      <c r="D1923" s="26"/>
      <c r="E1923" s="28"/>
      <c r="H1923" s="28"/>
      <c r="K1923" s="28"/>
      <c r="N1923" s="28"/>
      <c r="Q1923" s="28"/>
      <c r="T1923" s="28"/>
      <c r="W1923" s="28"/>
      <c r="Z1923" s="28"/>
      <c r="AC1923" s="28"/>
      <c r="AF1923" s="28"/>
      <c r="AI1923" s="28"/>
      <c r="AL1923" s="28"/>
      <c r="AO1923" s="28"/>
      <c r="AR1923" s="28"/>
      <c r="AU1923" s="28"/>
      <c r="AX1923" s="28"/>
      <c r="BA1923" s="28"/>
      <c r="BD1923" s="28"/>
      <c r="BG1923" s="28"/>
      <c r="BJ1923" s="28"/>
      <c r="BM1923" s="28"/>
      <c r="BP1923" s="28"/>
      <c r="BS1923" s="28"/>
      <c r="BV1923" s="28"/>
      <c r="BY1923" s="28"/>
      <c r="CB1923" s="28"/>
      <c r="CE1923" s="28"/>
      <c r="CH1923" s="28"/>
      <c r="CK1923" s="28"/>
      <c r="CN1923" s="28"/>
      <c r="CQ1923" s="28"/>
      <c r="CT1923" s="28"/>
      <c r="CW1923" s="28"/>
      <c r="CZ1923" s="28"/>
      <c r="DC1923" s="28"/>
      <c r="DF1923" s="28"/>
      <c r="DI1923" s="28"/>
      <c r="DL1923" s="28"/>
      <c r="DO1923" s="28"/>
      <c r="DR1923" s="28"/>
      <c r="DU1923" s="28"/>
      <c r="DX1923" s="28"/>
      <c r="EA1923" s="28"/>
      <c r="ED1923" s="28"/>
      <c r="EG1923" s="28"/>
      <c r="EJ1923" s="28"/>
      <c r="EM1923" s="28"/>
      <c r="EP1923" s="28"/>
      <c r="ES1923" s="28"/>
      <c r="EV1923" s="28"/>
      <c r="EY1923" s="28"/>
      <c r="FB1923" s="28"/>
      <c r="FE1923" s="28"/>
      <c r="FH1923" s="28"/>
      <c r="FK1923" s="28"/>
      <c r="FN1923" s="28"/>
      <c r="FQ1923" s="28"/>
      <c r="FT1923" s="28"/>
      <c r="FW1923" s="28"/>
      <c r="FZ1923" s="28"/>
      <c r="GC1923" s="28"/>
    </row>
    <row r="1924" spans="1:185" s="25" customFormat="1" x14ac:dyDescent="0.3">
      <c r="A1924" s="27"/>
      <c r="B1924" s="28"/>
      <c r="C1924" s="27"/>
      <c r="D1924" s="26"/>
      <c r="E1924" s="28"/>
      <c r="H1924" s="28"/>
      <c r="K1924" s="28"/>
      <c r="N1924" s="28"/>
      <c r="Q1924" s="28"/>
      <c r="T1924" s="28"/>
      <c r="W1924" s="28"/>
      <c r="Z1924" s="28"/>
      <c r="AC1924" s="28"/>
      <c r="AF1924" s="28"/>
      <c r="AI1924" s="28"/>
      <c r="AL1924" s="28"/>
      <c r="AO1924" s="28"/>
      <c r="AR1924" s="28"/>
      <c r="AU1924" s="28"/>
      <c r="AX1924" s="28"/>
      <c r="BA1924" s="28"/>
      <c r="BD1924" s="28"/>
      <c r="BG1924" s="28"/>
      <c r="BJ1924" s="28"/>
      <c r="BM1924" s="28"/>
      <c r="BP1924" s="28"/>
      <c r="BS1924" s="28"/>
      <c r="BV1924" s="28"/>
      <c r="BY1924" s="28"/>
      <c r="CB1924" s="28"/>
      <c r="CE1924" s="28"/>
      <c r="CH1924" s="28"/>
      <c r="CK1924" s="28"/>
      <c r="CN1924" s="28"/>
      <c r="CQ1924" s="28"/>
      <c r="CT1924" s="28"/>
      <c r="CW1924" s="28"/>
      <c r="CZ1924" s="28"/>
      <c r="DC1924" s="28"/>
      <c r="DF1924" s="28"/>
      <c r="DI1924" s="28"/>
      <c r="DL1924" s="28"/>
      <c r="DO1924" s="28"/>
      <c r="DR1924" s="28"/>
      <c r="DU1924" s="28"/>
      <c r="DX1924" s="28"/>
      <c r="EA1924" s="28"/>
      <c r="ED1924" s="28"/>
      <c r="EG1924" s="28"/>
      <c r="EJ1924" s="28"/>
      <c r="EM1924" s="28"/>
      <c r="EP1924" s="28"/>
      <c r="ES1924" s="28"/>
      <c r="EV1924" s="28"/>
      <c r="EY1924" s="28"/>
      <c r="FB1924" s="28"/>
      <c r="FE1924" s="28"/>
      <c r="FH1924" s="28"/>
      <c r="FK1924" s="28"/>
      <c r="FN1924" s="28"/>
      <c r="FQ1924" s="28"/>
      <c r="FT1924" s="28"/>
      <c r="FW1924" s="28"/>
      <c r="FZ1924" s="28"/>
      <c r="GC1924" s="28"/>
    </row>
    <row r="1925" spans="1:185" s="25" customFormat="1" x14ac:dyDescent="0.3">
      <c r="A1925" s="27"/>
      <c r="B1925" s="28"/>
      <c r="C1925" s="27"/>
      <c r="D1925" s="26"/>
      <c r="E1925" s="28"/>
      <c r="H1925" s="28"/>
      <c r="K1925" s="28"/>
      <c r="N1925" s="28"/>
      <c r="Q1925" s="28"/>
      <c r="T1925" s="28"/>
      <c r="W1925" s="28"/>
      <c r="Z1925" s="28"/>
      <c r="AC1925" s="28"/>
      <c r="AF1925" s="28"/>
      <c r="AI1925" s="28"/>
      <c r="AL1925" s="28"/>
      <c r="AO1925" s="28"/>
      <c r="AR1925" s="28"/>
      <c r="AU1925" s="28"/>
      <c r="AX1925" s="28"/>
      <c r="BA1925" s="28"/>
      <c r="BD1925" s="28"/>
      <c r="BG1925" s="28"/>
      <c r="BJ1925" s="28"/>
      <c r="BM1925" s="28"/>
      <c r="BP1925" s="28"/>
      <c r="BS1925" s="28"/>
      <c r="BV1925" s="28"/>
      <c r="BY1925" s="28"/>
      <c r="CB1925" s="28"/>
      <c r="CE1925" s="28"/>
      <c r="CH1925" s="28"/>
      <c r="CK1925" s="28"/>
      <c r="CN1925" s="28"/>
      <c r="CQ1925" s="28"/>
      <c r="CT1925" s="28"/>
      <c r="CW1925" s="28"/>
      <c r="CZ1925" s="28"/>
      <c r="DC1925" s="28"/>
      <c r="DF1925" s="28"/>
      <c r="DI1925" s="28"/>
      <c r="DL1925" s="28"/>
      <c r="DO1925" s="28"/>
      <c r="DR1925" s="28"/>
      <c r="DU1925" s="28"/>
      <c r="DX1925" s="28"/>
      <c r="EA1925" s="28"/>
      <c r="ED1925" s="28"/>
      <c r="EG1925" s="28"/>
      <c r="EJ1925" s="28"/>
      <c r="EM1925" s="28"/>
      <c r="EP1925" s="28"/>
      <c r="ES1925" s="28"/>
      <c r="EV1925" s="28"/>
      <c r="EY1925" s="28"/>
      <c r="FB1925" s="28"/>
      <c r="FE1925" s="28"/>
      <c r="FH1925" s="28"/>
      <c r="FK1925" s="28"/>
      <c r="FN1925" s="28"/>
      <c r="FQ1925" s="28"/>
      <c r="FT1925" s="28"/>
      <c r="FW1925" s="28"/>
      <c r="FZ1925" s="28"/>
      <c r="GC1925" s="28"/>
    </row>
    <row r="1926" spans="1:185" s="25" customFormat="1" x14ac:dyDescent="0.3">
      <c r="A1926" s="27"/>
      <c r="B1926" s="28"/>
      <c r="C1926" s="27"/>
      <c r="D1926" s="26"/>
      <c r="E1926" s="28"/>
      <c r="H1926" s="28"/>
      <c r="K1926" s="28"/>
      <c r="N1926" s="28"/>
      <c r="Q1926" s="28"/>
      <c r="T1926" s="28"/>
      <c r="W1926" s="28"/>
      <c r="Z1926" s="28"/>
      <c r="AC1926" s="28"/>
      <c r="AF1926" s="28"/>
      <c r="AI1926" s="28"/>
      <c r="AL1926" s="28"/>
      <c r="AO1926" s="28"/>
      <c r="AR1926" s="28"/>
      <c r="AU1926" s="28"/>
      <c r="AX1926" s="28"/>
      <c r="BA1926" s="28"/>
      <c r="BD1926" s="28"/>
      <c r="BG1926" s="28"/>
      <c r="BJ1926" s="28"/>
      <c r="BM1926" s="28"/>
      <c r="BP1926" s="28"/>
      <c r="BS1926" s="28"/>
      <c r="BV1926" s="28"/>
      <c r="BY1926" s="28"/>
      <c r="CB1926" s="28"/>
      <c r="CE1926" s="28"/>
      <c r="CH1926" s="28"/>
      <c r="CK1926" s="28"/>
      <c r="CN1926" s="28"/>
      <c r="CQ1926" s="28"/>
      <c r="CT1926" s="28"/>
      <c r="CW1926" s="28"/>
      <c r="CZ1926" s="28"/>
      <c r="DC1926" s="28"/>
      <c r="DF1926" s="28"/>
      <c r="DI1926" s="28"/>
      <c r="DL1926" s="28"/>
      <c r="DO1926" s="28"/>
      <c r="DR1926" s="28"/>
      <c r="DU1926" s="28"/>
      <c r="DX1926" s="28"/>
      <c r="EA1926" s="28"/>
      <c r="ED1926" s="28"/>
      <c r="EG1926" s="28"/>
      <c r="EJ1926" s="28"/>
      <c r="EM1926" s="28"/>
      <c r="EP1926" s="28"/>
      <c r="ES1926" s="28"/>
      <c r="EV1926" s="28"/>
      <c r="EY1926" s="28"/>
      <c r="FB1926" s="28"/>
      <c r="FE1926" s="28"/>
      <c r="FH1926" s="28"/>
      <c r="FK1926" s="28"/>
      <c r="FN1926" s="28"/>
      <c r="FQ1926" s="28"/>
      <c r="FT1926" s="28"/>
      <c r="FW1926" s="28"/>
      <c r="FZ1926" s="28"/>
      <c r="GC1926" s="28"/>
    </row>
    <row r="1927" spans="1:185" s="25" customFormat="1" x14ac:dyDescent="0.3">
      <c r="A1927" s="27"/>
      <c r="B1927" s="28"/>
      <c r="C1927" s="27"/>
      <c r="D1927" s="26"/>
      <c r="E1927" s="28"/>
      <c r="H1927" s="28"/>
      <c r="K1927" s="28"/>
      <c r="N1927" s="28"/>
      <c r="Q1927" s="28"/>
      <c r="T1927" s="28"/>
      <c r="W1927" s="28"/>
      <c r="Z1927" s="28"/>
      <c r="AC1927" s="28"/>
      <c r="AF1927" s="28"/>
      <c r="AI1927" s="28"/>
      <c r="AL1927" s="28"/>
      <c r="AO1927" s="28"/>
      <c r="AR1927" s="28"/>
      <c r="AU1927" s="28"/>
      <c r="AX1927" s="28"/>
      <c r="BA1927" s="28"/>
      <c r="BD1927" s="28"/>
      <c r="BG1927" s="28"/>
      <c r="BJ1927" s="28"/>
      <c r="BM1927" s="28"/>
      <c r="BP1927" s="28"/>
      <c r="BS1927" s="28"/>
      <c r="BV1927" s="28"/>
      <c r="BY1927" s="28"/>
      <c r="CB1927" s="28"/>
      <c r="CE1927" s="28"/>
      <c r="CH1927" s="28"/>
      <c r="CK1927" s="28"/>
      <c r="CN1927" s="28"/>
      <c r="CQ1927" s="28"/>
      <c r="CT1927" s="28"/>
      <c r="CW1927" s="28"/>
      <c r="CZ1927" s="28"/>
      <c r="DC1927" s="28"/>
      <c r="DF1927" s="28"/>
      <c r="DI1927" s="28"/>
      <c r="DL1927" s="28"/>
      <c r="DO1927" s="28"/>
      <c r="DR1927" s="28"/>
      <c r="DU1927" s="28"/>
      <c r="DX1927" s="28"/>
      <c r="EA1927" s="28"/>
      <c r="ED1927" s="28"/>
      <c r="EG1927" s="28"/>
      <c r="EJ1927" s="28"/>
      <c r="EM1927" s="28"/>
      <c r="EP1927" s="28"/>
      <c r="ES1927" s="28"/>
      <c r="EV1927" s="28"/>
      <c r="EY1927" s="28"/>
      <c r="FB1927" s="28"/>
      <c r="FE1927" s="28"/>
      <c r="FH1927" s="28"/>
      <c r="FK1927" s="28"/>
      <c r="FN1927" s="28"/>
      <c r="FQ1927" s="28"/>
      <c r="FT1927" s="28"/>
      <c r="FW1927" s="28"/>
      <c r="FZ1927" s="28"/>
      <c r="GC1927" s="28"/>
    </row>
    <row r="1928" spans="1:185" s="25" customFormat="1" x14ac:dyDescent="0.3">
      <c r="A1928" s="27"/>
      <c r="B1928" s="28"/>
      <c r="C1928" s="27"/>
      <c r="D1928" s="26"/>
      <c r="E1928" s="28"/>
      <c r="H1928" s="28"/>
      <c r="K1928" s="28"/>
      <c r="N1928" s="28"/>
      <c r="Q1928" s="28"/>
      <c r="T1928" s="28"/>
      <c r="W1928" s="28"/>
      <c r="Z1928" s="28"/>
      <c r="AC1928" s="28"/>
      <c r="AF1928" s="28"/>
      <c r="AI1928" s="28"/>
      <c r="AL1928" s="28"/>
      <c r="AO1928" s="28"/>
      <c r="AR1928" s="28"/>
      <c r="AU1928" s="28"/>
      <c r="AX1928" s="28"/>
      <c r="BA1928" s="28"/>
      <c r="BD1928" s="28"/>
      <c r="BG1928" s="28"/>
      <c r="BJ1928" s="28"/>
      <c r="BM1928" s="28"/>
      <c r="BP1928" s="28"/>
      <c r="BS1928" s="28"/>
      <c r="BV1928" s="28"/>
      <c r="BY1928" s="28"/>
      <c r="CB1928" s="28"/>
      <c r="CE1928" s="28"/>
      <c r="CH1928" s="28"/>
      <c r="CK1928" s="28"/>
      <c r="CN1928" s="28"/>
      <c r="CQ1928" s="28"/>
      <c r="CT1928" s="28"/>
      <c r="CW1928" s="28"/>
      <c r="CZ1928" s="28"/>
      <c r="DC1928" s="28"/>
      <c r="DF1928" s="28"/>
      <c r="DI1928" s="28"/>
      <c r="DL1928" s="28"/>
      <c r="DO1928" s="28"/>
      <c r="DR1928" s="28"/>
      <c r="DU1928" s="28"/>
      <c r="DX1928" s="28"/>
      <c r="EA1928" s="28"/>
      <c r="ED1928" s="28"/>
      <c r="EG1928" s="28"/>
      <c r="EJ1928" s="28"/>
      <c r="EM1928" s="28"/>
      <c r="EP1928" s="28"/>
      <c r="ES1928" s="28"/>
      <c r="EV1928" s="28"/>
      <c r="EY1928" s="28"/>
      <c r="FB1928" s="28"/>
      <c r="FE1928" s="28"/>
      <c r="FH1928" s="28"/>
      <c r="FK1928" s="28"/>
      <c r="FN1928" s="28"/>
      <c r="FQ1928" s="28"/>
      <c r="FT1928" s="28"/>
      <c r="FW1928" s="28"/>
      <c r="FZ1928" s="28"/>
      <c r="GC1928" s="28"/>
    </row>
    <row r="1929" spans="1:185" s="25" customFormat="1" x14ac:dyDescent="0.3">
      <c r="A1929" s="27"/>
      <c r="B1929" s="28"/>
      <c r="C1929" s="27"/>
      <c r="D1929" s="26"/>
      <c r="E1929" s="28"/>
      <c r="H1929" s="28"/>
      <c r="K1929" s="28"/>
      <c r="N1929" s="28"/>
      <c r="Q1929" s="28"/>
      <c r="T1929" s="28"/>
      <c r="W1929" s="28"/>
      <c r="Z1929" s="28"/>
      <c r="AC1929" s="28"/>
      <c r="AF1929" s="28"/>
      <c r="AI1929" s="28"/>
      <c r="AL1929" s="28"/>
      <c r="AO1929" s="28"/>
      <c r="AR1929" s="28"/>
      <c r="AU1929" s="28"/>
      <c r="AX1929" s="28"/>
      <c r="BA1929" s="28"/>
      <c r="BD1929" s="28"/>
      <c r="BG1929" s="28"/>
      <c r="BJ1929" s="28"/>
      <c r="BM1929" s="28"/>
      <c r="BP1929" s="28"/>
      <c r="BS1929" s="28"/>
      <c r="BV1929" s="28"/>
      <c r="BY1929" s="28"/>
      <c r="CB1929" s="28"/>
      <c r="CE1929" s="28"/>
      <c r="CH1929" s="28"/>
      <c r="CK1929" s="28"/>
      <c r="CN1929" s="28"/>
      <c r="CQ1929" s="28"/>
      <c r="CT1929" s="28"/>
      <c r="CW1929" s="28"/>
      <c r="CZ1929" s="28"/>
      <c r="DC1929" s="28"/>
      <c r="DF1929" s="28"/>
      <c r="DI1929" s="28"/>
      <c r="DL1929" s="28"/>
      <c r="DO1929" s="28"/>
      <c r="DR1929" s="28"/>
      <c r="DU1929" s="28"/>
      <c r="DX1929" s="28"/>
      <c r="EA1929" s="28"/>
      <c r="ED1929" s="28"/>
      <c r="EG1929" s="28"/>
      <c r="EJ1929" s="28"/>
      <c r="EM1929" s="28"/>
      <c r="EP1929" s="28"/>
      <c r="ES1929" s="28"/>
      <c r="EV1929" s="28"/>
      <c r="EY1929" s="28"/>
      <c r="FB1929" s="28"/>
      <c r="FE1929" s="28"/>
      <c r="FH1929" s="28"/>
      <c r="FK1929" s="28"/>
      <c r="FN1929" s="28"/>
      <c r="FQ1929" s="28"/>
      <c r="FT1929" s="28"/>
      <c r="FW1929" s="28"/>
      <c r="FZ1929" s="28"/>
      <c r="GC1929" s="28"/>
    </row>
    <row r="1930" spans="1:185" s="25" customFormat="1" x14ac:dyDescent="0.3">
      <c r="A1930" s="27"/>
      <c r="B1930" s="28"/>
      <c r="C1930" s="27"/>
      <c r="D1930" s="26"/>
      <c r="E1930" s="28"/>
      <c r="H1930" s="28"/>
      <c r="K1930" s="28"/>
      <c r="N1930" s="28"/>
      <c r="Q1930" s="28"/>
      <c r="T1930" s="28"/>
      <c r="W1930" s="28"/>
      <c r="Z1930" s="28"/>
      <c r="AC1930" s="28"/>
      <c r="AF1930" s="28"/>
      <c r="AI1930" s="28"/>
      <c r="AL1930" s="28"/>
      <c r="AO1930" s="28"/>
      <c r="AR1930" s="28"/>
      <c r="AU1930" s="28"/>
      <c r="AX1930" s="28"/>
      <c r="BA1930" s="28"/>
      <c r="BD1930" s="28"/>
      <c r="BG1930" s="28"/>
      <c r="BJ1930" s="28"/>
      <c r="BM1930" s="28"/>
      <c r="BP1930" s="28"/>
      <c r="BS1930" s="28"/>
      <c r="BV1930" s="28"/>
      <c r="BY1930" s="28"/>
      <c r="CB1930" s="28"/>
      <c r="CE1930" s="28"/>
      <c r="CH1930" s="28"/>
      <c r="CK1930" s="28"/>
      <c r="CN1930" s="28"/>
      <c r="CQ1930" s="28"/>
      <c r="CT1930" s="28"/>
      <c r="CW1930" s="28"/>
      <c r="CZ1930" s="28"/>
      <c r="DC1930" s="28"/>
      <c r="DF1930" s="28"/>
      <c r="DI1930" s="28"/>
      <c r="DL1930" s="28"/>
      <c r="DO1930" s="28"/>
      <c r="DR1930" s="28"/>
      <c r="DU1930" s="28"/>
      <c r="DX1930" s="28"/>
      <c r="EA1930" s="28"/>
      <c r="ED1930" s="28"/>
      <c r="EG1930" s="28"/>
      <c r="EJ1930" s="28"/>
      <c r="EM1930" s="28"/>
      <c r="EP1930" s="28"/>
      <c r="ES1930" s="28"/>
      <c r="EV1930" s="28"/>
      <c r="EY1930" s="28"/>
      <c r="FB1930" s="28"/>
      <c r="FE1930" s="28"/>
      <c r="FH1930" s="28"/>
      <c r="FK1930" s="28"/>
      <c r="FN1930" s="28"/>
      <c r="FQ1930" s="28"/>
      <c r="FT1930" s="28"/>
      <c r="FW1930" s="28"/>
      <c r="FZ1930" s="28"/>
      <c r="GC1930" s="28"/>
    </row>
    <row r="1931" spans="1:185" s="25" customFormat="1" x14ac:dyDescent="0.3">
      <c r="A1931" s="27"/>
      <c r="B1931" s="28"/>
      <c r="C1931" s="27"/>
      <c r="D1931" s="26"/>
      <c r="E1931" s="28"/>
      <c r="H1931" s="28"/>
      <c r="K1931" s="28"/>
      <c r="N1931" s="28"/>
      <c r="Q1931" s="28"/>
      <c r="T1931" s="28"/>
      <c r="W1931" s="28"/>
      <c r="Z1931" s="28"/>
      <c r="AC1931" s="28"/>
      <c r="AF1931" s="28"/>
      <c r="AI1931" s="28"/>
      <c r="AL1931" s="28"/>
      <c r="AO1931" s="28"/>
      <c r="AR1931" s="28"/>
      <c r="AU1931" s="28"/>
      <c r="AX1931" s="28"/>
      <c r="BA1931" s="28"/>
      <c r="BD1931" s="28"/>
      <c r="BG1931" s="28"/>
      <c r="BJ1931" s="28"/>
      <c r="BM1931" s="28"/>
      <c r="BP1931" s="28"/>
      <c r="BS1931" s="28"/>
      <c r="BV1931" s="28"/>
      <c r="BY1931" s="28"/>
      <c r="CB1931" s="28"/>
      <c r="CE1931" s="28"/>
      <c r="CH1931" s="28"/>
      <c r="CK1931" s="28"/>
      <c r="CN1931" s="28"/>
      <c r="CQ1931" s="28"/>
      <c r="CT1931" s="28"/>
      <c r="CW1931" s="28"/>
      <c r="CZ1931" s="28"/>
      <c r="DC1931" s="28"/>
      <c r="DF1931" s="28"/>
      <c r="DI1931" s="28"/>
      <c r="DL1931" s="28"/>
      <c r="DO1931" s="28"/>
      <c r="DR1931" s="28"/>
      <c r="DU1931" s="28"/>
      <c r="DX1931" s="28"/>
      <c r="EA1931" s="28"/>
      <c r="ED1931" s="28"/>
      <c r="EG1931" s="28"/>
      <c r="EJ1931" s="28"/>
      <c r="EM1931" s="28"/>
      <c r="EP1931" s="28"/>
      <c r="ES1931" s="28"/>
      <c r="EV1931" s="28"/>
      <c r="EY1931" s="28"/>
      <c r="FB1931" s="28"/>
      <c r="FE1931" s="28"/>
      <c r="FH1931" s="28"/>
      <c r="FK1931" s="28"/>
      <c r="FN1931" s="28"/>
      <c r="FQ1931" s="28"/>
      <c r="FT1931" s="28"/>
      <c r="FW1931" s="28"/>
      <c r="FZ1931" s="28"/>
      <c r="GC1931" s="28"/>
    </row>
    <row r="1932" spans="1:185" s="25" customFormat="1" x14ac:dyDescent="0.3">
      <c r="A1932" s="27"/>
      <c r="B1932" s="28"/>
      <c r="C1932" s="27"/>
      <c r="D1932" s="26"/>
      <c r="E1932" s="28"/>
      <c r="H1932" s="28"/>
      <c r="K1932" s="28"/>
      <c r="N1932" s="28"/>
      <c r="Q1932" s="28"/>
      <c r="T1932" s="28"/>
      <c r="W1932" s="28"/>
      <c r="Z1932" s="28"/>
      <c r="AC1932" s="28"/>
      <c r="AF1932" s="28"/>
      <c r="AI1932" s="28"/>
      <c r="AL1932" s="28"/>
      <c r="AO1932" s="28"/>
      <c r="AR1932" s="28"/>
      <c r="AU1932" s="28"/>
      <c r="AX1932" s="28"/>
      <c r="BA1932" s="28"/>
      <c r="BD1932" s="28"/>
      <c r="BG1932" s="28"/>
      <c r="BJ1932" s="28"/>
      <c r="BM1932" s="28"/>
      <c r="BP1932" s="28"/>
      <c r="BS1932" s="28"/>
      <c r="BV1932" s="28"/>
      <c r="BY1932" s="28"/>
      <c r="CB1932" s="28"/>
      <c r="CE1932" s="28"/>
      <c r="CH1932" s="28"/>
      <c r="CK1932" s="28"/>
      <c r="CN1932" s="28"/>
      <c r="CQ1932" s="28"/>
      <c r="CT1932" s="28"/>
      <c r="CW1932" s="28"/>
      <c r="CZ1932" s="28"/>
      <c r="DC1932" s="28"/>
      <c r="DF1932" s="28"/>
      <c r="DI1932" s="28"/>
      <c r="DL1932" s="28"/>
      <c r="DO1932" s="28"/>
      <c r="DR1932" s="28"/>
      <c r="DU1932" s="28"/>
      <c r="DX1932" s="28"/>
      <c r="EA1932" s="28"/>
      <c r="ED1932" s="28"/>
      <c r="EG1932" s="28"/>
      <c r="EJ1932" s="28"/>
      <c r="EM1932" s="28"/>
      <c r="EP1932" s="28"/>
      <c r="ES1932" s="28"/>
      <c r="EV1932" s="28"/>
      <c r="EY1932" s="28"/>
      <c r="FB1932" s="28"/>
      <c r="FE1932" s="28"/>
      <c r="FH1932" s="28"/>
      <c r="FK1932" s="28"/>
      <c r="FN1932" s="28"/>
      <c r="FQ1932" s="28"/>
      <c r="FT1932" s="28"/>
      <c r="FW1932" s="28"/>
      <c r="FZ1932" s="28"/>
      <c r="GC1932" s="28"/>
    </row>
    <row r="1933" spans="1:185" s="25" customFormat="1" x14ac:dyDescent="0.3">
      <c r="A1933" s="27"/>
      <c r="B1933" s="28"/>
      <c r="C1933" s="27"/>
      <c r="D1933" s="26"/>
      <c r="E1933" s="28"/>
      <c r="H1933" s="28"/>
      <c r="K1933" s="28"/>
      <c r="N1933" s="28"/>
      <c r="Q1933" s="28"/>
      <c r="T1933" s="28"/>
      <c r="W1933" s="28"/>
      <c r="Z1933" s="28"/>
      <c r="AC1933" s="28"/>
      <c r="AF1933" s="28"/>
      <c r="AI1933" s="28"/>
      <c r="AL1933" s="28"/>
      <c r="AO1933" s="28"/>
      <c r="AR1933" s="28"/>
      <c r="AU1933" s="28"/>
      <c r="AX1933" s="28"/>
      <c r="BA1933" s="28"/>
      <c r="BD1933" s="28"/>
      <c r="BG1933" s="28"/>
      <c r="BJ1933" s="28"/>
      <c r="BM1933" s="28"/>
      <c r="BP1933" s="28"/>
      <c r="BS1933" s="28"/>
      <c r="BV1933" s="28"/>
      <c r="BY1933" s="28"/>
      <c r="CB1933" s="28"/>
      <c r="CE1933" s="28"/>
      <c r="CH1933" s="28"/>
      <c r="CK1933" s="28"/>
      <c r="CN1933" s="28"/>
      <c r="CQ1933" s="28"/>
      <c r="CT1933" s="28"/>
      <c r="CW1933" s="28"/>
      <c r="CZ1933" s="28"/>
      <c r="DC1933" s="28"/>
      <c r="DF1933" s="28"/>
      <c r="DI1933" s="28"/>
      <c r="DL1933" s="28"/>
      <c r="DO1933" s="28"/>
      <c r="DR1933" s="28"/>
      <c r="DU1933" s="28"/>
      <c r="DX1933" s="28"/>
      <c r="EA1933" s="28"/>
      <c r="ED1933" s="28"/>
      <c r="EG1933" s="28"/>
      <c r="EJ1933" s="28"/>
      <c r="EM1933" s="28"/>
      <c r="EP1933" s="28"/>
      <c r="ES1933" s="28"/>
      <c r="EV1933" s="28"/>
      <c r="EY1933" s="28"/>
      <c r="FB1933" s="28"/>
      <c r="FE1933" s="28"/>
      <c r="FH1933" s="28"/>
      <c r="FK1933" s="28"/>
      <c r="FN1933" s="28"/>
      <c r="FQ1933" s="28"/>
      <c r="FT1933" s="28"/>
      <c r="FW1933" s="28"/>
      <c r="FZ1933" s="28"/>
      <c r="GC1933" s="28"/>
    </row>
    <row r="1934" spans="1:185" s="25" customFormat="1" x14ac:dyDescent="0.3">
      <c r="A1934" s="27"/>
      <c r="B1934" s="28"/>
      <c r="C1934" s="27"/>
      <c r="D1934" s="26"/>
      <c r="E1934" s="28"/>
      <c r="H1934" s="28"/>
      <c r="K1934" s="28"/>
      <c r="N1934" s="28"/>
      <c r="Q1934" s="28"/>
      <c r="T1934" s="28"/>
      <c r="W1934" s="28"/>
      <c r="Z1934" s="28"/>
      <c r="AC1934" s="28"/>
      <c r="AF1934" s="28"/>
      <c r="AI1934" s="28"/>
      <c r="AL1934" s="28"/>
      <c r="AO1934" s="28"/>
      <c r="AR1934" s="28"/>
      <c r="AU1934" s="28"/>
      <c r="AX1934" s="28"/>
      <c r="BA1934" s="28"/>
      <c r="BD1934" s="28"/>
      <c r="BG1934" s="28"/>
      <c r="BJ1934" s="28"/>
      <c r="BM1934" s="28"/>
      <c r="BP1934" s="28"/>
      <c r="BS1934" s="28"/>
      <c r="BV1934" s="28"/>
      <c r="BY1934" s="28"/>
      <c r="CB1934" s="28"/>
      <c r="CE1934" s="28"/>
      <c r="CH1934" s="28"/>
      <c r="CK1934" s="28"/>
      <c r="CN1934" s="28"/>
      <c r="CQ1934" s="28"/>
      <c r="CT1934" s="28"/>
      <c r="CW1934" s="28"/>
      <c r="CZ1934" s="28"/>
      <c r="DC1934" s="28"/>
      <c r="DF1934" s="28"/>
      <c r="DI1934" s="28"/>
      <c r="DL1934" s="28"/>
      <c r="DO1934" s="28"/>
      <c r="DR1934" s="28"/>
      <c r="DU1934" s="28"/>
      <c r="DX1934" s="28"/>
      <c r="EA1934" s="28"/>
      <c r="ED1934" s="28"/>
      <c r="EG1934" s="28"/>
      <c r="EJ1934" s="28"/>
      <c r="EM1934" s="28"/>
      <c r="EP1934" s="28"/>
      <c r="ES1934" s="28"/>
      <c r="EV1934" s="28"/>
      <c r="EY1934" s="28"/>
      <c r="FB1934" s="28"/>
      <c r="FE1934" s="28"/>
      <c r="FH1934" s="28"/>
      <c r="FK1934" s="28"/>
      <c r="FN1934" s="28"/>
      <c r="FQ1934" s="28"/>
      <c r="FT1934" s="28"/>
      <c r="FW1934" s="28"/>
      <c r="FZ1934" s="28"/>
      <c r="GC1934" s="28"/>
    </row>
    <row r="1935" spans="1:185" s="25" customFormat="1" x14ac:dyDescent="0.3">
      <c r="A1935" s="27"/>
      <c r="B1935" s="28"/>
      <c r="C1935" s="27"/>
      <c r="D1935" s="26"/>
      <c r="E1935" s="28"/>
      <c r="H1935" s="28"/>
      <c r="K1935" s="28"/>
      <c r="N1935" s="28"/>
      <c r="Q1935" s="28"/>
      <c r="T1935" s="28"/>
      <c r="W1935" s="28"/>
      <c r="Z1935" s="28"/>
      <c r="AC1935" s="28"/>
      <c r="AF1935" s="28"/>
      <c r="AI1935" s="28"/>
      <c r="AL1935" s="28"/>
      <c r="AO1935" s="28"/>
      <c r="AR1935" s="28"/>
      <c r="AU1935" s="28"/>
      <c r="AX1935" s="28"/>
      <c r="BA1935" s="28"/>
      <c r="BD1935" s="28"/>
      <c r="BG1935" s="28"/>
      <c r="BJ1935" s="28"/>
      <c r="BM1935" s="28"/>
      <c r="BP1935" s="28"/>
      <c r="BS1935" s="28"/>
      <c r="BV1935" s="28"/>
      <c r="BY1935" s="28"/>
      <c r="CB1935" s="28"/>
      <c r="CE1935" s="28"/>
      <c r="CH1935" s="28"/>
      <c r="CK1935" s="28"/>
      <c r="CN1935" s="28"/>
      <c r="CQ1935" s="28"/>
      <c r="CT1935" s="28"/>
      <c r="CW1935" s="28"/>
      <c r="CZ1935" s="28"/>
      <c r="DC1935" s="28"/>
      <c r="DF1935" s="28"/>
      <c r="DI1935" s="28"/>
      <c r="DL1935" s="28"/>
      <c r="DO1935" s="28"/>
      <c r="DR1935" s="28"/>
      <c r="DU1935" s="28"/>
      <c r="DX1935" s="28"/>
      <c r="EA1935" s="28"/>
      <c r="ED1935" s="28"/>
      <c r="EG1935" s="28"/>
      <c r="EJ1935" s="28"/>
      <c r="EM1935" s="28"/>
      <c r="EP1935" s="28"/>
      <c r="ES1935" s="28"/>
      <c r="EV1935" s="28"/>
      <c r="EY1935" s="28"/>
      <c r="FB1935" s="28"/>
      <c r="FE1935" s="28"/>
      <c r="FH1935" s="28"/>
      <c r="FK1935" s="28"/>
      <c r="FN1935" s="28"/>
      <c r="FQ1935" s="28"/>
      <c r="FT1935" s="28"/>
      <c r="FW1935" s="28"/>
      <c r="FZ1935" s="28"/>
      <c r="GC1935" s="28"/>
    </row>
    <row r="1936" spans="1:185" s="25" customFormat="1" x14ac:dyDescent="0.3">
      <c r="A1936" s="27"/>
      <c r="B1936" s="28"/>
      <c r="C1936" s="27"/>
      <c r="D1936" s="26"/>
      <c r="E1936" s="28"/>
      <c r="H1936" s="28"/>
      <c r="K1936" s="28"/>
      <c r="N1936" s="28"/>
      <c r="Q1936" s="28"/>
      <c r="T1936" s="28"/>
      <c r="W1936" s="28"/>
      <c r="Z1936" s="28"/>
      <c r="AC1936" s="28"/>
      <c r="AF1936" s="28"/>
      <c r="AI1936" s="28"/>
      <c r="AL1936" s="28"/>
      <c r="AO1936" s="28"/>
      <c r="AR1936" s="28"/>
      <c r="AU1936" s="28"/>
      <c r="AX1936" s="28"/>
      <c r="BA1936" s="28"/>
      <c r="BD1936" s="28"/>
      <c r="BG1936" s="28"/>
      <c r="BJ1936" s="28"/>
      <c r="BM1936" s="28"/>
      <c r="BP1936" s="28"/>
      <c r="BS1936" s="28"/>
      <c r="BV1936" s="28"/>
      <c r="BY1936" s="28"/>
      <c r="CB1936" s="28"/>
      <c r="CE1936" s="28"/>
      <c r="CH1936" s="28"/>
      <c r="CK1936" s="28"/>
      <c r="CN1936" s="28"/>
      <c r="CQ1936" s="28"/>
      <c r="CT1936" s="28"/>
      <c r="CW1936" s="28"/>
      <c r="CZ1936" s="28"/>
      <c r="DC1936" s="28"/>
      <c r="DF1936" s="28"/>
      <c r="DI1936" s="28"/>
      <c r="DL1936" s="28"/>
      <c r="DO1936" s="28"/>
      <c r="DR1936" s="28"/>
      <c r="DU1936" s="28"/>
      <c r="DX1936" s="28"/>
      <c r="EA1936" s="28"/>
      <c r="ED1936" s="28"/>
      <c r="EG1936" s="28"/>
      <c r="EJ1936" s="28"/>
      <c r="EM1936" s="28"/>
      <c r="EP1936" s="28"/>
      <c r="ES1936" s="28"/>
      <c r="EV1936" s="28"/>
      <c r="EY1936" s="28"/>
      <c r="FB1936" s="28"/>
      <c r="FE1936" s="28"/>
      <c r="FH1936" s="28"/>
      <c r="FK1936" s="28"/>
      <c r="FN1936" s="28"/>
      <c r="FQ1936" s="28"/>
      <c r="FT1936" s="28"/>
      <c r="FW1936" s="28"/>
      <c r="FZ1936" s="28"/>
      <c r="GC1936" s="28"/>
    </row>
    <row r="1937" spans="1:185" s="25" customFormat="1" x14ac:dyDescent="0.3">
      <c r="A1937" s="27"/>
      <c r="B1937" s="28"/>
      <c r="C1937" s="27"/>
      <c r="D1937" s="26"/>
      <c r="E1937" s="28"/>
      <c r="H1937" s="28"/>
      <c r="K1937" s="28"/>
      <c r="N1937" s="28"/>
      <c r="Q1937" s="28"/>
      <c r="T1937" s="28"/>
      <c r="W1937" s="28"/>
      <c r="Z1937" s="28"/>
      <c r="AC1937" s="28"/>
      <c r="AF1937" s="28"/>
      <c r="AI1937" s="28"/>
      <c r="AL1937" s="28"/>
      <c r="AO1937" s="28"/>
      <c r="AR1937" s="28"/>
      <c r="AU1937" s="28"/>
      <c r="AX1937" s="28"/>
      <c r="BA1937" s="28"/>
      <c r="BD1937" s="28"/>
      <c r="BG1937" s="28"/>
      <c r="BJ1937" s="28"/>
      <c r="BM1937" s="28"/>
      <c r="BP1937" s="28"/>
      <c r="BS1937" s="28"/>
      <c r="BV1937" s="28"/>
      <c r="BY1937" s="28"/>
      <c r="CB1937" s="28"/>
      <c r="CE1937" s="28"/>
      <c r="CH1937" s="28"/>
      <c r="CK1937" s="28"/>
      <c r="CN1937" s="28"/>
      <c r="CQ1937" s="28"/>
      <c r="CT1937" s="28"/>
      <c r="CW1937" s="28"/>
      <c r="CZ1937" s="28"/>
      <c r="DC1937" s="28"/>
      <c r="DF1937" s="28"/>
      <c r="DI1937" s="28"/>
      <c r="DL1937" s="28"/>
      <c r="DO1937" s="28"/>
      <c r="DR1937" s="28"/>
      <c r="DU1937" s="28"/>
      <c r="DX1937" s="28"/>
      <c r="EA1937" s="28"/>
      <c r="ED1937" s="28"/>
      <c r="EG1937" s="28"/>
      <c r="EJ1937" s="28"/>
      <c r="EM1937" s="28"/>
      <c r="EP1937" s="28"/>
      <c r="ES1937" s="28"/>
      <c r="EV1937" s="28"/>
      <c r="EY1937" s="28"/>
      <c r="FB1937" s="28"/>
      <c r="FE1937" s="28"/>
      <c r="FH1937" s="28"/>
      <c r="FK1937" s="28"/>
      <c r="FN1937" s="28"/>
      <c r="FQ1937" s="28"/>
      <c r="FT1937" s="28"/>
      <c r="FW1937" s="28"/>
      <c r="FZ1937" s="28"/>
      <c r="GC1937" s="28"/>
    </row>
    <row r="1938" spans="1:185" s="25" customFormat="1" x14ac:dyDescent="0.3">
      <c r="A1938" s="27"/>
      <c r="B1938" s="28"/>
      <c r="C1938" s="27"/>
      <c r="D1938" s="26"/>
      <c r="E1938" s="28"/>
      <c r="H1938" s="28"/>
      <c r="K1938" s="28"/>
      <c r="N1938" s="28"/>
      <c r="Q1938" s="28"/>
      <c r="T1938" s="28"/>
      <c r="W1938" s="28"/>
      <c r="Z1938" s="28"/>
      <c r="AC1938" s="28"/>
      <c r="AF1938" s="28"/>
      <c r="AI1938" s="28"/>
      <c r="AL1938" s="28"/>
      <c r="AO1938" s="28"/>
      <c r="AR1938" s="28"/>
      <c r="AU1938" s="28"/>
      <c r="AX1938" s="28"/>
      <c r="BA1938" s="28"/>
      <c r="BD1938" s="28"/>
      <c r="BG1938" s="28"/>
      <c r="BJ1938" s="28"/>
      <c r="BM1938" s="28"/>
      <c r="BP1938" s="28"/>
      <c r="BS1938" s="28"/>
      <c r="BV1938" s="28"/>
      <c r="BY1938" s="28"/>
      <c r="CB1938" s="28"/>
      <c r="CE1938" s="28"/>
      <c r="CH1938" s="28"/>
      <c r="CK1938" s="28"/>
      <c r="CN1938" s="28"/>
      <c r="CQ1938" s="28"/>
      <c r="CT1938" s="28"/>
      <c r="CW1938" s="28"/>
      <c r="CZ1938" s="28"/>
      <c r="DC1938" s="28"/>
      <c r="DF1938" s="28"/>
      <c r="DI1938" s="28"/>
      <c r="DL1938" s="28"/>
      <c r="DO1938" s="28"/>
      <c r="DR1938" s="28"/>
      <c r="DU1938" s="28"/>
      <c r="DX1938" s="28"/>
      <c r="EA1938" s="28"/>
      <c r="ED1938" s="28"/>
      <c r="EG1938" s="28"/>
      <c r="EJ1938" s="28"/>
      <c r="EM1938" s="28"/>
      <c r="EP1938" s="28"/>
      <c r="ES1938" s="28"/>
      <c r="EV1938" s="28"/>
      <c r="EY1938" s="28"/>
      <c r="FB1938" s="28"/>
      <c r="FE1938" s="28"/>
      <c r="FH1938" s="28"/>
      <c r="FK1938" s="28"/>
      <c r="FN1938" s="28"/>
      <c r="FQ1938" s="28"/>
      <c r="FT1938" s="28"/>
      <c r="FW1938" s="28"/>
      <c r="FZ1938" s="28"/>
      <c r="GC1938" s="28"/>
    </row>
    <row r="1939" spans="1:185" s="25" customFormat="1" x14ac:dyDescent="0.3">
      <c r="A1939" s="27"/>
      <c r="B1939" s="28"/>
      <c r="C1939" s="27"/>
      <c r="D1939" s="26"/>
      <c r="E1939" s="28"/>
      <c r="H1939" s="28"/>
      <c r="K1939" s="28"/>
      <c r="N1939" s="28"/>
      <c r="Q1939" s="28"/>
      <c r="T1939" s="28"/>
      <c r="W1939" s="28"/>
      <c r="Z1939" s="28"/>
      <c r="AC1939" s="28"/>
      <c r="AF1939" s="28"/>
      <c r="AI1939" s="28"/>
      <c r="AL1939" s="28"/>
      <c r="AO1939" s="28"/>
      <c r="AR1939" s="28"/>
      <c r="AU1939" s="28"/>
      <c r="AX1939" s="28"/>
      <c r="BA1939" s="28"/>
      <c r="BD1939" s="28"/>
      <c r="BG1939" s="28"/>
      <c r="BJ1939" s="28"/>
      <c r="BM1939" s="28"/>
      <c r="BP1939" s="28"/>
      <c r="BS1939" s="28"/>
      <c r="BV1939" s="28"/>
      <c r="BY1939" s="28"/>
      <c r="CB1939" s="28"/>
      <c r="CE1939" s="28"/>
      <c r="CH1939" s="28"/>
      <c r="CK1939" s="28"/>
      <c r="CN1939" s="28"/>
      <c r="CQ1939" s="28"/>
      <c r="CT1939" s="28"/>
      <c r="CW1939" s="28"/>
      <c r="CZ1939" s="28"/>
      <c r="DC1939" s="28"/>
      <c r="DF1939" s="28"/>
      <c r="DI1939" s="28"/>
      <c r="DL1939" s="28"/>
      <c r="DO1939" s="28"/>
      <c r="DR1939" s="28"/>
      <c r="DU1939" s="28"/>
      <c r="DX1939" s="28"/>
      <c r="EA1939" s="28"/>
      <c r="ED1939" s="28"/>
      <c r="EG1939" s="28"/>
      <c r="EJ1939" s="28"/>
      <c r="EM1939" s="28"/>
      <c r="EP1939" s="28"/>
      <c r="ES1939" s="28"/>
      <c r="EV1939" s="28"/>
      <c r="EY1939" s="28"/>
      <c r="FB1939" s="28"/>
      <c r="FE1939" s="28"/>
      <c r="FH1939" s="28"/>
      <c r="FK1939" s="28"/>
      <c r="FN1939" s="28"/>
      <c r="FQ1939" s="28"/>
      <c r="FT1939" s="28"/>
      <c r="FW1939" s="28"/>
      <c r="FZ1939" s="28"/>
      <c r="GC1939" s="28"/>
    </row>
    <row r="1940" spans="1:185" s="25" customFormat="1" x14ac:dyDescent="0.3">
      <c r="A1940" s="27"/>
      <c r="B1940" s="28"/>
      <c r="C1940" s="27"/>
      <c r="D1940" s="26"/>
      <c r="E1940" s="28"/>
      <c r="H1940" s="28"/>
      <c r="K1940" s="28"/>
      <c r="N1940" s="28"/>
      <c r="Q1940" s="28"/>
      <c r="T1940" s="28"/>
      <c r="W1940" s="28"/>
      <c r="Z1940" s="28"/>
      <c r="AC1940" s="28"/>
      <c r="AF1940" s="28"/>
      <c r="AI1940" s="28"/>
      <c r="AL1940" s="28"/>
      <c r="AO1940" s="28"/>
      <c r="AR1940" s="28"/>
      <c r="AU1940" s="28"/>
      <c r="AX1940" s="28"/>
      <c r="BA1940" s="28"/>
      <c r="BD1940" s="28"/>
      <c r="BG1940" s="28"/>
      <c r="BJ1940" s="28"/>
      <c r="BM1940" s="28"/>
      <c r="BP1940" s="28"/>
      <c r="BS1940" s="28"/>
      <c r="BV1940" s="28"/>
      <c r="BY1940" s="28"/>
      <c r="CB1940" s="28"/>
      <c r="CE1940" s="28"/>
      <c r="CH1940" s="28"/>
      <c r="CK1940" s="28"/>
      <c r="CN1940" s="28"/>
      <c r="CQ1940" s="28"/>
      <c r="CT1940" s="28"/>
      <c r="CW1940" s="28"/>
      <c r="CZ1940" s="28"/>
      <c r="DC1940" s="28"/>
      <c r="DF1940" s="28"/>
      <c r="DI1940" s="28"/>
      <c r="DL1940" s="28"/>
      <c r="DO1940" s="28"/>
      <c r="DR1940" s="28"/>
      <c r="DU1940" s="28"/>
      <c r="DX1940" s="28"/>
      <c r="EA1940" s="28"/>
      <c r="ED1940" s="28"/>
      <c r="EG1940" s="28"/>
      <c r="EJ1940" s="28"/>
      <c r="EM1940" s="28"/>
      <c r="EP1940" s="28"/>
      <c r="ES1940" s="28"/>
      <c r="EV1940" s="28"/>
      <c r="EY1940" s="28"/>
      <c r="FB1940" s="28"/>
      <c r="FE1940" s="28"/>
      <c r="FH1940" s="28"/>
      <c r="FK1940" s="28"/>
      <c r="FN1940" s="28"/>
      <c r="FQ1940" s="28"/>
      <c r="FT1940" s="28"/>
      <c r="FW1940" s="28"/>
      <c r="FZ1940" s="28"/>
      <c r="GC1940" s="28"/>
    </row>
    <row r="1941" spans="1:185" s="25" customFormat="1" x14ac:dyDescent="0.3">
      <c r="A1941" s="27"/>
      <c r="B1941" s="28"/>
      <c r="C1941" s="27"/>
      <c r="D1941" s="26"/>
      <c r="E1941" s="28"/>
      <c r="H1941" s="28"/>
      <c r="K1941" s="28"/>
      <c r="N1941" s="28"/>
      <c r="Q1941" s="28"/>
      <c r="T1941" s="28"/>
      <c r="W1941" s="28"/>
      <c r="Z1941" s="28"/>
      <c r="AC1941" s="28"/>
      <c r="AF1941" s="28"/>
      <c r="AI1941" s="28"/>
      <c r="AL1941" s="28"/>
      <c r="AO1941" s="28"/>
      <c r="AR1941" s="28"/>
      <c r="AU1941" s="28"/>
      <c r="AX1941" s="28"/>
      <c r="BA1941" s="28"/>
      <c r="BD1941" s="28"/>
      <c r="BG1941" s="28"/>
      <c r="BJ1941" s="28"/>
      <c r="BM1941" s="28"/>
      <c r="BP1941" s="28"/>
      <c r="BS1941" s="28"/>
      <c r="BV1941" s="28"/>
      <c r="BY1941" s="28"/>
      <c r="CB1941" s="28"/>
      <c r="CE1941" s="28"/>
      <c r="CH1941" s="28"/>
      <c r="CK1941" s="28"/>
      <c r="CN1941" s="28"/>
      <c r="CQ1941" s="28"/>
      <c r="CT1941" s="28"/>
      <c r="CW1941" s="28"/>
      <c r="CZ1941" s="28"/>
      <c r="DC1941" s="28"/>
      <c r="DF1941" s="28"/>
      <c r="DI1941" s="28"/>
      <c r="DL1941" s="28"/>
      <c r="DO1941" s="28"/>
      <c r="DR1941" s="28"/>
      <c r="DU1941" s="28"/>
      <c r="DX1941" s="28"/>
      <c r="EA1941" s="28"/>
      <c r="ED1941" s="28"/>
      <c r="EG1941" s="28"/>
      <c r="EJ1941" s="28"/>
      <c r="EM1941" s="28"/>
      <c r="EP1941" s="28"/>
      <c r="ES1941" s="28"/>
      <c r="EV1941" s="28"/>
      <c r="EY1941" s="28"/>
      <c r="FB1941" s="28"/>
      <c r="FE1941" s="28"/>
      <c r="FH1941" s="28"/>
      <c r="FK1941" s="28"/>
      <c r="FN1941" s="28"/>
      <c r="FQ1941" s="28"/>
      <c r="FT1941" s="28"/>
      <c r="FW1941" s="28"/>
      <c r="FZ1941" s="28"/>
      <c r="GC1941" s="28"/>
    </row>
    <row r="1942" spans="1:185" s="25" customFormat="1" x14ac:dyDescent="0.3">
      <c r="A1942" s="27"/>
      <c r="B1942" s="28"/>
      <c r="C1942" s="27"/>
      <c r="D1942" s="26"/>
      <c r="E1942" s="28"/>
      <c r="H1942" s="28"/>
      <c r="K1942" s="28"/>
      <c r="N1942" s="28"/>
      <c r="Q1942" s="28"/>
      <c r="T1942" s="28"/>
      <c r="W1942" s="28"/>
      <c r="Z1942" s="28"/>
      <c r="AC1942" s="28"/>
      <c r="AF1942" s="28"/>
      <c r="AI1942" s="28"/>
      <c r="AL1942" s="28"/>
      <c r="AO1942" s="28"/>
      <c r="AR1942" s="28"/>
      <c r="AU1942" s="28"/>
      <c r="AX1942" s="28"/>
      <c r="BA1942" s="28"/>
      <c r="BD1942" s="28"/>
      <c r="BG1942" s="28"/>
      <c r="BJ1942" s="28"/>
      <c r="BM1942" s="28"/>
      <c r="BP1942" s="28"/>
      <c r="BS1942" s="28"/>
      <c r="BV1942" s="28"/>
      <c r="BY1942" s="28"/>
      <c r="CB1942" s="28"/>
      <c r="CE1942" s="28"/>
      <c r="CH1942" s="28"/>
      <c r="CK1942" s="28"/>
      <c r="CN1942" s="28"/>
      <c r="CQ1942" s="28"/>
      <c r="CT1942" s="28"/>
      <c r="CW1942" s="28"/>
      <c r="CZ1942" s="28"/>
      <c r="DC1942" s="28"/>
      <c r="DF1942" s="28"/>
      <c r="DI1942" s="28"/>
      <c r="DL1942" s="28"/>
      <c r="DO1942" s="28"/>
      <c r="DR1942" s="28"/>
      <c r="DU1942" s="28"/>
      <c r="DX1942" s="28"/>
      <c r="EA1942" s="28"/>
      <c r="ED1942" s="28"/>
      <c r="EG1942" s="28"/>
      <c r="EJ1942" s="28"/>
      <c r="EM1942" s="28"/>
      <c r="EP1942" s="28"/>
      <c r="ES1942" s="28"/>
      <c r="EV1942" s="28"/>
      <c r="EY1942" s="28"/>
      <c r="FB1942" s="28"/>
      <c r="FE1942" s="28"/>
      <c r="FH1942" s="28"/>
      <c r="FK1942" s="28"/>
      <c r="FN1942" s="28"/>
      <c r="FQ1942" s="28"/>
      <c r="FT1942" s="28"/>
      <c r="FW1942" s="28"/>
      <c r="FZ1942" s="28"/>
      <c r="GC1942" s="28"/>
    </row>
    <row r="1943" spans="1:185" s="25" customFormat="1" x14ac:dyDescent="0.3">
      <c r="A1943" s="27"/>
      <c r="B1943" s="28"/>
      <c r="C1943" s="27"/>
      <c r="D1943" s="26"/>
      <c r="E1943" s="28"/>
      <c r="H1943" s="28"/>
      <c r="K1943" s="28"/>
      <c r="N1943" s="28"/>
      <c r="Q1943" s="28"/>
      <c r="T1943" s="28"/>
      <c r="W1943" s="28"/>
      <c r="Z1943" s="28"/>
      <c r="AC1943" s="28"/>
      <c r="AF1943" s="28"/>
      <c r="AI1943" s="28"/>
      <c r="AL1943" s="28"/>
      <c r="AO1943" s="28"/>
      <c r="AR1943" s="28"/>
      <c r="AU1943" s="28"/>
      <c r="AX1943" s="28"/>
      <c r="BA1943" s="28"/>
      <c r="BD1943" s="28"/>
      <c r="BG1943" s="28"/>
      <c r="BJ1943" s="28"/>
      <c r="BM1943" s="28"/>
      <c r="BP1943" s="28"/>
      <c r="BS1943" s="28"/>
      <c r="BV1943" s="28"/>
      <c r="BY1943" s="28"/>
      <c r="CB1943" s="28"/>
      <c r="CE1943" s="28"/>
      <c r="CH1943" s="28"/>
      <c r="CK1943" s="28"/>
      <c r="CN1943" s="28"/>
      <c r="CQ1943" s="28"/>
      <c r="CT1943" s="28"/>
      <c r="CW1943" s="28"/>
      <c r="CZ1943" s="28"/>
      <c r="DC1943" s="28"/>
      <c r="DF1943" s="28"/>
      <c r="DI1943" s="28"/>
      <c r="DL1943" s="28"/>
      <c r="DO1943" s="28"/>
      <c r="DR1943" s="28"/>
      <c r="DU1943" s="28"/>
      <c r="DX1943" s="28"/>
      <c r="EA1943" s="28"/>
      <c r="ED1943" s="28"/>
      <c r="EG1943" s="28"/>
      <c r="EJ1943" s="28"/>
      <c r="EM1943" s="28"/>
      <c r="EP1943" s="28"/>
      <c r="ES1943" s="28"/>
      <c r="EV1943" s="28"/>
      <c r="EY1943" s="28"/>
      <c r="FB1943" s="28"/>
      <c r="FE1943" s="28"/>
      <c r="FH1943" s="28"/>
      <c r="FK1943" s="28"/>
      <c r="FN1943" s="28"/>
      <c r="FQ1943" s="28"/>
      <c r="FT1943" s="28"/>
      <c r="FW1943" s="28"/>
      <c r="FZ1943" s="28"/>
      <c r="GC1943" s="28"/>
    </row>
    <row r="1944" spans="1:185" s="25" customFormat="1" x14ac:dyDescent="0.3">
      <c r="A1944" s="27"/>
      <c r="B1944" s="28"/>
      <c r="C1944" s="27"/>
      <c r="D1944" s="26"/>
      <c r="E1944" s="28"/>
      <c r="H1944" s="28"/>
      <c r="K1944" s="28"/>
      <c r="N1944" s="28"/>
      <c r="Q1944" s="28"/>
      <c r="T1944" s="28"/>
      <c r="W1944" s="28"/>
      <c r="Z1944" s="28"/>
      <c r="AC1944" s="28"/>
      <c r="AF1944" s="28"/>
      <c r="AI1944" s="28"/>
      <c r="AL1944" s="28"/>
      <c r="AO1944" s="28"/>
      <c r="AR1944" s="28"/>
      <c r="AU1944" s="28"/>
      <c r="AX1944" s="28"/>
      <c r="BA1944" s="28"/>
      <c r="BD1944" s="28"/>
      <c r="BG1944" s="28"/>
      <c r="BJ1944" s="28"/>
      <c r="BM1944" s="28"/>
      <c r="BP1944" s="28"/>
      <c r="BS1944" s="28"/>
      <c r="BV1944" s="28"/>
      <c r="BY1944" s="28"/>
      <c r="CB1944" s="28"/>
      <c r="CE1944" s="28"/>
      <c r="CH1944" s="28"/>
      <c r="CK1944" s="28"/>
      <c r="CN1944" s="28"/>
      <c r="CQ1944" s="28"/>
      <c r="CT1944" s="28"/>
      <c r="CW1944" s="28"/>
      <c r="CZ1944" s="28"/>
      <c r="DC1944" s="28"/>
      <c r="DF1944" s="28"/>
      <c r="DI1944" s="28"/>
      <c r="DL1944" s="28"/>
      <c r="DO1944" s="28"/>
      <c r="DR1944" s="28"/>
      <c r="DU1944" s="28"/>
      <c r="DX1944" s="28"/>
      <c r="EA1944" s="28"/>
      <c r="ED1944" s="28"/>
      <c r="EG1944" s="28"/>
      <c r="EJ1944" s="28"/>
      <c r="EM1944" s="28"/>
      <c r="EP1944" s="28"/>
      <c r="ES1944" s="28"/>
      <c r="EV1944" s="28"/>
      <c r="EY1944" s="28"/>
      <c r="FB1944" s="28"/>
      <c r="FE1944" s="28"/>
      <c r="FH1944" s="28"/>
      <c r="FK1944" s="28"/>
      <c r="FN1944" s="28"/>
      <c r="FQ1944" s="28"/>
      <c r="FT1944" s="28"/>
      <c r="FW1944" s="28"/>
      <c r="FZ1944" s="28"/>
      <c r="GC1944" s="28"/>
    </row>
    <row r="1945" spans="1:185" s="25" customFormat="1" x14ac:dyDescent="0.3">
      <c r="A1945" s="27"/>
      <c r="B1945" s="28"/>
      <c r="C1945" s="27"/>
      <c r="D1945" s="26"/>
      <c r="E1945" s="28"/>
      <c r="H1945" s="28"/>
      <c r="K1945" s="28"/>
      <c r="N1945" s="28"/>
      <c r="Q1945" s="28"/>
      <c r="T1945" s="28"/>
      <c r="W1945" s="28"/>
      <c r="Z1945" s="28"/>
      <c r="AC1945" s="28"/>
      <c r="AF1945" s="28"/>
      <c r="AI1945" s="28"/>
      <c r="AL1945" s="28"/>
      <c r="AO1945" s="28"/>
      <c r="AR1945" s="28"/>
      <c r="AU1945" s="28"/>
      <c r="AX1945" s="28"/>
      <c r="BA1945" s="28"/>
      <c r="BD1945" s="28"/>
      <c r="BG1945" s="28"/>
      <c r="BJ1945" s="28"/>
      <c r="BM1945" s="28"/>
      <c r="BP1945" s="28"/>
      <c r="BS1945" s="28"/>
      <c r="BV1945" s="28"/>
      <c r="BY1945" s="28"/>
      <c r="CB1945" s="28"/>
      <c r="CE1945" s="28"/>
      <c r="CH1945" s="28"/>
      <c r="CK1945" s="28"/>
      <c r="CN1945" s="28"/>
      <c r="CQ1945" s="28"/>
      <c r="CT1945" s="28"/>
      <c r="CW1945" s="28"/>
      <c r="CZ1945" s="28"/>
      <c r="DC1945" s="28"/>
      <c r="DF1945" s="28"/>
      <c r="DI1945" s="28"/>
      <c r="DL1945" s="28"/>
      <c r="DO1945" s="28"/>
      <c r="DR1945" s="28"/>
      <c r="DU1945" s="28"/>
      <c r="DX1945" s="28"/>
      <c r="EA1945" s="28"/>
      <c r="ED1945" s="28"/>
      <c r="EG1945" s="28"/>
      <c r="EJ1945" s="28"/>
      <c r="EM1945" s="28"/>
      <c r="EP1945" s="28"/>
      <c r="ES1945" s="28"/>
      <c r="EV1945" s="28"/>
      <c r="EY1945" s="28"/>
      <c r="FB1945" s="28"/>
      <c r="FE1945" s="28"/>
      <c r="FH1945" s="28"/>
      <c r="FK1945" s="28"/>
      <c r="FN1945" s="28"/>
      <c r="FQ1945" s="28"/>
      <c r="FT1945" s="28"/>
      <c r="FW1945" s="28"/>
      <c r="FZ1945" s="28"/>
      <c r="GC1945" s="28"/>
    </row>
    <row r="1946" spans="1:185" s="25" customFormat="1" x14ac:dyDescent="0.3">
      <c r="A1946" s="27"/>
      <c r="B1946" s="28"/>
      <c r="C1946" s="27"/>
      <c r="D1946" s="26"/>
      <c r="E1946" s="28"/>
      <c r="H1946" s="28"/>
      <c r="K1946" s="28"/>
      <c r="N1946" s="28"/>
      <c r="Q1946" s="28"/>
      <c r="T1946" s="28"/>
      <c r="W1946" s="28"/>
      <c r="Z1946" s="28"/>
      <c r="AC1946" s="28"/>
      <c r="AF1946" s="28"/>
      <c r="AI1946" s="28"/>
      <c r="AL1946" s="28"/>
      <c r="AO1946" s="28"/>
      <c r="AR1946" s="28"/>
      <c r="AU1946" s="28"/>
      <c r="AX1946" s="28"/>
      <c r="BA1946" s="28"/>
      <c r="BD1946" s="28"/>
      <c r="BG1946" s="28"/>
      <c r="BJ1946" s="28"/>
      <c r="BM1946" s="28"/>
      <c r="BP1946" s="28"/>
      <c r="BS1946" s="28"/>
      <c r="BV1946" s="28"/>
      <c r="BY1946" s="28"/>
      <c r="CB1946" s="28"/>
      <c r="CE1946" s="28"/>
      <c r="CH1946" s="28"/>
      <c r="CK1946" s="28"/>
      <c r="CN1946" s="28"/>
      <c r="CQ1946" s="28"/>
      <c r="CT1946" s="28"/>
      <c r="CW1946" s="28"/>
      <c r="CZ1946" s="28"/>
      <c r="DC1946" s="28"/>
      <c r="DF1946" s="28"/>
      <c r="DI1946" s="28"/>
      <c r="DL1946" s="28"/>
      <c r="DO1946" s="28"/>
      <c r="DR1946" s="28"/>
      <c r="DU1946" s="28"/>
      <c r="DX1946" s="28"/>
      <c r="EA1946" s="28"/>
      <c r="ED1946" s="28"/>
      <c r="EG1946" s="28"/>
      <c r="EJ1946" s="28"/>
      <c r="EM1946" s="28"/>
      <c r="EP1946" s="28"/>
      <c r="ES1946" s="28"/>
      <c r="EV1946" s="28"/>
      <c r="EY1946" s="28"/>
      <c r="FB1946" s="28"/>
      <c r="FE1946" s="28"/>
      <c r="FH1946" s="28"/>
      <c r="FK1946" s="28"/>
      <c r="FN1946" s="28"/>
      <c r="FQ1946" s="28"/>
      <c r="FT1946" s="28"/>
      <c r="FW1946" s="28"/>
      <c r="FZ1946" s="28"/>
      <c r="GC1946" s="28"/>
    </row>
    <row r="1947" spans="1:185" s="25" customFormat="1" x14ac:dyDescent="0.3">
      <c r="A1947" s="27"/>
      <c r="B1947" s="28"/>
      <c r="C1947" s="27"/>
      <c r="D1947" s="26"/>
      <c r="E1947" s="28"/>
      <c r="H1947" s="28"/>
      <c r="K1947" s="28"/>
      <c r="N1947" s="28"/>
      <c r="Q1947" s="28"/>
      <c r="T1947" s="28"/>
      <c r="W1947" s="28"/>
      <c r="Z1947" s="28"/>
      <c r="AC1947" s="28"/>
      <c r="AF1947" s="28"/>
      <c r="AI1947" s="28"/>
      <c r="AL1947" s="28"/>
      <c r="AO1947" s="28"/>
      <c r="AR1947" s="28"/>
      <c r="AU1947" s="28"/>
      <c r="AX1947" s="28"/>
      <c r="BA1947" s="28"/>
      <c r="BD1947" s="28"/>
      <c r="BG1947" s="28"/>
      <c r="BJ1947" s="28"/>
      <c r="BM1947" s="28"/>
      <c r="BP1947" s="28"/>
      <c r="BS1947" s="28"/>
      <c r="BV1947" s="28"/>
      <c r="BY1947" s="28"/>
      <c r="CB1947" s="28"/>
      <c r="CE1947" s="28"/>
      <c r="CH1947" s="28"/>
      <c r="CK1947" s="28"/>
      <c r="CN1947" s="28"/>
      <c r="CQ1947" s="28"/>
      <c r="CT1947" s="28"/>
      <c r="CW1947" s="28"/>
      <c r="CZ1947" s="28"/>
      <c r="DC1947" s="28"/>
      <c r="DF1947" s="28"/>
      <c r="DI1947" s="28"/>
      <c r="DL1947" s="28"/>
      <c r="DO1947" s="28"/>
      <c r="DR1947" s="28"/>
      <c r="DU1947" s="28"/>
      <c r="DX1947" s="28"/>
      <c r="EA1947" s="28"/>
      <c r="ED1947" s="28"/>
      <c r="EG1947" s="28"/>
      <c r="EJ1947" s="28"/>
      <c r="EM1947" s="28"/>
      <c r="EP1947" s="28"/>
      <c r="ES1947" s="28"/>
      <c r="EV1947" s="28"/>
      <c r="EY1947" s="28"/>
      <c r="FB1947" s="28"/>
      <c r="FE1947" s="28"/>
      <c r="FH1947" s="28"/>
      <c r="FK1947" s="28"/>
      <c r="FN1947" s="28"/>
      <c r="FQ1947" s="28"/>
      <c r="FT1947" s="28"/>
      <c r="FW1947" s="28"/>
      <c r="FZ1947" s="28"/>
      <c r="GC1947" s="28"/>
    </row>
    <row r="1948" spans="1:185" s="25" customFormat="1" x14ac:dyDescent="0.3">
      <c r="A1948" s="27"/>
      <c r="B1948" s="28"/>
      <c r="C1948" s="27"/>
      <c r="D1948" s="26"/>
      <c r="E1948" s="28"/>
      <c r="H1948" s="28"/>
      <c r="K1948" s="28"/>
      <c r="N1948" s="28"/>
      <c r="Q1948" s="28"/>
      <c r="T1948" s="28"/>
      <c r="W1948" s="28"/>
      <c r="Z1948" s="28"/>
      <c r="AC1948" s="28"/>
      <c r="AF1948" s="28"/>
      <c r="AI1948" s="28"/>
      <c r="AL1948" s="28"/>
      <c r="AO1948" s="28"/>
      <c r="AR1948" s="28"/>
      <c r="AU1948" s="28"/>
      <c r="AX1948" s="28"/>
      <c r="BA1948" s="28"/>
      <c r="BD1948" s="28"/>
      <c r="BG1948" s="28"/>
      <c r="BJ1948" s="28"/>
      <c r="BM1948" s="28"/>
      <c r="BP1948" s="28"/>
      <c r="BS1948" s="28"/>
      <c r="BV1948" s="28"/>
      <c r="BY1948" s="28"/>
      <c r="CB1948" s="28"/>
      <c r="CE1948" s="28"/>
      <c r="CH1948" s="28"/>
      <c r="CK1948" s="28"/>
      <c r="CN1948" s="28"/>
      <c r="CQ1948" s="28"/>
      <c r="CT1948" s="28"/>
      <c r="CW1948" s="28"/>
      <c r="CZ1948" s="28"/>
      <c r="DC1948" s="28"/>
      <c r="DF1948" s="28"/>
      <c r="DI1948" s="28"/>
      <c r="DL1948" s="28"/>
      <c r="DO1948" s="28"/>
      <c r="DR1948" s="28"/>
      <c r="DU1948" s="28"/>
      <c r="DX1948" s="28"/>
      <c r="EA1948" s="28"/>
      <c r="ED1948" s="28"/>
      <c r="EG1948" s="28"/>
      <c r="EJ1948" s="28"/>
      <c r="EM1948" s="28"/>
      <c r="EP1948" s="28"/>
      <c r="ES1948" s="28"/>
      <c r="EV1948" s="28"/>
      <c r="EY1948" s="28"/>
      <c r="FB1948" s="28"/>
      <c r="FE1948" s="28"/>
      <c r="FH1948" s="28"/>
      <c r="FK1948" s="28"/>
      <c r="FN1948" s="28"/>
      <c r="FQ1948" s="28"/>
      <c r="FT1948" s="28"/>
      <c r="FW1948" s="28"/>
      <c r="FZ1948" s="28"/>
      <c r="GC1948" s="28"/>
    </row>
    <row r="1949" spans="1:185" s="25" customFormat="1" x14ac:dyDescent="0.3">
      <c r="A1949" s="27"/>
      <c r="B1949" s="28"/>
      <c r="C1949" s="27"/>
      <c r="D1949" s="26"/>
      <c r="E1949" s="28"/>
      <c r="H1949" s="28"/>
      <c r="K1949" s="28"/>
      <c r="N1949" s="28"/>
      <c r="Q1949" s="28"/>
      <c r="T1949" s="28"/>
      <c r="W1949" s="28"/>
      <c r="Z1949" s="28"/>
      <c r="AC1949" s="28"/>
      <c r="AF1949" s="28"/>
      <c r="AI1949" s="28"/>
      <c r="AL1949" s="28"/>
      <c r="AO1949" s="28"/>
      <c r="AR1949" s="28"/>
      <c r="AU1949" s="28"/>
      <c r="AX1949" s="28"/>
      <c r="BA1949" s="28"/>
      <c r="BD1949" s="28"/>
      <c r="BG1949" s="28"/>
      <c r="BJ1949" s="28"/>
      <c r="BM1949" s="28"/>
      <c r="BP1949" s="28"/>
      <c r="BS1949" s="28"/>
      <c r="BV1949" s="28"/>
      <c r="BY1949" s="28"/>
      <c r="CB1949" s="28"/>
      <c r="CE1949" s="28"/>
      <c r="CH1949" s="28"/>
      <c r="CK1949" s="28"/>
      <c r="CN1949" s="28"/>
      <c r="CQ1949" s="28"/>
      <c r="CT1949" s="28"/>
      <c r="CW1949" s="28"/>
      <c r="CZ1949" s="28"/>
      <c r="DC1949" s="28"/>
      <c r="DF1949" s="28"/>
      <c r="DI1949" s="28"/>
      <c r="DL1949" s="28"/>
      <c r="DO1949" s="28"/>
      <c r="DR1949" s="28"/>
      <c r="DU1949" s="28"/>
      <c r="DX1949" s="28"/>
      <c r="EA1949" s="28"/>
      <c r="ED1949" s="28"/>
      <c r="EG1949" s="28"/>
      <c r="EJ1949" s="28"/>
      <c r="EM1949" s="28"/>
      <c r="EP1949" s="28"/>
      <c r="ES1949" s="28"/>
      <c r="EV1949" s="28"/>
      <c r="EY1949" s="28"/>
      <c r="FB1949" s="28"/>
      <c r="FE1949" s="28"/>
      <c r="FH1949" s="28"/>
      <c r="FK1949" s="28"/>
      <c r="FN1949" s="28"/>
      <c r="FQ1949" s="28"/>
      <c r="FT1949" s="28"/>
      <c r="FW1949" s="28"/>
      <c r="FZ1949" s="28"/>
      <c r="GC1949" s="28"/>
    </row>
    <row r="1950" spans="1:185" s="25" customFormat="1" x14ac:dyDescent="0.3">
      <c r="A1950" s="27"/>
      <c r="B1950" s="28"/>
      <c r="C1950" s="27"/>
      <c r="D1950" s="26"/>
      <c r="E1950" s="28"/>
      <c r="H1950" s="28"/>
      <c r="K1950" s="28"/>
      <c r="N1950" s="28"/>
      <c r="Q1950" s="28"/>
      <c r="T1950" s="28"/>
      <c r="W1950" s="28"/>
      <c r="Z1950" s="28"/>
      <c r="AC1950" s="28"/>
      <c r="AF1950" s="28"/>
      <c r="AI1950" s="28"/>
      <c r="AL1950" s="28"/>
      <c r="AO1950" s="28"/>
      <c r="AR1950" s="28"/>
      <c r="AU1950" s="28"/>
      <c r="AX1950" s="28"/>
      <c r="BA1950" s="28"/>
      <c r="BD1950" s="28"/>
      <c r="BG1950" s="28"/>
      <c r="BJ1950" s="28"/>
      <c r="BM1950" s="28"/>
      <c r="BP1950" s="28"/>
      <c r="BS1950" s="28"/>
      <c r="BV1950" s="28"/>
      <c r="BY1950" s="28"/>
      <c r="CB1950" s="28"/>
      <c r="CE1950" s="28"/>
      <c r="CH1950" s="28"/>
      <c r="CK1950" s="28"/>
      <c r="CN1950" s="28"/>
      <c r="CQ1950" s="28"/>
      <c r="CT1950" s="28"/>
      <c r="CW1950" s="28"/>
      <c r="CZ1950" s="28"/>
      <c r="DC1950" s="28"/>
      <c r="DF1950" s="28"/>
      <c r="DI1950" s="28"/>
      <c r="DL1950" s="28"/>
      <c r="DO1950" s="28"/>
      <c r="DR1950" s="28"/>
      <c r="DU1950" s="28"/>
      <c r="DX1950" s="28"/>
      <c r="EA1950" s="28"/>
      <c r="ED1950" s="28"/>
      <c r="EG1950" s="28"/>
      <c r="EJ1950" s="28"/>
      <c r="EM1950" s="28"/>
      <c r="EP1950" s="28"/>
      <c r="ES1950" s="28"/>
      <c r="EV1950" s="28"/>
      <c r="EY1950" s="28"/>
      <c r="FB1950" s="28"/>
      <c r="FE1950" s="28"/>
      <c r="FH1950" s="28"/>
      <c r="FK1950" s="28"/>
      <c r="FN1950" s="28"/>
      <c r="FQ1950" s="28"/>
      <c r="FT1950" s="28"/>
      <c r="FW1950" s="28"/>
      <c r="FZ1950" s="28"/>
      <c r="GC1950" s="28"/>
    </row>
    <row r="1951" spans="1:185" s="25" customFormat="1" x14ac:dyDescent="0.3">
      <c r="A1951" s="27"/>
      <c r="B1951" s="28"/>
      <c r="C1951" s="27"/>
      <c r="D1951" s="26"/>
      <c r="E1951" s="28"/>
      <c r="H1951" s="28"/>
      <c r="K1951" s="28"/>
      <c r="N1951" s="28"/>
      <c r="Q1951" s="28"/>
      <c r="T1951" s="28"/>
      <c r="W1951" s="28"/>
      <c r="Z1951" s="28"/>
      <c r="AC1951" s="28"/>
      <c r="AF1951" s="28"/>
      <c r="AI1951" s="28"/>
      <c r="AL1951" s="28"/>
      <c r="AO1951" s="28"/>
      <c r="AR1951" s="28"/>
      <c r="AU1951" s="28"/>
      <c r="AX1951" s="28"/>
      <c r="BA1951" s="28"/>
      <c r="BD1951" s="28"/>
      <c r="BG1951" s="28"/>
      <c r="BJ1951" s="28"/>
      <c r="BM1951" s="28"/>
      <c r="BP1951" s="28"/>
      <c r="BS1951" s="28"/>
      <c r="BV1951" s="28"/>
      <c r="BY1951" s="28"/>
      <c r="CB1951" s="28"/>
      <c r="CE1951" s="28"/>
      <c r="CH1951" s="28"/>
      <c r="CK1951" s="28"/>
      <c r="CN1951" s="28"/>
      <c r="CQ1951" s="28"/>
      <c r="CT1951" s="28"/>
      <c r="CW1951" s="28"/>
      <c r="CZ1951" s="28"/>
      <c r="DC1951" s="28"/>
      <c r="DF1951" s="28"/>
      <c r="DI1951" s="28"/>
      <c r="DL1951" s="28"/>
      <c r="DO1951" s="28"/>
      <c r="DR1951" s="28"/>
      <c r="DU1951" s="28"/>
      <c r="DX1951" s="28"/>
      <c r="EA1951" s="28"/>
      <c r="ED1951" s="28"/>
      <c r="EG1951" s="28"/>
      <c r="EJ1951" s="28"/>
      <c r="EM1951" s="28"/>
      <c r="EP1951" s="28"/>
      <c r="ES1951" s="28"/>
      <c r="EV1951" s="28"/>
      <c r="EY1951" s="28"/>
      <c r="FB1951" s="28"/>
      <c r="FE1951" s="28"/>
      <c r="FH1951" s="28"/>
      <c r="FK1951" s="28"/>
      <c r="FN1951" s="28"/>
      <c r="FQ1951" s="28"/>
      <c r="FT1951" s="28"/>
      <c r="FW1951" s="28"/>
      <c r="FZ1951" s="28"/>
      <c r="GC1951" s="28"/>
    </row>
    <row r="1952" spans="1:185" s="25" customFormat="1" x14ac:dyDescent="0.3">
      <c r="A1952" s="27"/>
      <c r="B1952" s="28"/>
      <c r="C1952" s="27"/>
      <c r="D1952" s="26"/>
      <c r="E1952" s="28"/>
      <c r="H1952" s="28"/>
      <c r="K1952" s="28"/>
      <c r="N1952" s="28"/>
      <c r="Q1952" s="28"/>
      <c r="T1952" s="28"/>
      <c r="W1952" s="28"/>
      <c r="Z1952" s="28"/>
      <c r="AC1952" s="28"/>
      <c r="AF1952" s="28"/>
      <c r="AI1952" s="28"/>
      <c r="AL1952" s="28"/>
      <c r="AO1952" s="28"/>
      <c r="AR1952" s="28"/>
      <c r="AU1952" s="28"/>
      <c r="AX1952" s="28"/>
      <c r="BA1952" s="28"/>
      <c r="BD1952" s="28"/>
      <c r="BG1952" s="28"/>
      <c r="BJ1952" s="28"/>
      <c r="BM1952" s="28"/>
      <c r="BP1952" s="28"/>
      <c r="BS1952" s="28"/>
      <c r="BV1952" s="28"/>
      <c r="BY1952" s="28"/>
      <c r="CB1952" s="28"/>
      <c r="CE1952" s="28"/>
      <c r="CH1952" s="28"/>
      <c r="CK1952" s="28"/>
      <c r="CN1952" s="28"/>
      <c r="CQ1952" s="28"/>
      <c r="CT1952" s="28"/>
      <c r="CW1952" s="28"/>
      <c r="CZ1952" s="28"/>
      <c r="DC1952" s="28"/>
      <c r="DF1952" s="28"/>
      <c r="DI1952" s="28"/>
      <c r="DL1952" s="28"/>
      <c r="DO1952" s="28"/>
      <c r="DR1952" s="28"/>
      <c r="DU1952" s="28"/>
      <c r="DX1952" s="28"/>
      <c r="EA1952" s="28"/>
      <c r="ED1952" s="28"/>
      <c r="EG1952" s="28"/>
      <c r="EJ1952" s="28"/>
      <c r="EM1952" s="28"/>
      <c r="EP1952" s="28"/>
      <c r="ES1952" s="28"/>
      <c r="EV1952" s="28"/>
      <c r="EY1952" s="28"/>
      <c r="FB1952" s="28"/>
      <c r="FE1952" s="28"/>
      <c r="FH1952" s="28"/>
      <c r="FK1952" s="28"/>
      <c r="FN1952" s="28"/>
      <c r="FQ1952" s="28"/>
      <c r="FT1952" s="28"/>
      <c r="FW1952" s="28"/>
      <c r="FZ1952" s="28"/>
      <c r="GC1952" s="28"/>
    </row>
    <row r="1953" spans="1:185" s="25" customFormat="1" x14ac:dyDescent="0.3">
      <c r="A1953" s="27"/>
      <c r="B1953" s="28"/>
      <c r="C1953" s="27"/>
      <c r="D1953" s="26"/>
      <c r="E1953" s="28"/>
      <c r="H1953" s="28"/>
      <c r="K1953" s="28"/>
      <c r="N1953" s="28"/>
      <c r="Q1953" s="28"/>
      <c r="T1953" s="28"/>
      <c r="W1953" s="28"/>
      <c r="Z1953" s="28"/>
      <c r="AC1953" s="28"/>
      <c r="AF1953" s="28"/>
      <c r="AI1953" s="28"/>
      <c r="AL1953" s="28"/>
      <c r="AO1953" s="28"/>
      <c r="AR1953" s="28"/>
      <c r="AU1953" s="28"/>
      <c r="AX1953" s="28"/>
      <c r="BA1953" s="28"/>
      <c r="BD1953" s="28"/>
      <c r="BG1953" s="28"/>
      <c r="BJ1953" s="28"/>
      <c r="BM1953" s="28"/>
      <c r="BP1953" s="28"/>
      <c r="BS1953" s="28"/>
      <c r="BV1953" s="28"/>
      <c r="BY1953" s="28"/>
      <c r="CB1953" s="28"/>
      <c r="CE1953" s="28"/>
      <c r="CH1953" s="28"/>
      <c r="CK1953" s="28"/>
      <c r="CN1953" s="28"/>
      <c r="CQ1953" s="28"/>
      <c r="CT1953" s="28"/>
      <c r="CW1953" s="28"/>
      <c r="CZ1953" s="28"/>
      <c r="DC1953" s="28"/>
      <c r="DF1953" s="28"/>
      <c r="DI1953" s="28"/>
      <c r="DL1953" s="28"/>
      <c r="DO1953" s="28"/>
      <c r="DR1953" s="28"/>
      <c r="DU1953" s="28"/>
      <c r="DX1953" s="28"/>
      <c r="EA1953" s="28"/>
      <c r="ED1953" s="28"/>
      <c r="EG1953" s="28"/>
      <c r="EJ1953" s="28"/>
      <c r="EM1953" s="28"/>
      <c r="EP1953" s="28"/>
      <c r="ES1953" s="28"/>
      <c r="EV1953" s="28"/>
      <c r="EY1953" s="28"/>
      <c r="FB1953" s="28"/>
      <c r="FE1953" s="28"/>
      <c r="FH1953" s="28"/>
      <c r="FK1953" s="28"/>
      <c r="FN1953" s="28"/>
      <c r="FQ1953" s="28"/>
      <c r="FT1953" s="28"/>
      <c r="FW1953" s="28"/>
      <c r="FZ1953" s="28"/>
      <c r="GC1953" s="28"/>
    </row>
    <row r="1954" spans="1:185" s="25" customFormat="1" x14ac:dyDescent="0.3">
      <c r="A1954" s="27"/>
      <c r="B1954" s="28"/>
      <c r="C1954" s="27"/>
      <c r="D1954" s="26"/>
      <c r="E1954" s="28"/>
      <c r="H1954" s="28"/>
      <c r="K1954" s="28"/>
      <c r="N1954" s="28"/>
      <c r="Q1954" s="28"/>
      <c r="T1954" s="28"/>
      <c r="W1954" s="28"/>
      <c r="Z1954" s="28"/>
      <c r="AC1954" s="28"/>
      <c r="AF1954" s="28"/>
      <c r="AI1954" s="28"/>
      <c r="AL1954" s="28"/>
      <c r="AO1954" s="28"/>
      <c r="AR1954" s="28"/>
      <c r="AU1954" s="28"/>
      <c r="AX1954" s="28"/>
      <c r="BA1954" s="28"/>
      <c r="BD1954" s="28"/>
      <c r="BG1954" s="28"/>
      <c r="BJ1954" s="28"/>
      <c r="BM1954" s="28"/>
      <c r="BP1954" s="28"/>
      <c r="BS1954" s="28"/>
      <c r="BV1954" s="28"/>
      <c r="BY1954" s="28"/>
      <c r="CB1954" s="28"/>
      <c r="CE1954" s="28"/>
      <c r="CH1954" s="28"/>
      <c r="CK1954" s="28"/>
      <c r="CN1954" s="28"/>
      <c r="CQ1954" s="28"/>
      <c r="CT1954" s="28"/>
      <c r="CW1954" s="28"/>
      <c r="CZ1954" s="28"/>
      <c r="DC1954" s="28"/>
      <c r="DF1954" s="28"/>
      <c r="DI1954" s="28"/>
      <c r="DL1954" s="28"/>
      <c r="DO1954" s="28"/>
      <c r="DR1954" s="28"/>
      <c r="DU1954" s="28"/>
      <c r="DX1954" s="28"/>
      <c r="EA1954" s="28"/>
      <c r="ED1954" s="28"/>
      <c r="EG1954" s="28"/>
      <c r="EJ1954" s="28"/>
      <c r="EM1954" s="28"/>
      <c r="EP1954" s="28"/>
      <c r="ES1954" s="28"/>
      <c r="EV1954" s="28"/>
      <c r="EY1954" s="28"/>
      <c r="FB1954" s="28"/>
      <c r="FE1954" s="28"/>
      <c r="FH1954" s="28"/>
      <c r="FK1954" s="28"/>
      <c r="FN1954" s="28"/>
      <c r="FQ1954" s="28"/>
      <c r="FT1954" s="28"/>
      <c r="FW1954" s="28"/>
      <c r="FZ1954" s="28"/>
      <c r="GC1954" s="28"/>
    </row>
    <row r="1955" spans="1:185" s="25" customFormat="1" x14ac:dyDescent="0.3">
      <c r="A1955" s="27"/>
      <c r="B1955" s="28"/>
      <c r="C1955" s="27"/>
      <c r="D1955" s="26"/>
      <c r="E1955" s="28"/>
      <c r="H1955" s="28"/>
      <c r="K1955" s="28"/>
      <c r="N1955" s="28"/>
      <c r="Q1955" s="28"/>
      <c r="T1955" s="28"/>
      <c r="W1955" s="28"/>
      <c r="Z1955" s="28"/>
      <c r="AC1955" s="28"/>
      <c r="AF1955" s="28"/>
      <c r="AI1955" s="28"/>
      <c r="AL1955" s="28"/>
      <c r="AO1955" s="28"/>
      <c r="AR1955" s="28"/>
      <c r="AU1955" s="28"/>
      <c r="AX1955" s="28"/>
      <c r="BA1955" s="28"/>
      <c r="BD1955" s="28"/>
      <c r="BG1955" s="28"/>
      <c r="BJ1955" s="28"/>
      <c r="BM1955" s="28"/>
      <c r="BP1955" s="28"/>
      <c r="BS1955" s="28"/>
      <c r="BV1955" s="28"/>
      <c r="BY1955" s="28"/>
      <c r="CB1955" s="28"/>
      <c r="CE1955" s="28"/>
      <c r="CH1955" s="28"/>
      <c r="CK1955" s="28"/>
      <c r="CN1955" s="28"/>
      <c r="CQ1955" s="28"/>
      <c r="CT1955" s="28"/>
      <c r="CW1955" s="28"/>
      <c r="CZ1955" s="28"/>
      <c r="DC1955" s="28"/>
      <c r="DF1955" s="28"/>
      <c r="DI1955" s="28"/>
      <c r="DL1955" s="28"/>
      <c r="DO1955" s="28"/>
      <c r="DR1955" s="28"/>
      <c r="DU1955" s="28"/>
      <c r="DX1955" s="28"/>
      <c r="EA1955" s="28"/>
      <c r="ED1955" s="28"/>
      <c r="EG1955" s="28"/>
      <c r="EJ1955" s="28"/>
      <c r="EM1955" s="28"/>
      <c r="EP1955" s="28"/>
      <c r="ES1955" s="28"/>
      <c r="EV1955" s="28"/>
      <c r="EY1955" s="28"/>
      <c r="FB1955" s="28"/>
      <c r="FE1955" s="28"/>
      <c r="FH1955" s="28"/>
      <c r="FK1955" s="28"/>
      <c r="FN1955" s="28"/>
      <c r="FQ1955" s="28"/>
      <c r="FT1955" s="28"/>
      <c r="FW1955" s="28"/>
      <c r="FZ1955" s="28"/>
      <c r="GC1955" s="28"/>
    </row>
    <row r="1956" spans="1:185" s="25" customFormat="1" x14ac:dyDescent="0.3">
      <c r="A1956" s="27"/>
      <c r="B1956" s="28"/>
      <c r="C1956" s="27"/>
      <c r="D1956" s="26"/>
      <c r="E1956" s="28"/>
      <c r="H1956" s="28"/>
      <c r="K1956" s="28"/>
      <c r="N1956" s="28"/>
      <c r="Q1956" s="28"/>
      <c r="T1956" s="28"/>
      <c r="W1956" s="28"/>
      <c r="Z1956" s="28"/>
      <c r="AC1956" s="28"/>
      <c r="AF1956" s="28"/>
      <c r="AI1956" s="28"/>
      <c r="AL1956" s="28"/>
      <c r="AO1956" s="28"/>
      <c r="AR1956" s="28"/>
      <c r="AU1956" s="28"/>
      <c r="AX1956" s="28"/>
      <c r="BA1956" s="28"/>
      <c r="BD1956" s="28"/>
      <c r="BG1956" s="28"/>
      <c r="BJ1956" s="28"/>
      <c r="BM1956" s="28"/>
      <c r="BP1956" s="28"/>
      <c r="BS1956" s="28"/>
      <c r="BV1956" s="28"/>
      <c r="BY1956" s="28"/>
      <c r="CB1956" s="28"/>
      <c r="CE1956" s="28"/>
      <c r="CH1956" s="28"/>
      <c r="CK1956" s="28"/>
      <c r="CN1956" s="28"/>
      <c r="CQ1956" s="28"/>
      <c r="CT1956" s="28"/>
      <c r="CW1956" s="28"/>
      <c r="CZ1956" s="28"/>
      <c r="DC1956" s="28"/>
      <c r="DF1956" s="28"/>
      <c r="DI1956" s="28"/>
      <c r="DL1956" s="28"/>
      <c r="DO1956" s="28"/>
      <c r="DR1956" s="28"/>
      <c r="DU1956" s="28"/>
      <c r="DX1956" s="28"/>
      <c r="EA1956" s="28"/>
      <c r="ED1956" s="28"/>
      <c r="EG1956" s="28"/>
      <c r="EJ1956" s="28"/>
      <c r="EM1956" s="28"/>
      <c r="EP1956" s="28"/>
      <c r="ES1956" s="28"/>
      <c r="EV1956" s="28"/>
      <c r="EY1956" s="28"/>
      <c r="FB1956" s="28"/>
      <c r="FE1956" s="28"/>
      <c r="FH1956" s="28"/>
      <c r="FK1956" s="28"/>
      <c r="FN1956" s="28"/>
      <c r="FQ1956" s="28"/>
      <c r="FT1956" s="28"/>
      <c r="FW1956" s="28"/>
      <c r="FZ1956" s="28"/>
      <c r="GC1956" s="28"/>
    </row>
    <row r="1957" spans="1:185" s="25" customFormat="1" x14ac:dyDescent="0.3">
      <c r="A1957" s="27"/>
      <c r="B1957" s="28"/>
      <c r="C1957" s="27"/>
      <c r="D1957" s="26"/>
      <c r="E1957" s="28"/>
      <c r="H1957" s="28"/>
      <c r="K1957" s="28"/>
      <c r="N1957" s="28"/>
      <c r="Q1957" s="28"/>
      <c r="T1957" s="28"/>
      <c r="W1957" s="28"/>
      <c r="Z1957" s="28"/>
      <c r="AC1957" s="28"/>
      <c r="AF1957" s="28"/>
      <c r="AI1957" s="28"/>
      <c r="AL1957" s="28"/>
      <c r="AO1957" s="28"/>
      <c r="AR1957" s="28"/>
      <c r="AU1957" s="28"/>
      <c r="AX1957" s="28"/>
      <c r="BA1957" s="28"/>
      <c r="BD1957" s="28"/>
      <c r="BG1957" s="28"/>
      <c r="BJ1957" s="28"/>
      <c r="BM1957" s="28"/>
      <c r="BP1957" s="28"/>
      <c r="BS1957" s="28"/>
      <c r="BV1957" s="28"/>
      <c r="BY1957" s="28"/>
      <c r="CB1957" s="28"/>
      <c r="CE1957" s="28"/>
      <c r="CH1957" s="28"/>
      <c r="CK1957" s="28"/>
      <c r="CN1957" s="28"/>
      <c r="CQ1957" s="28"/>
      <c r="CT1957" s="28"/>
      <c r="CW1957" s="28"/>
      <c r="CZ1957" s="28"/>
      <c r="DC1957" s="28"/>
      <c r="DF1957" s="28"/>
      <c r="DI1957" s="28"/>
      <c r="DL1957" s="28"/>
      <c r="DO1957" s="28"/>
      <c r="DR1957" s="28"/>
      <c r="DU1957" s="28"/>
      <c r="DX1957" s="28"/>
      <c r="EA1957" s="28"/>
      <c r="ED1957" s="28"/>
      <c r="EG1957" s="28"/>
      <c r="EJ1957" s="28"/>
      <c r="EM1957" s="28"/>
      <c r="EP1957" s="28"/>
      <c r="ES1957" s="28"/>
      <c r="EV1957" s="28"/>
      <c r="EY1957" s="28"/>
      <c r="FB1957" s="28"/>
      <c r="FE1957" s="28"/>
      <c r="FH1957" s="28"/>
      <c r="FK1957" s="28"/>
      <c r="FN1957" s="28"/>
      <c r="FQ1957" s="28"/>
      <c r="FT1957" s="28"/>
      <c r="FW1957" s="28"/>
      <c r="FZ1957" s="28"/>
      <c r="GC1957" s="28"/>
    </row>
    <row r="1958" spans="1:185" s="25" customFormat="1" x14ac:dyDescent="0.3">
      <c r="A1958" s="27"/>
      <c r="B1958" s="28"/>
      <c r="C1958" s="27"/>
      <c r="D1958" s="26"/>
      <c r="E1958" s="28"/>
      <c r="H1958" s="28"/>
      <c r="K1958" s="28"/>
      <c r="N1958" s="28"/>
      <c r="Q1958" s="28"/>
      <c r="T1958" s="28"/>
      <c r="W1958" s="28"/>
      <c r="Z1958" s="28"/>
      <c r="AC1958" s="28"/>
      <c r="AF1958" s="28"/>
      <c r="AI1958" s="28"/>
      <c r="AL1958" s="28"/>
      <c r="AO1958" s="28"/>
      <c r="AR1958" s="28"/>
      <c r="AU1958" s="28"/>
      <c r="AX1958" s="28"/>
      <c r="BA1958" s="28"/>
      <c r="BD1958" s="28"/>
      <c r="BG1958" s="28"/>
      <c r="BJ1958" s="28"/>
      <c r="BM1958" s="28"/>
      <c r="BP1958" s="28"/>
      <c r="BS1958" s="28"/>
      <c r="BV1958" s="28"/>
      <c r="BY1958" s="28"/>
      <c r="CB1958" s="28"/>
      <c r="CE1958" s="28"/>
      <c r="CH1958" s="28"/>
      <c r="CK1958" s="28"/>
      <c r="CN1958" s="28"/>
      <c r="CQ1958" s="28"/>
      <c r="CT1958" s="28"/>
      <c r="CW1958" s="28"/>
      <c r="CZ1958" s="28"/>
      <c r="DC1958" s="28"/>
      <c r="DF1958" s="28"/>
      <c r="DI1958" s="28"/>
      <c r="DL1958" s="28"/>
      <c r="DO1958" s="28"/>
      <c r="DR1958" s="28"/>
      <c r="DU1958" s="28"/>
      <c r="DX1958" s="28"/>
      <c r="EA1958" s="28"/>
      <c r="ED1958" s="28"/>
      <c r="EG1958" s="28"/>
      <c r="EJ1958" s="28"/>
      <c r="EM1958" s="28"/>
      <c r="EP1958" s="28"/>
      <c r="ES1958" s="28"/>
      <c r="EV1958" s="28"/>
      <c r="EY1958" s="28"/>
      <c r="FB1958" s="28"/>
      <c r="FE1958" s="28"/>
      <c r="FH1958" s="28"/>
      <c r="FK1958" s="28"/>
      <c r="FN1958" s="28"/>
      <c r="FQ1958" s="28"/>
      <c r="FT1958" s="28"/>
      <c r="FW1958" s="28"/>
      <c r="FZ1958" s="28"/>
      <c r="GC1958" s="28"/>
    </row>
    <row r="1959" spans="1:185" s="25" customFormat="1" x14ac:dyDescent="0.3">
      <c r="A1959" s="27"/>
      <c r="B1959" s="28"/>
      <c r="C1959" s="27"/>
      <c r="D1959" s="26"/>
      <c r="E1959" s="28"/>
      <c r="H1959" s="28"/>
      <c r="K1959" s="28"/>
      <c r="N1959" s="28"/>
      <c r="Q1959" s="28"/>
      <c r="T1959" s="28"/>
      <c r="W1959" s="28"/>
      <c r="Z1959" s="28"/>
      <c r="AC1959" s="28"/>
      <c r="AF1959" s="28"/>
      <c r="AI1959" s="28"/>
      <c r="AL1959" s="28"/>
      <c r="AO1959" s="28"/>
      <c r="AR1959" s="28"/>
      <c r="AU1959" s="28"/>
      <c r="AX1959" s="28"/>
      <c r="BA1959" s="28"/>
      <c r="BD1959" s="28"/>
      <c r="BG1959" s="28"/>
      <c r="BJ1959" s="28"/>
      <c r="BM1959" s="28"/>
      <c r="BP1959" s="28"/>
      <c r="BS1959" s="28"/>
      <c r="BV1959" s="28"/>
      <c r="BY1959" s="28"/>
      <c r="CB1959" s="28"/>
      <c r="CE1959" s="28"/>
      <c r="CH1959" s="28"/>
      <c r="CK1959" s="28"/>
      <c r="CN1959" s="28"/>
      <c r="CQ1959" s="28"/>
      <c r="CT1959" s="28"/>
      <c r="CW1959" s="28"/>
      <c r="CZ1959" s="28"/>
      <c r="DC1959" s="28"/>
      <c r="DF1959" s="28"/>
      <c r="DI1959" s="28"/>
      <c r="DL1959" s="28"/>
      <c r="DO1959" s="28"/>
      <c r="DR1959" s="28"/>
      <c r="DU1959" s="28"/>
      <c r="DX1959" s="28"/>
      <c r="EA1959" s="28"/>
      <c r="ED1959" s="28"/>
      <c r="EG1959" s="28"/>
      <c r="EJ1959" s="28"/>
      <c r="EM1959" s="28"/>
      <c r="EP1959" s="28"/>
      <c r="ES1959" s="28"/>
      <c r="EV1959" s="28"/>
      <c r="EY1959" s="28"/>
      <c r="FB1959" s="28"/>
      <c r="FE1959" s="28"/>
      <c r="FH1959" s="28"/>
      <c r="FK1959" s="28"/>
      <c r="FN1959" s="28"/>
      <c r="FQ1959" s="28"/>
      <c r="FT1959" s="28"/>
      <c r="FW1959" s="28"/>
      <c r="FZ1959" s="28"/>
      <c r="GC1959" s="28"/>
    </row>
    <row r="1960" spans="1:185" s="25" customFormat="1" x14ac:dyDescent="0.3">
      <c r="A1960" s="27"/>
      <c r="B1960" s="28"/>
      <c r="C1960" s="27"/>
      <c r="D1960" s="26"/>
      <c r="E1960" s="28"/>
      <c r="H1960" s="28"/>
      <c r="K1960" s="28"/>
      <c r="N1960" s="28"/>
      <c r="Q1960" s="28"/>
      <c r="T1960" s="28"/>
      <c r="W1960" s="28"/>
      <c r="Z1960" s="28"/>
      <c r="AC1960" s="28"/>
      <c r="AF1960" s="28"/>
      <c r="AI1960" s="28"/>
      <c r="AL1960" s="28"/>
      <c r="AO1960" s="28"/>
      <c r="AR1960" s="28"/>
      <c r="AU1960" s="28"/>
      <c r="AX1960" s="28"/>
      <c r="BA1960" s="28"/>
      <c r="BD1960" s="28"/>
      <c r="BG1960" s="28"/>
      <c r="BJ1960" s="28"/>
      <c r="BM1960" s="28"/>
      <c r="BP1960" s="28"/>
      <c r="BS1960" s="28"/>
      <c r="BV1960" s="28"/>
      <c r="BY1960" s="28"/>
      <c r="CB1960" s="28"/>
      <c r="CE1960" s="28"/>
      <c r="CH1960" s="28"/>
      <c r="CK1960" s="28"/>
      <c r="CN1960" s="28"/>
      <c r="CQ1960" s="28"/>
      <c r="CT1960" s="28"/>
      <c r="CW1960" s="28"/>
      <c r="CZ1960" s="28"/>
      <c r="DC1960" s="28"/>
      <c r="DF1960" s="28"/>
      <c r="DI1960" s="28"/>
      <c r="DL1960" s="28"/>
      <c r="DO1960" s="28"/>
      <c r="DR1960" s="28"/>
      <c r="DU1960" s="28"/>
      <c r="DX1960" s="28"/>
      <c r="EA1960" s="28"/>
      <c r="ED1960" s="28"/>
      <c r="EG1960" s="28"/>
      <c r="EJ1960" s="28"/>
      <c r="EM1960" s="28"/>
      <c r="EP1960" s="28"/>
      <c r="ES1960" s="28"/>
      <c r="EV1960" s="28"/>
      <c r="EY1960" s="28"/>
      <c r="FB1960" s="28"/>
      <c r="FE1960" s="28"/>
      <c r="FH1960" s="28"/>
      <c r="FK1960" s="28"/>
      <c r="FN1960" s="28"/>
      <c r="FQ1960" s="28"/>
      <c r="FT1960" s="28"/>
      <c r="FW1960" s="28"/>
      <c r="FZ1960" s="28"/>
      <c r="GC1960" s="28"/>
    </row>
    <row r="1961" spans="1:185" s="25" customFormat="1" x14ac:dyDescent="0.3">
      <c r="A1961" s="27"/>
      <c r="B1961" s="28"/>
      <c r="C1961" s="27"/>
      <c r="D1961" s="26"/>
      <c r="E1961" s="28"/>
      <c r="H1961" s="28"/>
      <c r="K1961" s="28"/>
      <c r="N1961" s="28"/>
      <c r="Q1961" s="28"/>
      <c r="T1961" s="28"/>
      <c r="W1961" s="28"/>
      <c r="Z1961" s="28"/>
      <c r="AC1961" s="28"/>
      <c r="AF1961" s="28"/>
      <c r="AI1961" s="28"/>
      <c r="AL1961" s="28"/>
      <c r="AO1961" s="28"/>
      <c r="AR1961" s="28"/>
      <c r="AU1961" s="28"/>
      <c r="AX1961" s="28"/>
      <c r="BA1961" s="28"/>
      <c r="BD1961" s="28"/>
      <c r="BG1961" s="28"/>
      <c r="BJ1961" s="28"/>
      <c r="BM1961" s="28"/>
      <c r="BP1961" s="28"/>
      <c r="BS1961" s="28"/>
      <c r="BV1961" s="28"/>
      <c r="BY1961" s="28"/>
      <c r="CB1961" s="28"/>
      <c r="CE1961" s="28"/>
      <c r="CH1961" s="28"/>
      <c r="CK1961" s="28"/>
      <c r="CN1961" s="28"/>
      <c r="CQ1961" s="28"/>
      <c r="CT1961" s="28"/>
      <c r="CW1961" s="28"/>
      <c r="CZ1961" s="28"/>
      <c r="DC1961" s="28"/>
      <c r="DF1961" s="28"/>
      <c r="DI1961" s="28"/>
      <c r="DL1961" s="28"/>
      <c r="DO1961" s="28"/>
      <c r="DR1961" s="28"/>
      <c r="DU1961" s="28"/>
      <c r="DX1961" s="28"/>
      <c r="EA1961" s="28"/>
      <c r="ED1961" s="28"/>
      <c r="EG1961" s="28"/>
      <c r="EJ1961" s="28"/>
      <c r="EM1961" s="28"/>
      <c r="EP1961" s="28"/>
      <c r="ES1961" s="28"/>
      <c r="EV1961" s="28"/>
      <c r="EY1961" s="28"/>
      <c r="FB1961" s="28"/>
      <c r="FE1961" s="28"/>
      <c r="FH1961" s="28"/>
      <c r="FK1961" s="28"/>
      <c r="FN1961" s="28"/>
      <c r="FQ1961" s="28"/>
      <c r="FT1961" s="28"/>
      <c r="FW1961" s="28"/>
      <c r="FZ1961" s="28"/>
      <c r="GC1961" s="28"/>
    </row>
    <row r="1962" spans="1:185" s="25" customFormat="1" x14ac:dyDescent="0.3">
      <c r="A1962" s="27"/>
      <c r="B1962" s="28"/>
      <c r="C1962" s="27"/>
      <c r="D1962" s="26"/>
      <c r="E1962" s="28"/>
      <c r="H1962" s="28"/>
      <c r="K1962" s="28"/>
      <c r="N1962" s="28"/>
      <c r="Q1962" s="28"/>
      <c r="T1962" s="28"/>
      <c r="W1962" s="28"/>
      <c r="Z1962" s="28"/>
      <c r="AC1962" s="28"/>
      <c r="AF1962" s="28"/>
      <c r="AI1962" s="28"/>
      <c r="AL1962" s="28"/>
      <c r="AO1962" s="28"/>
      <c r="AR1962" s="28"/>
      <c r="AU1962" s="28"/>
      <c r="AX1962" s="28"/>
      <c r="BA1962" s="28"/>
      <c r="BD1962" s="28"/>
      <c r="BG1962" s="28"/>
      <c r="BJ1962" s="28"/>
      <c r="BM1962" s="28"/>
      <c r="BP1962" s="28"/>
      <c r="BS1962" s="28"/>
      <c r="BV1962" s="28"/>
      <c r="BY1962" s="28"/>
      <c r="CB1962" s="28"/>
      <c r="CE1962" s="28"/>
      <c r="CH1962" s="28"/>
      <c r="CK1962" s="28"/>
      <c r="CN1962" s="28"/>
      <c r="CQ1962" s="28"/>
      <c r="CT1962" s="28"/>
      <c r="CW1962" s="28"/>
      <c r="CZ1962" s="28"/>
      <c r="DC1962" s="28"/>
      <c r="DF1962" s="28"/>
      <c r="DI1962" s="28"/>
      <c r="DL1962" s="28"/>
      <c r="DO1962" s="28"/>
      <c r="DR1962" s="28"/>
      <c r="DU1962" s="28"/>
      <c r="DX1962" s="28"/>
      <c r="EA1962" s="28"/>
      <c r="ED1962" s="28"/>
      <c r="EG1962" s="28"/>
      <c r="EJ1962" s="28"/>
      <c r="EM1962" s="28"/>
      <c r="EP1962" s="28"/>
      <c r="ES1962" s="28"/>
      <c r="EV1962" s="28"/>
      <c r="EY1962" s="28"/>
      <c r="FB1962" s="28"/>
      <c r="FE1962" s="28"/>
      <c r="FH1962" s="28"/>
      <c r="FK1962" s="28"/>
      <c r="FN1962" s="28"/>
      <c r="FQ1962" s="28"/>
      <c r="FT1962" s="28"/>
      <c r="FW1962" s="28"/>
      <c r="FZ1962" s="28"/>
      <c r="GC1962" s="28"/>
    </row>
    <row r="1963" spans="1:185" s="25" customFormat="1" x14ac:dyDescent="0.3">
      <c r="A1963" s="27"/>
      <c r="B1963" s="28"/>
      <c r="C1963" s="27"/>
      <c r="D1963" s="26"/>
      <c r="E1963" s="28"/>
      <c r="H1963" s="28"/>
      <c r="K1963" s="28"/>
      <c r="N1963" s="28"/>
      <c r="Q1963" s="28"/>
      <c r="T1963" s="28"/>
      <c r="W1963" s="28"/>
      <c r="Z1963" s="28"/>
      <c r="AC1963" s="28"/>
      <c r="AF1963" s="28"/>
      <c r="AI1963" s="28"/>
      <c r="AL1963" s="28"/>
      <c r="AO1963" s="28"/>
      <c r="AR1963" s="28"/>
      <c r="AU1963" s="28"/>
      <c r="AX1963" s="28"/>
      <c r="BA1963" s="28"/>
      <c r="BD1963" s="28"/>
      <c r="BG1963" s="28"/>
      <c r="BJ1963" s="28"/>
      <c r="BM1963" s="28"/>
      <c r="BP1963" s="28"/>
      <c r="BS1963" s="28"/>
      <c r="BV1963" s="28"/>
      <c r="BY1963" s="28"/>
      <c r="CB1963" s="28"/>
      <c r="CE1963" s="28"/>
      <c r="CH1963" s="28"/>
      <c r="CK1963" s="28"/>
      <c r="CN1963" s="28"/>
      <c r="CQ1963" s="28"/>
      <c r="CT1963" s="28"/>
      <c r="CW1963" s="28"/>
      <c r="CZ1963" s="28"/>
      <c r="DC1963" s="28"/>
      <c r="DF1963" s="28"/>
      <c r="DI1963" s="28"/>
      <c r="DL1963" s="28"/>
      <c r="DO1963" s="28"/>
      <c r="DR1963" s="28"/>
      <c r="DU1963" s="28"/>
      <c r="DX1963" s="28"/>
      <c r="EA1963" s="28"/>
      <c r="ED1963" s="28"/>
      <c r="EG1963" s="28"/>
      <c r="EJ1963" s="28"/>
      <c r="EM1963" s="28"/>
      <c r="EP1963" s="28"/>
      <c r="ES1963" s="28"/>
      <c r="EV1963" s="28"/>
      <c r="EY1963" s="28"/>
      <c r="FB1963" s="28"/>
      <c r="FE1963" s="28"/>
      <c r="FH1963" s="28"/>
      <c r="FK1963" s="28"/>
      <c r="FN1963" s="28"/>
      <c r="FQ1963" s="28"/>
      <c r="FT1963" s="28"/>
      <c r="FW1963" s="28"/>
      <c r="FZ1963" s="28"/>
      <c r="GC1963" s="28"/>
    </row>
    <row r="1964" spans="1:185" s="25" customFormat="1" x14ac:dyDescent="0.3">
      <c r="A1964" s="27"/>
      <c r="B1964" s="28"/>
      <c r="C1964" s="27"/>
      <c r="D1964" s="26"/>
      <c r="E1964" s="28"/>
      <c r="H1964" s="28"/>
      <c r="K1964" s="28"/>
      <c r="N1964" s="28"/>
      <c r="Q1964" s="28"/>
      <c r="T1964" s="28"/>
      <c r="W1964" s="28"/>
      <c r="Z1964" s="28"/>
      <c r="AC1964" s="28"/>
      <c r="AF1964" s="28"/>
      <c r="AI1964" s="28"/>
      <c r="AL1964" s="28"/>
      <c r="AO1964" s="28"/>
      <c r="AR1964" s="28"/>
      <c r="AU1964" s="28"/>
      <c r="AX1964" s="28"/>
      <c r="BA1964" s="28"/>
      <c r="BD1964" s="28"/>
      <c r="BG1964" s="28"/>
      <c r="BJ1964" s="28"/>
      <c r="BM1964" s="28"/>
      <c r="BP1964" s="28"/>
      <c r="BS1964" s="28"/>
      <c r="BV1964" s="28"/>
      <c r="BY1964" s="28"/>
      <c r="CB1964" s="28"/>
      <c r="CE1964" s="28"/>
      <c r="CH1964" s="28"/>
      <c r="CK1964" s="28"/>
      <c r="CN1964" s="28"/>
      <c r="CQ1964" s="28"/>
      <c r="CT1964" s="28"/>
      <c r="CW1964" s="28"/>
      <c r="CZ1964" s="28"/>
      <c r="DC1964" s="28"/>
      <c r="DF1964" s="28"/>
      <c r="DI1964" s="28"/>
      <c r="DL1964" s="28"/>
      <c r="DO1964" s="28"/>
      <c r="DR1964" s="28"/>
      <c r="DU1964" s="28"/>
      <c r="DX1964" s="28"/>
      <c r="EA1964" s="28"/>
      <c r="ED1964" s="28"/>
      <c r="EG1964" s="28"/>
      <c r="EJ1964" s="28"/>
      <c r="EM1964" s="28"/>
      <c r="EP1964" s="28"/>
      <c r="ES1964" s="28"/>
      <c r="EV1964" s="28"/>
      <c r="EY1964" s="28"/>
      <c r="FB1964" s="28"/>
      <c r="FE1964" s="28"/>
      <c r="FH1964" s="28"/>
      <c r="FK1964" s="28"/>
      <c r="FN1964" s="28"/>
      <c r="FQ1964" s="28"/>
      <c r="FT1964" s="28"/>
      <c r="FW1964" s="28"/>
      <c r="FZ1964" s="28"/>
      <c r="GC1964" s="28"/>
    </row>
    <row r="1965" spans="1:185" s="25" customFormat="1" x14ac:dyDescent="0.3">
      <c r="A1965" s="27"/>
      <c r="B1965" s="28"/>
      <c r="C1965" s="27"/>
      <c r="D1965" s="26"/>
      <c r="E1965" s="28"/>
      <c r="H1965" s="28"/>
      <c r="K1965" s="28"/>
      <c r="N1965" s="28"/>
      <c r="Q1965" s="28"/>
      <c r="T1965" s="28"/>
      <c r="W1965" s="28"/>
      <c r="Z1965" s="28"/>
      <c r="AC1965" s="28"/>
      <c r="AF1965" s="28"/>
      <c r="AI1965" s="28"/>
      <c r="AL1965" s="28"/>
      <c r="AO1965" s="28"/>
      <c r="AR1965" s="28"/>
      <c r="AU1965" s="28"/>
      <c r="AX1965" s="28"/>
      <c r="BA1965" s="28"/>
      <c r="BD1965" s="28"/>
      <c r="BG1965" s="28"/>
      <c r="BJ1965" s="28"/>
      <c r="BM1965" s="28"/>
      <c r="BP1965" s="28"/>
      <c r="BS1965" s="28"/>
      <c r="BV1965" s="28"/>
      <c r="BY1965" s="28"/>
      <c r="CB1965" s="28"/>
      <c r="CE1965" s="28"/>
      <c r="CH1965" s="28"/>
      <c r="CK1965" s="28"/>
      <c r="CN1965" s="28"/>
      <c r="CQ1965" s="28"/>
      <c r="CT1965" s="28"/>
      <c r="CW1965" s="28"/>
      <c r="CZ1965" s="28"/>
      <c r="DC1965" s="28"/>
      <c r="DF1965" s="28"/>
      <c r="DI1965" s="28"/>
      <c r="DL1965" s="28"/>
      <c r="DO1965" s="28"/>
      <c r="DR1965" s="28"/>
      <c r="DU1965" s="28"/>
      <c r="DX1965" s="28"/>
      <c r="EA1965" s="28"/>
      <c r="ED1965" s="28"/>
      <c r="EG1965" s="28"/>
      <c r="EJ1965" s="28"/>
      <c r="EM1965" s="28"/>
      <c r="EP1965" s="28"/>
      <c r="ES1965" s="28"/>
      <c r="EV1965" s="28"/>
      <c r="EY1965" s="28"/>
      <c r="FB1965" s="28"/>
      <c r="FE1965" s="28"/>
      <c r="FH1965" s="28"/>
      <c r="FK1965" s="28"/>
      <c r="FN1965" s="28"/>
      <c r="FQ1965" s="28"/>
      <c r="FT1965" s="28"/>
      <c r="FW1965" s="28"/>
      <c r="FZ1965" s="28"/>
      <c r="GC1965" s="28"/>
    </row>
    <row r="1966" spans="1:185" s="25" customFormat="1" x14ac:dyDescent="0.3">
      <c r="A1966" s="27"/>
      <c r="B1966" s="28"/>
      <c r="C1966" s="27"/>
      <c r="D1966" s="26"/>
      <c r="E1966" s="28"/>
      <c r="H1966" s="28"/>
      <c r="K1966" s="28"/>
      <c r="N1966" s="28"/>
      <c r="Q1966" s="28"/>
      <c r="T1966" s="28"/>
      <c r="W1966" s="28"/>
      <c r="Z1966" s="28"/>
      <c r="AC1966" s="28"/>
      <c r="AF1966" s="28"/>
      <c r="AI1966" s="28"/>
      <c r="AL1966" s="28"/>
      <c r="AO1966" s="28"/>
      <c r="AR1966" s="28"/>
      <c r="AU1966" s="28"/>
      <c r="AX1966" s="28"/>
      <c r="BA1966" s="28"/>
      <c r="BD1966" s="28"/>
      <c r="BG1966" s="28"/>
      <c r="BJ1966" s="28"/>
      <c r="BM1966" s="28"/>
      <c r="BP1966" s="28"/>
      <c r="BS1966" s="28"/>
      <c r="BV1966" s="28"/>
      <c r="BY1966" s="28"/>
      <c r="CB1966" s="28"/>
      <c r="CE1966" s="28"/>
      <c r="CH1966" s="28"/>
      <c r="CK1966" s="28"/>
      <c r="CN1966" s="28"/>
      <c r="CQ1966" s="28"/>
      <c r="CT1966" s="28"/>
      <c r="CW1966" s="28"/>
      <c r="CZ1966" s="28"/>
      <c r="DC1966" s="28"/>
      <c r="DF1966" s="28"/>
      <c r="DI1966" s="28"/>
      <c r="DL1966" s="28"/>
      <c r="DO1966" s="28"/>
      <c r="DR1966" s="28"/>
      <c r="DU1966" s="28"/>
      <c r="DX1966" s="28"/>
      <c r="EA1966" s="28"/>
      <c r="ED1966" s="28"/>
      <c r="EG1966" s="28"/>
      <c r="EJ1966" s="28"/>
      <c r="EM1966" s="28"/>
      <c r="EP1966" s="28"/>
      <c r="ES1966" s="28"/>
      <c r="EV1966" s="28"/>
      <c r="EY1966" s="28"/>
      <c r="FB1966" s="28"/>
      <c r="FE1966" s="28"/>
      <c r="FH1966" s="28"/>
      <c r="FK1966" s="28"/>
      <c r="FN1966" s="28"/>
      <c r="FQ1966" s="28"/>
      <c r="FT1966" s="28"/>
      <c r="FW1966" s="28"/>
      <c r="FZ1966" s="28"/>
      <c r="GC1966" s="28"/>
    </row>
    <row r="1967" spans="1:185" s="25" customFormat="1" x14ac:dyDescent="0.3">
      <c r="A1967" s="27"/>
      <c r="B1967" s="28"/>
      <c r="C1967" s="27"/>
      <c r="D1967" s="26"/>
      <c r="E1967" s="28"/>
      <c r="H1967" s="28"/>
      <c r="K1967" s="28"/>
      <c r="N1967" s="28"/>
      <c r="Q1967" s="28"/>
      <c r="T1967" s="28"/>
      <c r="W1967" s="28"/>
      <c r="Z1967" s="28"/>
      <c r="AC1967" s="28"/>
      <c r="AF1967" s="28"/>
      <c r="AI1967" s="28"/>
      <c r="AL1967" s="28"/>
      <c r="AO1967" s="28"/>
      <c r="AR1967" s="28"/>
      <c r="AU1967" s="28"/>
      <c r="AX1967" s="28"/>
      <c r="BA1967" s="28"/>
      <c r="BD1967" s="28"/>
      <c r="BG1967" s="28"/>
      <c r="BJ1967" s="28"/>
      <c r="BM1967" s="28"/>
      <c r="BP1967" s="28"/>
      <c r="BS1967" s="28"/>
      <c r="BV1967" s="28"/>
      <c r="BY1967" s="28"/>
      <c r="CB1967" s="28"/>
      <c r="CE1967" s="28"/>
      <c r="CH1967" s="28"/>
      <c r="CK1967" s="28"/>
      <c r="CN1967" s="28"/>
      <c r="CQ1967" s="28"/>
      <c r="CT1967" s="28"/>
      <c r="CW1967" s="28"/>
      <c r="CZ1967" s="28"/>
      <c r="DC1967" s="28"/>
      <c r="DF1967" s="28"/>
      <c r="DI1967" s="28"/>
      <c r="DL1967" s="28"/>
      <c r="DO1967" s="28"/>
      <c r="DR1967" s="28"/>
      <c r="DU1967" s="28"/>
      <c r="DX1967" s="28"/>
      <c r="EA1967" s="28"/>
      <c r="ED1967" s="28"/>
      <c r="EG1967" s="28"/>
      <c r="EJ1967" s="28"/>
      <c r="EM1967" s="28"/>
      <c r="EP1967" s="28"/>
      <c r="ES1967" s="28"/>
      <c r="EV1967" s="28"/>
      <c r="EY1967" s="28"/>
      <c r="FB1967" s="28"/>
      <c r="FE1967" s="28"/>
      <c r="FH1967" s="28"/>
      <c r="FK1967" s="28"/>
      <c r="FN1967" s="28"/>
      <c r="FQ1967" s="28"/>
      <c r="FT1967" s="28"/>
      <c r="FW1967" s="28"/>
      <c r="FZ1967" s="28"/>
      <c r="GC1967" s="28"/>
    </row>
    <row r="1968" spans="1:185" s="25" customFormat="1" x14ac:dyDescent="0.3">
      <c r="A1968" s="27"/>
      <c r="B1968" s="28"/>
      <c r="C1968" s="27"/>
      <c r="D1968" s="26"/>
      <c r="E1968" s="28"/>
      <c r="H1968" s="28"/>
      <c r="K1968" s="28"/>
      <c r="N1968" s="28"/>
      <c r="Q1968" s="28"/>
      <c r="T1968" s="28"/>
      <c r="W1968" s="28"/>
      <c r="Z1968" s="28"/>
      <c r="AC1968" s="28"/>
      <c r="AF1968" s="28"/>
      <c r="AI1968" s="28"/>
      <c r="AL1968" s="28"/>
      <c r="AO1968" s="28"/>
      <c r="AR1968" s="28"/>
      <c r="AU1968" s="28"/>
      <c r="AX1968" s="28"/>
      <c r="BA1968" s="28"/>
      <c r="BD1968" s="28"/>
      <c r="BG1968" s="28"/>
      <c r="BJ1968" s="28"/>
      <c r="BM1968" s="28"/>
      <c r="BP1968" s="28"/>
      <c r="BS1968" s="28"/>
      <c r="BV1968" s="28"/>
      <c r="BY1968" s="28"/>
      <c r="CB1968" s="28"/>
      <c r="CE1968" s="28"/>
      <c r="CH1968" s="28"/>
      <c r="CK1968" s="28"/>
      <c r="CN1968" s="28"/>
      <c r="CQ1968" s="28"/>
      <c r="CT1968" s="28"/>
      <c r="CW1968" s="28"/>
      <c r="CZ1968" s="28"/>
      <c r="DC1968" s="28"/>
      <c r="DF1968" s="28"/>
      <c r="DI1968" s="28"/>
      <c r="DL1968" s="28"/>
      <c r="DO1968" s="28"/>
      <c r="DR1968" s="28"/>
      <c r="DU1968" s="28"/>
      <c r="DX1968" s="28"/>
      <c r="EA1968" s="28"/>
      <c r="ED1968" s="28"/>
      <c r="EG1968" s="28"/>
      <c r="EJ1968" s="28"/>
      <c r="EM1968" s="28"/>
      <c r="EP1968" s="28"/>
      <c r="ES1968" s="28"/>
      <c r="EV1968" s="28"/>
      <c r="EY1968" s="28"/>
      <c r="FB1968" s="28"/>
      <c r="FE1968" s="28"/>
      <c r="FH1968" s="28"/>
      <c r="FK1968" s="28"/>
      <c r="FN1968" s="28"/>
      <c r="FQ1968" s="28"/>
      <c r="FT1968" s="28"/>
      <c r="FW1968" s="28"/>
      <c r="FZ1968" s="28"/>
      <c r="GC1968" s="28"/>
    </row>
    <row r="1969" spans="1:185" s="25" customFormat="1" x14ac:dyDescent="0.3">
      <c r="A1969" s="27"/>
      <c r="B1969" s="28"/>
      <c r="C1969" s="27"/>
      <c r="D1969" s="26"/>
      <c r="E1969" s="28"/>
      <c r="H1969" s="28"/>
      <c r="K1969" s="28"/>
      <c r="N1969" s="28"/>
      <c r="Q1969" s="28"/>
      <c r="T1969" s="28"/>
      <c r="W1969" s="28"/>
      <c r="Z1969" s="28"/>
      <c r="AC1969" s="28"/>
      <c r="AF1969" s="28"/>
      <c r="AI1969" s="28"/>
      <c r="AL1969" s="28"/>
      <c r="AO1969" s="28"/>
      <c r="AR1969" s="28"/>
      <c r="AU1969" s="28"/>
      <c r="AX1969" s="28"/>
      <c r="BA1969" s="28"/>
      <c r="BD1969" s="28"/>
      <c r="BG1969" s="28"/>
      <c r="BJ1969" s="28"/>
      <c r="BM1969" s="28"/>
      <c r="BP1969" s="28"/>
      <c r="BS1969" s="28"/>
      <c r="BV1969" s="28"/>
      <c r="BY1969" s="28"/>
      <c r="CB1969" s="28"/>
      <c r="CE1969" s="28"/>
      <c r="CH1969" s="28"/>
      <c r="CK1969" s="28"/>
      <c r="CN1969" s="28"/>
      <c r="CQ1969" s="28"/>
      <c r="CT1969" s="28"/>
      <c r="CW1969" s="28"/>
      <c r="CZ1969" s="28"/>
      <c r="DC1969" s="28"/>
      <c r="DF1969" s="28"/>
      <c r="DI1969" s="28"/>
      <c r="DL1969" s="28"/>
      <c r="DO1969" s="28"/>
      <c r="DR1969" s="28"/>
      <c r="DU1969" s="28"/>
      <c r="DX1969" s="28"/>
      <c r="EA1969" s="28"/>
      <c r="ED1969" s="28"/>
      <c r="EG1969" s="28"/>
      <c r="EJ1969" s="28"/>
      <c r="EM1969" s="28"/>
      <c r="EP1969" s="28"/>
      <c r="ES1969" s="28"/>
      <c r="EV1969" s="28"/>
      <c r="EY1969" s="28"/>
      <c r="FB1969" s="28"/>
      <c r="FE1969" s="28"/>
      <c r="FH1969" s="28"/>
      <c r="FK1969" s="28"/>
      <c r="FN1969" s="28"/>
      <c r="FQ1969" s="28"/>
      <c r="FT1969" s="28"/>
      <c r="FW1969" s="28"/>
      <c r="FZ1969" s="28"/>
      <c r="GC1969" s="28"/>
    </row>
    <row r="1970" spans="1:185" s="25" customFormat="1" x14ac:dyDescent="0.3">
      <c r="A1970" s="27"/>
      <c r="B1970" s="28"/>
      <c r="C1970" s="27"/>
      <c r="D1970" s="26"/>
      <c r="E1970" s="28"/>
      <c r="H1970" s="28"/>
      <c r="K1970" s="28"/>
      <c r="N1970" s="28"/>
      <c r="Q1970" s="28"/>
      <c r="T1970" s="28"/>
      <c r="W1970" s="28"/>
      <c r="Z1970" s="28"/>
      <c r="AC1970" s="28"/>
      <c r="AF1970" s="28"/>
      <c r="AI1970" s="28"/>
      <c r="AL1970" s="28"/>
      <c r="AO1970" s="28"/>
      <c r="AR1970" s="28"/>
      <c r="AU1970" s="28"/>
      <c r="AX1970" s="28"/>
      <c r="BA1970" s="28"/>
      <c r="BD1970" s="28"/>
      <c r="BG1970" s="28"/>
      <c r="BJ1970" s="28"/>
      <c r="BM1970" s="28"/>
      <c r="BP1970" s="28"/>
      <c r="BS1970" s="28"/>
      <c r="BV1970" s="28"/>
      <c r="BY1970" s="28"/>
      <c r="CB1970" s="28"/>
      <c r="CE1970" s="28"/>
      <c r="CH1970" s="28"/>
      <c r="CK1970" s="28"/>
      <c r="CN1970" s="28"/>
      <c r="CQ1970" s="28"/>
      <c r="CT1970" s="28"/>
      <c r="CW1970" s="28"/>
      <c r="CZ1970" s="28"/>
      <c r="DC1970" s="28"/>
      <c r="DF1970" s="28"/>
      <c r="DI1970" s="28"/>
      <c r="DL1970" s="28"/>
      <c r="DO1970" s="28"/>
      <c r="DR1970" s="28"/>
      <c r="DU1970" s="28"/>
      <c r="DX1970" s="28"/>
      <c r="EA1970" s="28"/>
      <c r="ED1970" s="28"/>
      <c r="EG1970" s="28"/>
      <c r="EJ1970" s="28"/>
      <c r="EM1970" s="28"/>
      <c r="EP1970" s="28"/>
      <c r="ES1970" s="28"/>
      <c r="EV1970" s="28"/>
      <c r="EY1970" s="28"/>
      <c r="FB1970" s="28"/>
      <c r="FE1970" s="28"/>
      <c r="FH1970" s="28"/>
      <c r="FK1970" s="28"/>
      <c r="FN1970" s="28"/>
      <c r="FQ1970" s="28"/>
      <c r="FT1970" s="28"/>
      <c r="FW1970" s="28"/>
      <c r="FZ1970" s="28"/>
      <c r="GC1970" s="28"/>
    </row>
    <row r="1971" spans="1:185" s="25" customFormat="1" x14ac:dyDescent="0.3">
      <c r="A1971" s="27"/>
      <c r="B1971" s="28"/>
      <c r="C1971" s="27"/>
      <c r="D1971" s="26"/>
      <c r="E1971" s="28"/>
      <c r="H1971" s="28"/>
      <c r="K1971" s="28"/>
      <c r="N1971" s="28"/>
      <c r="Q1971" s="28"/>
      <c r="T1971" s="28"/>
      <c r="W1971" s="28"/>
      <c r="Z1971" s="28"/>
      <c r="AC1971" s="28"/>
      <c r="AF1971" s="28"/>
      <c r="AI1971" s="28"/>
      <c r="AL1971" s="28"/>
      <c r="AO1971" s="28"/>
      <c r="AR1971" s="28"/>
      <c r="AU1971" s="28"/>
      <c r="AX1971" s="28"/>
      <c r="BA1971" s="28"/>
      <c r="BD1971" s="28"/>
      <c r="BG1971" s="28"/>
      <c r="BJ1971" s="28"/>
      <c r="BM1971" s="28"/>
      <c r="BP1971" s="28"/>
      <c r="BS1971" s="28"/>
      <c r="BV1971" s="28"/>
      <c r="BY1971" s="28"/>
      <c r="CB1971" s="28"/>
      <c r="CE1971" s="28"/>
      <c r="CH1971" s="28"/>
      <c r="CK1971" s="28"/>
      <c r="CN1971" s="28"/>
      <c r="CQ1971" s="28"/>
      <c r="CT1971" s="28"/>
      <c r="CW1971" s="28"/>
      <c r="CZ1971" s="28"/>
      <c r="DC1971" s="28"/>
      <c r="DF1971" s="28"/>
      <c r="DI1971" s="28"/>
      <c r="DL1971" s="28"/>
      <c r="DO1971" s="28"/>
      <c r="DR1971" s="28"/>
      <c r="DU1971" s="28"/>
      <c r="DX1971" s="28"/>
      <c r="EA1971" s="28"/>
      <c r="ED1971" s="28"/>
      <c r="EG1971" s="28"/>
      <c r="EJ1971" s="28"/>
      <c r="EM1971" s="28"/>
      <c r="EP1971" s="28"/>
      <c r="ES1971" s="28"/>
      <c r="EV1971" s="28"/>
      <c r="EY1971" s="28"/>
      <c r="FB1971" s="28"/>
      <c r="FE1971" s="28"/>
      <c r="FH1971" s="28"/>
      <c r="FK1971" s="28"/>
      <c r="FN1971" s="28"/>
      <c r="FQ1971" s="28"/>
      <c r="FT1971" s="28"/>
      <c r="FW1971" s="28"/>
      <c r="FZ1971" s="28"/>
      <c r="GC1971" s="28"/>
    </row>
    <row r="1972" spans="1:185" s="25" customFormat="1" x14ac:dyDescent="0.3">
      <c r="A1972" s="27"/>
      <c r="B1972" s="28"/>
      <c r="C1972" s="27"/>
      <c r="D1972" s="26"/>
      <c r="E1972" s="28"/>
      <c r="H1972" s="28"/>
      <c r="K1972" s="28"/>
      <c r="N1972" s="28"/>
      <c r="Q1972" s="28"/>
      <c r="T1972" s="28"/>
      <c r="W1972" s="28"/>
      <c r="Z1972" s="28"/>
      <c r="AC1972" s="28"/>
      <c r="AF1972" s="28"/>
      <c r="AI1972" s="28"/>
      <c r="AL1972" s="28"/>
      <c r="AO1972" s="28"/>
      <c r="AR1972" s="28"/>
      <c r="AU1972" s="28"/>
      <c r="AX1972" s="28"/>
      <c r="BA1972" s="28"/>
      <c r="BD1972" s="28"/>
      <c r="BG1972" s="28"/>
      <c r="BJ1972" s="28"/>
      <c r="BM1972" s="28"/>
      <c r="BP1972" s="28"/>
      <c r="BS1972" s="28"/>
      <c r="BV1972" s="28"/>
      <c r="BY1972" s="28"/>
      <c r="CB1972" s="28"/>
      <c r="CE1972" s="28"/>
      <c r="CH1972" s="28"/>
      <c r="CK1972" s="28"/>
      <c r="CN1972" s="28"/>
      <c r="CQ1972" s="28"/>
      <c r="CT1972" s="28"/>
      <c r="CW1972" s="28"/>
      <c r="CZ1972" s="28"/>
      <c r="DC1972" s="28"/>
      <c r="DF1972" s="28"/>
      <c r="DI1972" s="28"/>
      <c r="DL1972" s="28"/>
      <c r="DO1972" s="28"/>
      <c r="DR1972" s="28"/>
      <c r="DU1972" s="28"/>
      <c r="DX1972" s="28"/>
      <c r="EA1972" s="28"/>
      <c r="ED1972" s="28"/>
      <c r="EG1972" s="28"/>
      <c r="EJ1972" s="28"/>
      <c r="EM1972" s="28"/>
      <c r="EP1972" s="28"/>
      <c r="ES1972" s="28"/>
      <c r="EV1972" s="28"/>
      <c r="EY1972" s="28"/>
      <c r="FB1972" s="28"/>
      <c r="FE1972" s="28"/>
      <c r="FH1972" s="28"/>
      <c r="FK1972" s="28"/>
      <c r="FN1972" s="28"/>
      <c r="FQ1972" s="28"/>
      <c r="FT1972" s="28"/>
      <c r="FW1972" s="28"/>
      <c r="FZ1972" s="28"/>
      <c r="GC1972" s="28"/>
    </row>
    <row r="1973" spans="1:185" s="25" customFormat="1" x14ac:dyDescent="0.3">
      <c r="A1973" s="27"/>
      <c r="B1973" s="28"/>
      <c r="C1973" s="27"/>
      <c r="D1973" s="26"/>
      <c r="E1973" s="28"/>
      <c r="H1973" s="28"/>
      <c r="K1973" s="28"/>
      <c r="N1973" s="28"/>
      <c r="Q1973" s="28"/>
      <c r="T1973" s="28"/>
      <c r="W1973" s="28"/>
      <c r="Z1973" s="28"/>
      <c r="AC1973" s="28"/>
      <c r="AF1973" s="28"/>
      <c r="AI1973" s="28"/>
      <c r="AL1973" s="28"/>
      <c r="AO1973" s="28"/>
      <c r="AR1973" s="28"/>
      <c r="AU1973" s="28"/>
      <c r="AX1973" s="28"/>
      <c r="BA1973" s="28"/>
      <c r="BD1973" s="28"/>
      <c r="BG1973" s="28"/>
      <c r="BJ1973" s="28"/>
      <c r="BM1973" s="28"/>
      <c r="BP1973" s="28"/>
      <c r="BS1973" s="28"/>
      <c r="BV1973" s="28"/>
      <c r="BY1973" s="28"/>
      <c r="CB1973" s="28"/>
      <c r="CE1973" s="28"/>
      <c r="CH1973" s="28"/>
      <c r="CK1973" s="28"/>
      <c r="CN1973" s="28"/>
      <c r="CQ1973" s="28"/>
      <c r="CT1973" s="28"/>
      <c r="CW1973" s="28"/>
      <c r="CZ1973" s="28"/>
      <c r="DC1973" s="28"/>
      <c r="DF1973" s="28"/>
      <c r="DI1973" s="28"/>
      <c r="DL1973" s="28"/>
      <c r="DO1973" s="28"/>
      <c r="DR1973" s="28"/>
      <c r="DU1973" s="28"/>
      <c r="DX1973" s="28"/>
      <c r="EA1973" s="28"/>
      <c r="ED1973" s="28"/>
      <c r="EG1973" s="28"/>
      <c r="EJ1973" s="28"/>
      <c r="EM1973" s="28"/>
      <c r="EP1973" s="28"/>
      <c r="ES1973" s="28"/>
      <c r="EV1973" s="28"/>
      <c r="EY1973" s="28"/>
      <c r="FB1973" s="28"/>
      <c r="FE1973" s="28"/>
      <c r="FH1973" s="28"/>
      <c r="FK1973" s="28"/>
      <c r="FN1973" s="28"/>
      <c r="FQ1973" s="28"/>
      <c r="FT1973" s="28"/>
      <c r="FW1973" s="28"/>
      <c r="FZ1973" s="28"/>
      <c r="GC1973" s="28"/>
    </row>
    <row r="1974" spans="1:185" s="25" customFormat="1" x14ac:dyDescent="0.3">
      <c r="A1974" s="27"/>
      <c r="B1974" s="28"/>
      <c r="C1974" s="27"/>
      <c r="D1974" s="26"/>
      <c r="E1974" s="28"/>
      <c r="H1974" s="28"/>
      <c r="K1974" s="28"/>
      <c r="N1974" s="28"/>
      <c r="Q1974" s="28"/>
      <c r="T1974" s="28"/>
      <c r="W1974" s="28"/>
      <c r="Z1974" s="28"/>
      <c r="AC1974" s="28"/>
      <c r="AF1974" s="28"/>
      <c r="AI1974" s="28"/>
      <c r="AL1974" s="28"/>
      <c r="AO1974" s="28"/>
      <c r="AR1974" s="28"/>
      <c r="AU1974" s="28"/>
      <c r="AX1974" s="28"/>
      <c r="BA1974" s="28"/>
      <c r="BD1974" s="28"/>
      <c r="BG1974" s="28"/>
      <c r="BJ1974" s="28"/>
      <c r="BM1974" s="28"/>
      <c r="BP1974" s="28"/>
      <c r="BS1974" s="28"/>
      <c r="BV1974" s="28"/>
      <c r="BY1974" s="28"/>
      <c r="CB1974" s="28"/>
      <c r="CE1974" s="28"/>
      <c r="CH1974" s="28"/>
      <c r="CK1974" s="28"/>
      <c r="CN1974" s="28"/>
      <c r="CQ1974" s="28"/>
      <c r="CT1974" s="28"/>
      <c r="CW1974" s="28"/>
      <c r="CZ1974" s="28"/>
      <c r="DC1974" s="28"/>
      <c r="DF1974" s="28"/>
      <c r="DI1974" s="28"/>
      <c r="DL1974" s="28"/>
      <c r="DO1974" s="28"/>
      <c r="DR1974" s="28"/>
      <c r="DU1974" s="28"/>
      <c r="DX1974" s="28"/>
      <c r="EA1974" s="28"/>
      <c r="ED1974" s="28"/>
      <c r="EG1974" s="28"/>
      <c r="EJ1974" s="28"/>
      <c r="EM1974" s="28"/>
      <c r="EP1974" s="28"/>
      <c r="ES1974" s="28"/>
      <c r="EV1974" s="28"/>
      <c r="EY1974" s="28"/>
      <c r="FB1974" s="28"/>
      <c r="FE1974" s="28"/>
      <c r="FH1974" s="28"/>
      <c r="FK1974" s="28"/>
      <c r="FN1974" s="28"/>
      <c r="FQ1974" s="28"/>
      <c r="FT1974" s="28"/>
      <c r="FW1974" s="28"/>
      <c r="FZ1974" s="28"/>
      <c r="GC1974" s="28"/>
    </row>
    <row r="1975" spans="1:185" s="25" customFormat="1" x14ac:dyDescent="0.3">
      <c r="A1975" s="27"/>
      <c r="B1975" s="28"/>
      <c r="C1975" s="27"/>
      <c r="D1975" s="26"/>
      <c r="E1975" s="28"/>
      <c r="H1975" s="28"/>
      <c r="K1975" s="28"/>
      <c r="N1975" s="28"/>
      <c r="Q1975" s="28"/>
      <c r="T1975" s="28"/>
      <c r="W1975" s="28"/>
      <c r="Z1975" s="28"/>
      <c r="AC1975" s="28"/>
      <c r="AF1975" s="28"/>
      <c r="AI1975" s="28"/>
      <c r="AL1975" s="28"/>
      <c r="AO1975" s="28"/>
      <c r="AR1975" s="28"/>
      <c r="AU1975" s="28"/>
      <c r="AX1975" s="28"/>
      <c r="BA1975" s="28"/>
      <c r="BD1975" s="28"/>
      <c r="BG1975" s="28"/>
      <c r="BJ1975" s="28"/>
      <c r="BM1975" s="28"/>
      <c r="BP1975" s="28"/>
      <c r="BS1975" s="28"/>
      <c r="BV1975" s="28"/>
      <c r="BY1975" s="28"/>
      <c r="CB1975" s="28"/>
      <c r="CE1975" s="28"/>
      <c r="CH1975" s="28"/>
      <c r="CK1975" s="28"/>
      <c r="CN1975" s="28"/>
      <c r="CQ1975" s="28"/>
      <c r="CT1975" s="28"/>
      <c r="CW1975" s="28"/>
      <c r="CZ1975" s="28"/>
      <c r="DC1975" s="28"/>
      <c r="DF1975" s="28"/>
      <c r="DI1975" s="28"/>
      <c r="DL1975" s="28"/>
      <c r="DO1975" s="28"/>
      <c r="DR1975" s="28"/>
      <c r="DU1975" s="28"/>
      <c r="DX1975" s="28"/>
      <c r="EA1975" s="28"/>
      <c r="ED1975" s="28"/>
      <c r="EG1975" s="28"/>
      <c r="EJ1975" s="28"/>
      <c r="EM1975" s="28"/>
      <c r="EP1975" s="28"/>
      <c r="ES1975" s="28"/>
      <c r="EV1975" s="28"/>
      <c r="EY1975" s="28"/>
      <c r="FB1975" s="28"/>
      <c r="FE1975" s="28"/>
      <c r="FH1975" s="28"/>
      <c r="FK1975" s="28"/>
      <c r="FN1975" s="28"/>
      <c r="FQ1975" s="28"/>
      <c r="FT1975" s="28"/>
      <c r="FW1975" s="28"/>
      <c r="FZ1975" s="28"/>
      <c r="GC1975" s="28"/>
    </row>
    <row r="1976" spans="1:185" s="25" customFormat="1" x14ac:dyDescent="0.3">
      <c r="A1976" s="27"/>
      <c r="B1976" s="28"/>
      <c r="C1976" s="27"/>
      <c r="D1976" s="26"/>
      <c r="E1976" s="28"/>
      <c r="H1976" s="28"/>
      <c r="K1976" s="28"/>
      <c r="N1976" s="28"/>
      <c r="Q1976" s="28"/>
      <c r="T1976" s="28"/>
      <c r="W1976" s="28"/>
      <c r="Z1976" s="28"/>
      <c r="AC1976" s="28"/>
      <c r="AF1976" s="28"/>
      <c r="AI1976" s="28"/>
      <c r="AL1976" s="28"/>
      <c r="AO1976" s="28"/>
      <c r="AR1976" s="28"/>
      <c r="AU1976" s="28"/>
      <c r="AX1976" s="28"/>
      <c r="BA1976" s="28"/>
      <c r="BD1976" s="28"/>
      <c r="BG1976" s="28"/>
      <c r="BJ1976" s="28"/>
      <c r="BM1976" s="28"/>
      <c r="BP1976" s="28"/>
      <c r="BS1976" s="28"/>
      <c r="BV1976" s="28"/>
      <c r="BY1976" s="28"/>
      <c r="CB1976" s="28"/>
      <c r="CE1976" s="28"/>
      <c r="CH1976" s="28"/>
      <c r="CK1976" s="28"/>
      <c r="CN1976" s="28"/>
      <c r="CQ1976" s="28"/>
      <c r="CT1976" s="28"/>
      <c r="CW1976" s="28"/>
      <c r="CZ1976" s="28"/>
      <c r="DC1976" s="28"/>
      <c r="DF1976" s="28"/>
      <c r="DI1976" s="28"/>
      <c r="DL1976" s="28"/>
      <c r="DO1976" s="28"/>
      <c r="DR1976" s="28"/>
      <c r="DU1976" s="28"/>
      <c r="DX1976" s="28"/>
      <c r="EA1976" s="28"/>
      <c r="ED1976" s="28"/>
      <c r="EG1976" s="28"/>
      <c r="EJ1976" s="28"/>
      <c r="EM1976" s="28"/>
      <c r="EP1976" s="28"/>
      <c r="ES1976" s="28"/>
      <c r="EV1976" s="28"/>
      <c r="EY1976" s="28"/>
      <c r="FB1976" s="28"/>
      <c r="FE1976" s="28"/>
      <c r="FH1976" s="28"/>
      <c r="FK1976" s="28"/>
      <c r="FN1976" s="28"/>
      <c r="FQ1976" s="28"/>
      <c r="FT1976" s="28"/>
      <c r="FW1976" s="28"/>
      <c r="FZ1976" s="28"/>
      <c r="GC1976" s="28"/>
    </row>
    <row r="1977" spans="1:185" s="25" customFormat="1" x14ac:dyDescent="0.3">
      <c r="A1977" s="27"/>
      <c r="B1977" s="28"/>
      <c r="C1977" s="27"/>
      <c r="D1977" s="26"/>
      <c r="E1977" s="28"/>
      <c r="H1977" s="28"/>
      <c r="K1977" s="28"/>
      <c r="N1977" s="28"/>
      <c r="Q1977" s="28"/>
      <c r="T1977" s="28"/>
      <c r="W1977" s="28"/>
      <c r="Z1977" s="28"/>
      <c r="AC1977" s="28"/>
      <c r="AF1977" s="28"/>
      <c r="AI1977" s="28"/>
      <c r="AL1977" s="28"/>
      <c r="AO1977" s="28"/>
      <c r="AR1977" s="28"/>
      <c r="AU1977" s="28"/>
      <c r="AX1977" s="28"/>
      <c r="BA1977" s="28"/>
      <c r="BD1977" s="28"/>
      <c r="BG1977" s="28"/>
      <c r="BJ1977" s="28"/>
      <c r="BM1977" s="28"/>
      <c r="BP1977" s="28"/>
      <c r="BS1977" s="28"/>
      <c r="BV1977" s="28"/>
      <c r="BY1977" s="28"/>
      <c r="CB1977" s="28"/>
      <c r="CE1977" s="28"/>
      <c r="CH1977" s="28"/>
      <c r="CK1977" s="28"/>
      <c r="CN1977" s="28"/>
      <c r="CQ1977" s="28"/>
      <c r="CT1977" s="28"/>
      <c r="CW1977" s="28"/>
      <c r="CZ1977" s="28"/>
      <c r="DC1977" s="28"/>
      <c r="DF1977" s="28"/>
      <c r="DI1977" s="28"/>
      <c r="DL1977" s="28"/>
      <c r="DO1977" s="28"/>
      <c r="DR1977" s="28"/>
      <c r="DU1977" s="28"/>
      <c r="DX1977" s="28"/>
      <c r="EA1977" s="28"/>
      <c r="ED1977" s="28"/>
      <c r="EG1977" s="28"/>
      <c r="EJ1977" s="28"/>
      <c r="EM1977" s="28"/>
      <c r="EP1977" s="28"/>
      <c r="ES1977" s="28"/>
      <c r="EV1977" s="28"/>
      <c r="EY1977" s="28"/>
      <c r="FB1977" s="28"/>
      <c r="FE1977" s="28"/>
      <c r="FH1977" s="28"/>
      <c r="FK1977" s="28"/>
      <c r="FN1977" s="28"/>
      <c r="FQ1977" s="28"/>
      <c r="FT1977" s="28"/>
      <c r="FW1977" s="28"/>
      <c r="FZ1977" s="28"/>
      <c r="GC1977" s="28"/>
    </row>
    <row r="1978" spans="1:185" s="25" customFormat="1" x14ac:dyDescent="0.3">
      <c r="A1978" s="27"/>
      <c r="B1978" s="28"/>
      <c r="C1978" s="27"/>
      <c r="D1978" s="26"/>
      <c r="E1978" s="28"/>
      <c r="H1978" s="28"/>
      <c r="K1978" s="28"/>
      <c r="N1978" s="28"/>
      <c r="Q1978" s="28"/>
      <c r="T1978" s="28"/>
      <c r="W1978" s="28"/>
      <c r="Z1978" s="28"/>
      <c r="AC1978" s="28"/>
      <c r="AF1978" s="28"/>
      <c r="AI1978" s="28"/>
      <c r="AL1978" s="28"/>
      <c r="AO1978" s="28"/>
      <c r="AR1978" s="28"/>
      <c r="AU1978" s="28"/>
      <c r="AX1978" s="28"/>
      <c r="BA1978" s="28"/>
      <c r="BD1978" s="28"/>
      <c r="BG1978" s="28"/>
      <c r="BJ1978" s="28"/>
      <c r="BM1978" s="28"/>
      <c r="BP1978" s="28"/>
      <c r="BS1978" s="28"/>
      <c r="BV1978" s="28"/>
      <c r="BY1978" s="28"/>
      <c r="CB1978" s="28"/>
      <c r="CE1978" s="28"/>
      <c r="CH1978" s="28"/>
      <c r="CK1978" s="28"/>
      <c r="CN1978" s="28"/>
      <c r="CQ1978" s="28"/>
      <c r="CT1978" s="28"/>
      <c r="CW1978" s="28"/>
      <c r="CZ1978" s="28"/>
      <c r="DC1978" s="28"/>
      <c r="DF1978" s="28"/>
      <c r="DI1978" s="28"/>
      <c r="DL1978" s="28"/>
      <c r="DO1978" s="28"/>
      <c r="DR1978" s="28"/>
      <c r="DU1978" s="28"/>
      <c r="DX1978" s="28"/>
      <c r="EA1978" s="28"/>
      <c r="ED1978" s="28"/>
      <c r="EG1978" s="28"/>
      <c r="EJ1978" s="28"/>
      <c r="EM1978" s="28"/>
      <c r="EP1978" s="28"/>
      <c r="ES1978" s="28"/>
      <c r="EV1978" s="28"/>
      <c r="EY1978" s="28"/>
      <c r="FB1978" s="28"/>
      <c r="FE1978" s="28"/>
      <c r="FH1978" s="28"/>
      <c r="FK1978" s="28"/>
      <c r="FN1978" s="28"/>
      <c r="FQ1978" s="28"/>
      <c r="FT1978" s="28"/>
      <c r="FW1978" s="28"/>
      <c r="FZ1978" s="28"/>
      <c r="GC1978" s="28"/>
    </row>
    <row r="1979" spans="1:185" s="25" customFormat="1" x14ac:dyDescent="0.3">
      <c r="A1979" s="27"/>
      <c r="B1979" s="28"/>
      <c r="C1979" s="27"/>
      <c r="D1979" s="26"/>
      <c r="E1979" s="28"/>
      <c r="H1979" s="28"/>
      <c r="K1979" s="28"/>
      <c r="N1979" s="28"/>
      <c r="Q1979" s="28"/>
      <c r="T1979" s="28"/>
      <c r="W1979" s="28"/>
      <c r="Z1979" s="28"/>
      <c r="AC1979" s="28"/>
      <c r="AF1979" s="28"/>
      <c r="AI1979" s="28"/>
      <c r="AL1979" s="28"/>
      <c r="AO1979" s="28"/>
      <c r="AR1979" s="28"/>
      <c r="AU1979" s="28"/>
      <c r="AX1979" s="28"/>
      <c r="BA1979" s="28"/>
      <c r="BD1979" s="28"/>
      <c r="BG1979" s="28"/>
      <c r="BJ1979" s="28"/>
      <c r="BM1979" s="28"/>
      <c r="BP1979" s="28"/>
      <c r="BS1979" s="28"/>
      <c r="BV1979" s="28"/>
      <c r="BY1979" s="28"/>
      <c r="CB1979" s="28"/>
      <c r="CE1979" s="28"/>
      <c r="CH1979" s="28"/>
      <c r="CK1979" s="28"/>
      <c r="CN1979" s="28"/>
      <c r="CQ1979" s="28"/>
      <c r="CT1979" s="28"/>
      <c r="CW1979" s="28"/>
      <c r="CZ1979" s="28"/>
      <c r="DC1979" s="28"/>
      <c r="DF1979" s="28"/>
      <c r="DI1979" s="28"/>
      <c r="DL1979" s="28"/>
      <c r="DO1979" s="28"/>
      <c r="DR1979" s="28"/>
      <c r="DU1979" s="28"/>
      <c r="DX1979" s="28"/>
      <c r="EA1979" s="28"/>
      <c r="ED1979" s="28"/>
      <c r="EG1979" s="28"/>
      <c r="EJ1979" s="28"/>
      <c r="EM1979" s="28"/>
      <c r="EP1979" s="28"/>
      <c r="ES1979" s="28"/>
      <c r="EV1979" s="28"/>
      <c r="EY1979" s="28"/>
      <c r="FB1979" s="28"/>
      <c r="FE1979" s="28"/>
      <c r="FH1979" s="28"/>
      <c r="FK1979" s="28"/>
      <c r="FN1979" s="28"/>
      <c r="FQ1979" s="28"/>
      <c r="FT1979" s="28"/>
      <c r="FW1979" s="28"/>
      <c r="FZ1979" s="28"/>
      <c r="GC1979" s="28"/>
    </row>
    <row r="1980" spans="1:185" s="25" customFormat="1" x14ac:dyDescent="0.3">
      <c r="A1980" s="27"/>
      <c r="B1980" s="28"/>
      <c r="C1980" s="27"/>
      <c r="D1980" s="26"/>
      <c r="E1980" s="28"/>
      <c r="H1980" s="28"/>
      <c r="K1980" s="28"/>
      <c r="N1980" s="28"/>
      <c r="Q1980" s="28"/>
      <c r="T1980" s="28"/>
      <c r="W1980" s="28"/>
      <c r="Z1980" s="28"/>
      <c r="AC1980" s="28"/>
      <c r="AF1980" s="28"/>
      <c r="AI1980" s="28"/>
      <c r="AL1980" s="28"/>
      <c r="AO1980" s="28"/>
      <c r="AR1980" s="28"/>
      <c r="AU1980" s="28"/>
      <c r="AX1980" s="28"/>
      <c r="BA1980" s="28"/>
      <c r="BD1980" s="28"/>
      <c r="BG1980" s="28"/>
      <c r="BJ1980" s="28"/>
      <c r="BM1980" s="28"/>
      <c r="BP1980" s="28"/>
      <c r="BS1980" s="28"/>
      <c r="BV1980" s="28"/>
      <c r="BY1980" s="28"/>
      <c r="CB1980" s="28"/>
      <c r="CE1980" s="28"/>
      <c r="CH1980" s="28"/>
      <c r="CK1980" s="28"/>
      <c r="CN1980" s="28"/>
      <c r="CQ1980" s="28"/>
      <c r="CT1980" s="28"/>
      <c r="CW1980" s="28"/>
      <c r="CZ1980" s="28"/>
      <c r="DC1980" s="28"/>
      <c r="DF1980" s="28"/>
      <c r="DI1980" s="28"/>
      <c r="DL1980" s="28"/>
      <c r="DO1980" s="28"/>
      <c r="DR1980" s="28"/>
      <c r="DU1980" s="28"/>
      <c r="DX1980" s="28"/>
      <c r="EA1980" s="28"/>
      <c r="ED1980" s="28"/>
      <c r="EG1980" s="28"/>
      <c r="EJ1980" s="28"/>
      <c r="EM1980" s="28"/>
      <c r="EP1980" s="28"/>
      <c r="ES1980" s="28"/>
      <c r="EV1980" s="28"/>
      <c r="EY1980" s="28"/>
      <c r="FB1980" s="28"/>
      <c r="FE1980" s="28"/>
      <c r="FH1980" s="28"/>
      <c r="FK1980" s="28"/>
      <c r="FN1980" s="28"/>
      <c r="FQ1980" s="28"/>
      <c r="FT1980" s="28"/>
      <c r="FW1980" s="28"/>
      <c r="FZ1980" s="28"/>
      <c r="GC1980" s="28"/>
    </row>
    <row r="1981" spans="1:185" s="25" customFormat="1" x14ac:dyDescent="0.3">
      <c r="A1981" s="27"/>
      <c r="B1981" s="28"/>
      <c r="C1981" s="27"/>
      <c r="D1981" s="26"/>
      <c r="E1981" s="28"/>
      <c r="H1981" s="28"/>
      <c r="K1981" s="28"/>
      <c r="N1981" s="28"/>
      <c r="Q1981" s="28"/>
      <c r="T1981" s="28"/>
      <c r="W1981" s="28"/>
      <c r="Z1981" s="28"/>
      <c r="AC1981" s="28"/>
      <c r="AF1981" s="28"/>
      <c r="AI1981" s="28"/>
      <c r="AL1981" s="28"/>
      <c r="AO1981" s="28"/>
      <c r="AR1981" s="28"/>
      <c r="AU1981" s="28"/>
      <c r="AX1981" s="28"/>
      <c r="BA1981" s="28"/>
      <c r="BD1981" s="28"/>
      <c r="BG1981" s="28"/>
      <c r="BJ1981" s="28"/>
      <c r="BM1981" s="28"/>
      <c r="BP1981" s="28"/>
      <c r="BS1981" s="28"/>
      <c r="BV1981" s="28"/>
      <c r="BY1981" s="28"/>
      <c r="CB1981" s="28"/>
      <c r="CE1981" s="28"/>
      <c r="CH1981" s="28"/>
      <c r="CK1981" s="28"/>
      <c r="CN1981" s="28"/>
      <c r="CQ1981" s="28"/>
      <c r="CT1981" s="28"/>
      <c r="CW1981" s="28"/>
      <c r="CZ1981" s="28"/>
      <c r="DC1981" s="28"/>
      <c r="DF1981" s="28"/>
      <c r="DI1981" s="28"/>
      <c r="DL1981" s="28"/>
      <c r="DO1981" s="28"/>
      <c r="DR1981" s="28"/>
      <c r="DU1981" s="28"/>
      <c r="DX1981" s="28"/>
      <c r="EA1981" s="28"/>
      <c r="ED1981" s="28"/>
      <c r="EG1981" s="28"/>
      <c r="EJ1981" s="28"/>
      <c r="EM1981" s="28"/>
      <c r="EP1981" s="28"/>
      <c r="ES1981" s="28"/>
      <c r="EV1981" s="28"/>
      <c r="EY1981" s="28"/>
      <c r="FB1981" s="28"/>
      <c r="FE1981" s="28"/>
      <c r="FH1981" s="28"/>
      <c r="FK1981" s="28"/>
      <c r="FN1981" s="28"/>
      <c r="FQ1981" s="28"/>
      <c r="FT1981" s="28"/>
      <c r="FW1981" s="28"/>
      <c r="FZ1981" s="28"/>
      <c r="GC1981" s="28"/>
    </row>
    <row r="1982" spans="1:185" s="25" customFormat="1" x14ac:dyDescent="0.3">
      <c r="A1982" s="27"/>
      <c r="B1982" s="28"/>
      <c r="C1982" s="27"/>
      <c r="D1982" s="26"/>
      <c r="E1982" s="28"/>
      <c r="H1982" s="28"/>
      <c r="K1982" s="28"/>
      <c r="N1982" s="28"/>
      <c r="Q1982" s="28"/>
      <c r="T1982" s="28"/>
      <c r="W1982" s="28"/>
      <c r="Z1982" s="28"/>
      <c r="AC1982" s="28"/>
      <c r="AF1982" s="28"/>
      <c r="AI1982" s="28"/>
      <c r="AL1982" s="28"/>
      <c r="AO1982" s="28"/>
      <c r="AR1982" s="28"/>
      <c r="AU1982" s="28"/>
      <c r="AX1982" s="28"/>
      <c r="BA1982" s="28"/>
      <c r="BD1982" s="28"/>
      <c r="BG1982" s="28"/>
      <c r="BJ1982" s="28"/>
      <c r="BM1982" s="28"/>
      <c r="BP1982" s="28"/>
      <c r="BS1982" s="28"/>
      <c r="BV1982" s="28"/>
      <c r="BY1982" s="28"/>
      <c r="CB1982" s="28"/>
      <c r="CE1982" s="28"/>
      <c r="CH1982" s="28"/>
      <c r="CK1982" s="28"/>
      <c r="CN1982" s="28"/>
      <c r="CQ1982" s="28"/>
      <c r="CT1982" s="28"/>
      <c r="CW1982" s="28"/>
      <c r="CZ1982" s="28"/>
      <c r="DC1982" s="28"/>
      <c r="DF1982" s="28"/>
      <c r="DI1982" s="28"/>
      <c r="DL1982" s="28"/>
      <c r="DO1982" s="28"/>
      <c r="DR1982" s="28"/>
      <c r="DU1982" s="28"/>
      <c r="DX1982" s="28"/>
      <c r="EA1982" s="28"/>
      <c r="ED1982" s="28"/>
      <c r="EG1982" s="28"/>
      <c r="EJ1982" s="28"/>
      <c r="EM1982" s="28"/>
      <c r="EP1982" s="28"/>
      <c r="ES1982" s="28"/>
      <c r="EV1982" s="28"/>
      <c r="EY1982" s="28"/>
      <c r="FB1982" s="28"/>
      <c r="FE1982" s="28"/>
      <c r="FH1982" s="28"/>
      <c r="FK1982" s="28"/>
      <c r="FN1982" s="28"/>
      <c r="FQ1982" s="28"/>
      <c r="FT1982" s="28"/>
      <c r="FW1982" s="28"/>
      <c r="FZ1982" s="28"/>
      <c r="GC1982" s="28"/>
    </row>
    <row r="1983" spans="1:185" s="25" customFormat="1" x14ac:dyDescent="0.3">
      <c r="A1983" s="27"/>
      <c r="B1983" s="28"/>
      <c r="C1983" s="27"/>
      <c r="D1983" s="26"/>
      <c r="E1983" s="28"/>
      <c r="H1983" s="28"/>
      <c r="K1983" s="28"/>
      <c r="N1983" s="28"/>
      <c r="Q1983" s="28"/>
      <c r="T1983" s="28"/>
      <c r="W1983" s="28"/>
      <c r="Z1983" s="28"/>
      <c r="AC1983" s="28"/>
      <c r="AF1983" s="28"/>
      <c r="AI1983" s="28"/>
      <c r="AL1983" s="28"/>
      <c r="AO1983" s="28"/>
      <c r="AR1983" s="28"/>
      <c r="AU1983" s="28"/>
      <c r="AX1983" s="28"/>
      <c r="BA1983" s="28"/>
      <c r="BD1983" s="28"/>
      <c r="BG1983" s="28"/>
      <c r="BJ1983" s="28"/>
      <c r="BM1983" s="28"/>
      <c r="BP1983" s="28"/>
      <c r="BS1983" s="28"/>
      <c r="BV1983" s="28"/>
      <c r="BY1983" s="28"/>
      <c r="CB1983" s="28"/>
      <c r="CE1983" s="28"/>
      <c r="CH1983" s="28"/>
      <c r="CK1983" s="28"/>
      <c r="CN1983" s="28"/>
      <c r="CQ1983" s="28"/>
      <c r="CT1983" s="28"/>
      <c r="CW1983" s="28"/>
      <c r="CZ1983" s="28"/>
      <c r="DC1983" s="28"/>
      <c r="DF1983" s="28"/>
      <c r="DI1983" s="28"/>
      <c r="DL1983" s="28"/>
      <c r="DO1983" s="28"/>
      <c r="DR1983" s="28"/>
      <c r="DU1983" s="28"/>
      <c r="DX1983" s="28"/>
      <c r="EA1983" s="28"/>
      <c r="ED1983" s="28"/>
      <c r="EG1983" s="28"/>
      <c r="EJ1983" s="28"/>
      <c r="EM1983" s="28"/>
      <c r="EP1983" s="28"/>
      <c r="ES1983" s="28"/>
      <c r="EV1983" s="28"/>
      <c r="EY1983" s="28"/>
      <c r="FB1983" s="28"/>
      <c r="FE1983" s="28"/>
      <c r="FH1983" s="28"/>
      <c r="FK1983" s="28"/>
      <c r="FN1983" s="28"/>
      <c r="FQ1983" s="28"/>
      <c r="FT1983" s="28"/>
      <c r="FW1983" s="28"/>
      <c r="FZ1983" s="28"/>
      <c r="GC1983" s="28"/>
    </row>
    <row r="1984" spans="1:185" s="25" customFormat="1" x14ac:dyDescent="0.3">
      <c r="A1984" s="27"/>
      <c r="B1984" s="28"/>
      <c r="C1984" s="27"/>
      <c r="D1984" s="26"/>
      <c r="E1984" s="28"/>
      <c r="H1984" s="28"/>
      <c r="K1984" s="28"/>
      <c r="N1984" s="28"/>
      <c r="Q1984" s="28"/>
      <c r="T1984" s="28"/>
      <c r="W1984" s="28"/>
      <c r="Z1984" s="28"/>
      <c r="AC1984" s="28"/>
      <c r="AF1984" s="28"/>
      <c r="AI1984" s="28"/>
      <c r="AL1984" s="28"/>
      <c r="AO1984" s="28"/>
      <c r="AR1984" s="28"/>
      <c r="AU1984" s="28"/>
      <c r="AX1984" s="28"/>
      <c r="BA1984" s="28"/>
      <c r="BD1984" s="28"/>
      <c r="BG1984" s="28"/>
      <c r="BJ1984" s="28"/>
      <c r="BM1984" s="28"/>
      <c r="BP1984" s="28"/>
      <c r="BS1984" s="28"/>
      <c r="BV1984" s="28"/>
      <c r="BY1984" s="28"/>
      <c r="CB1984" s="28"/>
      <c r="CE1984" s="28"/>
      <c r="CH1984" s="28"/>
      <c r="CK1984" s="28"/>
      <c r="CN1984" s="28"/>
      <c r="CQ1984" s="28"/>
      <c r="CT1984" s="28"/>
      <c r="CW1984" s="28"/>
      <c r="CZ1984" s="28"/>
      <c r="DC1984" s="28"/>
      <c r="DF1984" s="28"/>
      <c r="DI1984" s="28"/>
      <c r="DL1984" s="28"/>
      <c r="DO1984" s="28"/>
      <c r="DR1984" s="28"/>
      <c r="DU1984" s="28"/>
      <c r="DX1984" s="28"/>
      <c r="EA1984" s="28"/>
      <c r="ED1984" s="28"/>
      <c r="EG1984" s="28"/>
      <c r="EJ1984" s="28"/>
      <c r="EM1984" s="28"/>
      <c r="EP1984" s="28"/>
      <c r="ES1984" s="28"/>
      <c r="EV1984" s="28"/>
      <c r="EY1984" s="28"/>
      <c r="FB1984" s="28"/>
      <c r="FE1984" s="28"/>
      <c r="FH1984" s="28"/>
      <c r="FK1984" s="28"/>
      <c r="FN1984" s="28"/>
      <c r="FQ1984" s="28"/>
      <c r="FT1984" s="28"/>
      <c r="FW1984" s="28"/>
      <c r="FZ1984" s="28"/>
      <c r="GC1984" s="28"/>
    </row>
    <row r="1985" spans="1:185" s="25" customFormat="1" x14ac:dyDescent="0.3">
      <c r="A1985" s="27"/>
      <c r="B1985" s="28"/>
      <c r="C1985" s="27"/>
      <c r="D1985" s="26"/>
      <c r="E1985" s="28"/>
      <c r="H1985" s="28"/>
      <c r="K1985" s="28"/>
      <c r="N1985" s="28"/>
      <c r="Q1985" s="28"/>
      <c r="T1985" s="28"/>
      <c r="W1985" s="28"/>
      <c r="Z1985" s="28"/>
      <c r="AC1985" s="28"/>
      <c r="AF1985" s="28"/>
      <c r="AI1985" s="28"/>
      <c r="AL1985" s="28"/>
      <c r="AO1985" s="28"/>
      <c r="AR1985" s="28"/>
      <c r="AU1985" s="28"/>
      <c r="AX1985" s="28"/>
      <c r="BA1985" s="28"/>
      <c r="BD1985" s="28"/>
      <c r="BG1985" s="28"/>
      <c r="BJ1985" s="28"/>
      <c r="BM1985" s="28"/>
      <c r="BP1985" s="28"/>
      <c r="BS1985" s="28"/>
      <c r="BV1985" s="28"/>
      <c r="BY1985" s="28"/>
      <c r="CB1985" s="28"/>
      <c r="CE1985" s="28"/>
      <c r="CH1985" s="28"/>
      <c r="CK1985" s="28"/>
      <c r="CN1985" s="28"/>
      <c r="CQ1985" s="28"/>
      <c r="CT1985" s="28"/>
      <c r="CW1985" s="28"/>
      <c r="CZ1985" s="28"/>
      <c r="DC1985" s="28"/>
      <c r="DF1985" s="28"/>
      <c r="DI1985" s="28"/>
      <c r="DL1985" s="28"/>
      <c r="DO1985" s="28"/>
      <c r="DR1985" s="28"/>
      <c r="DU1985" s="28"/>
      <c r="DX1985" s="28"/>
      <c r="EA1985" s="28"/>
      <c r="ED1985" s="28"/>
      <c r="EG1985" s="28"/>
      <c r="EJ1985" s="28"/>
      <c r="EM1985" s="28"/>
      <c r="EP1985" s="28"/>
      <c r="ES1985" s="28"/>
      <c r="EV1985" s="28"/>
      <c r="EY1985" s="28"/>
      <c r="FB1985" s="28"/>
      <c r="FE1985" s="28"/>
      <c r="FH1985" s="28"/>
      <c r="FK1985" s="28"/>
      <c r="FN1985" s="28"/>
      <c r="FQ1985" s="28"/>
      <c r="FT1985" s="28"/>
      <c r="FW1985" s="28"/>
      <c r="FZ1985" s="28"/>
      <c r="GC1985" s="28"/>
    </row>
    <row r="1986" spans="1:185" s="25" customFormat="1" x14ac:dyDescent="0.3">
      <c r="A1986" s="27"/>
      <c r="B1986" s="28"/>
      <c r="C1986" s="27"/>
      <c r="D1986" s="26"/>
      <c r="E1986" s="28"/>
      <c r="H1986" s="28"/>
      <c r="K1986" s="28"/>
      <c r="N1986" s="28"/>
      <c r="Q1986" s="28"/>
      <c r="T1986" s="28"/>
      <c r="W1986" s="28"/>
      <c r="Z1986" s="28"/>
      <c r="AC1986" s="28"/>
      <c r="AF1986" s="28"/>
      <c r="AI1986" s="28"/>
      <c r="AL1986" s="28"/>
      <c r="AO1986" s="28"/>
      <c r="AR1986" s="28"/>
      <c r="AU1986" s="28"/>
      <c r="AX1986" s="28"/>
      <c r="BA1986" s="28"/>
      <c r="BD1986" s="28"/>
      <c r="BG1986" s="28"/>
      <c r="BJ1986" s="28"/>
      <c r="BM1986" s="28"/>
      <c r="BP1986" s="28"/>
      <c r="BS1986" s="28"/>
      <c r="BV1986" s="28"/>
      <c r="BY1986" s="28"/>
      <c r="CB1986" s="28"/>
      <c r="CE1986" s="28"/>
      <c r="CH1986" s="28"/>
      <c r="CK1986" s="28"/>
      <c r="CN1986" s="28"/>
      <c r="CQ1986" s="28"/>
      <c r="CT1986" s="28"/>
      <c r="CW1986" s="28"/>
      <c r="CZ1986" s="28"/>
      <c r="DC1986" s="28"/>
      <c r="DF1986" s="28"/>
      <c r="DI1986" s="28"/>
      <c r="DL1986" s="28"/>
      <c r="DO1986" s="28"/>
      <c r="DR1986" s="28"/>
      <c r="DU1986" s="28"/>
      <c r="DX1986" s="28"/>
      <c r="EA1986" s="28"/>
      <c r="ED1986" s="28"/>
      <c r="EG1986" s="28"/>
      <c r="EJ1986" s="28"/>
      <c r="EM1986" s="28"/>
      <c r="EP1986" s="28"/>
      <c r="ES1986" s="28"/>
      <c r="EV1986" s="28"/>
      <c r="EY1986" s="28"/>
      <c r="FB1986" s="28"/>
      <c r="FE1986" s="28"/>
      <c r="FH1986" s="28"/>
      <c r="FK1986" s="28"/>
      <c r="FN1986" s="28"/>
      <c r="FQ1986" s="28"/>
      <c r="FT1986" s="28"/>
      <c r="FW1986" s="28"/>
      <c r="FZ1986" s="28"/>
      <c r="GC1986" s="28"/>
    </row>
    <row r="1987" spans="1:185" s="25" customFormat="1" x14ac:dyDescent="0.3">
      <c r="A1987" s="27"/>
      <c r="B1987" s="28"/>
      <c r="C1987" s="27"/>
      <c r="D1987" s="26"/>
      <c r="E1987" s="28"/>
      <c r="H1987" s="28"/>
      <c r="K1987" s="28"/>
      <c r="N1987" s="28"/>
      <c r="Q1987" s="28"/>
      <c r="T1987" s="28"/>
      <c r="W1987" s="28"/>
      <c r="Z1987" s="28"/>
      <c r="AC1987" s="28"/>
      <c r="AF1987" s="28"/>
      <c r="AI1987" s="28"/>
      <c r="AL1987" s="28"/>
      <c r="AO1987" s="28"/>
      <c r="AR1987" s="28"/>
      <c r="AU1987" s="28"/>
      <c r="AX1987" s="28"/>
      <c r="BA1987" s="28"/>
      <c r="BD1987" s="28"/>
      <c r="BG1987" s="28"/>
      <c r="BJ1987" s="28"/>
      <c r="BM1987" s="28"/>
      <c r="BP1987" s="28"/>
      <c r="BS1987" s="28"/>
      <c r="BV1987" s="28"/>
      <c r="BY1987" s="28"/>
      <c r="CB1987" s="28"/>
      <c r="CE1987" s="28"/>
      <c r="CH1987" s="28"/>
      <c r="CK1987" s="28"/>
      <c r="CN1987" s="28"/>
      <c r="CQ1987" s="28"/>
      <c r="CT1987" s="28"/>
      <c r="CW1987" s="28"/>
      <c r="CZ1987" s="28"/>
      <c r="DC1987" s="28"/>
      <c r="DF1987" s="28"/>
      <c r="DI1987" s="28"/>
      <c r="DL1987" s="28"/>
      <c r="DO1987" s="28"/>
      <c r="DR1987" s="28"/>
      <c r="DU1987" s="28"/>
      <c r="DX1987" s="28"/>
      <c r="EA1987" s="28"/>
      <c r="ED1987" s="28"/>
      <c r="EG1987" s="28"/>
      <c r="EJ1987" s="28"/>
      <c r="EM1987" s="28"/>
      <c r="EP1987" s="28"/>
      <c r="ES1987" s="28"/>
      <c r="EV1987" s="28"/>
      <c r="EY1987" s="28"/>
      <c r="FB1987" s="28"/>
      <c r="FE1987" s="28"/>
      <c r="FH1987" s="28"/>
      <c r="FK1987" s="28"/>
      <c r="FN1987" s="28"/>
      <c r="FQ1987" s="28"/>
      <c r="FT1987" s="28"/>
      <c r="FW1987" s="28"/>
      <c r="FZ1987" s="28"/>
      <c r="GC1987" s="28"/>
    </row>
    <row r="1988" spans="1:185" s="25" customFormat="1" x14ac:dyDescent="0.3">
      <c r="A1988" s="27"/>
      <c r="B1988" s="28"/>
      <c r="C1988" s="27"/>
      <c r="D1988" s="26"/>
      <c r="E1988" s="28"/>
      <c r="H1988" s="28"/>
      <c r="K1988" s="28"/>
      <c r="N1988" s="28"/>
      <c r="Q1988" s="28"/>
      <c r="T1988" s="28"/>
      <c r="W1988" s="28"/>
      <c r="Z1988" s="28"/>
      <c r="AC1988" s="28"/>
      <c r="AF1988" s="28"/>
      <c r="AI1988" s="28"/>
      <c r="AL1988" s="28"/>
      <c r="AO1988" s="28"/>
      <c r="AR1988" s="28"/>
      <c r="AU1988" s="28"/>
      <c r="AX1988" s="28"/>
      <c r="BA1988" s="28"/>
      <c r="BD1988" s="28"/>
      <c r="BG1988" s="28"/>
      <c r="BJ1988" s="28"/>
      <c r="BM1988" s="28"/>
      <c r="BP1988" s="28"/>
      <c r="BS1988" s="28"/>
      <c r="BV1988" s="28"/>
      <c r="BY1988" s="28"/>
      <c r="CB1988" s="28"/>
      <c r="CE1988" s="28"/>
      <c r="CH1988" s="28"/>
      <c r="CK1988" s="28"/>
      <c r="CN1988" s="28"/>
      <c r="CQ1988" s="28"/>
      <c r="CT1988" s="28"/>
      <c r="CW1988" s="28"/>
      <c r="CZ1988" s="28"/>
      <c r="DC1988" s="28"/>
      <c r="DF1988" s="28"/>
      <c r="DI1988" s="28"/>
      <c r="DL1988" s="28"/>
      <c r="DO1988" s="28"/>
      <c r="DR1988" s="28"/>
      <c r="DU1988" s="28"/>
      <c r="DX1988" s="28"/>
      <c r="EA1988" s="28"/>
      <c r="ED1988" s="28"/>
      <c r="EG1988" s="28"/>
      <c r="EJ1988" s="28"/>
      <c r="EM1988" s="28"/>
      <c r="EP1988" s="28"/>
      <c r="ES1988" s="28"/>
      <c r="EV1988" s="28"/>
      <c r="EY1988" s="28"/>
      <c r="FB1988" s="28"/>
      <c r="FE1988" s="28"/>
      <c r="FH1988" s="28"/>
      <c r="FK1988" s="28"/>
      <c r="FN1988" s="28"/>
      <c r="FQ1988" s="28"/>
      <c r="FT1988" s="28"/>
      <c r="FW1988" s="28"/>
      <c r="FZ1988" s="28"/>
      <c r="GC1988" s="28"/>
    </row>
    <row r="1989" spans="1:185" s="25" customFormat="1" x14ac:dyDescent="0.3">
      <c r="A1989" s="27"/>
      <c r="B1989" s="28"/>
      <c r="C1989" s="27"/>
      <c r="D1989" s="26"/>
      <c r="E1989" s="28"/>
      <c r="H1989" s="28"/>
      <c r="K1989" s="28"/>
      <c r="N1989" s="28"/>
      <c r="Q1989" s="28"/>
      <c r="T1989" s="28"/>
      <c r="W1989" s="28"/>
      <c r="Z1989" s="28"/>
      <c r="AC1989" s="28"/>
      <c r="AF1989" s="28"/>
      <c r="AI1989" s="28"/>
      <c r="AL1989" s="28"/>
      <c r="AO1989" s="28"/>
      <c r="AR1989" s="28"/>
      <c r="AU1989" s="28"/>
      <c r="AX1989" s="28"/>
      <c r="BA1989" s="28"/>
      <c r="BD1989" s="28"/>
      <c r="BG1989" s="28"/>
      <c r="BJ1989" s="28"/>
      <c r="BM1989" s="28"/>
      <c r="BP1989" s="28"/>
      <c r="BS1989" s="28"/>
      <c r="BV1989" s="28"/>
      <c r="BY1989" s="28"/>
      <c r="CB1989" s="28"/>
      <c r="CE1989" s="28"/>
      <c r="CH1989" s="28"/>
      <c r="CK1989" s="28"/>
      <c r="CN1989" s="28"/>
      <c r="CQ1989" s="28"/>
      <c r="CT1989" s="28"/>
      <c r="CW1989" s="28"/>
      <c r="CZ1989" s="28"/>
      <c r="DC1989" s="28"/>
      <c r="DF1989" s="28"/>
      <c r="DI1989" s="28"/>
      <c r="DL1989" s="28"/>
      <c r="DO1989" s="28"/>
      <c r="DR1989" s="28"/>
      <c r="DU1989" s="28"/>
      <c r="DX1989" s="28"/>
      <c r="EA1989" s="28"/>
      <c r="ED1989" s="28"/>
      <c r="EG1989" s="28"/>
      <c r="EJ1989" s="28"/>
      <c r="EM1989" s="28"/>
      <c r="EP1989" s="28"/>
      <c r="ES1989" s="28"/>
      <c r="EV1989" s="28"/>
      <c r="EY1989" s="28"/>
      <c r="FB1989" s="28"/>
      <c r="FE1989" s="28"/>
      <c r="FH1989" s="28"/>
      <c r="FK1989" s="28"/>
      <c r="FN1989" s="28"/>
      <c r="FQ1989" s="28"/>
      <c r="FT1989" s="28"/>
      <c r="FW1989" s="28"/>
      <c r="FZ1989" s="28"/>
      <c r="GC1989" s="28"/>
    </row>
    <row r="1990" spans="1:185" s="25" customFormat="1" x14ac:dyDescent="0.3">
      <c r="A1990" s="27"/>
      <c r="B1990" s="28"/>
      <c r="C1990" s="27"/>
      <c r="D1990" s="26"/>
      <c r="E1990" s="28"/>
      <c r="H1990" s="28"/>
      <c r="K1990" s="28"/>
      <c r="N1990" s="28"/>
      <c r="Q1990" s="28"/>
      <c r="T1990" s="28"/>
      <c r="W1990" s="28"/>
      <c r="Z1990" s="28"/>
      <c r="AC1990" s="28"/>
      <c r="AF1990" s="28"/>
      <c r="AI1990" s="28"/>
      <c r="AL1990" s="28"/>
      <c r="AO1990" s="28"/>
      <c r="AR1990" s="28"/>
      <c r="AU1990" s="28"/>
      <c r="AX1990" s="28"/>
      <c r="BA1990" s="28"/>
      <c r="BD1990" s="28"/>
      <c r="BG1990" s="28"/>
      <c r="BJ1990" s="28"/>
      <c r="BM1990" s="28"/>
      <c r="BP1990" s="28"/>
      <c r="BS1990" s="28"/>
      <c r="BV1990" s="28"/>
      <c r="BY1990" s="28"/>
      <c r="CB1990" s="28"/>
      <c r="CE1990" s="28"/>
      <c r="CH1990" s="28"/>
      <c r="CK1990" s="28"/>
      <c r="CN1990" s="28"/>
      <c r="CQ1990" s="28"/>
      <c r="CT1990" s="28"/>
      <c r="CW1990" s="28"/>
      <c r="CZ1990" s="28"/>
      <c r="DC1990" s="28"/>
      <c r="DF1990" s="28"/>
      <c r="DI1990" s="28"/>
      <c r="DL1990" s="28"/>
      <c r="DO1990" s="28"/>
      <c r="DR1990" s="28"/>
      <c r="DU1990" s="28"/>
      <c r="DX1990" s="28"/>
      <c r="EA1990" s="28"/>
      <c r="ED1990" s="28"/>
      <c r="EG1990" s="28"/>
      <c r="EJ1990" s="28"/>
      <c r="EM1990" s="28"/>
      <c r="EP1990" s="28"/>
      <c r="ES1990" s="28"/>
      <c r="EV1990" s="28"/>
      <c r="EY1990" s="28"/>
      <c r="FB1990" s="28"/>
      <c r="FE1990" s="28"/>
      <c r="FH1990" s="28"/>
      <c r="FK1990" s="28"/>
      <c r="FN1990" s="28"/>
      <c r="FQ1990" s="28"/>
      <c r="FT1990" s="28"/>
      <c r="FW1990" s="28"/>
      <c r="FZ1990" s="28"/>
      <c r="GC1990" s="28"/>
    </row>
    <row r="1991" spans="1:185" s="25" customFormat="1" x14ac:dyDescent="0.3">
      <c r="A1991" s="27"/>
      <c r="B1991" s="28"/>
      <c r="C1991" s="27"/>
      <c r="D1991" s="26"/>
      <c r="E1991" s="28"/>
      <c r="H1991" s="28"/>
      <c r="K1991" s="28"/>
      <c r="N1991" s="28"/>
      <c r="Q1991" s="28"/>
      <c r="T1991" s="28"/>
      <c r="W1991" s="28"/>
      <c r="Z1991" s="28"/>
      <c r="AC1991" s="28"/>
      <c r="AF1991" s="28"/>
      <c r="AI1991" s="28"/>
      <c r="AL1991" s="28"/>
      <c r="AO1991" s="28"/>
      <c r="AR1991" s="28"/>
      <c r="AU1991" s="28"/>
      <c r="AX1991" s="28"/>
      <c r="BA1991" s="28"/>
      <c r="BD1991" s="28"/>
      <c r="BG1991" s="28"/>
      <c r="BJ1991" s="28"/>
      <c r="BM1991" s="28"/>
      <c r="BP1991" s="28"/>
      <c r="BS1991" s="28"/>
      <c r="BV1991" s="28"/>
      <c r="BY1991" s="28"/>
      <c r="CB1991" s="28"/>
      <c r="CE1991" s="28"/>
      <c r="CH1991" s="28"/>
      <c r="CK1991" s="28"/>
      <c r="CN1991" s="28"/>
      <c r="CQ1991" s="28"/>
      <c r="CT1991" s="28"/>
      <c r="CW1991" s="28"/>
      <c r="CZ1991" s="28"/>
      <c r="DC1991" s="28"/>
      <c r="DF1991" s="28"/>
      <c r="DI1991" s="28"/>
      <c r="DL1991" s="28"/>
      <c r="DO1991" s="28"/>
      <c r="DR1991" s="28"/>
      <c r="DU1991" s="28"/>
      <c r="DX1991" s="28"/>
      <c r="EA1991" s="28"/>
      <c r="ED1991" s="28"/>
      <c r="EG1991" s="28"/>
      <c r="EJ1991" s="28"/>
      <c r="EM1991" s="28"/>
      <c r="EP1991" s="28"/>
      <c r="ES1991" s="28"/>
      <c r="EV1991" s="28"/>
      <c r="EY1991" s="28"/>
      <c r="FB1991" s="28"/>
      <c r="FE1991" s="28"/>
      <c r="FH1991" s="28"/>
      <c r="FK1991" s="28"/>
      <c r="FN1991" s="28"/>
      <c r="FQ1991" s="28"/>
      <c r="FT1991" s="28"/>
      <c r="FW1991" s="28"/>
      <c r="FZ1991" s="28"/>
      <c r="GC1991" s="28"/>
    </row>
    <row r="1992" spans="1:185" s="25" customFormat="1" x14ac:dyDescent="0.3">
      <c r="A1992" s="27"/>
      <c r="B1992" s="28"/>
      <c r="C1992" s="27"/>
      <c r="D1992" s="26"/>
      <c r="E1992" s="28"/>
      <c r="H1992" s="28"/>
      <c r="K1992" s="28"/>
      <c r="N1992" s="28"/>
      <c r="Q1992" s="28"/>
      <c r="T1992" s="28"/>
      <c r="W1992" s="28"/>
      <c r="Z1992" s="28"/>
      <c r="AC1992" s="28"/>
      <c r="AF1992" s="28"/>
      <c r="AI1992" s="28"/>
      <c r="AL1992" s="28"/>
      <c r="AO1992" s="28"/>
      <c r="AR1992" s="28"/>
      <c r="AU1992" s="28"/>
      <c r="AX1992" s="28"/>
      <c r="BA1992" s="28"/>
      <c r="BD1992" s="28"/>
      <c r="BG1992" s="28"/>
      <c r="BJ1992" s="28"/>
      <c r="BM1992" s="28"/>
      <c r="BP1992" s="28"/>
      <c r="BS1992" s="28"/>
      <c r="BV1992" s="28"/>
      <c r="BY1992" s="28"/>
      <c r="CB1992" s="28"/>
      <c r="CE1992" s="28"/>
      <c r="CH1992" s="28"/>
      <c r="CK1992" s="28"/>
      <c r="CN1992" s="28"/>
      <c r="CQ1992" s="28"/>
      <c r="CT1992" s="28"/>
      <c r="CW1992" s="28"/>
      <c r="CZ1992" s="28"/>
      <c r="DC1992" s="28"/>
      <c r="DF1992" s="28"/>
      <c r="DI1992" s="28"/>
      <c r="DL1992" s="28"/>
      <c r="DO1992" s="28"/>
      <c r="DR1992" s="28"/>
      <c r="DU1992" s="28"/>
      <c r="DX1992" s="28"/>
      <c r="EA1992" s="28"/>
      <c r="ED1992" s="28"/>
      <c r="EG1992" s="28"/>
      <c r="EJ1992" s="28"/>
      <c r="EM1992" s="28"/>
      <c r="EP1992" s="28"/>
      <c r="ES1992" s="28"/>
      <c r="EV1992" s="28"/>
      <c r="EY1992" s="28"/>
      <c r="FB1992" s="28"/>
      <c r="FE1992" s="28"/>
      <c r="FH1992" s="28"/>
      <c r="FK1992" s="28"/>
      <c r="FN1992" s="28"/>
      <c r="FQ1992" s="28"/>
      <c r="FT1992" s="28"/>
      <c r="FW1992" s="28"/>
      <c r="FZ1992" s="28"/>
      <c r="GC1992" s="28"/>
    </row>
    <row r="1993" spans="1:185" s="25" customFormat="1" x14ac:dyDescent="0.3">
      <c r="A1993" s="27"/>
      <c r="B1993" s="28"/>
      <c r="C1993" s="27"/>
      <c r="D1993" s="26"/>
      <c r="E1993" s="28"/>
      <c r="H1993" s="28"/>
      <c r="K1993" s="28"/>
      <c r="N1993" s="28"/>
      <c r="Q1993" s="28"/>
      <c r="T1993" s="28"/>
      <c r="W1993" s="28"/>
      <c r="Z1993" s="28"/>
      <c r="AC1993" s="28"/>
      <c r="AF1993" s="28"/>
      <c r="AI1993" s="28"/>
      <c r="AL1993" s="28"/>
      <c r="AO1993" s="28"/>
      <c r="AR1993" s="28"/>
      <c r="AU1993" s="28"/>
      <c r="AX1993" s="28"/>
      <c r="BA1993" s="28"/>
      <c r="BD1993" s="28"/>
      <c r="BG1993" s="28"/>
      <c r="BJ1993" s="28"/>
      <c r="BM1993" s="28"/>
      <c r="BP1993" s="28"/>
      <c r="BS1993" s="28"/>
      <c r="BV1993" s="28"/>
      <c r="BY1993" s="28"/>
      <c r="CB1993" s="28"/>
      <c r="CE1993" s="28"/>
      <c r="CH1993" s="28"/>
      <c r="CK1993" s="28"/>
      <c r="CN1993" s="28"/>
      <c r="CQ1993" s="28"/>
      <c r="CT1993" s="28"/>
      <c r="CW1993" s="28"/>
      <c r="CZ1993" s="28"/>
      <c r="DC1993" s="28"/>
      <c r="DF1993" s="28"/>
      <c r="DI1993" s="28"/>
      <c r="DL1993" s="28"/>
      <c r="DO1993" s="28"/>
      <c r="DR1993" s="28"/>
      <c r="DU1993" s="28"/>
      <c r="DX1993" s="28"/>
      <c r="EA1993" s="28"/>
      <c r="ED1993" s="28"/>
      <c r="EG1993" s="28"/>
      <c r="EJ1993" s="28"/>
      <c r="EM1993" s="28"/>
      <c r="EP1993" s="28"/>
      <c r="ES1993" s="28"/>
      <c r="EV1993" s="28"/>
      <c r="EY1993" s="28"/>
      <c r="FB1993" s="28"/>
      <c r="FE1993" s="28"/>
      <c r="FH1993" s="28"/>
      <c r="FK1993" s="28"/>
      <c r="FN1993" s="28"/>
      <c r="FQ1993" s="28"/>
      <c r="FT1993" s="28"/>
      <c r="FW1993" s="28"/>
      <c r="FZ1993" s="28"/>
      <c r="GC1993" s="28"/>
    </row>
    <row r="1994" spans="1:185" s="25" customFormat="1" x14ac:dyDescent="0.3">
      <c r="A1994" s="27"/>
      <c r="B1994" s="28"/>
      <c r="C1994" s="27"/>
      <c r="D1994" s="26"/>
      <c r="E1994" s="28"/>
      <c r="H1994" s="28"/>
      <c r="K1994" s="28"/>
      <c r="N1994" s="28"/>
      <c r="Q1994" s="28"/>
      <c r="T1994" s="28"/>
      <c r="W1994" s="28"/>
      <c r="Z1994" s="28"/>
      <c r="AC1994" s="28"/>
      <c r="AF1994" s="28"/>
      <c r="AI1994" s="28"/>
      <c r="AL1994" s="28"/>
      <c r="AO1994" s="28"/>
      <c r="AR1994" s="28"/>
      <c r="AU1994" s="28"/>
      <c r="AX1994" s="28"/>
      <c r="BA1994" s="28"/>
      <c r="BD1994" s="28"/>
      <c r="BG1994" s="28"/>
      <c r="BJ1994" s="28"/>
      <c r="BM1994" s="28"/>
      <c r="BP1994" s="28"/>
      <c r="BS1994" s="28"/>
      <c r="BV1994" s="28"/>
      <c r="BY1994" s="28"/>
      <c r="CB1994" s="28"/>
      <c r="CE1994" s="28"/>
      <c r="CH1994" s="28"/>
      <c r="CK1994" s="28"/>
      <c r="CN1994" s="28"/>
      <c r="CQ1994" s="28"/>
      <c r="CT1994" s="28"/>
      <c r="CW1994" s="28"/>
      <c r="CZ1994" s="28"/>
      <c r="DC1994" s="28"/>
      <c r="DF1994" s="28"/>
      <c r="DI1994" s="28"/>
      <c r="DL1994" s="28"/>
      <c r="DO1994" s="28"/>
      <c r="DR1994" s="28"/>
      <c r="DU1994" s="28"/>
      <c r="DX1994" s="28"/>
      <c r="EA1994" s="28"/>
      <c r="ED1994" s="28"/>
      <c r="EG1994" s="28"/>
      <c r="EJ1994" s="28"/>
      <c r="EM1994" s="28"/>
      <c r="EP1994" s="28"/>
      <c r="ES1994" s="28"/>
      <c r="EV1994" s="28"/>
      <c r="EY1994" s="28"/>
      <c r="FB1994" s="28"/>
      <c r="FE1994" s="28"/>
      <c r="FH1994" s="28"/>
      <c r="FK1994" s="28"/>
      <c r="FN1994" s="28"/>
      <c r="FQ1994" s="28"/>
      <c r="FT1994" s="28"/>
      <c r="FW1994" s="28"/>
      <c r="FZ1994" s="28"/>
      <c r="GC1994" s="28"/>
    </row>
    <row r="1995" spans="1:185" s="25" customFormat="1" x14ac:dyDescent="0.3">
      <c r="A1995" s="27"/>
      <c r="B1995" s="28"/>
      <c r="C1995" s="27"/>
      <c r="D1995" s="26"/>
      <c r="E1995" s="28"/>
      <c r="H1995" s="28"/>
      <c r="K1995" s="28"/>
      <c r="N1995" s="28"/>
      <c r="Q1995" s="28"/>
      <c r="T1995" s="28"/>
      <c r="W1995" s="28"/>
      <c r="Z1995" s="28"/>
      <c r="AC1995" s="28"/>
      <c r="AF1995" s="28"/>
      <c r="AI1995" s="28"/>
      <c r="AL1995" s="28"/>
      <c r="AO1995" s="28"/>
      <c r="AR1995" s="28"/>
      <c r="AU1995" s="28"/>
      <c r="AX1995" s="28"/>
      <c r="BA1995" s="28"/>
      <c r="BD1995" s="28"/>
      <c r="BG1995" s="28"/>
      <c r="BJ1995" s="28"/>
      <c r="BM1995" s="28"/>
      <c r="BP1995" s="28"/>
      <c r="BS1995" s="28"/>
      <c r="BV1995" s="28"/>
      <c r="BY1995" s="28"/>
      <c r="CB1995" s="28"/>
      <c r="CE1995" s="28"/>
      <c r="CH1995" s="28"/>
      <c r="CK1995" s="28"/>
      <c r="CN1995" s="28"/>
      <c r="CQ1995" s="28"/>
      <c r="CT1995" s="28"/>
      <c r="CW1995" s="28"/>
      <c r="CZ1995" s="28"/>
      <c r="DC1995" s="28"/>
      <c r="DF1995" s="28"/>
      <c r="DI1995" s="28"/>
      <c r="DL1995" s="28"/>
      <c r="DO1995" s="28"/>
      <c r="DR1995" s="28"/>
      <c r="DU1995" s="28"/>
      <c r="DX1995" s="28"/>
      <c r="EA1995" s="28"/>
      <c r="ED1995" s="28"/>
      <c r="EG1995" s="28"/>
      <c r="EJ1995" s="28"/>
      <c r="EM1995" s="28"/>
      <c r="EP1995" s="28"/>
      <c r="ES1995" s="28"/>
      <c r="EV1995" s="28"/>
      <c r="EY1995" s="28"/>
      <c r="FB1995" s="28"/>
      <c r="FE1995" s="28"/>
      <c r="FH1995" s="28"/>
      <c r="FK1995" s="28"/>
      <c r="FN1995" s="28"/>
      <c r="FQ1995" s="28"/>
      <c r="FT1995" s="28"/>
      <c r="FW1995" s="28"/>
      <c r="FZ1995" s="28"/>
      <c r="GC1995" s="28"/>
    </row>
    <row r="1996" spans="1:185" s="25" customFormat="1" x14ac:dyDescent="0.3">
      <c r="A1996" s="27"/>
      <c r="B1996" s="28"/>
      <c r="C1996" s="27"/>
      <c r="D1996" s="26"/>
      <c r="E1996" s="28"/>
      <c r="H1996" s="28"/>
      <c r="K1996" s="28"/>
      <c r="N1996" s="28"/>
      <c r="Q1996" s="28"/>
      <c r="T1996" s="28"/>
      <c r="W1996" s="28"/>
      <c r="Z1996" s="28"/>
      <c r="AC1996" s="28"/>
      <c r="AF1996" s="28"/>
      <c r="AI1996" s="28"/>
      <c r="AL1996" s="28"/>
      <c r="AO1996" s="28"/>
      <c r="AR1996" s="28"/>
      <c r="AU1996" s="28"/>
      <c r="AX1996" s="28"/>
      <c r="BA1996" s="28"/>
      <c r="BD1996" s="28"/>
      <c r="BG1996" s="28"/>
      <c r="BJ1996" s="28"/>
      <c r="BM1996" s="28"/>
      <c r="BP1996" s="28"/>
      <c r="BS1996" s="28"/>
      <c r="BV1996" s="28"/>
      <c r="BY1996" s="28"/>
      <c r="CB1996" s="28"/>
      <c r="CE1996" s="28"/>
      <c r="CH1996" s="28"/>
      <c r="CK1996" s="28"/>
      <c r="CN1996" s="28"/>
      <c r="CQ1996" s="28"/>
      <c r="CT1996" s="28"/>
      <c r="CW1996" s="28"/>
      <c r="CZ1996" s="28"/>
      <c r="DC1996" s="28"/>
      <c r="DF1996" s="28"/>
      <c r="DI1996" s="28"/>
      <c r="DL1996" s="28"/>
      <c r="DO1996" s="28"/>
      <c r="DR1996" s="28"/>
      <c r="DU1996" s="28"/>
      <c r="DX1996" s="28"/>
      <c r="EA1996" s="28"/>
      <c r="ED1996" s="28"/>
      <c r="EG1996" s="28"/>
      <c r="EJ1996" s="28"/>
      <c r="EM1996" s="28"/>
      <c r="EP1996" s="28"/>
      <c r="ES1996" s="28"/>
      <c r="EV1996" s="28"/>
      <c r="EY1996" s="28"/>
      <c r="FB1996" s="28"/>
      <c r="FE1996" s="28"/>
      <c r="FH1996" s="28"/>
      <c r="FK1996" s="28"/>
      <c r="FN1996" s="28"/>
      <c r="FQ1996" s="28"/>
      <c r="FT1996" s="28"/>
      <c r="FW1996" s="28"/>
      <c r="FZ1996" s="28"/>
      <c r="GC1996" s="28"/>
    </row>
    <row r="1997" spans="1:185" s="25" customFormat="1" x14ac:dyDescent="0.3">
      <c r="A1997" s="27"/>
      <c r="B1997" s="28"/>
      <c r="C1997" s="27"/>
      <c r="D1997" s="26"/>
      <c r="E1997" s="28"/>
      <c r="H1997" s="28"/>
      <c r="K1997" s="28"/>
      <c r="N1997" s="28"/>
      <c r="Q1997" s="28"/>
      <c r="T1997" s="28"/>
      <c r="W1997" s="28"/>
      <c r="Z1997" s="28"/>
      <c r="AC1997" s="28"/>
      <c r="AF1997" s="28"/>
      <c r="AI1997" s="28"/>
      <c r="AL1997" s="28"/>
      <c r="AO1997" s="28"/>
      <c r="AR1997" s="28"/>
      <c r="AU1997" s="28"/>
      <c r="AX1997" s="28"/>
      <c r="BA1997" s="28"/>
      <c r="BD1997" s="28"/>
      <c r="BG1997" s="28"/>
      <c r="BJ1997" s="28"/>
      <c r="BM1997" s="28"/>
      <c r="BP1997" s="28"/>
      <c r="BS1997" s="28"/>
      <c r="BV1997" s="28"/>
      <c r="BY1997" s="28"/>
      <c r="CB1997" s="28"/>
      <c r="CE1997" s="28"/>
      <c r="CH1997" s="28"/>
      <c r="CK1997" s="28"/>
      <c r="CN1997" s="28"/>
      <c r="CQ1997" s="28"/>
      <c r="CT1997" s="28"/>
      <c r="CW1997" s="28"/>
      <c r="CZ1997" s="28"/>
      <c r="DC1997" s="28"/>
      <c r="DF1997" s="28"/>
      <c r="DI1997" s="28"/>
      <c r="DL1997" s="28"/>
      <c r="DO1997" s="28"/>
      <c r="DR1997" s="28"/>
      <c r="DU1997" s="28"/>
      <c r="DX1997" s="28"/>
      <c r="EA1997" s="28"/>
      <c r="ED1997" s="28"/>
      <c r="EG1997" s="28"/>
      <c r="EJ1997" s="28"/>
      <c r="EM1997" s="28"/>
      <c r="EP1997" s="28"/>
      <c r="ES1997" s="28"/>
      <c r="EV1997" s="28"/>
      <c r="EY1997" s="28"/>
      <c r="FB1997" s="28"/>
      <c r="FE1997" s="28"/>
      <c r="FH1997" s="28"/>
      <c r="FK1997" s="28"/>
      <c r="FN1997" s="28"/>
      <c r="FQ1997" s="28"/>
      <c r="FT1997" s="28"/>
      <c r="FW1997" s="28"/>
      <c r="FZ1997" s="28"/>
      <c r="GC1997" s="28"/>
    </row>
    <row r="1998" spans="1:185" s="25" customFormat="1" x14ac:dyDescent="0.3">
      <c r="A1998" s="27"/>
      <c r="B1998" s="28"/>
      <c r="C1998" s="27"/>
      <c r="D1998" s="26"/>
      <c r="E1998" s="28"/>
      <c r="H1998" s="28"/>
      <c r="K1998" s="28"/>
      <c r="N1998" s="28"/>
      <c r="Q1998" s="28"/>
      <c r="T1998" s="28"/>
      <c r="W1998" s="28"/>
      <c r="Z1998" s="28"/>
      <c r="AC1998" s="28"/>
      <c r="AF1998" s="28"/>
      <c r="AI1998" s="28"/>
      <c r="AL1998" s="28"/>
      <c r="AO1998" s="28"/>
      <c r="AR1998" s="28"/>
      <c r="AU1998" s="28"/>
      <c r="AX1998" s="28"/>
      <c r="BA1998" s="28"/>
      <c r="BD1998" s="28"/>
      <c r="BG1998" s="28"/>
      <c r="BJ1998" s="28"/>
      <c r="BM1998" s="28"/>
      <c r="BP1998" s="28"/>
      <c r="BS1998" s="28"/>
      <c r="BV1998" s="28"/>
      <c r="BY1998" s="28"/>
      <c r="CB1998" s="28"/>
      <c r="CE1998" s="28"/>
      <c r="CH1998" s="28"/>
      <c r="CK1998" s="28"/>
      <c r="CN1998" s="28"/>
      <c r="CQ1998" s="28"/>
      <c r="CT1998" s="28"/>
      <c r="CW1998" s="28"/>
      <c r="CZ1998" s="28"/>
      <c r="DC1998" s="28"/>
      <c r="DF1998" s="28"/>
      <c r="DI1998" s="28"/>
      <c r="DL1998" s="28"/>
      <c r="DO1998" s="28"/>
      <c r="DR1998" s="28"/>
      <c r="DU1998" s="28"/>
      <c r="DX1998" s="28"/>
      <c r="EA1998" s="28"/>
      <c r="ED1998" s="28"/>
      <c r="EG1998" s="28"/>
      <c r="EJ1998" s="28"/>
      <c r="EM1998" s="28"/>
      <c r="EP1998" s="28"/>
      <c r="ES1998" s="28"/>
      <c r="EV1998" s="28"/>
      <c r="EY1998" s="28"/>
      <c r="FB1998" s="28"/>
      <c r="FE1998" s="28"/>
      <c r="FH1998" s="28"/>
      <c r="FK1998" s="28"/>
      <c r="FN1998" s="28"/>
      <c r="FQ1998" s="28"/>
      <c r="FT1998" s="28"/>
      <c r="FW1998" s="28"/>
      <c r="FZ1998" s="28"/>
      <c r="GC1998" s="28"/>
    </row>
    <row r="1999" spans="1:185" s="25" customFormat="1" x14ac:dyDescent="0.3">
      <c r="A1999" s="27"/>
      <c r="B1999" s="28"/>
      <c r="C1999" s="27"/>
      <c r="D1999" s="26"/>
      <c r="E1999" s="28"/>
      <c r="H1999" s="28"/>
      <c r="K1999" s="28"/>
      <c r="N1999" s="28"/>
      <c r="Q1999" s="28"/>
      <c r="T1999" s="28"/>
      <c r="W1999" s="28"/>
      <c r="Z1999" s="28"/>
      <c r="AC1999" s="28"/>
      <c r="AF1999" s="28"/>
      <c r="AI1999" s="28"/>
      <c r="AL1999" s="28"/>
      <c r="AO1999" s="28"/>
      <c r="AR1999" s="28"/>
      <c r="AU1999" s="28"/>
      <c r="AX1999" s="28"/>
      <c r="BA1999" s="28"/>
      <c r="BD1999" s="28"/>
      <c r="BG1999" s="28"/>
      <c r="BJ1999" s="28"/>
      <c r="BM1999" s="28"/>
      <c r="BP1999" s="28"/>
      <c r="BS1999" s="28"/>
      <c r="BV1999" s="28"/>
      <c r="BY1999" s="28"/>
      <c r="CB1999" s="28"/>
      <c r="CE1999" s="28"/>
      <c r="CH1999" s="28"/>
      <c r="CK1999" s="28"/>
      <c r="CN1999" s="28"/>
      <c r="CQ1999" s="28"/>
      <c r="CT1999" s="28"/>
      <c r="CW1999" s="28"/>
      <c r="CZ1999" s="28"/>
      <c r="DC1999" s="28"/>
      <c r="DF1999" s="28"/>
      <c r="DI1999" s="28"/>
      <c r="DL1999" s="28"/>
      <c r="DO1999" s="28"/>
      <c r="DR1999" s="28"/>
      <c r="DU1999" s="28"/>
      <c r="DX1999" s="28"/>
      <c r="EA1999" s="28"/>
      <c r="ED1999" s="28"/>
      <c r="EG1999" s="28"/>
      <c r="EJ1999" s="28"/>
      <c r="EM1999" s="28"/>
      <c r="EP1999" s="28"/>
      <c r="ES1999" s="28"/>
      <c r="EV1999" s="28"/>
      <c r="EY1999" s="28"/>
      <c r="FB1999" s="28"/>
      <c r="FE1999" s="28"/>
      <c r="FH1999" s="28"/>
      <c r="FK1999" s="28"/>
      <c r="FN1999" s="28"/>
      <c r="FQ1999" s="28"/>
      <c r="FT1999" s="28"/>
      <c r="FW1999" s="28"/>
      <c r="FZ1999" s="28"/>
      <c r="GC1999" s="28"/>
    </row>
    <row r="2000" spans="1:185" s="25" customFormat="1" x14ac:dyDescent="0.3">
      <c r="A2000" s="27"/>
      <c r="B2000" s="28"/>
      <c r="C2000" s="27"/>
      <c r="D2000" s="26"/>
      <c r="E2000" s="28"/>
      <c r="H2000" s="28"/>
      <c r="K2000" s="28"/>
      <c r="N2000" s="28"/>
      <c r="Q2000" s="28"/>
      <c r="T2000" s="28"/>
      <c r="W2000" s="28"/>
      <c r="Z2000" s="28"/>
      <c r="AC2000" s="28"/>
      <c r="AF2000" s="28"/>
      <c r="AI2000" s="28"/>
      <c r="AL2000" s="28"/>
      <c r="AO2000" s="28"/>
      <c r="AR2000" s="28"/>
      <c r="AU2000" s="28"/>
      <c r="AX2000" s="28"/>
      <c r="BA2000" s="28"/>
      <c r="BD2000" s="28"/>
      <c r="BG2000" s="28"/>
      <c r="BJ2000" s="28"/>
      <c r="BM2000" s="28"/>
      <c r="BP2000" s="28"/>
      <c r="BS2000" s="28"/>
      <c r="BV2000" s="28"/>
      <c r="BY2000" s="28"/>
      <c r="CB2000" s="28"/>
      <c r="CE2000" s="28"/>
      <c r="CH2000" s="28"/>
      <c r="CK2000" s="28"/>
      <c r="CN2000" s="28"/>
      <c r="CQ2000" s="28"/>
      <c r="CT2000" s="28"/>
      <c r="CW2000" s="28"/>
      <c r="CZ2000" s="28"/>
      <c r="DC2000" s="28"/>
      <c r="DF2000" s="28"/>
      <c r="DI2000" s="28"/>
      <c r="DL2000" s="28"/>
      <c r="DO2000" s="28"/>
      <c r="DR2000" s="28"/>
      <c r="DU2000" s="28"/>
      <c r="DX2000" s="28"/>
      <c r="EA2000" s="28"/>
      <c r="ED2000" s="28"/>
      <c r="EG2000" s="28"/>
      <c r="EJ2000" s="28"/>
      <c r="EM2000" s="28"/>
      <c r="EP2000" s="28"/>
      <c r="ES2000" s="28"/>
      <c r="EV2000" s="28"/>
      <c r="EY2000" s="28"/>
      <c r="FB2000" s="28"/>
      <c r="FE2000" s="28"/>
      <c r="FH2000" s="28"/>
      <c r="FK2000" s="28"/>
      <c r="FN2000" s="28"/>
      <c r="FQ2000" s="28"/>
      <c r="FT2000" s="28"/>
      <c r="FW2000" s="28"/>
      <c r="FZ2000" s="28"/>
      <c r="GC2000" s="2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8F28B-DA3E-47EB-B35F-473BDF92F76B}">
  <sheetPr codeName="Blad11"/>
  <dimension ref="A1:XFC15746"/>
  <sheetViews>
    <sheetView showGridLines="0" showRowColHeaders="0" zoomScaleNormal="100" workbookViewId="0">
      <selection activeCell="E1" sqref="E1"/>
    </sheetView>
  </sheetViews>
  <sheetFormatPr defaultColWidth="0" defaultRowHeight="14.4" zeroHeight="1" x14ac:dyDescent="0.3"/>
  <cols>
    <col min="1" max="1" width="17.33203125" style="25" customWidth="1"/>
    <col min="2" max="2" width="27.77734375" style="25" customWidth="1"/>
    <col min="3" max="3" width="17.33203125" style="25" customWidth="1"/>
    <col min="4" max="4" width="27.77734375" style="25" customWidth="1"/>
    <col min="5" max="5" width="0.5546875" style="23" customWidth="1"/>
    <col min="6" max="16383" width="9.109375" style="23" hidden="1"/>
    <col min="16384" max="16384" width="4.6640625" style="23" hidden="1" customWidth="1"/>
  </cols>
  <sheetData>
    <row r="1" spans="1:4" ht="52.8" x14ac:dyDescent="0.3">
      <c r="A1" s="128" t="str">
        <f>IF(A2="","",IF(ISNUMBER(LOOKUP("Â",Code128(A2),1)),"Error!",Code128(A2)))</f>
        <v/>
      </c>
      <c r="B1" s="128"/>
      <c r="C1" s="128" t="str">
        <f>IF(C2="","",IF(ISNUMBER(LOOKUP("Â",Code128(C2),1)),"Error!",Code128(C2)))</f>
        <v/>
      </c>
      <c r="D1" s="128"/>
    </row>
    <row r="2" spans="1:4" x14ac:dyDescent="0.3">
      <c r="A2" s="105" t="str">
        <f>IF(DB!A3=0,"",DB!A3)</f>
        <v/>
      </c>
      <c r="B2" s="106" t="str">
        <f>IF(DB!A3=0,"",CONCATENATE("  ",DB!B3))</f>
        <v/>
      </c>
      <c r="C2" s="105" t="str">
        <f>IF(DB!A4=0,"",DB!A4)</f>
        <v/>
      </c>
      <c r="D2" s="106" t="str">
        <f>IF(DB!A3=0,"",CONCATENATE("  ",DB!B4))</f>
        <v/>
      </c>
    </row>
    <row r="3" spans="1:4" ht="52.8" x14ac:dyDescent="0.3">
      <c r="A3" s="128" t="str">
        <f>IF(A4="","",IF(ISNUMBER(LOOKUP("Â",Code128(A4),1)),"Error!",Code128(A4)))</f>
        <v/>
      </c>
      <c r="B3" s="128"/>
      <c r="C3" s="128" t="str">
        <f>IF(C4="","",IF(ISNUMBER(LOOKUP("Â",Code128(C4),1)),"Error!",Code128(C4)))</f>
        <v/>
      </c>
      <c r="D3" s="128"/>
    </row>
    <row r="4" spans="1:4" x14ac:dyDescent="0.3">
      <c r="A4" s="105" t="str">
        <f>IF(DB!A5=0,"",DB!A5)</f>
        <v/>
      </c>
      <c r="B4" s="106" t="str">
        <f>IF(DB!A5=0,"",CONCATENATE("  ",DB!B5))</f>
        <v/>
      </c>
      <c r="C4" s="105" t="str">
        <f>IF(DB!A6=0,"",DB!A6)</f>
        <v/>
      </c>
      <c r="D4" s="106" t="str">
        <f>IF(DB!A5=0,"",CONCATENATE("  ",DB!B6))</f>
        <v/>
      </c>
    </row>
    <row r="5" spans="1:4" ht="52.8" x14ac:dyDescent="0.3">
      <c r="A5" s="128" t="str">
        <f>IF(A6="","",IF(ISNUMBER(LOOKUP("Â",Code128(A6),1)),"Error!",Code128(A6)))</f>
        <v/>
      </c>
      <c r="B5" s="128"/>
      <c r="C5" s="128" t="str">
        <f>IF(C6="","",IF(ISNUMBER(LOOKUP("Â",Code128(C6),1)),"Error!",Code128(C6)))</f>
        <v/>
      </c>
      <c r="D5" s="128"/>
    </row>
    <row r="6" spans="1:4" x14ac:dyDescent="0.3">
      <c r="A6" s="105" t="str">
        <f>IF(DB!A7=0,"",DB!A7)</f>
        <v/>
      </c>
      <c r="B6" s="106" t="str">
        <f>IF(DB!A7=0,"",CONCATENATE("  ",DB!B7))</f>
        <v/>
      </c>
      <c r="C6" s="105" t="str">
        <f>IF(DB!A8=0,"",DB!A8)</f>
        <v/>
      </c>
      <c r="D6" s="106" t="str">
        <f>IF(DB!A7=0,"",CONCATENATE("  ",DB!B8))</f>
        <v/>
      </c>
    </row>
    <row r="7" spans="1:4" ht="52.8" x14ac:dyDescent="0.3">
      <c r="A7" s="128" t="str">
        <f>IF(A8="","",IF(ISNUMBER(LOOKUP("Â",Code128(A8),1)),"Error!",Code128(A8)))</f>
        <v/>
      </c>
      <c r="B7" s="128"/>
      <c r="C7" s="128" t="str">
        <f>IF(C8="","",IF(ISNUMBER(LOOKUP("Â",Code128(C8),1)),"Error!",Code128(C8)))</f>
        <v/>
      </c>
      <c r="D7" s="128"/>
    </row>
    <row r="8" spans="1:4" x14ac:dyDescent="0.3">
      <c r="A8" s="105" t="str">
        <f>IF(DB!A9=0,"",DB!A9)</f>
        <v/>
      </c>
      <c r="B8" s="106" t="str">
        <f>IF(DB!A9=0,"",CONCATENATE("  ",DB!B9))</f>
        <v/>
      </c>
      <c r="C8" s="105" t="str">
        <f>IF(DB!A10=0,"",DB!A10)</f>
        <v/>
      </c>
      <c r="D8" s="106" t="str">
        <f>IF(DB!A9=0,"",CONCATENATE("  ",DB!B10))</f>
        <v/>
      </c>
    </row>
    <row r="9" spans="1:4" ht="52.8" x14ac:dyDescent="0.3">
      <c r="A9" s="128" t="str">
        <f>IF(A10="","",IF(ISNUMBER(LOOKUP("Â",Code128(A10),1)),"Error!",Code128(A10)))</f>
        <v/>
      </c>
      <c r="B9" s="128"/>
      <c r="C9" s="128" t="str">
        <f>IF(C10="","",IF(ISNUMBER(LOOKUP("Â",Code128(C10),1)),"Error!",Code128(C10)))</f>
        <v/>
      </c>
      <c r="D9" s="128"/>
    </row>
    <row r="10" spans="1:4" x14ac:dyDescent="0.3">
      <c r="A10" s="105" t="str">
        <f>IF(DB!A11=0,"",DB!A11)</f>
        <v/>
      </c>
      <c r="B10" s="106" t="str">
        <f>IF(DB!A11=0,"",CONCATENATE("  ",DB!B11))</f>
        <v/>
      </c>
      <c r="C10" s="105" t="str">
        <f>IF(DB!A12=0,"",DB!A12)</f>
        <v/>
      </c>
      <c r="D10" s="106" t="str">
        <f>IF(DB!A11=0,"",CONCATENATE("  ",DB!B12))</f>
        <v/>
      </c>
    </row>
    <row r="11" spans="1:4" ht="52.8" x14ac:dyDescent="0.3">
      <c r="A11" s="128" t="str">
        <f>IF(A12="","",IF(ISNUMBER(LOOKUP("Â",Code128(A12),1)),"Error!",Code128(A12)))</f>
        <v/>
      </c>
      <c r="B11" s="128"/>
      <c r="C11" s="128" t="str">
        <f>IF(C12="","",IF(ISNUMBER(LOOKUP("Â",Code128(C12),1)),"Error!",Code128(C12)))</f>
        <v/>
      </c>
      <c r="D11" s="128"/>
    </row>
    <row r="12" spans="1:4" x14ac:dyDescent="0.3">
      <c r="A12" s="105" t="str">
        <f>IF(DB!A13=0,"",DB!A13)</f>
        <v/>
      </c>
      <c r="B12" s="106" t="str">
        <f>IF(DB!A13=0,"",CONCATENATE("  ",DB!B13))</f>
        <v/>
      </c>
      <c r="C12" s="105" t="str">
        <f>IF(DB!A14=0,"",DB!A14)</f>
        <v/>
      </c>
      <c r="D12" s="106" t="str">
        <f>IF(DB!A13=0,"",CONCATENATE("  ",DB!B14))</f>
        <v/>
      </c>
    </row>
    <row r="13" spans="1:4" ht="52.8" x14ac:dyDescent="0.3">
      <c r="A13" s="128" t="str">
        <f>IF(A14="","",IF(ISNUMBER(LOOKUP("Â",Code128(A14),1)),"Error!",Code128(A14)))</f>
        <v/>
      </c>
      <c r="B13" s="128"/>
      <c r="C13" s="128" t="str">
        <f>IF(C14="","",IF(ISNUMBER(LOOKUP("Â",Code128(C14),1)),"Error!",Code128(C14)))</f>
        <v/>
      </c>
      <c r="D13" s="128"/>
    </row>
    <row r="14" spans="1:4" x14ac:dyDescent="0.3">
      <c r="A14" s="105" t="str">
        <f>IF(DB!A15=0,"",DB!A15)</f>
        <v/>
      </c>
      <c r="B14" s="106" t="str">
        <f>IF(DB!A15=0,"",CONCATENATE("  ",DB!B15))</f>
        <v/>
      </c>
      <c r="C14" s="105" t="str">
        <f>IF(DB!A16=0,"",DB!A16)</f>
        <v/>
      </c>
      <c r="D14" s="106" t="str">
        <f>IF(DB!A15=0,"",CONCATENATE("  ",DB!B16))</f>
        <v/>
      </c>
    </row>
    <row r="15" spans="1:4" ht="52.8" x14ac:dyDescent="0.3">
      <c r="A15" s="128" t="str">
        <f>IF(A16="","",IF(ISNUMBER(LOOKUP("Â",Code128(A16),1)),"Error!",Code128(A16)))</f>
        <v/>
      </c>
      <c r="B15" s="128"/>
      <c r="C15" s="128" t="str">
        <f>IF(C16="","",IF(ISNUMBER(LOOKUP("Â",Code128(C16),1)),"Error!",Code128(C16)))</f>
        <v/>
      </c>
      <c r="D15" s="128"/>
    </row>
    <row r="16" spans="1:4" x14ac:dyDescent="0.3">
      <c r="A16" s="105" t="str">
        <f>IF(DB!A17=0,"",DB!A17)</f>
        <v/>
      </c>
      <c r="B16" s="106" t="str">
        <f>IF(DB!A17=0,"",CONCATENATE("  ",DB!B17))</f>
        <v/>
      </c>
      <c r="C16" s="105" t="str">
        <f>IF(DB!A18=0,"",DB!A18)</f>
        <v/>
      </c>
      <c r="D16" s="106" t="str">
        <f>IF(DB!A17=0,"",CONCATENATE("  ",DB!B18))</f>
        <v/>
      </c>
    </row>
    <row r="17" spans="1:4" ht="52.8" x14ac:dyDescent="0.3">
      <c r="A17" s="128" t="str">
        <f>IF(A18="","",IF(ISNUMBER(LOOKUP("Â",Code128(A18),1)),"Error!",Code128(A18)))</f>
        <v/>
      </c>
      <c r="B17" s="128"/>
      <c r="C17" s="128" t="str">
        <f>IF(C18="","",IF(ISNUMBER(LOOKUP("Â",Code128(C18),1)),"Error!",Code128(C18)))</f>
        <v/>
      </c>
      <c r="D17" s="128"/>
    </row>
    <row r="18" spans="1:4" x14ac:dyDescent="0.3">
      <c r="A18" s="105" t="str">
        <f>IF(DB!A19=0,"",DB!A19)</f>
        <v/>
      </c>
      <c r="B18" s="106" t="str">
        <f>IF(DB!A19=0,"",CONCATENATE("  ",DB!B19))</f>
        <v/>
      </c>
      <c r="C18" s="105" t="str">
        <f>IF(DB!A20=0,"",DB!A20)</f>
        <v/>
      </c>
      <c r="D18" s="106" t="str">
        <f>IF(DB!A19=0,"",CONCATENATE("  ",DB!B20))</f>
        <v/>
      </c>
    </row>
    <row r="19" spans="1:4" ht="52.8" x14ac:dyDescent="0.3">
      <c r="A19" s="128" t="str">
        <f>IF(A20="","",IF(ISNUMBER(LOOKUP("Â",Code128(A20),1)),"Error!",Code128(A20)))</f>
        <v/>
      </c>
      <c r="B19" s="128"/>
      <c r="C19" s="128" t="str">
        <f>IF(C20="","",IF(ISNUMBER(LOOKUP("Â",Code128(C20),1)),"Error!",Code128(C20)))</f>
        <v/>
      </c>
      <c r="D19" s="128"/>
    </row>
    <row r="20" spans="1:4" x14ac:dyDescent="0.3">
      <c r="A20" s="105" t="str">
        <f>IF(DB!A21=0,"",DB!A21)</f>
        <v/>
      </c>
      <c r="B20" s="106" t="str">
        <f>IF(DB!A21=0,"",CONCATENATE("  ",DB!B21))</f>
        <v/>
      </c>
      <c r="C20" s="105" t="str">
        <f>IF(DB!A22=0,"",DB!A22)</f>
        <v/>
      </c>
      <c r="D20" s="106" t="str">
        <f>IF(DB!A21=0,"",CONCATENATE("  ",DB!B22))</f>
        <v/>
      </c>
    </row>
    <row r="21" spans="1:4" ht="52.8" x14ac:dyDescent="0.3">
      <c r="A21" s="128" t="str">
        <f>IF(A22="","",IF(ISNUMBER(LOOKUP("Â",Code128(A22),1)),"Error!",Code128(A22)))</f>
        <v/>
      </c>
      <c r="B21" s="128"/>
      <c r="C21" s="128" t="str">
        <f>IF(C22="","",IF(ISNUMBER(LOOKUP("Â",Code128(C22),1)),"Error!",Code128(C22)))</f>
        <v/>
      </c>
      <c r="D21" s="128"/>
    </row>
    <row r="22" spans="1:4" x14ac:dyDescent="0.3">
      <c r="A22" s="105" t="str">
        <f>IF(DB!A23=0,"",DB!A23)</f>
        <v/>
      </c>
      <c r="B22" s="106" t="str">
        <f>IF(DB!A23=0,"",CONCATENATE("  ",DB!B23))</f>
        <v/>
      </c>
      <c r="C22" s="105" t="str">
        <f>IF(DB!A24=0,"",DB!A24)</f>
        <v/>
      </c>
      <c r="D22" s="106" t="str">
        <f>IF(DB!A23=0,"",CONCATENATE("  ",DB!B24))</f>
        <v/>
      </c>
    </row>
    <row r="23" spans="1:4" ht="52.8" x14ac:dyDescent="0.3">
      <c r="A23" s="128" t="str">
        <f>IF(A24="","",IF(ISNUMBER(LOOKUP("Â",Code128(A24),1)),"Error!",Code128(A24)))</f>
        <v/>
      </c>
      <c r="B23" s="128"/>
      <c r="C23" s="128" t="str">
        <f>IF(C24="","",IF(ISNUMBER(LOOKUP("Â",Code128(C24),1)),"Error!",Code128(C24)))</f>
        <v/>
      </c>
      <c r="D23" s="128"/>
    </row>
    <row r="24" spans="1:4" x14ac:dyDescent="0.3">
      <c r="A24" s="105" t="str">
        <f>IF(DB!A25=0,"",DB!A25)</f>
        <v/>
      </c>
      <c r="B24" s="106" t="str">
        <f>IF(DB!A25=0,"",CONCATENATE("  ",DB!B25))</f>
        <v/>
      </c>
      <c r="C24" s="105" t="str">
        <f>IF(DB!A26=0,"",DB!A26)</f>
        <v/>
      </c>
      <c r="D24" s="106" t="str">
        <f>IF(DB!A25=0,"",CONCATENATE("  ",DB!B26))</f>
        <v/>
      </c>
    </row>
    <row r="25" spans="1:4" ht="52.8" x14ac:dyDescent="0.3">
      <c r="A25" s="128" t="str">
        <f>IF(A26="","",IF(ISNUMBER(LOOKUP("Â",Code128(A26),1)),"Error!",Code128(A26)))</f>
        <v/>
      </c>
      <c r="B25" s="128"/>
      <c r="C25" s="128" t="str">
        <f>IF(C26="","",IF(ISNUMBER(LOOKUP("Â",Code128(C26),1)),"Error!",Code128(C26)))</f>
        <v/>
      </c>
      <c r="D25" s="128"/>
    </row>
    <row r="26" spans="1:4" x14ac:dyDescent="0.3">
      <c r="A26" s="105" t="str">
        <f>IF(DB!A27=0,"",DB!A27)</f>
        <v/>
      </c>
      <c r="B26" s="106" t="str">
        <f>IF(DB!A27=0,"",CONCATENATE("  ",DB!B27))</f>
        <v/>
      </c>
      <c r="C26" s="105" t="str">
        <f>IF(DB!A28=0,"",DB!A28)</f>
        <v/>
      </c>
      <c r="D26" s="106" t="str">
        <f>IF(DB!A27=0,"",CONCATENATE("  ",DB!B28))</f>
        <v/>
      </c>
    </row>
    <row r="27" spans="1:4" ht="52.8" x14ac:dyDescent="0.3">
      <c r="A27" s="128" t="str">
        <f>IF(A28="","",IF(ISNUMBER(LOOKUP("Â",Code128(A28),1)),"Error!",Code128(A28)))</f>
        <v/>
      </c>
      <c r="B27" s="128"/>
      <c r="C27" s="128" t="str">
        <f>IF(C28="","",IF(ISNUMBER(LOOKUP("Â",Code128(C28),1)),"Error!",Code128(C28)))</f>
        <v/>
      </c>
      <c r="D27" s="128"/>
    </row>
    <row r="28" spans="1:4" x14ac:dyDescent="0.3">
      <c r="A28" s="105" t="str">
        <f>IF(DB!A29=0,"",DB!A29)</f>
        <v/>
      </c>
      <c r="B28" s="106" t="str">
        <f>IF(DB!A29=0,"",CONCATENATE("  ",DB!B29))</f>
        <v/>
      </c>
      <c r="C28" s="105" t="str">
        <f>IF(DB!A30=0,"",DB!A30)</f>
        <v/>
      </c>
      <c r="D28" s="106" t="str">
        <f>IF(DB!A29=0,"",CONCATENATE("  ",DB!B30))</f>
        <v/>
      </c>
    </row>
    <row r="29" spans="1:4" ht="52.8" x14ac:dyDescent="0.3">
      <c r="A29" s="128" t="str">
        <f>IF(A30="","",IF(ISNUMBER(LOOKUP("Â",Code128(A30),1)),"Error!",Code128(A30)))</f>
        <v/>
      </c>
      <c r="B29" s="128"/>
      <c r="C29" s="128" t="str">
        <f>IF(C30="","",IF(ISNUMBER(LOOKUP("Â",Code128(C30),1)),"Error!",Code128(C30)))</f>
        <v/>
      </c>
      <c r="D29" s="128"/>
    </row>
    <row r="30" spans="1:4" x14ac:dyDescent="0.3">
      <c r="A30" s="105" t="str">
        <f>IF(DB!A31=0,"",DB!A31)</f>
        <v/>
      </c>
      <c r="B30" s="106" t="str">
        <f>IF(DB!A31=0,"",CONCATENATE("  ",DB!B31))</f>
        <v/>
      </c>
      <c r="C30" s="105" t="str">
        <f>IF(DB!A32=0,"",DB!A32)</f>
        <v/>
      </c>
      <c r="D30" s="106" t="str">
        <f>IF(DB!A31=0,"",CONCATENATE("  ",DB!B32))</f>
        <v/>
      </c>
    </row>
    <row r="31" spans="1:4" ht="52.8" x14ac:dyDescent="0.3">
      <c r="A31" s="128" t="str">
        <f>IF(A32="","",IF(ISNUMBER(LOOKUP("Â",Code128(A32),1)),"Error!",Code128(A32)))</f>
        <v/>
      </c>
      <c r="B31" s="128"/>
      <c r="C31" s="128" t="str">
        <f>IF(C32="","",IF(ISNUMBER(LOOKUP("Â",Code128(C32),1)),"Error!",Code128(C32)))</f>
        <v/>
      </c>
      <c r="D31" s="128"/>
    </row>
    <row r="32" spans="1:4" x14ac:dyDescent="0.3">
      <c r="A32" s="105" t="str">
        <f>IF(DB!A33=0,"",DB!A33)</f>
        <v/>
      </c>
      <c r="B32" s="106" t="str">
        <f>IF(DB!A33=0,"",CONCATENATE("  ",DB!B33))</f>
        <v/>
      </c>
      <c r="C32" s="105" t="str">
        <f>IF(DB!A34=0,"",DB!A34)</f>
        <v/>
      </c>
      <c r="D32" s="106" t="str">
        <f>IF(DB!A33=0,"",CONCATENATE("  ",DB!B34))</f>
        <v/>
      </c>
    </row>
    <row r="33" spans="1:5" ht="52.8" x14ac:dyDescent="0.3">
      <c r="A33" s="128" t="str">
        <f>IF(A34="","",IF(ISNUMBER(LOOKUP("Â",Code128(A34),1)),"Error!",Code128(A34)))</f>
        <v/>
      </c>
      <c r="B33" s="128"/>
      <c r="C33" s="128" t="str">
        <f>IF(C34="","",IF(ISNUMBER(LOOKUP("Â",Code128(C34),1)),"Error!",Code128(C34)))</f>
        <v/>
      </c>
      <c r="D33" s="128"/>
    </row>
    <row r="34" spans="1:5" x14ac:dyDescent="0.3">
      <c r="A34" s="105" t="str">
        <f>IF(DB!A35=0,"",DB!A35)</f>
        <v/>
      </c>
      <c r="B34" s="106" t="str">
        <f>IF(DB!A35=0,"",CONCATENATE("  ",DB!B35))</f>
        <v/>
      </c>
      <c r="C34" s="105" t="str">
        <f>IF(DB!A36=0,"",DB!A36)</f>
        <v/>
      </c>
      <c r="D34" s="106" t="str">
        <f>IF(DB!A35=0,"",CONCATENATE("  ",DB!B36))</f>
        <v/>
      </c>
    </row>
    <row r="35" spans="1:5" ht="52.8" x14ac:dyDescent="0.3">
      <c r="A35" s="128" t="str">
        <f>IF(A36="","",IF(ISNUMBER(LOOKUP("Â",Code128(A36),1)),"Error!",Code128(A36)))</f>
        <v/>
      </c>
      <c r="B35" s="128"/>
      <c r="C35" s="128" t="str">
        <f>IF(C36="","",IF(ISNUMBER(LOOKUP("Â",Code128(C36),1)),"Error!",Code128(C36)))</f>
        <v/>
      </c>
      <c r="D35" s="128"/>
    </row>
    <row r="36" spans="1:5" x14ac:dyDescent="0.3">
      <c r="A36" s="105" t="str">
        <f>IF(DB!A37=0,"",DB!A37)</f>
        <v/>
      </c>
      <c r="B36" s="106" t="str">
        <f>IF(DB!A37=0,"",CONCATENATE("  ",DB!B37))</f>
        <v/>
      </c>
      <c r="C36" s="105" t="str">
        <f>IF(DB!A38=0,"",DB!A38)</f>
        <v/>
      </c>
      <c r="D36" s="106" t="str">
        <f>IF(DB!A37=0,"",CONCATENATE("  ",DB!B38))</f>
        <v/>
      </c>
    </row>
    <row r="37" spans="1:5" ht="52.8" x14ac:dyDescent="0.3">
      <c r="A37" s="128" t="str">
        <f>IF(A38="","",IF(ISNUMBER(LOOKUP("Â",Code128(A38),1)),"Error!",Code128(A38)))</f>
        <v/>
      </c>
      <c r="B37" s="128"/>
      <c r="C37" s="128" t="str">
        <f>IF(C38="","",IF(ISNUMBER(LOOKUP("Â",Code128(C38),1)),"Error!",Code128(C38)))</f>
        <v/>
      </c>
      <c r="D37" s="128"/>
    </row>
    <row r="38" spans="1:5" x14ac:dyDescent="0.3">
      <c r="A38" s="105" t="str">
        <f>IF(DB!A39=0,"",DB!A39)</f>
        <v/>
      </c>
      <c r="B38" s="106" t="str">
        <f>IF(DB!A39=0,"",CONCATENATE("  ",DB!B39))</f>
        <v/>
      </c>
      <c r="C38" s="105" t="str">
        <f>IF(DB!A40=0,"",DB!A40)</f>
        <v/>
      </c>
      <c r="D38" s="106" t="str">
        <f>IF(DB!A39=0,"",CONCATENATE("  ",DB!B40))</f>
        <v/>
      </c>
    </row>
    <row r="39" spans="1:5" ht="52.8" x14ac:dyDescent="0.3">
      <c r="A39" s="128" t="str">
        <f>IF(A40="","",IF(ISNUMBER(LOOKUP("Â",Code128(A40),1)),"Error!",Code128(A40)))</f>
        <v/>
      </c>
      <c r="B39" s="128"/>
      <c r="C39" s="128" t="str">
        <f>IF(C40="","",IF(ISNUMBER(LOOKUP("Â",Code128(C40),1)),"Error!",Code128(C40)))</f>
        <v/>
      </c>
      <c r="D39" s="128"/>
    </row>
    <row r="40" spans="1:5" x14ac:dyDescent="0.3">
      <c r="A40" s="105" t="str">
        <f>IF(DB!A41=0,"",DB!A41)</f>
        <v/>
      </c>
      <c r="B40" s="106" t="str">
        <f>IF(DB!A41=0,"",CONCATENATE("  ",DB!B41))</f>
        <v/>
      </c>
      <c r="C40" s="105" t="str">
        <f>IF(DB!A42=0,"",DB!A42)</f>
        <v/>
      </c>
      <c r="D40" s="106" t="str">
        <f>IF(DB!A41=0,"",CONCATENATE("  ",DB!B42))</f>
        <v/>
      </c>
    </row>
    <row r="41" spans="1:5" ht="52.8" x14ac:dyDescent="0.3">
      <c r="A41" s="128" t="str">
        <f>IF(A42="","",IF(ISNUMBER(LOOKUP("Â",Code128(A42),1)),"Error!",Code128(A42)))</f>
        <v/>
      </c>
      <c r="B41" s="128"/>
      <c r="C41" s="128" t="str">
        <f>IF(C42="","",IF(ISNUMBER(LOOKUP("Â",Code128(C42),1)),"Error!",Code128(C42)))</f>
        <v/>
      </c>
      <c r="D41" s="128"/>
      <c r="E41" s="23">
        <v>3</v>
      </c>
    </row>
    <row r="42" spans="1:5" x14ac:dyDescent="0.3">
      <c r="A42" s="105" t="str">
        <f>IF(DB!A43=0,"",DB!A43)</f>
        <v/>
      </c>
      <c r="B42" s="106" t="str">
        <f>IF(DB!A43=0,"",CONCATENATE("  ",DB!B43))</f>
        <v/>
      </c>
      <c r="C42" s="105" t="str">
        <f>IF(DB!A44=0,"",DB!A44)</f>
        <v/>
      </c>
      <c r="D42" s="106" t="str">
        <f>IF(DB!A43=0,"",CONCATENATE("  ",DB!B44))</f>
        <v/>
      </c>
    </row>
    <row r="43" spans="1:5" ht="52.8" x14ac:dyDescent="0.3">
      <c r="A43" s="128" t="str">
        <f>IF(A44="","",IF(ISNUMBER(LOOKUP("Â",Code128(A44),1)),"Error!",Code128(A44)))</f>
        <v/>
      </c>
      <c r="B43" s="128"/>
      <c r="C43" s="128" t="str">
        <f>IF(C44="","",IF(ISNUMBER(LOOKUP("Â",Code128(C44),1)),"Error!",Code128(C44)))</f>
        <v/>
      </c>
      <c r="D43" s="128"/>
    </row>
    <row r="44" spans="1:5" x14ac:dyDescent="0.3">
      <c r="A44" s="105" t="str">
        <f>IF(DB!A45=0,"",DB!A45)</f>
        <v/>
      </c>
      <c r="B44" s="106" t="str">
        <f>IF(DB!A45=0,"",CONCATENATE("  ",DB!B45))</f>
        <v/>
      </c>
      <c r="C44" s="105" t="str">
        <f>IF(DB!A46=0,"",DB!A46)</f>
        <v/>
      </c>
      <c r="D44" s="106" t="str">
        <f>IF(DB!A45=0,"",CONCATENATE("  ",DB!B46))</f>
        <v/>
      </c>
    </row>
    <row r="45" spans="1:5" ht="52.8" x14ac:dyDescent="0.3">
      <c r="A45" s="128" t="str">
        <f>IF(A46="","",IF(ISNUMBER(LOOKUP("Â",Code128(A46),1)),"Error!",Code128(A46)))</f>
        <v/>
      </c>
      <c r="B45" s="128"/>
      <c r="C45" s="128" t="str">
        <f>IF(C46="","",IF(ISNUMBER(LOOKUP("Â",Code128(C46),1)),"Error!",Code128(C46)))</f>
        <v/>
      </c>
      <c r="D45" s="128"/>
    </row>
    <row r="46" spans="1:5" x14ac:dyDescent="0.3">
      <c r="A46" s="105" t="str">
        <f>IF(DB!A47=0,"",DB!A47)</f>
        <v/>
      </c>
      <c r="B46" s="106" t="str">
        <f>IF(DB!A47=0,"",CONCATENATE("  ",DB!B47))</f>
        <v/>
      </c>
      <c r="C46" s="105" t="str">
        <f>IF(DB!A48=0,"",DB!A48)</f>
        <v/>
      </c>
      <c r="D46" s="106" t="str">
        <f>IF(DB!A47=0,"",CONCATENATE("  ",DB!B48))</f>
        <v/>
      </c>
    </row>
    <row r="47" spans="1:5" ht="52.8" x14ac:dyDescent="0.3">
      <c r="A47" s="128" t="str">
        <f>IF(A48="","",IF(ISNUMBER(LOOKUP("Â",Code128(A48),1)),"Error!",Code128(A48)))</f>
        <v/>
      </c>
      <c r="B47" s="128"/>
      <c r="C47" s="128" t="str">
        <f>IF(C48="","",IF(ISNUMBER(LOOKUP("Â",Code128(C48),1)),"Error!",Code128(C48)))</f>
        <v/>
      </c>
      <c r="D47" s="128"/>
    </row>
    <row r="48" spans="1:5" x14ac:dyDescent="0.3">
      <c r="A48" s="105" t="str">
        <f>IF(DB!A49=0,"",DB!A49)</f>
        <v/>
      </c>
      <c r="B48" s="106" t="str">
        <f>IF(DB!A49=0,"",CONCATENATE("  ",DB!B49))</f>
        <v/>
      </c>
      <c r="C48" s="105" t="str">
        <f>IF(DB!A50=0,"",DB!A50)</f>
        <v/>
      </c>
      <c r="D48" s="106" t="str">
        <f>IF(DB!A49=0,"",CONCATENATE("  ",DB!B50))</f>
        <v/>
      </c>
    </row>
    <row r="49" spans="1:5" ht="52.8" x14ac:dyDescent="0.3">
      <c r="A49" s="128" t="str">
        <f>IF(A50="","",IF(ISNUMBER(LOOKUP("Â",Code128(A50),1)),"Error!",Code128(A50)))</f>
        <v/>
      </c>
      <c r="B49" s="128"/>
      <c r="C49" s="128" t="str">
        <f>IF(C50="","",IF(ISNUMBER(LOOKUP("Â",Code128(C50),1)),"Error!",Code128(C50)))</f>
        <v/>
      </c>
      <c r="D49" s="128"/>
    </row>
    <row r="50" spans="1:5" x14ac:dyDescent="0.3">
      <c r="A50" s="105" t="str">
        <f>IF(DB!A51=0,"",DB!A51)</f>
        <v/>
      </c>
      <c r="B50" s="106" t="str">
        <f>IF(DB!A51=0,"",CONCATENATE("  ",DB!B51))</f>
        <v/>
      </c>
      <c r="C50" s="105" t="str">
        <f>IF(DB!A52=0,"",DB!A52)</f>
        <v/>
      </c>
      <c r="D50" s="106" t="str">
        <f>IF(DB!A51=0,"",CONCATENATE("  ",DB!B52))</f>
        <v/>
      </c>
    </row>
    <row r="51" spans="1:5" ht="52.8" x14ac:dyDescent="0.3">
      <c r="A51" s="128" t="str">
        <f>IF(A52="","",IF(ISNUMBER(LOOKUP("Â",Code128(A52),1)),"Error!",Code128(A52)))</f>
        <v/>
      </c>
      <c r="B51" s="128"/>
      <c r="C51" s="128" t="str">
        <f>IF(C52="","",IF(ISNUMBER(LOOKUP("Â",Code128(C52),1)),"Error!",Code128(C52)))</f>
        <v/>
      </c>
      <c r="D51" s="128"/>
    </row>
    <row r="52" spans="1:5" x14ac:dyDescent="0.3">
      <c r="A52" s="105" t="str">
        <f>IF(DB!A53=0,"",DB!A53)</f>
        <v/>
      </c>
      <c r="B52" s="106" t="str">
        <f>IF(DB!A53=0,"",CONCATENATE("  ",DB!B53))</f>
        <v/>
      </c>
      <c r="C52" s="105" t="str">
        <f>IF(DB!A54=0,"",DB!A54)</f>
        <v/>
      </c>
      <c r="D52" s="106" t="str">
        <f>IF(DB!A53=0,"",CONCATENATE("  ",DB!B54))</f>
        <v/>
      </c>
    </row>
    <row r="53" spans="1:5" ht="52.8" x14ac:dyDescent="0.3">
      <c r="A53" s="128" t="str">
        <f>IF(A54="","",IF(ISNUMBER(LOOKUP("Â",Code128(A54),1)),"Error!",Code128(A54)))</f>
        <v/>
      </c>
      <c r="B53" s="128"/>
      <c r="C53" s="128" t="str">
        <f>IF(C54="","",IF(ISNUMBER(LOOKUP("Â",Code128(C54),1)),"Error!",Code128(C54)))</f>
        <v/>
      </c>
      <c r="D53" s="128"/>
    </row>
    <row r="54" spans="1:5" x14ac:dyDescent="0.3">
      <c r="A54" s="105" t="str">
        <f>IF(DB!A55=0,"",DB!A55)</f>
        <v/>
      </c>
      <c r="B54" s="106" t="str">
        <f>IF(DB!A55=0,"",CONCATENATE("  ",DB!B55))</f>
        <v/>
      </c>
      <c r="C54" s="105" t="str">
        <f>IF(DB!A56=0,"",DB!A56)</f>
        <v/>
      </c>
      <c r="D54" s="106" t="str">
        <f>IF(DB!A55=0,"",CONCATENATE("  ",DB!B56))</f>
        <v/>
      </c>
    </row>
    <row r="55" spans="1:5" ht="52.8" x14ac:dyDescent="0.3">
      <c r="A55" s="128" t="str">
        <f>IF(A56="","",IF(ISNUMBER(LOOKUP("Â",Code128(A56),1)),"Error!",Code128(A56)))</f>
        <v/>
      </c>
      <c r="B55" s="128"/>
      <c r="C55" s="128" t="str">
        <f>IF(C56="","",IF(ISNUMBER(LOOKUP("Â",Code128(C56),1)),"Error!",Code128(C56)))</f>
        <v/>
      </c>
      <c r="D55" s="128"/>
    </row>
    <row r="56" spans="1:5" x14ac:dyDescent="0.3">
      <c r="A56" s="105" t="str">
        <f>IF(DB!A57=0,"",DB!A57)</f>
        <v/>
      </c>
      <c r="B56" s="106" t="str">
        <f>IF(DB!A57=0,"",CONCATENATE("  ",DB!B57))</f>
        <v/>
      </c>
      <c r="C56" s="105" t="str">
        <f>IF(DB!A58=0,"",DB!A58)</f>
        <v/>
      </c>
      <c r="D56" s="106" t="str">
        <f>IF(DB!A57=0,"",CONCATENATE("  ",DB!B58))</f>
        <v/>
      </c>
    </row>
    <row r="57" spans="1:5" ht="52.8" x14ac:dyDescent="0.3">
      <c r="A57" s="128" t="str">
        <f>IF(A58="","",IF(ISNUMBER(LOOKUP("Â",Code128(A58),1)),"Error!",Code128(A58)))</f>
        <v/>
      </c>
      <c r="B57" s="128"/>
      <c r="C57" s="128" t="str">
        <f>IF(C58="","",IF(ISNUMBER(LOOKUP("Â",Code128(C58),1)),"Error!",Code128(C58)))</f>
        <v/>
      </c>
      <c r="D57" s="128"/>
    </row>
    <row r="58" spans="1:5" x14ac:dyDescent="0.3">
      <c r="A58" s="105" t="str">
        <f>IF(DB!A59=0,"",DB!A59)</f>
        <v/>
      </c>
      <c r="B58" s="106" t="str">
        <f>IF(DB!A59=0,"",CONCATENATE("  ",DB!B59))</f>
        <v/>
      </c>
      <c r="C58" s="105" t="str">
        <f>IF(DB!A60=0,"",DB!A60)</f>
        <v/>
      </c>
      <c r="D58" s="106" t="str">
        <f>IF(DB!A59=0,"",CONCATENATE("  ",DB!B60))</f>
        <v/>
      </c>
    </row>
    <row r="59" spans="1:5" ht="52.8" x14ac:dyDescent="0.3">
      <c r="A59" s="128" t="str">
        <f>IF(A60="","",IF(ISNUMBER(LOOKUP("Â",Code128(A60),1)),"Error!",Code128(A60)))</f>
        <v/>
      </c>
      <c r="B59" s="128"/>
      <c r="C59" s="128" t="str">
        <f>IF(C60="","",IF(ISNUMBER(LOOKUP("Â",Code128(C60),1)),"Error!",Code128(C60)))</f>
        <v/>
      </c>
      <c r="D59" s="128"/>
    </row>
    <row r="60" spans="1:5" x14ac:dyDescent="0.3">
      <c r="A60" s="105" t="str">
        <f>IF(DB!A61=0,"",DB!A61)</f>
        <v/>
      </c>
      <c r="B60" s="106" t="str">
        <f>IF(DB!A61=0,"",CONCATENATE("  ",DB!B61))</f>
        <v/>
      </c>
      <c r="C60" s="105" t="str">
        <f>IF(DB!A62=0,"",DB!A62)</f>
        <v/>
      </c>
      <c r="D60" s="106" t="str">
        <f>IF(DB!A61=0,"",CONCATENATE("  ",DB!B62))</f>
        <v/>
      </c>
    </row>
    <row r="61" spans="1:5" ht="52.8" x14ac:dyDescent="0.3">
      <c r="A61" s="128" t="str">
        <f>IF(A62="","",IF(ISNUMBER(LOOKUP("Â",Code128(A62),1)),"Error!",Code128(A62)))</f>
        <v/>
      </c>
      <c r="B61" s="128"/>
      <c r="C61" s="128" t="str">
        <f>IF(C62="","",IF(ISNUMBER(LOOKUP("Â",Code128(C62),1)),"Error!",Code128(C62)))</f>
        <v/>
      </c>
      <c r="D61" s="128"/>
    </row>
    <row r="62" spans="1:5" x14ac:dyDescent="0.3">
      <c r="A62" s="105" t="str">
        <f>IF(DB!A63=0,"",DB!A63)</f>
        <v/>
      </c>
      <c r="B62" s="106" t="str">
        <f>IF(DB!A63=0,"",CONCATENATE("  ",DB!B63))</f>
        <v/>
      </c>
      <c r="C62" s="105" t="str">
        <f>IF(DB!A64=0,"",DB!A64)</f>
        <v/>
      </c>
      <c r="D62" s="106" t="str">
        <f>IF(DB!A63=0,"",CONCATENATE("  ",DB!B64))</f>
        <v/>
      </c>
      <c r="E62" s="23">
        <v>4</v>
      </c>
    </row>
    <row r="63" spans="1:5" ht="52.8" x14ac:dyDescent="0.3">
      <c r="A63" s="128" t="str">
        <f>IF(A64="","",IF(ISNUMBER(LOOKUP("Â",Code128(A64),1)),"Error!",Code128(A64)))</f>
        <v/>
      </c>
      <c r="B63" s="128"/>
      <c r="C63" s="128" t="str">
        <f>IF(C64="","",IF(ISNUMBER(LOOKUP("Â",Code128(C64),1)),"Error!",Code128(C64)))</f>
        <v/>
      </c>
      <c r="D63" s="128"/>
    </row>
    <row r="64" spans="1:5" x14ac:dyDescent="0.3">
      <c r="A64" s="105" t="str">
        <f>IF(DB!A65=0,"",DB!A65)</f>
        <v/>
      </c>
      <c r="B64" s="106" t="str">
        <f>IF(DB!A65=0,"",CONCATENATE("  ",DB!B65))</f>
        <v/>
      </c>
      <c r="C64" s="105" t="str">
        <f>IF(DB!A66=0,"",DB!A66)</f>
        <v/>
      </c>
      <c r="D64" s="106" t="str">
        <f>IF(DB!A65=0,"",CONCATENATE("  ",DB!B66))</f>
        <v/>
      </c>
    </row>
    <row r="65" spans="1:4" ht="52.8" x14ac:dyDescent="0.3">
      <c r="A65" s="128" t="str">
        <f>IF(A66="","",IF(ISNUMBER(LOOKUP("Â",Code128(A66),1)),"Error!",Code128(A66)))</f>
        <v/>
      </c>
      <c r="B65" s="128"/>
      <c r="C65" s="128" t="str">
        <f>IF(C66="","",IF(ISNUMBER(LOOKUP("Â",Code128(C66),1)),"Error!",Code128(C66)))</f>
        <v/>
      </c>
      <c r="D65" s="128"/>
    </row>
    <row r="66" spans="1:4" x14ac:dyDescent="0.3">
      <c r="A66" s="105" t="str">
        <f>IF(DB!A67=0,"",DB!A67)</f>
        <v/>
      </c>
      <c r="B66" s="106" t="str">
        <f>IF(DB!A67=0,"",CONCATENATE("  ",DB!B67))</f>
        <v/>
      </c>
      <c r="C66" s="105" t="str">
        <f>IF(DB!A68=0,"",DB!A68)</f>
        <v/>
      </c>
      <c r="D66" s="106" t="str">
        <f>IF(DB!A67=0,"",CONCATENATE("  ",DB!B68))</f>
        <v/>
      </c>
    </row>
    <row r="67" spans="1:4" ht="52.8" x14ac:dyDescent="0.3">
      <c r="A67" s="128" t="str">
        <f>IF(A68="","",IF(ISNUMBER(LOOKUP("Â",Code128(A68),1)),"Error!",Code128(A68)))</f>
        <v/>
      </c>
      <c r="B67" s="128"/>
      <c r="C67" s="128" t="str">
        <f>IF(C68="","",IF(ISNUMBER(LOOKUP("Â",Code128(C68),1)),"Error!",Code128(C68)))</f>
        <v/>
      </c>
      <c r="D67" s="128"/>
    </row>
    <row r="68" spans="1:4" x14ac:dyDescent="0.3">
      <c r="A68" s="105" t="str">
        <f>IF(DB!A69=0,"",DB!A69)</f>
        <v/>
      </c>
      <c r="B68" s="106" t="str">
        <f>IF(DB!A69=0,"",CONCATENATE("  ",DB!B69))</f>
        <v/>
      </c>
      <c r="C68" s="105" t="str">
        <f>IF(DB!A70=0,"",DB!A70)</f>
        <v/>
      </c>
      <c r="D68" s="106" t="str">
        <f>IF(DB!A69=0,"",CONCATENATE("  ",DB!B70))</f>
        <v/>
      </c>
    </row>
    <row r="69" spans="1:4" ht="52.8" x14ac:dyDescent="0.3">
      <c r="A69" s="128" t="str">
        <f>IF(A70="","",IF(ISNUMBER(LOOKUP("Â",Code128(A70),1)),"Error!",Code128(A70)))</f>
        <v/>
      </c>
      <c r="B69" s="128"/>
      <c r="C69" s="128" t="str">
        <f>IF(C70="","",IF(ISNUMBER(LOOKUP("Â",Code128(C70),1)),"Error!",Code128(C70)))</f>
        <v/>
      </c>
      <c r="D69" s="128"/>
    </row>
    <row r="70" spans="1:4" x14ac:dyDescent="0.3">
      <c r="A70" s="105" t="str">
        <f>IF(DB!A71=0,"",DB!A71)</f>
        <v/>
      </c>
      <c r="B70" s="106" t="str">
        <f>IF(DB!A71=0,"",CONCATENATE("  ",DB!B71))</f>
        <v/>
      </c>
      <c r="C70" s="105" t="str">
        <f>IF(DB!A72=0,"",DB!A72)</f>
        <v/>
      </c>
      <c r="D70" s="106" t="str">
        <f>IF(DB!A71=0,"",CONCATENATE("  ",DB!B72))</f>
        <v/>
      </c>
    </row>
    <row r="71" spans="1:4" ht="52.8" x14ac:dyDescent="0.3">
      <c r="A71" s="128" t="str">
        <f>IF(A72="","",IF(ISNUMBER(LOOKUP("Â",Code128(A72),1)),"Error!",Code128(A72)))</f>
        <v/>
      </c>
      <c r="B71" s="128"/>
      <c r="C71" s="128" t="str">
        <f>IF(C72="","",IF(ISNUMBER(LOOKUP("Â",Code128(C72),1)),"Error!",Code128(C72)))</f>
        <v/>
      </c>
      <c r="D71" s="128"/>
    </row>
    <row r="72" spans="1:4" x14ac:dyDescent="0.3">
      <c r="A72" s="105" t="str">
        <f>IF(DB!A73=0,"",DB!A73)</f>
        <v/>
      </c>
      <c r="B72" s="106" t="str">
        <f>IF(DB!A73=0,"",CONCATENATE("  ",DB!B73))</f>
        <v/>
      </c>
      <c r="C72" s="105" t="str">
        <f>IF(DB!A74=0,"",DB!A74)</f>
        <v/>
      </c>
      <c r="D72" s="106" t="str">
        <f>IF(DB!A73=0,"",CONCATENATE("  ",DB!B74))</f>
        <v/>
      </c>
    </row>
    <row r="73" spans="1:4" ht="52.8" x14ac:dyDescent="0.3">
      <c r="A73" s="128" t="str">
        <f>IF(A74="","",IF(ISNUMBER(LOOKUP("Â",Code128(A74),1)),"Error!",Code128(A74)))</f>
        <v/>
      </c>
      <c r="B73" s="128"/>
      <c r="C73" s="128" t="str">
        <f>IF(C74="","",IF(ISNUMBER(LOOKUP("Â",Code128(C74),1)),"Error!",Code128(C74)))</f>
        <v/>
      </c>
      <c r="D73" s="128"/>
    </row>
    <row r="74" spans="1:4" x14ac:dyDescent="0.3">
      <c r="A74" s="105" t="str">
        <f>IF(DB!A75=0,"",DB!A75)</f>
        <v/>
      </c>
      <c r="B74" s="106" t="str">
        <f>IF(DB!A75=0,"",CONCATENATE("  ",DB!B75))</f>
        <v/>
      </c>
      <c r="C74" s="105" t="str">
        <f>IF(DB!A76=0,"",DB!A76)</f>
        <v/>
      </c>
      <c r="D74" s="106" t="str">
        <f>IF(DB!A75=0,"",CONCATENATE("  ",DB!B76))</f>
        <v/>
      </c>
    </row>
    <row r="75" spans="1:4" ht="52.8" x14ac:dyDescent="0.3">
      <c r="A75" s="128" t="str">
        <f>IF(A76="","",IF(ISNUMBER(LOOKUP("Â",Code128(A76),1)),"Error!",Code128(A76)))</f>
        <v/>
      </c>
      <c r="B75" s="128"/>
      <c r="C75" s="128" t="str">
        <f>IF(C76="","",IF(ISNUMBER(LOOKUP("Â",Code128(C76),1)),"Error!",Code128(C76)))</f>
        <v/>
      </c>
      <c r="D75" s="128"/>
    </row>
    <row r="76" spans="1:4" x14ac:dyDescent="0.3">
      <c r="A76" s="105" t="str">
        <f>IF(DB!A77=0,"",DB!A77)</f>
        <v/>
      </c>
      <c r="B76" s="106" t="str">
        <f>IF(DB!A77=0,"",CONCATENATE("  ",DB!B77))</f>
        <v/>
      </c>
      <c r="C76" s="105" t="str">
        <f>IF(DB!A78=0,"",DB!A78)</f>
        <v/>
      </c>
      <c r="D76" s="106" t="str">
        <f>IF(DB!A77=0,"",CONCATENATE("  ",DB!B78))</f>
        <v/>
      </c>
    </row>
    <row r="77" spans="1:4" ht="52.8" x14ac:dyDescent="0.3">
      <c r="A77" s="128" t="str">
        <f>IF(A78="","",IF(ISNUMBER(LOOKUP("Â",Code128(A78),1)),"Error!",Code128(A78)))</f>
        <v/>
      </c>
      <c r="B77" s="128"/>
      <c r="C77" s="128" t="str">
        <f>IF(C78="","",IF(ISNUMBER(LOOKUP("Â",Code128(C78),1)),"Error!",Code128(C78)))</f>
        <v/>
      </c>
      <c r="D77" s="128"/>
    </row>
    <row r="78" spans="1:4" x14ac:dyDescent="0.3">
      <c r="A78" s="105" t="str">
        <f>IF(DB!A79=0,"",DB!A79)</f>
        <v/>
      </c>
      <c r="B78" s="106" t="str">
        <f>IF(DB!A79=0,"",CONCATENATE("  ",DB!B79))</f>
        <v/>
      </c>
      <c r="C78" s="105" t="str">
        <f>IF(DB!A80=0,"",DB!A80)</f>
        <v/>
      </c>
      <c r="D78" s="106" t="str">
        <f>IF(DB!A79=0,"",CONCATENATE("  ",DB!B80))</f>
        <v/>
      </c>
    </row>
    <row r="79" spans="1:4" ht="52.8" x14ac:dyDescent="0.3">
      <c r="A79" s="128" t="str">
        <f>IF(A80="","",IF(ISNUMBER(LOOKUP("Â",Code128(A80),1)),"Error!",Code128(A80)))</f>
        <v/>
      </c>
      <c r="B79" s="128"/>
      <c r="C79" s="128" t="str">
        <f>IF(C80="","",IF(ISNUMBER(LOOKUP("Â",Code128(C80),1)),"Error!",Code128(C80)))</f>
        <v/>
      </c>
      <c r="D79" s="128"/>
    </row>
    <row r="80" spans="1:4" x14ac:dyDescent="0.3">
      <c r="A80" s="105" t="str">
        <f>IF(DB!A81=0,"",DB!A81)</f>
        <v/>
      </c>
      <c r="B80" s="106" t="str">
        <f>IF(DB!A81=0,"",CONCATENATE("  ",DB!B81))</f>
        <v/>
      </c>
      <c r="C80" s="105" t="str">
        <f>IF(DB!A82=0,"",DB!A82)</f>
        <v/>
      </c>
      <c r="D80" s="106" t="str">
        <f>IF(DB!A81=0,"",CONCATENATE("  ",DB!B82))</f>
        <v/>
      </c>
    </row>
    <row r="81" spans="1:5" ht="52.8" x14ac:dyDescent="0.3">
      <c r="A81" s="128" t="str">
        <f>IF(A82="","",IF(ISNUMBER(LOOKUP("Â",Code128(A82),1)),"Error!",Code128(A82)))</f>
        <v/>
      </c>
      <c r="B81" s="128"/>
      <c r="C81" s="128" t="str">
        <f>IF(C82="","",IF(ISNUMBER(LOOKUP("Â",Code128(C82),1)),"Error!",Code128(C82)))</f>
        <v/>
      </c>
      <c r="D81" s="128"/>
    </row>
    <row r="82" spans="1:5" x14ac:dyDescent="0.3">
      <c r="A82" s="105" t="str">
        <f>IF(DB!A83=0,"",DB!A83)</f>
        <v/>
      </c>
      <c r="B82" s="106" t="str">
        <f>IF(DB!A83=0,"",CONCATENATE("  ",DB!B83))</f>
        <v/>
      </c>
      <c r="C82" s="105" t="str">
        <f>IF(DB!A84=0,"",DB!A84)</f>
        <v/>
      </c>
      <c r="D82" s="106" t="str">
        <f>IF(DB!A83=0,"",CONCATENATE("  ",DB!B84))</f>
        <v/>
      </c>
    </row>
    <row r="83" spans="1:5" ht="52.8" x14ac:dyDescent="0.3">
      <c r="A83" s="128" t="str">
        <f>IF(A84="","",IF(ISNUMBER(LOOKUP("Â",Code128(A84),1)),"Error!",Code128(A84)))</f>
        <v/>
      </c>
      <c r="B83" s="128"/>
      <c r="C83" s="128" t="str">
        <f>IF(C84="","",IF(ISNUMBER(LOOKUP("Â",Code128(C84),1)),"Error!",Code128(C84)))</f>
        <v/>
      </c>
      <c r="D83" s="128"/>
      <c r="E83" s="23">
        <v>5</v>
      </c>
    </row>
    <row r="84" spans="1:5" x14ac:dyDescent="0.3">
      <c r="A84" s="105" t="str">
        <f>IF(DB!A85=0,"",DB!A85)</f>
        <v/>
      </c>
      <c r="B84" s="106" t="str">
        <f>IF(DB!A85=0,"",CONCATENATE("  ",DB!B85))</f>
        <v/>
      </c>
      <c r="C84" s="105" t="str">
        <f>IF(DB!A86=0,"",DB!A86)</f>
        <v/>
      </c>
      <c r="D84" s="106" t="str">
        <f>IF(DB!A85=0,"",CONCATENATE("  ",DB!B86))</f>
        <v/>
      </c>
    </row>
    <row r="85" spans="1:5" ht="52.8" x14ac:dyDescent="0.3">
      <c r="A85" s="128" t="str">
        <f>IF(A86="","",IF(ISNUMBER(LOOKUP("Â",Code128(A86),1)),"Error!",Code128(A86)))</f>
        <v/>
      </c>
      <c r="B85" s="128"/>
      <c r="C85" s="128" t="str">
        <f>IF(C86="","",IF(ISNUMBER(LOOKUP("Â",Code128(C86),1)),"Error!",Code128(C86)))</f>
        <v/>
      </c>
      <c r="D85" s="128"/>
    </row>
    <row r="86" spans="1:5" x14ac:dyDescent="0.3">
      <c r="A86" s="105" t="str">
        <f>IF(DB!A87=0,"",DB!A87)</f>
        <v/>
      </c>
      <c r="B86" s="106" t="str">
        <f>IF(DB!A87=0,"",CONCATENATE("  ",DB!B87))</f>
        <v/>
      </c>
      <c r="C86" s="105" t="str">
        <f>IF(DB!A88=0,"",DB!A88)</f>
        <v/>
      </c>
      <c r="D86" s="106" t="str">
        <f>IF(DB!A87=0,"",CONCATENATE("  ",DB!B88))</f>
        <v/>
      </c>
    </row>
    <row r="87" spans="1:5" ht="52.8" x14ac:dyDescent="0.3">
      <c r="A87" s="128" t="str">
        <f>IF(A88="","",IF(ISNUMBER(LOOKUP("Â",Code128(A88),1)),"Error!",Code128(A88)))</f>
        <v/>
      </c>
      <c r="B87" s="128"/>
      <c r="C87" s="128" t="str">
        <f>IF(C88="","",IF(ISNUMBER(LOOKUP("Â",Code128(C88),1)),"Error!",Code128(C88)))</f>
        <v/>
      </c>
      <c r="D87" s="128"/>
    </row>
    <row r="88" spans="1:5" x14ac:dyDescent="0.3">
      <c r="A88" s="105" t="str">
        <f>IF(DB!A89=0,"",DB!A89)</f>
        <v/>
      </c>
      <c r="B88" s="106" t="str">
        <f>IF(DB!A89=0,"",CONCATENATE("  ",DB!B89))</f>
        <v/>
      </c>
      <c r="C88" s="105" t="str">
        <f>IF(DB!A90=0,"",DB!A90)</f>
        <v/>
      </c>
      <c r="D88" s="106" t="str">
        <f>IF(DB!A89=0,"",CONCATENATE("  ",DB!B90))</f>
        <v/>
      </c>
    </row>
    <row r="89" spans="1:5" ht="52.8" x14ac:dyDescent="0.3">
      <c r="A89" s="128" t="str">
        <f>IF(A90="","",IF(ISNUMBER(LOOKUP("Â",Code128(A90),1)),"Error!",Code128(A90)))</f>
        <v/>
      </c>
      <c r="B89" s="128"/>
      <c r="C89" s="128" t="str">
        <f>IF(C90="","",IF(ISNUMBER(LOOKUP("Â",Code128(C90),1)),"Error!",Code128(C90)))</f>
        <v/>
      </c>
      <c r="D89" s="128"/>
    </row>
    <row r="90" spans="1:5" x14ac:dyDescent="0.3">
      <c r="A90" s="105" t="str">
        <f>IF(DB!A91=0,"",DB!A91)</f>
        <v/>
      </c>
      <c r="B90" s="106" t="str">
        <f>IF(DB!A91=0,"",CONCATENATE("  ",DB!B91))</f>
        <v/>
      </c>
      <c r="C90" s="105" t="str">
        <f>IF(DB!A92=0,"",DB!A92)</f>
        <v/>
      </c>
      <c r="D90" s="106" t="str">
        <f>IF(DB!A91=0,"",CONCATENATE("  ",DB!B92))</f>
        <v/>
      </c>
    </row>
    <row r="91" spans="1:5" ht="52.8" x14ac:dyDescent="0.3">
      <c r="A91" s="128" t="str">
        <f>IF(A92="","",IF(ISNUMBER(LOOKUP("Â",Code128(A92),1)),"Error!",Code128(A92)))</f>
        <v/>
      </c>
      <c r="B91" s="128"/>
      <c r="C91" s="128" t="str">
        <f>IF(C92="","",IF(ISNUMBER(LOOKUP("Â",Code128(C92),1)),"Error!",Code128(C92)))</f>
        <v/>
      </c>
      <c r="D91" s="128"/>
    </row>
    <row r="92" spans="1:5" x14ac:dyDescent="0.3">
      <c r="A92" s="105" t="str">
        <f>IF(DB!A93=0,"",DB!A93)</f>
        <v/>
      </c>
      <c r="B92" s="106" t="str">
        <f>IF(DB!A93=0,"",CONCATENATE("  ",DB!B93))</f>
        <v/>
      </c>
      <c r="C92" s="105" t="str">
        <f>IF(DB!A94=0,"",DB!A94)</f>
        <v/>
      </c>
      <c r="D92" s="106" t="str">
        <f>IF(DB!A93=0,"",CONCATENATE("  ",DB!B94))</f>
        <v/>
      </c>
    </row>
    <row r="93" spans="1:5" ht="52.8" x14ac:dyDescent="0.3">
      <c r="A93" s="128" t="str">
        <f>IF(A94="","",IF(ISNUMBER(LOOKUP("Â",Code128(A94),1)),"Error!",Code128(A94)))</f>
        <v/>
      </c>
      <c r="B93" s="128"/>
      <c r="C93" s="128" t="str">
        <f>IF(C94="","",IF(ISNUMBER(LOOKUP("Â",Code128(C94),1)),"Error!",Code128(C94)))</f>
        <v/>
      </c>
      <c r="D93" s="128"/>
    </row>
    <row r="94" spans="1:5" x14ac:dyDescent="0.3">
      <c r="A94" s="105" t="str">
        <f>IF(DB!A95=0,"",DB!A95)</f>
        <v/>
      </c>
      <c r="B94" s="106" t="str">
        <f>IF(DB!A95=0,"",CONCATENATE("  ",DB!B95))</f>
        <v/>
      </c>
      <c r="C94" s="105" t="str">
        <f>IF(DB!A96=0,"",DB!A96)</f>
        <v/>
      </c>
      <c r="D94" s="106" t="str">
        <f>IF(DB!A95=0,"",CONCATENATE("  ",DB!B96))</f>
        <v/>
      </c>
    </row>
    <row r="95" spans="1:5" ht="52.8" x14ac:dyDescent="0.3">
      <c r="A95" s="128" t="str">
        <f>IF(A96="","",IF(ISNUMBER(LOOKUP("Â",Code128(A96),1)),"Error!",Code128(A96)))</f>
        <v/>
      </c>
      <c r="B95" s="128"/>
      <c r="C95" s="128" t="str">
        <f>IF(C96="","",IF(ISNUMBER(LOOKUP("Â",Code128(C96),1)),"Error!",Code128(C96)))</f>
        <v/>
      </c>
      <c r="D95" s="128"/>
    </row>
    <row r="96" spans="1:5" x14ac:dyDescent="0.3">
      <c r="A96" s="105" t="str">
        <f>IF(DB!A97=0,"",DB!A97)</f>
        <v/>
      </c>
      <c r="B96" s="106" t="str">
        <f>IF(DB!A97=0,"",CONCATENATE("  ",DB!B97))</f>
        <v/>
      </c>
      <c r="C96" s="105" t="str">
        <f>IF(DB!A98=0,"",DB!A98)</f>
        <v/>
      </c>
      <c r="D96" s="106" t="str">
        <f>IF(DB!A97=0,"",CONCATENATE("  ",DB!B98))</f>
        <v/>
      </c>
    </row>
    <row r="97" spans="1:5" ht="52.8" x14ac:dyDescent="0.3">
      <c r="A97" s="128" t="str">
        <f>IF(A98="","",IF(ISNUMBER(LOOKUP("Â",Code128(A98),1)),"Error!",Code128(A98)))</f>
        <v/>
      </c>
      <c r="B97" s="128"/>
      <c r="C97" s="128" t="str">
        <f>IF(C98="","",IF(ISNUMBER(LOOKUP("Â",Code128(C98),1)),"Error!",Code128(C98)))</f>
        <v/>
      </c>
      <c r="D97" s="128"/>
    </row>
    <row r="98" spans="1:5" x14ac:dyDescent="0.3">
      <c r="A98" s="105" t="str">
        <f>IF(DB!A99=0,"",DB!A99)</f>
        <v/>
      </c>
      <c r="B98" s="106" t="str">
        <f>IF(DB!A99=0,"",CONCATENATE("  ",DB!B99))</f>
        <v/>
      </c>
      <c r="C98" s="105" t="str">
        <f>IF(DB!A100=0,"",DB!A100)</f>
        <v/>
      </c>
      <c r="D98" s="106" t="str">
        <f>IF(DB!A99=0,"",CONCATENATE("  ",DB!B100))</f>
        <v/>
      </c>
    </row>
    <row r="99" spans="1:5" ht="52.8" x14ac:dyDescent="0.3">
      <c r="A99" s="128" t="str">
        <f>IF(A100="","",IF(ISNUMBER(LOOKUP("Â",Code128(A100),1)),"Error!",Code128(A100)))</f>
        <v/>
      </c>
      <c r="B99" s="128"/>
      <c r="C99" s="128" t="str">
        <f>IF(C100="","",IF(ISNUMBER(LOOKUP("Â",Code128(C100),1)),"Error!",Code128(C100)))</f>
        <v/>
      </c>
      <c r="D99" s="128"/>
    </row>
    <row r="100" spans="1:5" x14ac:dyDescent="0.3">
      <c r="A100" s="105" t="str">
        <f>IF(DB!A101=0,"",DB!A101)</f>
        <v/>
      </c>
      <c r="B100" s="106" t="str">
        <f>IF(DB!A101=0,"",CONCATENATE("  ",DB!B101))</f>
        <v/>
      </c>
      <c r="C100" s="105" t="str">
        <f>IF(DB!A102=0,"",DB!A102)</f>
        <v/>
      </c>
      <c r="D100" s="106" t="str">
        <f>IF(DB!A101=0,"",CONCATENATE("  ",DB!B102))</f>
        <v/>
      </c>
    </row>
    <row r="101" spans="1:5" ht="52.8" x14ac:dyDescent="0.3">
      <c r="A101" s="128" t="str">
        <f>IF(A102="","",IF(ISNUMBER(LOOKUP("Â",Code128(A102),1)),"Error!",Code128(A102)))</f>
        <v/>
      </c>
      <c r="B101" s="128"/>
      <c r="C101" s="128" t="str">
        <f>IF(C102="","",IF(ISNUMBER(LOOKUP("Â",Code128(C102),1)),"Error!",Code128(C102)))</f>
        <v/>
      </c>
      <c r="D101" s="128"/>
    </row>
    <row r="102" spans="1:5" x14ac:dyDescent="0.3">
      <c r="A102" s="105" t="str">
        <f>IF(DB!A103=0,"",DB!A103)</f>
        <v/>
      </c>
      <c r="B102" s="106" t="str">
        <f>IF(DB!A103=0,"",CONCATENATE("  ",DB!B103))</f>
        <v/>
      </c>
      <c r="C102" s="105" t="str">
        <f>IF(DB!A104=0,"",DB!A104)</f>
        <v/>
      </c>
      <c r="D102" s="106" t="str">
        <f>IF(DB!A103=0,"",CONCATENATE("  ",DB!B104))</f>
        <v/>
      </c>
    </row>
    <row r="103" spans="1:5" ht="52.8" x14ac:dyDescent="0.3">
      <c r="A103" s="128" t="str">
        <f>IF(A104="","",IF(ISNUMBER(LOOKUP("Â",Code128(A104),1)),"Error!",Code128(A104)))</f>
        <v/>
      </c>
      <c r="B103" s="128"/>
      <c r="C103" s="128" t="str">
        <f>IF(C104="","",IF(ISNUMBER(LOOKUP("Â",Code128(C104),1)),"Error!",Code128(C104)))</f>
        <v/>
      </c>
      <c r="D103" s="128"/>
    </row>
    <row r="104" spans="1:5" x14ac:dyDescent="0.3">
      <c r="A104" s="105" t="str">
        <f>IF(DB!A105=0,"",DB!A105)</f>
        <v/>
      </c>
      <c r="B104" s="106" t="str">
        <f>IF(DB!A105=0,"",CONCATENATE("  ",DB!B105))</f>
        <v/>
      </c>
      <c r="C104" s="105" t="str">
        <f>IF(DB!A106=0,"",DB!A106)</f>
        <v/>
      </c>
      <c r="D104" s="106" t="str">
        <f>IF(DB!A105=0,"",CONCATENATE("  ",DB!B106))</f>
        <v/>
      </c>
      <c r="E104" s="23">
        <v>6</v>
      </c>
    </row>
    <row r="105" spans="1:5" ht="52.8" x14ac:dyDescent="0.3">
      <c r="A105" s="128" t="str">
        <f>IF(A106="","",IF(ISNUMBER(LOOKUP("Â",Code128(A106),1)),"Error!",Code128(A106)))</f>
        <v/>
      </c>
      <c r="B105" s="128"/>
      <c r="C105" s="128" t="str">
        <f>IF(C106="","",IF(ISNUMBER(LOOKUP("Â",Code128(C106),1)),"Error!",Code128(C106)))</f>
        <v/>
      </c>
      <c r="D105" s="128"/>
    </row>
    <row r="106" spans="1:5" x14ac:dyDescent="0.3">
      <c r="A106" s="105" t="str">
        <f>IF(DB!A107=0,"",DB!A107)</f>
        <v/>
      </c>
      <c r="B106" s="106" t="str">
        <f>IF(DB!A107=0,"",CONCATENATE("  ",DB!B107))</f>
        <v/>
      </c>
      <c r="C106" s="105" t="str">
        <f>IF(DB!A108=0,"",DB!A108)</f>
        <v/>
      </c>
      <c r="D106" s="106" t="str">
        <f>IF(DB!A107=0,"",CONCATENATE("  ",DB!B108))</f>
        <v/>
      </c>
    </row>
    <row r="107" spans="1:5" ht="52.8" x14ac:dyDescent="0.3">
      <c r="A107" s="128" t="str">
        <f>IF(A108="","",IF(ISNUMBER(LOOKUP("Â",Code128(A108),1)),"Error!",Code128(A108)))</f>
        <v/>
      </c>
      <c r="B107" s="128"/>
      <c r="C107" s="128" t="str">
        <f>IF(C108="","",IF(ISNUMBER(LOOKUP("Â",Code128(C108),1)),"Error!",Code128(C108)))</f>
        <v/>
      </c>
      <c r="D107" s="128"/>
    </row>
    <row r="108" spans="1:5" x14ac:dyDescent="0.3">
      <c r="A108" s="105" t="str">
        <f>IF(DB!A109=0,"",DB!A109)</f>
        <v/>
      </c>
      <c r="B108" s="106" t="str">
        <f>IF(DB!A109=0,"",CONCATENATE("  ",DB!B109))</f>
        <v/>
      </c>
      <c r="C108" s="105" t="str">
        <f>IF(DB!A110=0,"",DB!A110)</f>
        <v/>
      </c>
      <c r="D108" s="106" t="str">
        <f>IF(DB!A109=0,"",CONCATENATE("  ",DB!B110))</f>
        <v/>
      </c>
    </row>
    <row r="109" spans="1:5" ht="52.8" x14ac:dyDescent="0.3">
      <c r="A109" s="128" t="str">
        <f>IF(A110="","",IF(ISNUMBER(LOOKUP("Â",Code128(A110),1)),"Error!",Code128(A110)))</f>
        <v/>
      </c>
      <c r="B109" s="128"/>
      <c r="C109" s="128" t="str">
        <f>IF(C110="","",IF(ISNUMBER(LOOKUP("Â",Code128(C110),1)),"Error!",Code128(C110)))</f>
        <v/>
      </c>
      <c r="D109" s="128"/>
    </row>
    <row r="110" spans="1:5" x14ac:dyDescent="0.3">
      <c r="A110" s="105" t="str">
        <f>IF(DB!A111=0,"",DB!A111)</f>
        <v/>
      </c>
      <c r="B110" s="106" t="str">
        <f>IF(DB!A111=0,"",CONCATENATE("  ",DB!B111))</f>
        <v/>
      </c>
      <c r="C110" s="105" t="str">
        <f>IF(DB!A112=0,"",DB!A112)</f>
        <v/>
      </c>
      <c r="D110" s="106" t="str">
        <f>IF(DB!A111=0,"",CONCATENATE("  ",DB!B112))</f>
        <v/>
      </c>
    </row>
    <row r="111" spans="1:5" ht="52.8" x14ac:dyDescent="0.3">
      <c r="A111" s="128" t="str">
        <f>IF(A112="","",IF(ISNUMBER(LOOKUP("Â",Code128(A112),1)),"Error!",Code128(A112)))</f>
        <v/>
      </c>
      <c r="B111" s="128"/>
      <c r="C111" s="128" t="str">
        <f>IF(C112="","",IF(ISNUMBER(LOOKUP("Â",Code128(C112),1)),"Error!",Code128(C112)))</f>
        <v/>
      </c>
      <c r="D111" s="128"/>
    </row>
    <row r="112" spans="1:5" x14ac:dyDescent="0.3">
      <c r="A112" s="105" t="str">
        <f>IF(DB!A113=0,"",DB!A113)</f>
        <v/>
      </c>
      <c r="B112" s="106" t="str">
        <f>IF(DB!A113=0,"",CONCATENATE("  ",DB!B113))</f>
        <v/>
      </c>
      <c r="C112" s="105" t="str">
        <f>IF(DB!A114=0,"",DB!A114)</f>
        <v/>
      </c>
      <c r="D112" s="106" t="str">
        <f>IF(DB!A113=0,"",CONCATENATE("  ",DB!B114))</f>
        <v/>
      </c>
    </row>
    <row r="113" spans="1:5" ht="52.8" x14ac:dyDescent="0.3">
      <c r="A113" s="128" t="str">
        <f>IF(A114="","",IF(ISNUMBER(LOOKUP("Â",Code128(A114),1)),"Error!",Code128(A114)))</f>
        <v/>
      </c>
      <c r="B113" s="128"/>
      <c r="C113" s="128" t="str">
        <f>IF(C114="","",IF(ISNUMBER(LOOKUP("Â",Code128(C114),1)),"Error!",Code128(C114)))</f>
        <v/>
      </c>
      <c r="D113" s="128"/>
    </row>
    <row r="114" spans="1:5" x14ac:dyDescent="0.3">
      <c r="A114" s="105" t="str">
        <f>IF(DB!A115=0,"",DB!A115)</f>
        <v/>
      </c>
      <c r="B114" s="106" t="str">
        <f>IF(DB!A115=0,"",CONCATENATE("  ",DB!B115))</f>
        <v/>
      </c>
      <c r="C114" s="105" t="str">
        <f>IF(DB!A116=0,"",DB!A116)</f>
        <v/>
      </c>
      <c r="D114" s="106" t="str">
        <f>IF(DB!A115=0,"",CONCATENATE("  ",DB!B116))</f>
        <v/>
      </c>
    </row>
    <row r="115" spans="1:5" ht="52.8" x14ac:dyDescent="0.3">
      <c r="A115" s="128" t="str">
        <f>IF(A116="","",IF(ISNUMBER(LOOKUP("Â",Code128(A116),1)),"Error!",Code128(A116)))</f>
        <v/>
      </c>
      <c r="B115" s="128"/>
      <c r="C115" s="128" t="str">
        <f>IF(C116="","",IF(ISNUMBER(LOOKUP("Â",Code128(C116),1)),"Error!",Code128(C116)))</f>
        <v/>
      </c>
      <c r="D115" s="128"/>
    </row>
    <row r="116" spans="1:5" x14ac:dyDescent="0.3">
      <c r="A116" s="105" t="str">
        <f>IF(DB!A117=0,"",DB!A117)</f>
        <v/>
      </c>
      <c r="B116" s="106" t="str">
        <f>IF(DB!A117=0,"",CONCATENATE("  ",DB!B117))</f>
        <v/>
      </c>
      <c r="C116" s="105" t="str">
        <f>IF(DB!A118=0,"",DB!A118)</f>
        <v/>
      </c>
      <c r="D116" s="106" t="str">
        <f>IF(DB!A117=0,"",CONCATENATE("  ",DB!B118))</f>
        <v/>
      </c>
    </row>
    <row r="117" spans="1:5" ht="52.8" x14ac:dyDescent="0.3">
      <c r="A117" s="128" t="str">
        <f>IF(A118="","",IF(ISNUMBER(LOOKUP("Â",Code128(A118),1)),"Error!",Code128(A118)))</f>
        <v/>
      </c>
      <c r="B117" s="128"/>
      <c r="C117" s="128" t="str">
        <f>IF(C118="","",IF(ISNUMBER(LOOKUP("Â",Code128(C118),1)),"Error!",Code128(C118)))</f>
        <v/>
      </c>
      <c r="D117" s="128"/>
    </row>
    <row r="118" spans="1:5" x14ac:dyDescent="0.3">
      <c r="A118" s="105" t="str">
        <f>IF(DB!A119=0,"",DB!A119)</f>
        <v/>
      </c>
      <c r="B118" s="106" t="str">
        <f>IF(DB!A119=0,"",CONCATENATE("  ",DB!B119))</f>
        <v/>
      </c>
      <c r="C118" s="105" t="str">
        <f>IF(DB!A120=0,"",DB!A120)</f>
        <v/>
      </c>
      <c r="D118" s="106" t="str">
        <f>IF(DB!A119=0,"",CONCATENATE("  ",DB!B120))</f>
        <v/>
      </c>
    </row>
    <row r="119" spans="1:5" ht="52.8" x14ac:dyDescent="0.3">
      <c r="A119" s="128" t="str">
        <f>IF(A120="","",IF(ISNUMBER(LOOKUP("Â",Code128(A120),1)),"Error!",Code128(A120)))</f>
        <v/>
      </c>
      <c r="B119" s="128"/>
      <c r="C119" s="128" t="str">
        <f>IF(C120="","",IF(ISNUMBER(LOOKUP("Â",Code128(C120),1)),"Error!",Code128(C120)))</f>
        <v/>
      </c>
      <c r="D119" s="128"/>
    </row>
    <row r="120" spans="1:5" x14ac:dyDescent="0.3">
      <c r="A120" s="105" t="str">
        <f>IF(DB!A121=0,"",DB!A121)</f>
        <v/>
      </c>
      <c r="B120" s="106" t="str">
        <f>IF(DB!A121=0,"",CONCATENATE("  ",DB!B121))</f>
        <v/>
      </c>
      <c r="C120" s="105" t="str">
        <f>IF(DB!A122=0,"",DB!A122)</f>
        <v/>
      </c>
      <c r="D120" s="106" t="str">
        <f>IF(DB!A121=0,"",CONCATENATE("  ",DB!B122))</f>
        <v/>
      </c>
    </row>
    <row r="121" spans="1:5" ht="52.8" x14ac:dyDescent="0.3">
      <c r="A121" s="128" t="str">
        <f>IF(A122="","",IF(ISNUMBER(LOOKUP("Â",Code128(A122),1)),"Error!",Code128(A122)))</f>
        <v/>
      </c>
      <c r="B121" s="128"/>
      <c r="C121" s="128" t="str">
        <f>IF(C122="","",IF(ISNUMBER(LOOKUP("Â",Code128(C122),1)),"Error!",Code128(C122)))</f>
        <v/>
      </c>
      <c r="D121" s="128"/>
    </row>
    <row r="122" spans="1:5" x14ac:dyDescent="0.3">
      <c r="A122" s="105" t="str">
        <f>IF(DB!A123=0,"",DB!A123)</f>
        <v/>
      </c>
      <c r="B122" s="106" t="str">
        <f>IF(DB!A123=0,"",CONCATENATE("  ",DB!B123))</f>
        <v/>
      </c>
      <c r="C122" s="105" t="str">
        <f>IF(DB!A124=0,"",DB!A124)</f>
        <v/>
      </c>
      <c r="D122" s="106" t="str">
        <f>IF(DB!A123=0,"",CONCATENATE("  ",DB!B124))</f>
        <v/>
      </c>
    </row>
    <row r="123" spans="1:5" ht="52.8" x14ac:dyDescent="0.3">
      <c r="A123" s="128" t="str">
        <f>IF(A124="","",IF(ISNUMBER(LOOKUP("Â",Code128(A124),1)),"Error!",Code128(A124)))</f>
        <v/>
      </c>
      <c r="B123" s="128"/>
      <c r="C123" s="128" t="str">
        <f>IF(C124="","",IF(ISNUMBER(LOOKUP("Â",Code128(C124),1)),"Error!",Code128(C124)))</f>
        <v/>
      </c>
      <c r="D123" s="128"/>
    </row>
    <row r="124" spans="1:5" x14ac:dyDescent="0.3">
      <c r="A124" s="105" t="str">
        <f>IF(DB!A125=0,"",DB!A125)</f>
        <v/>
      </c>
      <c r="B124" s="106" t="str">
        <f>IF(DB!A125=0,"",CONCATENATE("  ",DB!B125))</f>
        <v/>
      </c>
      <c r="C124" s="105" t="str">
        <f>IF(DB!A126=0,"",DB!A126)</f>
        <v/>
      </c>
      <c r="D124" s="106" t="str">
        <f>IF(DB!A125=0,"",CONCATENATE("  ",DB!B126))</f>
        <v/>
      </c>
    </row>
    <row r="125" spans="1:5" ht="52.8" x14ac:dyDescent="0.3">
      <c r="A125" s="128" t="str">
        <f>IF(A126="","",IF(ISNUMBER(LOOKUP("Â",Code128(A126),1)),"Error!",Code128(A126)))</f>
        <v/>
      </c>
      <c r="B125" s="128"/>
      <c r="C125" s="128" t="str">
        <f>IF(C126="","",IF(ISNUMBER(LOOKUP("Â",Code128(C126),1)),"Error!",Code128(C126)))</f>
        <v/>
      </c>
      <c r="D125" s="128"/>
      <c r="E125" s="23">
        <v>7</v>
      </c>
    </row>
    <row r="126" spans="1:5" x14ac:dyDescent="0.3">
      <c r="A126" s="105" t="str">
        <f>IF(DB!A127=0,"",DB!A127)</f>
        <v/>
      </c>
      <c r="B126" s="106" t="str">
        <f>IF(DB!A127=0,"",CONCATENATE("  ",DB!B127))</f>
        <v/>
      </c>
      <c r="C126" s="105" t="str">
        <f>IF(DB!A128=0,"",DB!A128)</f>
        <v/>
      </c>
      <c r="D126" s="106" t="str">
        <f>IF(DB!A127=0,"",CONCATENATE("  ",DB!B128))</f>
        <v/>
      </c>
    </row>
    <row r="127" spans="1:5" ht="52.8" x14ac:dyDescent="0.3">
      <c r="A127" s="128" t="str">
        <f>IF(A128="","",IF(ISNUMBER(LOOKUP("Â",Code128(A128),1)),"Error!",Code128(A128)))</f>
        <v/>
      </c>
      <c r="B127" s="128"/>
      <c r="C127" s="128" t="str">
        <f>IF(C128="","",IF(ISNUMBER(LOOKUP("Â",Code128(C128),1)),"Error!",Code128(C128)))</f>
        <v/>
      </c>
      <c r="D127" s="128"/>
    </row>
    <row r="128" spans="1:5" x14ac:dyDescent="0.3">
      <c r="A128" s="105" t="str">
        <f>IF(DB!A129=0,"",DB!A129)</f>
        <v/>
      </c>
      <c r="B128" s="106" t="str">
        <f>IF(DB!A129=0,"",CONCATENATE("  ",DB!B129))</f>
        <v/>
      </c>
      <c r="C128" s="105" t="str">
        <f>IF(DB!A130=0,"",DB!A130)</f>
        <v/>
      </c>
      <c r="D128" s="106" t="str">
        <f>IF(DB!A129=0,"",CONCATENATE("  ",DB!B130))</f>
        <v/>
      </c>
    </row>
    <row r="129" spans="1:4" ht="52.8" x14ac:dyDescent="0.3">
      <c r="A129" s="128" t="str">
        <f>IF(A130="","",IF(ISNUMBER(LOOKUP("Â",Code128(A130),1)),"Error!",Code128(A130)))</f>
        <v/>
      </c>
      <c r="B129" s="128"/>
      <c r="C129" s="128" t="str">
        <f>IF(C130="","",IF(ISNUMBER(LOOKUP("Â",Code128(C130),1)),"Error!",Code128(C130)))</f>
        <v/>
      </c>
      <c r="D129" s="128"/>
    </row>
    <row r="130" spans="1:4" x14ac:dyDescent="0.3">
      <c r="A130" s="105" t="str">
        <f>IF(DB!A131=0,"",DB!A131)</f>
        <v/>
      </c>
      <c r="B130" s="106" t="str">
        <f>IF(DB!A131=0,"",CONCATENATE("  ",DB!B131))</f>
        <v/>
      </c>
      <c r="C130" s="105" t="str">
        <f>IF(DB!A132=0,"",DB!A132)</f>
        <v/>
      </c>
      <c r="D130" s="106" t="str">
        <f>IF(DB!A131=0,"",CONCATENATE("  ",DB!B132))</f>
        <v/>
      </c>
    </row>
    <row r="131" spans="1:4" ht="52.8" x14ac:dyDescent="0.3">
      <c r="A131" s="128" t="str">
        <f>IF(A132="","",IF(ISNUMBER(LOOKUP("Â",Code128(A132),1)),"Error!",Code128(A132)))</f>
        <v/>
      </c>
      <c r="B131" s="128"/>
      <c r="C131" s="128" t="str">
        <f>IF(C132="","",IF(ISNUMBER(LOOKUP("Â",Code128(C132),1)),"Error!",Code128(C132)))</f>
        <v/>
      </c>
      <c r="D131" s="128"/>
    </row>
    <row r="132" spans="1:4" x14ac:dyDescent="0.3">
      <c r="A132" s="105" t="str">
        <f>IF(DB!A133=0,"",DB!A133)</f>
        <v/>
      </c>
      <c r="B132" s="106" t="str">
        <f>IF(DB!A133=0,"",CONCATENATE("  ",DB!B133))</f>
        <v/>
      </c>
      <c r="C132" s="105" t="str">
        <f>IF(DB!A134=0,"",DB!A134)</f>
        <v/>
      </c>
      <c r="D132" s="106" t="str">
        <f>IF(DB!A133=0,"",CONCATENATE("  ",DB!B134))</f>
        <v/>
      </c>
    </row>
    <row r="133" spans="1:4" ht="52.8" x14ac:dyDescent="0.3">
      <c r="A133" s="128" t="str">
        <f>IF(A134="","",IF(ISNUMBER(LOOKUP("Â",Code128(A134),1)),"Error!",Code128(A134)))</f>
        <v/>
      </c>
      <c r="B133" s="128"/>
      <c r="C133" s="128" t="str">
        <f>IF(C134="","",IF(ISNUMBER(LOOKUP("Â",Code128(C134),1)),"Error!",Code128(C134)))</f>
        <v/>
      </c>
      <c r="D133" s="128"/>
    </row>
    <row r="134" spans="1:4" x14ac:dyDescent="0.3">
      <c r="A134" s="105" t="str">
        <f>IF(DB!A135=0,"",DB!A135)</f>
        <v/>
      </c>
      <c r="B134" s="106" t="str">
        <f>IF(DB!A135=0,"",CONCATENATE("  ",DB!B135))</f>
        <v/>
      </c>
      <c r="C134" s="105" t="str">
        <f>IF(DB!A136=0,"",DB!A136)</f>
        <v/>
      </c>
      <c r="D134" s="106" t="str">
        <f>IF(DB!A135=0,"",CONCATENATE("  ",DB!B136))</f>
        <v/>
      </c>
    </row>
    <row r="135" spans="1:4" ht="52.8" x14ac:dyDescent="0.3">
      <c r="A135" s="128" t="str">
        <f>IF(A136="","",IF(ISNUMBER(LOOKUP("Â",Code128(A136),1)),"Error!",Code128(A136)))</f>
        <v/>
      </c>
      <c r="B135" s="128"/>
      <c r="C135" s="128" t="str">
        <f>IF(C136="","",IF(ISNUMBER(LOOKUP("Â",Code128(C136),1)),"Error!",Code128(C136)))</f>
        <v/>
      </c>
      <c r="D135" s="128"/>
    </row>
    <row r="136" spans="1:4" x14ac:dyDescent="0.3">
      <c r="A136" s="105" t="str">
        <f>IF(DB!A137=0,"",DB!A137)</f>
        <v/>
      </c>
      <c r="B136" s="106" t="str">
        <f>IF(DB!A137=0,"",CONCATENATE("  ",DB!B137))</f>
        <v/>
      </c>
      <c r="C136" s="105" t="str">
        <f>IF(DB!A138=0,"",DB!A138)</f>
        <v/>
      </c>
      <c r="D136" s="106" t="str">
        <f>IF(DB!A137=0,"",CONCATENATE("  ",DB!B138))</f>
        <v/>
      </c>
    </row>
    <row r="137" spans="1:4" ht="52.8" x14ac:dyDescent="0.3">
      <c r="A137" s="128" t="str">
        <f>IF(A138="","",IF(ISNUMBER(LOOKUP("Â",Code128(A138),1)),"Error!",Code128(A138)))</f>
        <v/>
      </c>
      <c r="B137" s="128"/>
      <c r="C137" s="128" t="str">
        <f>IF(C138="","",IF(ISNUMBER(LOOKUP("Â",Code128(C138),1)),"Error!",Code128(C138)))</f>
        <v/>
      </c>
      <c r="D137" s="128"/>
    </row>
    <row r="138" spans="1:4" x14ac:dyDescent="0.3">
      <c r="A138" s="105" t="str">
        <f>IF(DB!A139=0,"",DB!A139)</f>
        <v/>
      </c>
      <c r="B138" s="106" t="str">
        <f>IF(DB!A139=0,"",CONCATENATE("  ",DB!B139))</f>
        <v/>
      </c>
      <c r="C138" s="105" t="str">
        <f>IF(DB!A140=0,"",DB!A140)</f>
        <v/>
      </c>
      <c r="D138" s="106" t="str">
        <f>IF(DB!A139=0,"",CONCATENATE("  ",DB!B140))</f>
        <v/>
      </c>
    </row>
    <row r="139" spans="1:4" ht="52.8" x14ac:dyDescent="0.3">
      <c r="A139" s="128" t="str">
        <f>IF(A140="","",IF(ISNUMBER(LOOKUP("Â",Code128(A140),1)),"Error!",Code128(A140)))</f>
        <v/>
      </c>
      <c r="B139" s="128"/>
      <c r="C139" s="128" t="str">
        <f>IF(C140="","",IF(ISNUMBER(LOOKUP("Â",Code128(C140),1)),"Error!",Code128(C140)))</f>
        <v/>
      </c>
      <c r="D139" s="128"/>
    </row>
    <row r="140" spans="1:4" x14ac:dyDescent="0.3">
      <c r="A140" s="105" t="str">
        <f>IF(DB!A141=0,"",DB!A141)</f>
        <v/>
      </c>
      <c r="B140" s="106" t="str">
        <f>IF(DB!A141=0,"",CONCATENATE("  ",DB!B141))</f>
        <v/>
      </c>
      <c r="C140" s="105" t="str">
        <f>IF(DB!A142=0,"",DB!A142)</f>
        <v/>
      </c>
      <c r="D140" s="106" t="str">
        <f>IF(DB!A141=0,"",CONCATENATE("  ",DB!B142))</f>
        <v/>
      </c>
    </row>
    <row r="141" spans="1:4" ht="52.8" x14ac:dyDescent="0.3">
      <c r="A141" s="128" t="str">
        <f>IF(A142="","",IF(ISNUMBER(LOOKUP("Â",Code128(A142),1)),"Error!",Code128(A142)))</f>
        <v/>
      </c>
      <c r="B141" s="128"/>
      <c r="C141" s="128" t="str">
        <f>IF(C142="","",IF(ISNUMBER(LOOKUP("Â",Code128(C142),1)),"Error!",Code128(C142)))</f>
        <v/>
      </c>
      <c r="D141" s="128"/>
    </row>
    <row r="142" spans="1:4" x14ac:dyDescent="0.3">
      <c r="A142" s="105" t="str">
        <f>IF(DB!A143=0,"",DB!A143)</f>
        <v/>
      </c>
      <c r="B142" s="106" t="str">
        <f>IF(DB!A143=0,"",CONCATENATE("  ",DB!B143))</f>
        <v/>
      </c>
      <c r="C142" s="105" t="str">
        <f>IF(DB!A144=0,"",DB!A144)</f>
        <v/>
      </c>
      <c r="D142" s="106" t="str">
        <f>IF(DB!A143=0,"",CONCATENATE("  ",DB!B144))</f>
        <v/>
      </c>
    </row>
    <row r="143" spans="1:4" ht="52.8" x14ac:dyDescent="0.3">
      <c r="A143" s="128" t="str">
        <f>IF(A144="","",IF(ISNUMBER(LOOKUP("Â",Code128(A144),1)),"Error!",Code128(A144)))</f>
        <v/>
      </c>
      <c r="B143" s="128"/>
      <c r="C143" s="128" t="str">
        <f>IF(C144="","",IF(ISNUMBER(LOOKUP("Â",Code128(C144),1)),"Error!",Code128(C144)))</f>
        <v/>
      </c>
      <c r="D143" s="128"/>
    </row>
    <row r="144" spans="1:4" x14ac:dyDescent="0.3">
      <c r="A144" s="105" t="str">
        <f>IF(DB!A145=0,"",DB!A145)</f>
        <v/>
      </c>
      <c r="B144" s="106" t="str">
        <f>IF(DB!A145=0,"",CONCATENATE("  ",DB!B145))</f>
        <v/>
      </c>
      <c r="C144" s="105" t="str">
        <f>IF(DB!A146=0,"",DB!A146)</f>
        <v/>
      </c>
      <c r="D144" s="106" t="str">
        <f>IF(DB!A145=0,"",CONCATENATE("  ",DB!B146))</f>
        <v/>
      </c>
    </row>
    <row r="145" spans="1:5" ht="52.8" x14ac:dyDescent="0.3">
      <c r="A145" s="128" t="str">
        <f>IF(A146="","",IF(ISNUMBER(LOOKUP("Â",Code128(A146),1)),"Error!",Code128(A146)))</f>
        <v/>
      </c>
      <c r="B145" s="128"/>
      <c r="C145" s="128" t="str">
        <f>IF(C146="","",IF(ISNUMBER(LOOKUP("Â",Code128(C146),1)),"Error!",Code128(C146)))</f>
        <v/>
      </c>
      <c r="D145" s="128"/>
    </row>
    <row r="146" spans="1:5" x14ac:dyDescent="0.3">
      <c r="A146" s="105" t="str">
        <f>IF(DB!A147=0,"",DB!A147)</f>
        <v/>
      </c>
      <c r="B146" s="106" t="str">
        <f>IF(DB!A147=0,"",CONCATENATE("  ",DB!B147))</f>
        <v/>
      </c>
      <c r="C146" s="105" t="str">
        <f>IF(DB!A148=0,"",DB!A148)</f>
        <v/>
      </c>
      <c r="D146" s="106" t="str">
        <f>IF(DB!A147=0,"",CONCATENATE("  ",DB!B148))</f>
        <v/>
      </c>
      <c r="E146" s="23">
        <v>8</v>
      </c>
    </row>
    <row r="147" spans="1:5" ht="52.8" x14ac:dyDescent="0.3">
      <c r="A147" s="128" t="str">
        <f>IF(A148="","",IF(ISNUMBER(LOOKUP("Â",Code128(A148),1)),"Error!",Code128(A148)))</f>
        <v/>
      </c>
      <c r="B147" s="128"/>
      <c r="C147" s="128" t="str">
        <f>IF(C148="","",IF(ISNUMBER(LOOKUP("Â",Code128(C148),1)),"Error!",Code128(C148)))</f>
        <v/>
      </c>
      <c r="D147" s="128"/>
    </row>
    <row r="148" spans="1:5" x14ac:dyDescent="0.3">
      <c r="A148" s="105" t="str">
        <f>IF(DB!A149=0,"",DB!A149)</f>
        <v/>
      </c>
      <c r="B148" s="106" t="str">
        <f>IF(DB!A149=0,"",CONCATENATE("  ",DB!B149))</f>
        <v/>
      </c>
      <c r="C148" s="105" t="str">
        <f>IF(DB!A150=0,"",DB!A150)</f>
        <v/>
      </c>
      <c r="D148" s="106" t="str">
        <f>IF(DB!A149=0,"",CONCATENATE("  ",DB!B150))</f>
        <v/>
      </c>
    </row>
    <row r="149" spans="1:5" ht="52.8" x14ac:dyDescent="0.3">
      <c r="A149" s="128" t="str">
        <f>IF(A150="","",IF(ISNUMBER(LOOKUP("Â",Code128(A150),1)),"Error!",Code128(A150)))</f>
        <v/>
      </c>
      <c r="B149" s="128"/>
      <c r="C149" s="128" t="str">
        <f>IF(C150="","",IF(ISNUMBER(LOOKUP("Â",Code128(C150),1)),"Error!",Code128(C150)))</f>
        <v/>
      </c>
      <c r="D149" s="128"/>
    </row>
    <row r="150" spans="1:5" x14ac:dyDescent="0.3">
      <c r="A150" s="105" t="str">
        <f>IF(DB!A151=0,"",DB!A151)</f>
        <v/>
      </c>
      <c r="B150" s="106" t="str">
        <f>IF(DB!A151=0,"",CONCATENATE("  ",DB!B151))</f>
        <v/>
      </c>
      <c r="C150" s="105" t="str">
        <f>IF(DB!A152=0,"",DB!A152)</f>
        <v/>
      </c>
      <c r="D150" s="106" t="str">
        <f>IF(DB!A151=0,"",CONCATENATE("  ",DB!B152))</f>
        <v/>
      </c>
    </row>
    <row r="151" spans="1:5" ht="52.8" x14ac:dyDescent="0.3">
      <c r="A151" s="128" t="str">
        <f>IF(A152="","",IF(ISNUMBER(LOOKUP("Â",Code128(A152),1)),"Error!",Code128(A152)))</f>
        <v/>
      </c>
      <c r="B151" s="128"/>
      <c r="C151" s="128" t="str">
        <f>IF(C152="","",IF(ISNUMBER(LOOKUP("Â",Code128(C152),1)),"Error!",Code128(C152)))</f>
        <v/>
      </c>
      <c r="D151" s="128"/>
    </row>
    <row r="152" spans="1:5" x14ac:dyDescent="0.3">
      <c r="A152" s="105" t="str">
        <f>IF(DB!A153=0,"",DB!A153)</f>
        <v/>
      </c>
      <c r="B152" s="106" t="str">
        <f>IF(DB!A153=0,"",CONCATENATE("  ",DB!B153))</f>
        <v/>
      </c>
      <c r="C152" s="105" t="str">
        <f>IF(DB!A154=0,"",DB!A154)</f>
        <v/>
      </c>
      <c r="D152" s="106" t="str">
        <f>IF(DB!A153=0,"",CONCATENATE("  ",DB!B154))</f>
        <v/>
      </c>
    </row>
    <row r="153" spans="1:5" ht="52.8" x14ac:dyDescent="0.3">
      <c r="A153" s="128" t="str">
        <f>IF(A154="","",IF(ISNUMBER(LOOKUP("Â",Code128(A154),1)),"Error!",Code128(A154)))</f>
        <v/>
      </c>
      <c r="B153" s="128"/>
      <c r="C153" s="128" t="str">
        <f>IF(C154="","",IF(ISNUMBER(LOOKUP("Â",Code128(C154),1)),"Error!",Code128(C154)))</f>
        <v/>
      </c>
      <c r="D153" s="128"/>
    </row>
    <row r="154" spans="1:5" x14ac:dyDescent="0.3">
      <c r="A154" s="105" t="str">
        <f>IF(DB!A155=0,"",DB!A155)</f>
        <v/>
      </c>
      <c r="B154" s="106" t="str">
        <f>IF(DB!A155=0,"",CONCATENATE("  ",DB!B155))</f>
        <v/>
      </c>
      <c r="C154" s="105" t="str">
        <f>IF(DB!A156=0,"",DB!A156)</f>
        <v/>
      </c>
      <c r="D154" s="106" t="str">
        <f>IF(DB!A155=0,"",CONCATENATE("  ",DB!B156))</f>
        <v/>
      </c>
    </row>
    <row r="155" spans="1:5" ht="52.8" x14ac:dyDescent="0.3">
      <c r="A155" s="128" t="str">
        <f>IF(A156="","",IF(ISNUMBER(LOOKUP("Â",Code128(A156),1)),"Error!",Code128(A156)))</f>
        <v/>
      </c>
      <c r="B155" s="128"/>
      <c r="C155" s="128" t="str">
        <f>IF(C156="","",IF(ISNUMBER(LOOKUP("Â",Code128(C156),1)),"Error!",Code128(C156)))</f>
        <v/>
      </c>
      <c r="D155" s="128"/>
    </row>
    <row r="156" spans="1:5" x14ac:dyDescent="0.3">
      <c r="A156" s="105" t="str">
        <f>IF(DB!A157=0,"",DB!A157)</f>
        <v/>
      </c>
      <c r="B156" s="106" t="str">
        <f>IF(DB!A157=0,"",CONCATENATE("  ",DB!B157))</f>
        <v/>
      </c>
      <c r="C156" s="105" t="str">
        <f>IF(DB!A158=0,"",DB!A158)</f>
        <v/>
      </c>
      <c r="D156" s="106" t="str">
        <f>IF(DB!A157=0,"",CONCATENATE("  ",DB!B158))</f>
        <v/>
      </c>
    </row>
    <row r="157" spans="1:5" ht="52.8" x14ac:dyDescent="0.3">
      <c r="A157" s="128" t="str">
        <f>IF(A158="","",IF(ISNUMBER(LOOKUP("Â",Code128(A158),1)),"Error!",Code128(A158)))</f>
        <v/>
      </c>
      <c r="B157" s="128"/>
      <c r="C157" s="128" t="str">
        <f>IF(C158="","",IF(ISNUMBER(LOOKUP("Â",Code128(C158),1)),"Error!",Code128(C158)))</f>
        <v/>
      </c>
      <c r="D157" s="128"/>
    </row>
    <row r="158" spans="1:5" x14ac:dyDescent="0.3">
      <c r="A158" s="105" t="str">
        <f>IF(DB!A159=0,"",DB!A159)</f>
        <v/>
      </c>
      <c r="B158" s="106" t="str">
        <f>IF(DB!A159=0,"",CONCATENATE("  ",DB!B159))</f>
        <v/>
      </c>
      <c r="C158" s="105" t="str">
        <f>IF(DB!A160=0,"",DB!A160)</f>
        <v/>
      </c>
      <c r="D158" s="106" t="str">
        <f>IF(DB!A159=0,"",CONCATENATE("  ",DB!B160))</f>
        <v/>
      </c>
    </row>
    <row r="159" spans="1:5" ht="52.8" x14ac:dyDescent="0.3">
      <c r="A159" s="128" t="str">
        <f>IF(A160="","",IF(ISNUMBER(LOOKUP("Â",Code128(A160),1)),"Error!",Code128(A160)))</f>
        <v/>
      </c>
      <c r="B159" s="128"/>
      <c r="C159" s="128" t="str">
        <f>IF(C160="","",IF(ISNUMBER(LOOKUP("Â",Code128(C160),1)),"Error!",Code128(C160)))</f>
        <v/>
      </c>
      <c r="D159" s="128"/>
    </row>
    <row r="160" spans="1:5" x14ac:dyDescent="0.3">
      <c r="A160" s="105" t="str">
        <f>IF(DB!A161=0,"",DB!A161)</f>
        <v/>
      </c>
      <c r="B160" s="106" t="str">
        <f>IF(DB!A161=0,"",CONCATENATE("  ",DB!B161))</f>
        <v/>
      </c>
      <c r="C160" s="105" t="str">
        <f>IF(DB!A162=0,"",DB!A162)</f>
        <v/>
      </c>
      <c r="D160" s="106" t="str">
        <f>IF(DB!A161=0,"",CONCATENATE("  ",DB!B162))</f>
        <v/>
      </c>
    </row>
    <row r="161" spans="1:5" ht="52.8" x14ac:dyDescent="0.3">
      <c r="A161" s="128" t="str">
        <f>IF(A162="","",IF(ISNUMBER(LOOKUP("Â",Code128(A162),1)),"Error!",Code128(A162)))</f>
        <v/>
      </c>
      <c r="B161" s="128"/>
      <c r="C161" s="128" t="str">
        <f>IF(C162="","",IF(ISNUMBER(LOOKUP("Â",Code128(C162),1)),"Error!",Code128(C162)))</f>
        <v/>
      </c>
      <c r="D161" s="128"/>
    </row>
    <row r="162" spans="1:5" x14ac:dyDescent="0.3">
      <c r="A162" s="105" t="str">
        <f>IF(DB!A163=0,"",DB!A163)</f>
        <v/>
      </c>
      <c r="B162" s="106" t="str">
        <f>IF(DB!A163=0,"",CONCATENATE("  ",DB!B163))</f>
        <v/>
      </c>
      <c r="C162" s="105" t="str">
        <f>IF(DB!A164=0,"",DB!A164)</f>
        <v/>
      </c>
      <c r="D162" s="106" t="str">
        <f>IF(DB!A163=0,"",CONCATENATE("  ",DB!B164))</f>
        <v/>
      </c>
    </row>
    <row r="163" spans="1:5" ht="52.8" x14ac:dyDescent="0.3">
      <c r="A163" s="128" t="str">
        <f>IF(A164="","",IF(ISNUMBER(LOOKUP("Â",Code128(A164),1)),"Error!",Code128(A164)))</f>
        <v/>
      </c>
      <c r="B163" s="128"/>
      <c r="C163" s="128" t="str">
        <f>IF(C164="","",IF(ISNUMBER(LOOKUP("Â",Code128(C164),1)),"Error!",Code128(C164)))</f>
        <v/>
      </c>
      <c r="D163" s="128"/>
    </row>
    <row r="164" spans="1:5" x14ac:dyDescent="0.3">
      <c r="A164" s="105" t="str">
        <f>IF(DB!A165=0,"",DB!A165)</f>
        <v/>
      </c>
      <c r="B164" s="106" t="str">
        <f>IF(DB!A165=0,"",CONCATENATE("  ",DB!B165))</f>
        <v/>
      </c>
      <c r="C164" s="105" t="str">
        <f>IF(DB!A166=0,"",DB!A166)</f>
        <v/>
      </c>
      <c r="D164" s="106" t="str">
        <f>IF(DB!A165=0,"",CONCATENATE("  ",DB!B166))</f>
        <v/>
      </c>
    </row>
    <row r="165" spans="1:5" ht="52.8" x14ac:dyDescent="0.3">
      <c r="A165" s="128" t="str">
        <f>IF(A166="","",IF(ISNUMBER(LOOKUP("Â",Code128(A166),1)),"Error!",Code128(A166)))</f>
        <v/>
      </c>
      <c r="B165" s="128"/>
      <c r="C165" s="128" t="str">
        <f>IF(C166="","",IF(ISNUMBER(LOOKUP("Â",Code128(C166),1)),"Error!",Code128(C166)))</f>
        <v/>
      </c>
      <c r="D165" s="128"/>
    </row>
    <row r="166" spans="1:5" x14ac:dyDescent="0.3">
      <c r="A166" s="105" t="str">
        <f>IF(DB!A167=0,"",DB!A167)</f>
        <v/>
      </c>
      <c r="B166" s="106" t="str">
        <f>IF(DB!A167=0,"",CONCATENATE("  ",DB!B167))</f>
        <v/>
      </c>
      <c r="C166" s="105" t="str">
        <f>IF(DB!A168=0,"",DB!A168)</f>
        <v/>
      </c>
      <c r="D166" s="106" t="str">
        <f>IF(DB!A167=0,"",CONCATENATE("  ",DB!B168))</f>
        <v/>
      </c>
    </row>
    <row r="167" spans="1:5" ht="52.8" x14ac:dyDescent="0.3">
      <c r="A167" s="128" t="str">
        <f>IF(A168="","",IF(ISNUMBER(LOOKUP("Â",Code128(A168),1)),"Error!",Code128(A168)))</f>
        <v/>
      </c>
      <c r="B167" s="128"/>
      <c r="C167" s="128" t="str">
        <f>IF(C168="","",IF(ISNUMBER(LOOKUP("Â",Code128(C168),1)),"Error!",Code128(C168)))</f>
        <v/>
      </c>
      <c r="D167" s="128"/>
      <c r="E167" s="23">
        <v>9</v>
      </c>
    </row>
    <row r="168" spans="1:5" x14ac:dyDescent="0.3">
      <c r="A168" s="105" t="str">
        <f>IF(DB!A169=0,"",DB!A169)</f>
        <v/>
      </c>
      <c r="B168" s="106" t="str">
        <f>IF(DB!A169=0,"",CONCATENATE("  ",DB!B169))</f>
        <v/>
      </c>
      <c r="C168" s="105" t="str">
        <f>IF(DB!A170=0,"",DB!A170)</f>
        <v/>
      </c>
      <c r="D168" s="106" t="str">
        <f>IF(DB!A169=0,"",CONCATENATE("  ",DB!B170))</f>
        <v/>
      </c>
    </row>
    <row r="169" spans="1:5" ht="52.8" x14ac:dyDescent="0.3">
      <c r="A169" s="128" t="str">
        <f>IF(A170="","",IF(ISNUMBER(LOOKUP("Â",Code128(A170),1)),"Error!",Code128(A170)))</f>
        <v/>
      </c>
      <c r="B169" s="128"/>
      <c r="C169" s="128" t="str">
        <f>IF(C170="","",IF(ISNUMBER(LOOKUP("Â",Code128(C170),1)),"Error!",Code128(C170)))</f>
        <v/>
      </c>
      <c r="D169" s="128"/>
    </row>
    <row r="170" spans="1:5" x14ac:dyDescent="0.3">
      <c r="A170" s="105" t="str">
        <f>IF(DB!A171=0,"",DB!A171)</f>
        <v/>
      </c>
      <c r="B170" s="106" t="str">
        <f>IF(DB!A171=0,"",CONCATENATE("  ",DB!B171))</f>
        <v/>
      </c>
      <c r="C170" s="105" t="str">
        <f>IF(DB!A172=0,"",DB!A172)</f>
        <v/>
      </c>
      <c r="D170" s="106" t="str">
        <f>IF(DB!A171=0,"",CONCATENATE("  ",DB!B172))</f>
        <v/>
      </c>
    </row>
    <row r="171" spans="1:5" ht="52.8" x14ac:dyDescent="0.3">
      <c r="A171" s="128" t="str">
        <f>IF(A172="","",IF(ISNUMBER(LOOKUP("Â",Code128(A172),1)),"Error!",Code128(A172)))</f>
        <v/>
      </c>
      <c r="B171" s="128"/>
      <c r="C171" s="128" t="str">
        <f>IF(C172="","",IF(ISNUMBER(LOOKUP("Â",Code128(C172),1)),"Error!",Code128(C172)))</f>
        <v/>
      </c>
      <c r="D171" s="128"/>
    </row>
    <row r="172" spans="1:5" x14ac:dyDescent="0.3">
      <c r="A172" s="105" t="str">
        <f>IF(DB!A173=0,"",DB!A173)</f>
        <v/>
      </c>
      <c r="B172" s="106" t="str">
        <f>IF(DB!A173=0,"",CONCATENATE("  ",DB!B173))</f>
        <v/>
      </c>
      <c r="C172" s="105" t="str">
        <f>IF(DB!A174=0,"",DB!A174)</f>
        <v/>
      </c>
      <c r="D172" s="106" t="str">
        <f>IF(DB!A173=0,"",CONCATENATE("  ",DB!B174))</f>
        <v/>
      </c>
    </row>
    <row r="173" spans="1:5" ht="52.8" x14ac:dyDescent="0.3">
      <c r="A173" s="128" t="str">
        <f>IF(A174="","",IF(ISNUMBER(LOOKUP("Â",Code128(A174),1)),"Error!",Code128(A174)))</f>
        <v/>
      </c>
      <c r="B173" s="128"/>
      <c r="C173" s="128" t="str">
        <f>IF(C174="","",IF(ISNUMBER(LOOKUP("Â",Code128(C174),1)),"Error!",Code128(C174)))</f>
        <v/>
      </c>
      <c r="D173" s="128"/>
    </row>
    <row r="174" spans="1:5" x14ac:dyDescent="0.3">
      <c r="A174" s="105" t="str">
        <f>IF(DB!A175=0,"",DB!A175)</f>
        <v/>
      </c>
      <c r="B174" s="106" t="str">
        <f>IF(DB!A175=0,"",CONCATENATE("  ",DB!B175))</f>
        <v/>
      </c>
      <c r="C174" s="105" t="str">
        <f>IF(DB!A176=0,"",DB!A176)</f>
        <v/>
      </c>
      <c r="D174" s="106" t="str">
        <f>IF(DB!A175=0,"",CONCATENATE("  ",DB!B176))</f>
        <v/>
      </c>
    </row>
    <row r="175" spans="1:5" ht="52.8" x14ac:dyDescent="0.3">
      <c r="A175" s="128" t="str">
        <f>IF(A176="","",IF(ISNUMBER(LOOKUP("Â",Code128(A176),1)),"Error!",Code128(A176)))</f>
        <v/>
      </c>
      <c r="B175" s="128"/>
      <c r="C175" s="128" t="str">
        <f>IF(C176="","",IF(ISNUMBER(LOOKUP("Â",Code128(C176),1)),"Error!",Code128(C176)))</f>
        <v/>
      </c>
      <c r="D175" s="128"/>
    </row>
    <row r="176" spans="1:5" x14ac:dyDescent="0.3">
      <c r="A176" s="105" t="str">
        <f>IF(DB!A177=0,"",DB!A177)</f>
        <v/>
      </c>
      <c r="B176" s="106" t="str">
        <f>IF(DB!A177=0,"",CONCATENATE("  ",DB!B177))</f>
        <v/>
      </c>
      <c r="C176" s="105" t="str">
        <f>IF(DB!A178=0,"",DB!A178)</f>
        <v/>
      </c>
      <c r="D176" s="106" t="str">
        <f>IF(DB!A177=0,"",CONCATENATE("  ",DB!B178))</f>
        <v/>
      </c>
    </row>
    <row r="177" spans="1:5" ht="52.8" x14ac:dyDescent="0.3">
      <c r="A177" s="128" t="str">
        <f>IF(A178="","",IF(ISNUMBER(LOOKUP("Â",Code128(A178),1)),"Error!",Code128(A178)))</f>
        <v/>
      </c>
      <c r="B177" s="128"/>
      <c r="C177" s="128" t="str">
        <f>IF(C178="","",IF(ISNUMBER(LOOKUP("Â",Code128(C178),1)),"Error!",Code128(C178)))</f>
        <v/>
      </c>
      <c r="D177" s="128"/>
    </row>
    <row r="178" spans="1:5" x14ac:dyDescent="0.3">
      <c r="A178" s="105" t="str">
        <f>IF(DB!A179=0,"",DB!A179)</f>
        <v/>
      </c>
      <c r="B178" s="106" t="str">
        <f>IF(DB!A179=0,"",CONCATENATE("  ",DB!B179))</f>
        <v/>
      </c>
      <c r="C178" s="105" t="str">
        <f>IF(DB!A180=0,"",DB!A180)</f>
        <v/>
      </c>
      <c r="D178" s="106" t="str">
        <f>IF(DB!A179=0,"",CONCATENATE("  ",DB!B180))</f>
        <v/>
      </c>
    </row>
    <row r="179" spans="1:5" ht="52.8" x14ac:dyDescent="0.3">
      <c r="A179" s="128" t="str">
        <f>IF(A180="","",IF(ISNUMBER(LOOKUP("Â",Code128(A180),1)),"Error!",Code128(A180)))</f>
        <v/>
      </c>
      <c r="B179" s="128"/>
      <c r="C179" s="128" t="str">
        <f>IF(C180="","",IF(ISNUMBER(LOOKUP("Â",Code128(C180),1)),"Error!",Code128(C180)))</f>
        <v/>
      </c>
      <c r="D179" s="128"/>
    </row>
    <row r="180" spans="1:5" x14ac:dyDescent="0.3">
      <c r="A180" s="105" t="str">
        <f>IF(DB!A181=0,"",DB!A181)</f>
        <v/>
      </c>
      <c r="B180" s="106" t="str">
        <f>IF(DB!A181=0,"",CONCATENATE("  ",DB!B181))</f>
        <v/>
      </c>
      <c r="C180" s="105" t="str">
        <f>IF(DB!A182=0,"",DB!A182)</f>
        <v/>
      </c>
      <c r="D180" s="106" t="str">
        <f>IF(DB!A181=0,"",CONCATENATE("  ",DB!B182))</f>
        <v/>
      </c>
    </row>
    <row r="181" spans="1:5" ht="52.8" x14ac:dyDescent="0.3">
      <c r="A181" s="128" t="str">
        <f>IF(A182="","",IF(ISNUMBER(LOOKUP("Â",Code128(A182),1)),"Error!",Code128(A182)))</f>
        <v/>
      </c>
      <c r="B181" s="128"/>
      <c r="C181" s="128" t="str">
        <f>IF(C182="","",IF(ISNUMBER(LOOKUP("Â",Code128(C182),1)),"Error!",Code128(C182)))</f>
        <v/>
      </c>
      <c r="D181" s="128"/>
    </row>
    <row r="182" spans="1:5" x14ac:dyDescent="0.3">
      <c r="A182" s="105" t="str">
        <f>IF(DB!A183=0,"",DB!A183)</f>
        <v/>
      </c>
      <c r="B182" s="106" t="str">
        <f>IF(DB!A183=0,"",CONCATENATE("  ",DB!B183))</f>
        <v/>
      </c>
      <c r="C182" s="105" t="str">
        <f>IF(DB!A184=0,"",DB!A184)</f>
        <v/>
      </c>
      <c r="D182" s="106" t="str">
        <f>IF(DB!A183=0,"",CONCATENATE("  ",DB!B184))</f>
        <v/>
      </c>
    </row>
    <row r="183" spans="1:5" ht="52.8" x14ac:dyDescent="0.3">
      <c r="A183" s="128" t="str">
        <f>IF(A184="","",IF(ISNUMBER(LOOKUP("Â",Code128(A184),1)),"Error!",Code128(A184)))</f>
        <v/>
      </c>
      <c r="B183" s="128"/>
      <c r="C183" s="128" t="str">
        <f>IF(C184="","",IF(ISNUMBER(LOOKUP("Â",Code128(C184),1)),"Error!",Code128(C184)))</f>
        <v/>
      </c>
      <c r="D183" s="128"/>
    </row>
    <row r="184" spans="1:5" x14ac:dyDescent="0.3">
      <c r="A184" s="105" t="str">
        <f>IF(DB!A185=0,"",DB!A185)</f>
        <v/>
      </c>
      <c r="B184" s="106" t="str">
        <f>IF(DB!A185=0,"",CONCATENATE("  ",DB!B185))</f>
        <v/>
      </c>
      <c r="C184" s="105" t="str">
        <f>IF(DB!A186=0,"",DB!A186)</f>
        <v/>
      </c>
      <c r="D184" s="106" t="str">
        <f>IF(DB!A185=0,"",CONCATENATE("  ",DB!B186))</f>
        <v/>
      </c>
    </row>
    <row r="185" spans="1:5" ht="52.8" x14ac:dyDescent="0.3">
      <c r="A185" s="128" t="str">
        <f>IF(A186="","",IF(ISNUMBER(LOOKUP("Â",Code128(A186),1)),"Error!",Code128(A186)))</f>
        <v/>
      </c>
      <c r="B185" s="128"/>
      <c r="C185" s="128" t="str">
        <f>IF(C186="","",IF(ISNUMBER(LOOKUP("Â",Code128(C186),1)),"Error!",Code128(C186)))</f>
        <v/>
      </c>
      <c r="D185" s="128"/>
    </row>
    <row r="186" spans="1:5" x14ac:dyDescent="0.3">
      <c r="A186" s="105" t="str">
        <f>IF(DB!A187=0,"",DB!A187)</f>
        <v/>
      </c>
      <c r="B186" s="106" t="str">
        <f>IF(DB!A187=0,"",CONCATENATE("  ",DB!B187))</f>
        <v/>
      </c>
      <c r="C186" s="105" t="str">
        <f>IF(DB!A188=0,"",DB!A188)</f>
        <v/>
      </c>
      <c r="D186" s="106" t="str">
        <f>IF(DB!A187=0,"",CONCATENATE("  ",DB!B188))</f>
        <v/>
      </c>
    </row>
    <row r="187" spans="1:5" ht="52.8" x14ac:dyDescent="0.3">
      <c r="A187" s="128" t="str">
        <f>IF(A188="","",IF(ISNUMBER(LOOKUP("Â",Code128(A188),1)),"Error!",Code128(A188)))</f>
        <v/>
      </c>
      <c r="B187" s="128"/>
      <c r="C187" s="128" t="str">
        <f>IF(C188="","",IF(ISNUMBER(LOOKUP("Â",Code128(C188),1)),"Error!",Code128(C188)))</f>
        <v/>
      </c>
      <c r="D187" s="128"/>
    </row>
    <row r="188" spans="1:5" x14ac:dyDescent="0.3">
      <c r="A188" s="105" t="str">
        <f>IF(DB!A189=0,"",DB!A189)</f>
        <v/>
      </c>
      <c r="B188" s="106" t="str">
        <f>IF(DB!A189=0,"",CONCATENATE("  ",DB!B189))</f>
        <v/>
      </c>
      <c r="C188" s="105" t="str">
        <f>IF(DB!A190=0,"",DB!A190)</f>
        <v/>
      </c>
      <c r="D188" s="106" t="str">
        <f>IF(DB!A189=0,"",CONCATENATE("  ",DB!B190))</f>
        <v/>
      </c>
      <c r="E188" s="23">
        <v>10</v>
      </c>
    </row>
    <row r="189" spans="1:5" ht="52.8" x14ac:dyDescent="0.3">
      <c r="A189" s="128" t="str">
        <f>IF(A190="","",IF(ISNUMBER(LOOKUP("Â",Code128(A190),1)),"Error!",Code128(A190)))</f>
        <v/>
      </c>
      <c r="B189" s="128"/>
      <c r="C189" s="128" t="str">
        <f>IF(C190="","",IF(ISNUMBER(LOOKUP("Â",Code128(C190),1)),"Error!",Code128(C190)))</f>
        <v/>
      </c>
      <c r="D189" s="128"/>
    </row>
    <row r="190" spans="1:5" x14ac:dyDescent="0.3">
      <c r="A190" s="105" t="str">
        <f>IF(DB!A191=0,"",DB!A191)</f>
        <v/>
      </c>
      <c r="B190" s="106" t="str">
        <f>IF(DB!A191=0,"",CONCATENATE("  ",DB!B191))</f>
        <v/>
      </c>
      <c r="C190" s="105" t="str">
        <f>IF(DB!A192=0,"",DB!A192)</f>
        <v/>
      </c>
      <c r="D190" s="106" t="str">
        <f>IF(DB!A191=0,"",CONCATENATE("  ",DB!B192))</f>
        <v/>
      </c>
    </row>
    <row r="191" spans="1:5" ht="52.8" x14ac:dyDescent="0.3">
      <c r="A191" s="128" t="str">
        <f>IF(A192="","",IF(ISNUMBER(LOOKUP("Â",Code128(A192),1)),"Error!",Code128(A192)))</f>
        <v/>
      </c>
      <c r="B191" s="128"/>
      <c r="C191" s="128" t="str">
        <f>IF(C192="","",IF(ISNUMBER(LOOKUP("Â",Code128(C192),1)),"Error!",Code128(C192)))</f>
        <v/>
      </c>
      <c r="D191" s="128"/>
    </row>
    <row r="192" spans="1:5" x14ac:dyDescent="0.3">
      <c r="A192" s="105" t="str">
        <f>IF(DB!A193=0,"",DB!A193)</f>
        <v/>
      </c>
      <c r="B192" s="106" t="str">
        <f>IF(DB!A193=0,"",CONCATENATE("  ",DB!B193))</f>
        <v/>
      </c>
      <c r="C192" s="105" t="str">
        <f>IF(DB!A194=0,"",DB!A194)</f>
        <v/>
      </c>
      <c r="D192" s="106" t="str">
        <f>IF(DB!A193=0,"",CONCATENATE("  ",DB!B194))</f>
        <v/>
      </c>
    </row>
    <row r="193" spans="1:4" ht="52.8" x14ac:dyDescent="0.3">
      <c r="A193" s="128" t="str">
        <f>IF(A194="","",IF(ISNUMBER(LOOKUP("Â",Code128(A194),1)),"Error!",Code128(A194)))</f>
        <v/>
      </c>
      <c r="B193" s="128"/>
      <c r="C193" s="128" t="str">
        <f>IF(C194="","",IF(ISNUMBER(LOOKUP("Â",Code128(C194),1)),"Error!",Code128(C194)))</f>
        <v/>
      </c>
      <c r="D193" s="128"/>
    </row>
    <row r="194" spans="1:4" x14ac:dyDescent="0.3">
      <c r="A194" s="105" t="str">
        <f>IF(DB!A195=0,"",DB!A195)</f>
        <v/>
      </c>
      <c r="B194" s="106" t="str">
        <f>IF(DB!A195=0,"",CONCATENATE("  ",DB!B195))</f>
        <v/>
      </c>
      <c r="C194" s="105" t="str">
        <f>IF(DB!A196=0,"",DB!A196)</f>
        <v/>
      </c>
      <c r="D194" s="106" t="str">
        <f>IF(DB!A195=0,"",CONCATENATE("  ",DB!B196))</f>
        <v/>
      </c>
    </row>
    <row r="195" spans="1:4" ht="52.8" x14ac:dyDescent="0.3">
      <c r="A195" s="128" t="str">
        <f>IF(A196="","",IF(ISNUMBER(LOOKUP("Â",Code128(A196),1)),"Error!",Code128(A196)))</f>
        <v/>
      </c>
      <c r="B195" s="128"/>
      <c r="C195" s="128" t="str">
        <f>IF(C196="","",IF(ISNUMBER(LOOKUP("Â",Code128(C196),1)),"Error!",Code128(C196)))</f>
        <v/>
      </c>
      <c r="D195" s="128"/>
    </row>
    <row r="196" spans="1:4" x14ac:dyDescent="0.3">
      <c r="A196" s="105" t="str">
        <f>IF(DB!A197=0,"",DB!A197)</f>
        <v/>
      </c>
      <c r="B196" s="106" t="str">
        <f>IF(DB!A197=0,"",CONCATENATE("  ",DB!B197))</f>
        <v/>
      </c>
      <c r="C196" s="105" t="str">
        <f>IF(DB!A198=0,"",DB!A198)</f>
        <v/>
      </c>
      <c r="D196" s="106" t="str">
        <f>IF(DB!A197=0,"",CONCATENATE("  ",DB!B198))</f>
        <v/>
      </c>
    </row>
    <row r="197" spans="1:4" ht="52.8" x14ac:dyDescent="0.3">
      <c r="A197" s="128" t="str">
        <f>IF(A198="","",IF(ISNUMBER(LOOKUP("Â",Code128(A198),1)),"Error!",Code128(A198)))</f>
        <v/>
      </c>
      <c r="B197" s="128"/>
      <c r="C197" s="128" t="str">
        <f>IF(C198="","",IF(ISNUMBER(LOOKUP("Â",Code128(C198),1)),"Error!",Code128(C198)))</f>
        <v/>
      </c>
      <c r="D197" s="128"/>
    </row>
    <row r="198" spans="1:4" x14ac:dyDescent="0.3">
      <c r="A198" s="105" t="str">
        <f>IF(DB!A199=0,"",DB!A199)</f>
        <v/>
      </c>
      <c r="B198" s="106" t="str">
        <f>IF(DB!A199=0,"",CONCATENATE("  ",DB!B199))</f>
        <v/>
      </c>
      <c r="C198" s="105" t="str">
        <f>IF(DB!A200=0,"",DB!A200)</f>
        <v/>
      </c>
      <c r="D198" s="106" t="str">
        <f>IF(DB!A199=0,"",CONCATENATE("  ",DB!B200))</f>
        <v/>
      </c>
    </row>
    <row r="199" spans="1:4" ht="52.8" x14ac:dyDescent="0.3">
      <c r="A199" s="128" t="str">
        <f>IF(A200="","",IF(ISNUMBER(LOOKUP("Â",Code128(A200),1)),"Error!",Code128(A200)))</f>
        <v/>
      </c>
      <c r="B199" s="128"/>
      <c r="C199" s="128" t="str">
        <f>IF(C200="","",IF(ISNUMBER(LOOKUP("Â",Code128(C200),1)),"Error!",Code128(C200)))</f>
        <v/>
      </c>
      <c r="D199" s="128"/>
    </row>
    <row r="200" spans="1:4" x14ac:dyDescent="0.3">
      <c r="A200" s="105" t="str">
        <f>IF(DB!A201=0,"",DB!A201)</f>
        <v/>
      </c>
      <c r="B200" s="106" t="str">
        <f>IF(DB!A201=0,"",CONCATENATE("  ",DB!B201))</f>
        <v/>
      </c>
      <c r="C200" s="105" t="str">
        <f>IF(DB!A202=0,"",DB!A202)</f>
        <v/>
      </c>
      <c r="D200" s="106" t="str">
        <f>IF(DB!A201=0,"",CONCATENATE("  ",DB!B202))</f>
        <v/>
      </c>
    </row>
    <row r="201" spans="1:4" ht="52.8" x14ac:dyDescent="0.3">
      <c r="A201" s="128" t="str">
        <f>IF(A202="","",IF(ISNUMBER(LOOKUP("Â",Code128(A202),1)),"Error!",Code128(A202)))</f>
        <v/>
      </c>
      <c r="B201" s="128"/>
      <c r="C201" s="128" t="str">
        <f>IF(C202="","",IF(ISNUMBER(LOOKUP("Â",Code128(C202),1)),"Error!",Code128(C202)))</f>
        <v/>
      </c>
      <c r="D201" s="128"/>
    </row>
    <row r="202" spans="1:4" x14ac:dyDescent="0.3">
      <c r="A202" s="105" t="str">
        <f>IF(DB!A203=0,"",DB!A203)</f>
        <v/>
      </c>
      <c r="B202" s="106" t="str">
        <f>IF(DB!A203=0,"",CONCATENATE("  ",DB!B203))</f>
        <v/>
      </c>
      <c r="C202" s="105" t="str">
        <f>IF(DB!A204=0,"",DB!A204)</f>
        <v/>
      </c>
      <c r="D202" s="106" t="str">
        <f>IF(DB!A203=0,"",CONCATENATE("  ",DB!B204))</f>
        <v/>
      </c>
    </row>
    <row r="203" spans="1:4" ht="52.8" x14ac:dyDescent="0.3">
      <c r="A203" s="128" t="str">
        <f>IF(A204="","",IF(ISNUMBER(LOOKUP("Â",Code128(A204),1)),"Error!",Code128(A204)))</f>
        <v/>
      </c>
      <c r="B203" s="128"/>
      <c r="C203" s="128" t="str">
        <f>IF(C204="","",IF(ISNUMBER(LOOKUP("Â",Code128(C204),1)),"Error!",Code128(C204)))</f>
        <v/>
      </c>
      <c r="D203" s="128"/>
    </row>
    <row r="204" spans="1:4" x14ac:dyDescent="0.3">
      <c r="A204" s="105" t="str">
        <f>IF(DB!A205=0,"",DB!A205)</f>
        <v/>
      </c>
      <c r="B204" s="106" t="str">
        <f>IF(DB!A205=0,"",CONCATENATE("  ",DB!B205))</f>
        <v/>
      </c>
      <c r="C204" s="105" t="str">
        <f>IF(DB!A206=0,"",DB!A206)</f>
        <v/>
      </c>
      <c r="D204" s="106" t="str">
        <f>IF(DB!A205=0,"",CONCATENATE("  ",DB!B206))</f>
        <v/>
      </c>
    </row>
    <row r="205" spans="1:4" ht="52.8" x14ac:dyDescent="0.3">
      <c r="A205" s="128" t="str">
        <f>IF(A206="","",IF(ISNUMBER(LOOKUP("Â",Code128(A206),1)),"Error!",Code128(A206)))</f>
        <v/>
      </c>
      <c r="B205" s="128"/>
      <c r="C205" s="128" t="str">
        <f>IF(C206="","",IF(ISNUMBER(LOOKUP("Â",Code128(C206),1)),"Error!",Code128(C206)))</f>
        <v/>
      </c>
      <c r="D205" s="128"/>
    </row>
    <row r="206" spans="1:4" x14ac:dyDescent="0.3">
      <c r="A206" s="105" t="str">
        <f>IF(DB!A207=0,"",DB!A207)</f>
        <v/>
      </c>
      <c r="B206" s="106" t="str">
        <f>IF(DB!A207=0,"",CONCATENATE("  ",DB!B207))</f>
        <v/>
      </c>
      <c r="C206" s="105" t="str">
        <f>IF(DB!A208=0,"",DB!A208)</f>
        <v/>
      </c>
      <c r="D206" s="106" t="str">
        <f>IF(DB!A207=0,"",CONCATENATE("  ",DB!B208))</f>
        <v/>
      </c>
    </row>
    <row r="207" spans="1:4" ht="52.8" x14ac:dyDescent="0.3">
      <c r="A207" s="128" t="str">
        <f>IF(A208="","",IF(ISNUMBER(LOOKUP("Â",Code128(A208),1)),"Error!",Code128(A208)))</f>
        <v/>
      </c>
      <c r="B207" s="128"/>
      <c r="C207" s="128" t="str">
        <f>IF(C208="","",IF(ISNUMBER(LOOKUP("Â",Code128(C208),1)),"Error!",Code128(C208)))</f>
        <v/>
      </c>
      <c r="D207" s="128"/>
    </row>
    <row r="208" spans="1:4" x14ac:dyDescent="0.3">
      <c r="A208" s="105" t="str">
        <f>IF(DB!A209=0,"",DB!A209)</f>
        <v/>
      </c>
      <c r="B208" s="106" t="str">
        <f>IF(DB!A209=0,"",CONCATENATE("  ",DB!B209))</f>
        <v/>
      </c>
      <c r="C208" s="105" t="str">
        <f>IF(DB!A210=0,"",DB!A210)</f>
        <v/>
      </c>
      <c r="D208" s="106" t="str">
        <f>IF(DB!A209=0,"",CONCATENATE("  ",DB!B210))</f>
        <v/>
      </c>
    </row>
    <row r="209" spans="1:5" ht="52.8" x14ac:dyDescent="0.3">
      <c r="A209" s="128" t="str">
        <f>IF(A210="","",IF(ISNUMBER(LOOKUP("Â",Code128(A210),1)),"Error!",Code128(A210)))</f>
        <v/>
      </c>
      <c r="B209" s="128"/>
      <c r="C209" s="128" t="str">
        <f>IF(C210="","",IF(ISNUMBER(LOOKUP("Â",Code128(C210),1)),"Error!",Code128(C210)))</f>
        <v/>
      </c>
      <c r="D209" s="128"/>
      <c r="E209" s="23">
        <v>11</v>
      </c>
    </row>
    <row r="210" spans="1:5" x14ac:dyDescent="0.3">
      <c r="A210" s="105" t="str">
        <f>IF(DB!A211=0,"",DB!A211)</f>
        <v/>
      </c>
      <c r="B210" s="106" t="str">
        <f>IF(DB!A211=0,"",CONCATENATE("  ",DB!B211))</f>
        <v/>
      </c>
      <c r="C210" s="105" t="str">
        <f>IF(DB!A212=0,"",DB!A212)</f>
        <v/>
      </c>
      <c r="D210" s="106" t="str">
        <f>IF(DB!A211=0,"",CONCATENATE("  ",DB!B212))</f>
        <v/>
      </c>
    </row>
    <row r="211" spans="1:5" ht="52.8" x14ac:dyDescent="0.3">
      <c r="A211" s="128" t="str">
        <f>IF(A212="","",IF(ISNUMBER(LOOKUP("Â",Code128(A212),1)),"Error!",Code128(A212)))</f>
        <v/>
      </c>
      <c r="B211" s="128"/>
      <c r="C211" s="128" t="str">
        <f>IF(C212="","",IF(ISNUMBER(LOOKUP("Â",Code128(C212),1)),"Error!",Code128(C212)))</f>
        <v/>
      </c>
      <c r="D211" s="128"/>
    </row>
    <row r="212" spans="1:5" x14ac:dyDescent="0.3">
      <c r="A212" s="105" t="str">
        <f>IF(DB!A213=0,"",DB!A213)</f>
        <v/>
      </c>
      <c r="B212" s="106" t="str">
        <f>IF(DB!A213=0,"",CONCATENATE("  ",DB!B213))</f>
        <v/>
      </c>
      <c r="C212" s="105" t="str">
        <f>IF(DB!A214=0,"",DB!A214)</f>
        <v/>
      </c>
      <c r="D212" s="106" t="str">
        <f>IF(DB!A213=0,"",CONCATENATE("  ",DB!B214))</f>
        <v/>
      </c>
    </row>
    <row r="213" spans="1:5" ht="52.8" x14ac:dyDescent="0.3">
      <c r="A213" s="128" t="str">
        <f>IF(A214="","",IF(ISNUMBER(LOOKUP("Â",Code128(A214),1)),"Error!",Code128(A214)))</f>
        <v/>
      </c>
      <c r="B213" s="128"/>
      <c r="C213" s="128" t="str">
        <f>IF(C214="","",IF(ISNUMBER(LOOKUP("Â",Code128(C214),1)),"Error!",Code128(C214)))</f>
        <v/>
      </c>
      <c r="D213" s="128"/>
    </row>
    <row r="214" spans="1:5" x14ac:dyDescent="0.3">
      <c r="A214" s="105" t="str">
        <f>IF(DB!A215=0,"",DB!A215)</f>
        <v/>
      </c>
      <c r="B214" s="106" t="str">
        <f>IF(DB!A215=0,"",CONCATENATE("  ",DB!B215))</f>
        <v/>
      </c>
      <c r="C214" s="105" t="str">
        <f>IF(DB!A216=0,"",DB!A216)</f>
        <v/>
      </c>
      <c r="D214" s="106" t="str">
        <f>IF(DB!A215=0,"",CONCATENATE("  ",DB!B216))</f>
        <v/>
      </c>
    </row>
    <row r="215" spans="1:5" ht="52.8" x14ac:dyDescent="0.3">
      <c r="A215" s="128" t="str">
        <f>IF(A216="","",IF(ISNUMBER(LOOKUP("Â",Code128(A216),1)),"Error!",Code128(A216)))</f>
        <v/>
      </c>
      <c r="B215" s="128"/>
      <c r="C215" s="128" t="str">
        <f>IF(C216="","",IF(ISNUMBER(LOOKUP("Â",Code128(C216),1)),"Error!",Code128(C216)))</f>
        <v/>
      </c>
      <c r="D215" s="128"/>
    </row>
    <row r="216" spans="1:5" x14ac:dyDescent="0.3">
      <c r="A216" s="105" t="str">
        <f>IF(DB!A217=0,"",DB!A217)</f>
        <v/>
      </c>
      <c r="B216" s="106" t="str">
        <f>IF(DB!A217=0,"",CONCATENATE("  ",DB!B217))</f>
        <v/>
      </c>
      <c r="C216" s="105" t="str">
        <f>IF(DB!A218=0,"",DB!A218)</f>
        <v/>
      </c>
      <c r="D216" s="106" t="str">
        <f>IF(DB!A217=0,"",CONCATENATE("  ",DB!B218))</f>
        <v/>
      </c>
    </row>
    <row r="217" spans="1:5" ht="52.8" x14ac:dyDescent="0.3">
      <c r="A217" s="128" t="str">
        <f>IF(A218="","",IF(ISNUMBER(LOOKUP("Â",Code128(A218),1)),"Error!",Code128(A218)))</f>
        <v/>
      </c>
      <c r="B217" s="128"/>
      <c r="C217" s="128" t="str">
        <f>IF(C218="","",IF(ISNUMBER(LOOKUP("Â",Code128(C218),1)),"Error!",Code128(C218)))</f>
        <v/>
      </c>
      <c r="D217" s="128"/>
    </row>
    <row r="218" spans="1:5" x14ac:dyDescent="0.3">
      <c r="A218" s="105" t="str">
        <f>IF(DB!A219=0,"",DB!A219)</f>
        <v/>
      </c>
      <c r="B218" s="106" t="str">
        <f>IF(DB!A219=0,"",CONCATENATE("  ",DB!B219))</f>
        <v/>
      </c>
      <c r="C218" s="105" t="str">
        <f>IF(DB!A220=0,"",DB!A220)</f>
        <v/>
      </c>
      <c r="D218" s="106" t="str">
        <f>IF(DB!A219=0,"",CONCATENATE("  ",DB!B220))</f>
        <v/>
      </c>
    </row>
    <row r="219" spans="1:5" ht="52.8" x14ac:dyDescent="0.3">
      <c r="A219" s="128" t="str">
        <f>IF(A220="","",IF(ISNUMBER(LOOKUP("Â",Code128(A220),1)),"Error!",Code128(A220)))</f>
        <v/>
      </c>
      <c r="B219" s="128"/>
      <c r="C219" s="128" t="str">
        <f>IF(C220="","",IF(ISNUMBER(LOOKUP("Â",Code128(C220),1)),"Error!",Code128(C220)))</f>
        <v/>
      </c>
      <c r="D219" s="128"/>
    </row>
    <row r="220" spans="1:5" x14ac:dyDescent="0.3">
      <c r="A220" s="105" t="str">
        <f>IF(DB!A221=0,"",DB!A221)</f>
        <v/>
      </c>
      <c r="B220" s="106" t="str">
        <f>IF(DB!A221=0,"",CONCATENATE("  ",DB!B221))</f>
        <v/>
      </c>
      <c r="C220" s="105" t="str">
        <f>IF(DB!A222=0,"",DB!A222)</f>
        <v/>
      </c>
      <c r="D220" s="106" t="str">
        <f>IF(DB!A221=0,"",CONCATENATE("  ",DB!B222))</f>
        <v/>
      </c>
    </row>
    <row r="221" spans="1:5" ht="52.8" x14ac:dyDescent="0.3">
      <c r="A221" s="128" t="str">
        <f>IF(A222="","",IF(ISNUMBER(LOOKUP("Â",Code128(A222),1)),"Error!",Code128(A222)))</f>
        <v/>
      </c>
      <c r="B221" s="128"/>
      <c r="C221" s="128" t="str">
        <f>IF(C222="","",IF(ISNUMBER(LOOKUP("Â",Code128(C222),1)),"Error!",Code128(C222)))</f>
        <v/>
      </c>
      <c r="D221" s="128"/>
    </row>
    <row r="222" spans="1:5" x14ac:dyDescent="0.3">
      <c r="A222" s="105" t="str">
        <f>IF(DB!A223=0,"",DB!A223)</f>
        <v/>
      </c>
      <c r="B222" s="106" t="str">
        <f>IF(DB!A223=0,"",CONCATENATE("  ",DB!B223))</f>
        <v/>
      </c>
      <c r="C222" s="105" t="str">
        <f>IF(DB!A224=0,"",DB!A224)</f>
        <v/>
      </c>
      <c r="D222" s="106" t="str">
        <f>IF(DB!A223=0,"",CONCATENATE("  ",DB!B224))</f>
        <v/>
      </c>
    </row>
    <row r="223" spans="1:5" ht="52.8" x14ac:dyDescent="0.3">
      <c r="A223" s="128" t="str">
        <f>IF(A224="","",IF(ISNUMBER(LOOKUP("Â",Code128(A224),1)),"Error!",Code128(A224)))</f>
        <v/>
      </c>
      <c r="B223" s="128"/>
      <c r="C223" s="128" t="str">
        <f>IF(C224="","",IF(ISNUMBER(LOOKUP("Â",Code128(C224),1)),"Error!",Code128(C224)))</f>
        <v/>
      </c>
      <c r="D223" s="128"/>
    </row>
    <row r="224" spans="1:5" x14ac:dyDescent="0.3">
      <c r="A224" s="105" t="str">
        <f>IF(DB!A225=0,"",DB!A225)</f>
        <v/>
      </c>
      <c r="B224" s="106" t="str">
        <f>IF(DB!A225=0,"",CONCATENATE("  ",DB!B225))</f>
        <v/>
      </c>
      <c r="C224" s="105" t="str">
        <f>IF(DB!A226=0,"",DB!A226)</f>
        <v/>
      </c>
      <c r="D224" s="106" t="str">
        <f>IF(DB!A225=0,"",CONCATENATE("  ",DB!B226))</f>
        <v/>
      </c>
    </row>
    <row r="225" spans="1:4" ht="52.8" x14ac:dyDescent="0.3">
      <c r="A225" s="128" t="str">
        <f>IF(A226="","",IF(ISNUMBER(LOOKUP("Â",Code128(A226),1)),"Error!",Code128(A226)))</f>
        <v/>
      </c>
      <c r="B225" s="128"/>
      <c r="C225" s="128" t="str">
        <f>IF(C226="","",IF(ISNUMBER(LOOKUP("Â",Code128(C226),1)),"Error!",Code128(C226)))</f>
        <v/>
      </c>
      <c r="D225" s="128"/>
    </row>
    <row r="226" spans="1:4" x14ac:dyDescent="0.3">
      <c r="A226" s="105" t="str">
        <f>IF(DB!A227=0,"",DB!A227)</f>
        <v/>
      </c>
      <c r="B226" s="106" t="str">
        <f>IF(DB!A227=0,"",CONCATENATE("  ",DB!B227))</f>
        <v/>
      </c>
      <c r="C226" s="105" t="str">
        <f>IF(DB!A228=0,"",DB!A228)</f>
        <v/>
      </c>
      <c r="D226" s="106" t="str">
        <f>IF(DB!A227=0,"",CONCATENATE("  ",DB!B228))</f>
        <v/>
      </c>
    </row>
    <row r="227" spans="1:4" ht="52.8" x14ac:dyDescent="0.3">
      <c r="A227" s="128" t="str">
        <f>IF(A228="","",IF(ISNUMBER(LOOKUP("Â",Code128(A228),1)),"Error!",Code128(A228)))</f>
        <v/>
      </c>
      <c r="B227" s="128"/>
      <c r="C227" s="128" t="str">
        <f>IF(C228="","",IF(ISNUMBER(LOOKUP("Â",Code128(C228),1)),"Error!",Code128(C228)))</f>
        <v/>
      </c>
      <c r="D227" s="128"/>
    </row>
    <row r="228" spans="1:4" x14ac:dyDescent="0.3">
      <c r="A228" s="105" t="str">
        <f>IF(DB!A229=0,"",DB!A229)</f>
        <v/>
      </c>
      <c r="B228" s="106" t="str">
        <f>IF(DB!A229=0,"",CONCATENATE("  ",DB!B229))</f>
        <v/>
      </c>
      <c r="C228" s="105" t="str">
        <f>IF(DB!A230=0,"",DB!A230)</f>
        <v/>
      </c>
      <c r="D228" s="106" t="str">
        <f>IF(DB!A229=0,"",CONCATENATE("  ",DB!B230))</f>
        <v/>
      </c>
    </row>
    <row r="229" spans="1:4" ht="52.8" x14ac:dyDescent="0.3">
      <c r="A229" s="128" t="str">
        <f>IF(A230="","",IF(ISNUMBER(LOOKUP("Â",Code128(A230),1)),"Error!",Code128(A230)))</f>
        <v/>
      </c>
      <c r="B229" s="128"/>
      <c r="C229" s="128" t="str">
        <f>IF(C230="","",IF(ISNUMBER(LOOKUP("Â",Code128(C230),1)),"Error!",Code128(C230)))</f>
        <v/>
      </c>
      <c r="D229" s="128"/>
    </row>
    <row r="230" spans="1:4" x14ac:dyDescent="0.3">
      <c r="A230" s="105" t="str">
        <f>IF(DB!A231=0,"",DB!A231)</f>
        <v/>
      </c>
      <c r="B230" s="106" t="str">
        <f>IF(DB!A231=0,"",CONCATENATE("  ",DB!B231))</f>
        <v/>
      </c>
      <c r="C230" s="105" t="str">
        <f>IF(DB!A232=0,"",DB!A232)</f>
        <v/>
      </c>
      <c r="D230" s="106" t="str">
        <f>IF(DB!A231=0,"",CONCATENATE("  ",DB!B232))</f>
        <v/>
      </c>
    </row>
    <row r="231" spans="1:4" ht="52.8" x14ac:dyDescent="0.3">
      <c r="A231" s="128" t="str">
        <f>IF(A232="","",IF(ISNUMBER(LOOKUP("Â",Code128(A232),1)),"Error!",Code128(A232)))</f>
        <v/>
      </c>
      <c r="B231" s="128"/>
      <c r="C231" s="128" t="str">
        <f>IF(C232="","",IF(ISNUMBER(LOOKUP("Â",Code128(C232),1)),"Error!",Code128(C232)))</f>
        <v/>
      </c>
      <c r="D231" s="128"/>
    </row>
    <row r="232" spans="1:4" x14ac:dyDescent="0.3">
      <c r="A232" s="105" t="str">
        <f>IF(DB!A233=0,"",DB!A233)</f>
        <v/>
      </c>
      <c r="B232" s="106" t="str">
        <f>IF(DB!A233=0,"",CONCATENATE("  ",DB!B233))</f>
        <v/>
      </c>
      <c r="C232" s="105" t="str">
        <f>IF(DB!A234=0,"",DB!A234)</f>
        <v/>
      </c>
      <c r="D232" s="106" t="str">
        <f>IF(DB!A233=0,"",CONCATENATE("  ",DB!B234))</f>
        <v/>
      </c>
    </row>
    <row r="233" spans="1:4" ht="52.8" x14ac:dyDescent="0.3">
      <c r="A233" s="128" t="str">
        <f>IF(A234="","",IF(ISNUMBER(LOOKUP("Â",Code128(A234),1)),"Error!",Code128(A234)))</f>
        <v/>
      </c>
      <c r="B233" s="128"/>
      <c r="C233" s="128" t="str">
        <f>IF(C234="","",IF(ISNUMBER(LOOKUP("Â",Code128(C234),1)),"Error!",Code128(C234)))</f>
        <v/>
      </c>
      <c r="D233" s="128"/>
    </row>
    <row r="234" spans="1:4" x14ac:dyDescent="0.3">
      <c r="A234" s="105" t="str">
        <f>IF(DB!A235=0,"",DB!A235)</f>
        <v/>
      </c>
      <c r="B234" s="106" t="str">
        <f>IF(DB!A235=0,"",CONCATENATE("  ",DB!B235))</f>
        <v/>
      </c>
      <c r="C234" s="105" t="str">
        <f>IF(DB!A236=0,"",DB!A236)</f>
        <v/>
      </c>
      <c r="D234" s="106" t="str">
        <f>IF(DB!A235=0,"",CONCATENATE("  ",DB!B236))</f>
        <v/>
      </c>
    </row>
    <row r="235" spans="1:4" ht="52.8" x14ac:dyDescent="0.3">
      <c r="A235" s="128" t="str">
        <f>IF(A236="","",IF(ISNUMBER(LOOKUP("Â",Code128(A236),1)),"Error!",Code128(A236)))</f>
        <v/>
      </c>
      <c r="B235" s="128"/>
      <c r="C235" s="128" t="str">
        <f>IF(C236="","",IF(ISNUMBER(LOOKUP("Â",Code128(C236),1)),"Error!",Code128(C236)))</f>
        <v/>
      </c>
      <c r="D235" s="128"/>
    </row>
    <row r="236" spans="1:4" x14ac:dyDescent="0.3">
      <c r="A236" s="105" t="str">
        <f>IF(DB!A237=0,"",DB!A237)</f>
        <v/>
      </c>
      <c r="B236" s="106" t="str">
        <f>IF(DB!A237=0,"",CONCATENATE("  ",DB!B237))</f>
        <v/>
      </c>
      <c r="C236" s="105" t="str">
        <f>IF(DB!A238=0,"",DB!A238)</f>
        <v/>
      </c>
      <c r="D236" s="106" t="str">
        <f>IF(DB!A237=0,"",CONCATENATE("  ",DB!B238))</f>
        <v/>
      </c>
    </row>
    <row r="237" spans="1:4" ht="52.8" x14ac:dyDescent="0.3">
      <c r="A237" s="128" t="str">
        <f>IF(A238="","",IF(ISNUMBER(LOOKUP("Â",Code128(A238),1)),"Error!",Code128(A238)))</f>
        <v/>
      </c>
      <c r="B237" s="128"/>
      <c r="C237" s="128" t="str">
        <f>IF(C238="","",IF(ISNUMBER(LOOKUP("Â",Code128(C238),1)),"Error!",Code128(C238)))</f>
        <v/>
      </c>
      <c r="D237" s="128"/>
    </row>
    <row r="238" spans="1:4" x14ac:dyDescent="0.3">
      <c r="A238" s="105" t="str">
        <f>IF(DB!A239=0,"",DB!A239)</f>
        <v/>
      </c>
      <c r="B238" s="106" t="str">
        <f>IF(DB!A239=0,"",CONCATENATE("  ",DB!B239))</f>
        <v/>
      </c>
      <c r="C238" s="105" t="str">
        <f>IF(DB!A240=0,"",DB!A240)</f>
        <v/>
      </c>
      <c r="D238" s="106" t="str">
        <f>IF(DB!A239=0,"",CONCATENATE("  ",DB!B240))</f>
        <v/>
      </c>
    </row>
    <row r="239" spans="1:4" ht="52.8" x14ac:dyDescent="0.3">
      <c r="A239" s="128" t="str">
        <f>IF(A240="","",IF(ISNUMBER(LOOKUP("Â",Code128(A240),1)),"Error!",Code128(A240)))</f>
        <v/>
      </c>
      <c r="B239" s="128"/>
      <c r="C239" s="128" t="str">
        <f>IF(C240="","",IF(ISNUMBER(LOOKUP("Â",Code128(C240),1)),"Error!",Code128(C240)))</f>
        <v/>
      </c>
      <c r="D239" s="128"/>
    </row>
    <row r="240" spans="1:4" x14ac:dyDescent="0.3">
      <c r="A240" s="105" t="str">
        <f>IF(DB!A241=0,"",DB!A241)</f>
        <v/>
      </c>
      <c r="B240" s="106" t="str">
        <f>IF(DB!A241=0,"",CONCATENATE("  ",DB!B241))</f>
        <v/>
      </c>
      <c r="C240" s="105" t="str">
        <f>IF(DB!A242=0,"",DB!A242)</f>
        <v/>
      </c>
      <c r="D240" s="106" t="str">
        <f>IF(DB!A241=0,"",CONCATENATE("  ",DB!B242))</f>
        <v/>
      </c>
    </row>
    <row r="241" spans="1:4" ht="52.8" x14ac:dyDescent="0.3">
      <c r="A241" s="128" t="str">
        <f>IF(A242="","",IF(ISNUMBER(LOOKUP("Â",Code128(A242),1)),"Error!",Code128(A242)))</f>
        <v/>
      </c>
      <c r="B241" s="128"/>
      <c r="C241" s="128" t="str">
        <f>IF(C242="","",IF(ISNUMBER(LOOKUP("Â",Code128(C242),1)),"Error!",Code128(C242)))</f>
        <v/>
      </c>
      <c r="D241" s="128"/>
    </row>
    <row r="242" spans="1:4" x14ac:dyDescent="0.3">
      <c r="A242" s="105" t="str">
        <f>IF(DB!A243=0,"",DB!A243)</f>
        <v/>
      </c>
      <c r="B242" s="106" t="str">
        <f>IF(DB!A243=0,"",CONCATENATE("  ",DB!B243))</f>
        <v/>
      </c>
      <c r="C242" s="105" t="str">
        <f>IF(DB!A244=0,"",DB!A244)</f>
        <v/>
      </c>
      <c r="D242" s="106" t="str">
        <f>IF(DB!A243=0,"",CONCATENATE("  ",DB!B244))</f>
        <v/>
      </c>
    </row>
    <row r="243" spans="1:4" ht="52.8" x14ac:dyDescent="0.3">
      <c r="A243" s="128" t="str">
        <f>IF(A244="","",IF(ISNUMBER(LOOKUP("Â",Code128(A244),1)),"Error!",Code128(A244)))</f>
        <v/>
      </c>
      <c r="B243" s="128"/>
      <c r="C243" s="128" t="str">
        <f>IF(C244="","",IF(ISNUMBER(LOOKUP("Â",Code128(C244),1)),"Error!",Code128(C244)))</f>
        <v/>
      </c>
      <c r="D243" s="128"/>
    </row>
    <row r="244" spans="1:4" x14ac:dyDescent="0.3">
      <c r="A244" s="105" t="str">
        <f>IF(DB!A245=0,"",DB!A245)</f>
        <v/>
      </c>
      <c r="B244" s="106" t="str">
        <f>IF(DB!A245=0,"",CONCATENATE("  ",DB!B245))</f>
        <v/>
      </c>
      <c r="C244" s="105" t="str">
        <f>IF(DB!A246=0,"",DB!A246)</f>
        <v/>
      </c>
      <c r="D244" s="106" t="str">
        <f>IF(DB!A245=0,"",CONCATENATE("  ",DB!B246))</f>
        <v/>
      </c>
    </row>
    <row r="245" spans="1:4" ht="52.8" x14ac:dyDescent="0.3">
      <c r="A245" s="128" t="str">
        <f>IF(A246="","",IF(ISNUMBER(LOOKUP("Â",Code128(A246),1)),"Error!",Code128(A246)))</f>
        <v/>
      </c>
      <c r="B245" s="128"/>
      <c r="C245" s="128" t="str">
        <f>IF(C246="","",IF(ISNUMBER(LOOKUP("Â",Code128(C246),1)),"Error!",Code128(C246)))</f>
        <v/>
      </c>
      <c r="D245" s="128"/>
    </row>
    <row r="246" spans="1:4" x14ac:dyDescent="0.3">
      <c r="A246" s="105" t="str">
        <f>IF(DB!A247=0,"",DB!A247)</f>
        <v/>
      </c>
      <c r="B246" s="106" t="str">
        <f>IF(DB!A247=0,"",CONCATENATE("  ",DB!B247))</f>
        <v/>
      </c>
      <c r="C246" s="105" t="str">
        <f>IF(DB!A248=0,"",DB!A248)</f>
        <v/>
      </c>
      <c r="D246" s="106" t="str">
        <f>IF(DB!A247=0,"",CONCATENATE("  ",DB!B248))</f>
        <v/>
      </c>
    </row>
    <row r="247" spans="1:4" ht="52.8" x14ac:dyDescent="0.3">
      <c r="A247" s="128" t="str">
        <f>IF(A248="","",IF(ISNUMBER(LOOKUP("Â",Code128(A248),1)),"Error!",Code128(A248)))</f>
        <v/>
      </c>
      <c r="B247" s="128"/>
      <c r="C247" s="128" t="str">
        <f>IF(C248="","",IF(ISNUMBER(LOOKUP("Â",Code128(C248),1)),"Error!",Code128(C248)))</f>
        <v/>
      </c>
      <c r="D247" s="128"/>
    </row>
    <row r="248" spans="1:4" x14ac:dyDescent="0.3">
      <c r="A248" s="105" t="str">
        <f>IF(DB!A249=0,"",DB!A249)</f>
        <v/>
      </c>
      <c r="B248" s="106" t="str">
        <f>IF(DB!A249=0,"",CONCATENATE("  ",DB!B249))</f>
        <v/>
      </c>
      <c r="C248" s="105" t="str">
        <f>IF(DB!A250=0,"",DB!A250)</f>
        <v/>
      </c>
      <c r="D248" s="106" t="str">
        <f>IF(DB!A249=0,"",CONCATENATE("  ",DB!B250))</f>
        <v/>
      </c>
    </row>
    <row r="249" spans="1:4" ht="52.8" x14ac:dyDescent="0.3">
      <c r="A249" s="128" t="str">
        <f>IF(A250="","",IF(ISNUMBER(LOOKUP("Â",Code128(A250),1)),"Error!",Code128(A250)))</f>
        <v/>
      </c>
      <c r="B249" s="128"/>
      <c r="C249" s="128" t="str">
        <f>IF(C250="","",IF(ISNUMBER(LOOKUP("Â",Code128(C250),1)),"Error!",Code128(C250)))</f>
        <v/>
      </c>
      <c r="D249" s="128"/>
    </row>
    <row r="250" spans="1:4" x14ac:dyDescent="0.3">
      <c r="A250" s="105" t="str">
        <f>IF(DB!A251=0,"",DB!A251)</f>
        <v/>
      </c>
      <c r="B250" s="106" t="str">
        <f>IF(DB!A251=0,"",CONCATENATE("  ",DB!B251))</f>
        <v/>
      </c>
      <c r="C250" s="105" t="str">
        <f>IF(DB!A252=0,"",DB!A252)</f>
        <v/>
      </c>
      <c r="D250" s="106" t="str">
        <f>IF(DB!A251=0,"",CONCATENATE("  ",DB!B252))</f>
        <v/>
      </c>
    </row>
    <row r="251" spans="1:4" ht="52.8" x14ac:dyDescent="0.3">
      <c r="A251" s="128" t="str">
        <f>IF(A252="","",IF(ISNUMBER(LOOKUP("Â",Code128(A252),1)),"Error!",Code128(A252)))</f>
        <v/>
      </c>
      <c r="B251" s="128"/>
      <c r="C251" s="128" t="str">
        <f>IF(C252="","",IF(ISNUMBER(LOOKUP("Â",Code128(C252),1)),"Error!",Code128(C252)))</f>
        <v/>
      </c>
      <c r="D251" s="128"/>
    </row>
    <row r="252" spans="1:4" x14ac:dyDescent="0.3">
      <c r="A252" s="105" t="str">
        <f>IF(DB!A253=0,"",DB!A253)</f>
        <v/>
      </c>
      <c r="B252" s="106" t="str">
        <f>IF(DB!A253=0,"",CONCATENATE("  ",DB!B253))</f>
        <v/>
      </c>
      <c r="C252" s="105" t="str">
        <f>IF(DB!A254=0,"",DB!A254)</f>
        <v/>
      </c>
      <c r="D252" s="106" t="str">
        <f>IF(DB!A253=0,"",CONCATENATE("  ",DB!B254))</f>
        <v/>
      </c>
    </row>
    <row r="253" spans="1:4" ht="52.8" x14ac:dyDescent="0.3">
      <c r="A253" s="128" t="str">
        <f>IF(A254="","",IF(ISNUMBER(LOOKUP("Â",Code128(A254),1)),"Error!",Code128(A254)))</f>
        <v/>
      </c>
      <c r="B253" s="128"/>
      <c r="C253" s="128" t="str">
        <f>IF(C254="","",IF(ISNUMBER(LOOKUP("Â",Code128(C254),1)),"Error!",Code128(C254)))</f>
        <v/>
      </c>
      <c r="D253" s="128"/>
    </row>
    <row r="254" spans="1:4" x14ac:dyDescent="0.3">
      <c r="A254" s="105" t="str">
        <f>IF(DB!A255=0,"",DB!A255)</f>
        <v/>
      </c>
      <c r="B254" s="106" t="str">
        <f>IF(DB!A255=0,"",CONCATENATE("  ",DB!B255))</f>
        <v/>
      </c>
      <c r="C254" s="105" t="str">
        <f>IF(DB!A256=0,"",DB!A256)</f>
        <v/>
      </c>
      <c r="D254" s="106" t="str">
        <f>IF(DB!A255=0,"",CONCATENATE("  ",DB!B256))</f>
        <v/>
      </c>
    </row>
    <row r="255" spans="1:4" ht="52.8" x14ac:dyDescent="0.3">
      <c r="A255" s="128" t="str">
        <f>IF(A256="","",IF(ISNUMBER(LOOKUP("Â",Code128(A256),1)),"Error!",Code128(A256)))</f>
        <v/>
      </c>
      <c r="B255" s="128"/>
      <c r="C255" s="128" t="str">
        <f>IF(C256="","",IF(ISNUMBER(LOOKUP("Â",Code128(C256),1)),"Error!",Code128(C256)))</f>
        <v/>
      </c>
      <c r="D255" s="128"/>
    </row>
    <row r="256" spans="1:4" x14ac:dyDescent="0.3">
      <c r="A256" s="105" t="str">
        <f>IF(DB!A257=0,"",DB!A257)</f>
        <v/>
      </c>
      <c r="B256" s="106" t="str">
        <f>IF(DB!A257=0,"",CONCATENATE("  ",DB!B257))</f>
        <v/>
      </c>
      <c r="C256" s="105" t="str">
        <f>IF(DB!A258=0,"",DB!A258)</f>
        <v/>
      </c>
      <c r="D256" s="106" t="str">
        <f>IF(DB!A257=0,"",CONCATENATE("  ",DB!B258))</f>
        <v/>
      </c>
    </row>
    <row r="257" spans="1:4" ht="52.8" x14ac:dyDescent="0.3">
      <c r="A257" s="128" t="str">
        <f>IF(A258="","",IF(ISNUMBER(LOOKUP("Â",Code128(A258),1)),"Error!",Code128(A258)))</f>
        <v/>
      </c>
      <c r="B257" s="128"/>
      <c r="C257" s="128" t="str">
        <f>IF(C258="","",IF(ISNUMBER(LOOKUP("Â",Code128(C258),1)),"Error!",Code128(C258)))</f>
        <v/>
      </c>
      <c r="D257" s="128"/>
    </row>
    <row r="258" spans="1:4" x14ac:dyDescent="0.3">
      <c r="A258" s="105" t="str">
        <f>IF(DB!A259=0,"",DB!A259)</f>
        <v/>
      </c>
      <c r="B258" s="106" t="str">
        <f>IF(DB!A259=0,"",CONCATENATE("  ",DB!B259))</f>
        <v/>
      </c>
      <c r="C258" s="105" t="str">
        <f>IF(DB!A260=0,"",DB!A260)</f>
        <v/>
      </c>
      <c r="D258" s="106" t="str">
        <f>IF(DB!A259=0,"",CONCATENATE("  ",DB!B260))</f>
        <v/>
      </c>
    </row>
    <row r="259" spans="1:4" ht="52.8" x14ac:dyDescent="0.3">
      <c r="A259" s="128" t="str">
        <f>IF(A260="","",IF(ISNUMBER(LOOKUP("Â",Code128(A260),1)),"Error!",Code128(A260)))</f>
        <v/>
      </c>
      <c r="B259" s="128"/>
      <c r="C259" s="128" t="str">
        <f>IF(C260="","",IF(ISNUMBER(LOOKUP("Â",Code128(C260),1)),"Error!",Code128(C260)))</f>
        <v/>
      </c>
      <c r="D259" s="128"/>
    </row>
    <row r="260" spans="1:4" x14ac:dyDescent="0.3">
      <c r="A260" s="105" t="str">
        <f>IF(DB!A261=0,"",DB!A261)</f>
        <v/>
      </c>
      <c r="B260" s="106" t="str">
        <f>IF(DB!A261=0,"",CONCATENATE("  ",DB!B261))</f>
        <v/>
      </c>
      <c r="C260" s="105" t="str">
        <f>IF(DB!A262=0,"",DB!A262)</f>
        <v/>
      </c>
      <c r="D260" s="106" t="str">
        <f>IF(DB!A261=0,"",CONCATENATE("  ",DB!B262))</f>
        <v/>
      </c>
    </row>
    <row r="261" spans="1:4" ht="52.8" x14ac:dyDescent="0.3">
      <c r="A261" s="128" t="str">
        <f>IF(A262="","",IF(ISNUMBER(LOOKUP("Â",Code128(A262),1)),"Error!",Code128(A262)))</f>
        <v/>
      </c>
      <c r="B261" s="128"/>
      <c r="C261" s="128" t="str">
        <f>IF(C262="","",IF(ISNUMBER(LOOKUP("Â",Code128(C262),1)),"Error!",Code128(C262)))</f>
        <v/>
      </c>
      <c r="D261" s="128"/>
    </row>
    <row r="262" spans="1:4" x14ac:dyDescent="0.3">
      <c r="A262" s="105" t="str">
        <f>IF(DB!A263=0,"",DB!A263)</f>
        <v/>
      </c>
      <c r="B262" s="106" t="str">
        <f>IF(DB!A263=0,"",CONCATENATE("  ",DB!B263))</f>
        <v/>
      </c>
      <c r="C262" s="105" t="str">
        <f>IF(DB!A264=0,"",DB!A264)</f>
        <v/>
      </c>
      <c r="D262" s="106" t="str">
        <f>IF(DB!A263=0,"",CONCATENATE("  ",DB!B264))</f>
        <v/>
      </c>
    </row>
    <row r="263" spans="1:4" ht="52.8" x14ac:dyDescent="0.3">
      <c r="A263" s="128" t="str">
        <f>IF(A264="","",IF(ISNUMBER(LOOKUP("Â",Code128(A264),1)),"Error!",Code128(A264)))</f>
        <v/>
      </c>
      <c r="B263" s="128"/>
      <c r="C263" s="128" t="str">
        <f>IF(C264="","",IF(ISNUMBER(LOOKUP("Â",Code128(C264),1)),"Error!",Code128(C264)))</f>
        <v/>
      </c>
      <c r="D263" s="128"/>
    </row>
    <row r="264" spans="1:4" x14ac:dyDescent="0.3">
      <c r="A264" s="105" t="str">
        <f>IF(DB!A265=0,"",DB!A265)</f>
        <v/>
      </c>
      <c r="B264" s="106" t="str">
        <f>IF(DB!A265=0,"",CONCATENATE("  ",DB!B265))</f>
        <v/>
      </c>
      <c r="C264" s="105" t="str">
        <f>IF(DB!A266=0,"",DB!A266)</f>
        <v/>
      </c>
      <c r="D264" s="106" t="str">
        <f>IF(DB!A265=0,"",CONCATENATE("  ",DB!B266))</f>
        <v/>
      </c>
    </row>
    <row r="265" spans="1:4" ht="52.8" x14ac:dyDescent="0.3">
      <c r="A265" s="128" t="str">
        <f>IF(A266="","",IF(ISNUMBER(LOOKUP("Â",Code128(A266),1)),"Error!",Code128(A266)))</f>
        <v/>
      </c>
      <c r="B265" s="128"/>
      <c r="C265" s="128" t="str">
        <f>IF(C266="","",IF(ISNUMBER(LOOKUP("Â",Code128(C266),1)),"Error!",Code128(C266)))</f>
        <v/>
      </c>
      <c r="D265" s="128"/>
    </row>
    <row r="266" spans="1:4" x14ac:dyDescent="0.3">
      <c r="A266" s="105" t="str">
        <f>IF(DB!A267=0,"",DB!A267)</f>
        <v/>
      </c>
      <c r="B266" s="106" t="str">
        <f>IF(DB!A267=0,"",CONCATENATE("  ",DB!B267))</f>
        <v/>
      </c>
      <c r="C266" s="105" t="str">
        <f>IF(DB!A268=0,"",DB!A268)</f>
        <v/>
      </c>
      <c r="D266" s="106" t="str">
        <f>IF(DB!A267=0,"",CONCATENATE("  ",DB!B268))</f>
        <v/>
      </c>
    </row>
    <row r="267" spans="1:4" ht="52.8" x14ac:dyDescent="0.3">
      <c r="A267" s="128" t="str">
        <f>IF(A268="","",IF(ISNUMBER(LOOKUP("Â",Code128(A268),1)),"Error!",Code128(A268)))</f>
        <v/>
      </c>
      <c r="B267" s="128"/>
      <c r="C267" s="128" t="str">
        <f>IF(C268="","",IF(ISNUMBER(LOOKUP("Â",Code128(C268),1)),"Error!",Code128(C268)))</f>
        <v/>
      </c>
      <c r="D267" s="128"/>
    </row>
    <row r="268" spans="1:4" x14ac:dyDescent="0.3">
      <c r="A268" s="105" t="str">
        <f>IF(DB!A269=0,"",DB!A269)</f>
        <v/>
      </c>
      <c r="B268" s="106" t="str">
        <f>IF(DB!A269=0,"",CONCATENATE("  ",DB!B269))</f>
        <v/>
      </c>
      <c r="C268" s="105" t="str">
        <f>IF(DB!A270=0,"",DB!A270)</f>
        <v/>
      </c>
      <c r="D268" s="106" t="str">
        <f>IF(DB!A269=0,"",CONCATENATE("  ",DB!B270))</f>
        <v/>
      </c>
    </row>
    <row r="269" spans="1:4" ht="52.8" x14ac:dyDescent="0.3">
      <c r="A269" s="128" t="str">
        <f>IF(A270="","",IF(ISNUMBER(LOOKUP("Â",Code128(A270),1)),"Error!",Code128(A270)))</f>
        <v/>
      </c>
      <c r="B269" s="128"/>
      <c r="C269" s="128" t="str">
        <f>IF(C270="","",IF(ISNUMBER(LOOKUP("Â",Code128(C270),1)),"Error!",Code128(C270)))</f>
        <v/>
      </c>
      <c r="D269" s="128"/>
    </row>
    <row r="270" spans="1:4" x14ac:dyDescent="0.3">
      <c r="A270" s="105" t="str">
        <f>IF(DB!A271=0,"",DB!A271)</f>
        <v/>
      </c>
      <c r="B270" s="106" t="str">
        <f>IF(DB!A271=0,"",CONCATENATE("  ",DB!B271))</f>
        <v/>
      </c>
      <c r="C270" s="105" t="str">
        <f>IF(DB!A272=0,"",DB!A272)</f>
        <v/>
      </c>
      <c r="D270" s="106" t="str">
        <f>IF(DB!A271=0,"",CONCATENATE("  ",DB!B272))</f>
        <v/>
      </c>
    </row>
    <row r="271" spans="1:4" ht="52.8" x14ac:dyDescent="0.3">
      <c r="A271" s="128" t="str">
        <f>IF(A272="","",IF(ISNUMBER(LOOKUP("Â",Code128(A272),1)),"Error!",Code128(A272)))</f>
        <v/>
      </c>
      <c r="B271" s="128"/>
      <c r="C271" s="128" t="str">
        <f>IF(C272="","",IF(ISNUMBER(LOOKUP("Â",Code128(C272),1)),"Error!",Code128(C272)))</f>
        <v/>
      </c>
      <c r="D271" s="128"/>
    </row>
    <row r="272" spans="1:4" x14ac:dyDescent="0.3">
      <c r="A272" s="105" t="str">
        <f>IF(DB!A273=0,"",DB!A273)</f>
        <v/>
      </c>
      <c r="B272" s="106" t="str">
        <f>IF(DB!A273=0,"",CONCATENATE("  ",DB!B273))</f>
        <v/>
      </c>
      <c r="C272" s="105" t="str">
        <f>IF(DB!A274=0,"",DB!A274)</f>
        <v/>
      </c>
      <c r="D272" s="106" t="str">
        <f>IF(DB!A273=0,"",CONCATENATE("  ",DB!B274))</f>
        <v/>
      </c>
    </row>
    <row r="273" spans="1:4" ht="52.8" x14ac:dyDescent="0.3">
      <c r="A273" s="128" t="str">
        <f>IF(A274="","",IF(ISNUMBER(LOOKUP("Â",Code128(A274),1)),"Error!",Code128(A274)))</f>
        <v/>
      </c>
      <c r="B273" s="128"/>
      <c r="C273" s="128" t="str">
        <f>IF(C274="","",IF(ISNUMBER(LOOKUP("Â",Code128(C274),1)),"Error!",Code128(C274)))</f>
        <v/>
      </c>
      <c r="D273" s="128"/>
    </row>
    <row r="274" spans="1:4" x14ac:dyDescent="0.3">
      <c r="A274" s="105" t="str">
        <f>IF(DB!A275=0,"",DB!A275)</f>
        <v/>
      </c>
      <c r="B274" s="106" t="str">
        <f>IF(DB!A275=0,"",CONCATENATE("  ",DB!B275))</f>
        <v/>
      </c>
      <c r="C274" s="105" t="str">
        <f>IF(DB!A276=0,"",DB!A276)</f>
        <v/>
      </c>
      <c r="D274" s="106" t="str">
        <f>IF(DB!A275=0,"",CONCATENATE("  ",DB!B276))</f>
        <v/>
      </c>
    </row>
    <row r="275" spans="1:4" ht="52.8" x14ac:dyDescent="0.3">
      <c r="A275" s="128" t="str">
        <f>IF(A276="","",IF(ISNUMBER(LOOKUP("Â",Code128(A276),1)),"Error!",Code128(A276)))</f>
        <v/>
      </c>
      <c r="B275" s="128"/>
      <c r="C275" s="128" t="str">
        <f>IF(C276="","",IF(ISNUMBER(LOOKUP("Â",Code128(C276),1)),"Error!",Code128(C276)))</f>
        <v/>
      </c>
      <c r="D275" s="128"/>
    </row>
    <row r="276" spans="1:4" x14ac:dyDescent="0.3">
      <c r="A276" s="105" t="str">
        <f>IF(DB!A277=0,"",DB!A277)</f>
        <v/>
      </c>
      <c r="B276" s="106" t="str">
        <f>IF(DB!A277=0,"",CONCATENATE("  ",DB!B277))</f>
        <v/>
      </c>
      <c r="C276" s="105" t="str">
        <f>IF(DB!A278=0,"",DB!A278)</f>
        <v/>
      </c>
      <c r="D276" s="106" t="str">
        <f>IF(DB!A277=0,"",CONCATENATE("  ",DB!B278))</f>
        <v/>
      </c>
    </row>
    <row r="277" spans="1:4" ht="52.8" x14ac:dyDescent="0.3">
      <c r="A277" s="128" t="str">
        <f>IF(A278="","",IF(ISNUMBER(LOOKUP("Â",Code128(A278),1)),"Error!",Code128(A278)))</f>
        <v/>
      </c>
      <c r="B277" s="128"/>
      <c r="C277" s="128" t="str">
        <f>IF(C278="","",IF(ISNUMBER(LOOKUP("Â",Code128(C278),1)),"Error!",Code128(C278)))</f>
        <v/>
      </c>
      <c r="D277" s="128"/>
    </row>
    <row r="278" spans="1:4" x14ac:dyDescent="0.3">
      <c r="A278" s="105" t="str">
        <f>IF(DB!A279=0,"",DB!A279)</f>
        <v/>
      </c>
      <c r="B278" s="106" t="str">
        <f>IF(DB!A279=0,"",CONCATENATE("  ",DB!B279))</f>
        <v/>
      </c>
      <c r="C278" s="105" t="str">
        <f>IF(DB!A280=0,"",DB!A280)</f>
        <v/>
      </c>
      <c r="D278" s="106" t="str">
        <f>IF(DB!A279=0,"",CONCATENATE("  ",DB!B280))</f>
        <v/>
      </c>
    </row>
    <row r="279" spans="1:4" ht="52.8" x14ac:dyDescent="0.3">
      <c r="A279" s="128" t="str">
        <f>IF(A280="","",IF(ISNUMBER(LOOKUP("Â",Code128(A280),1)),"Error!",Code128(A280)))</f>
        <v/>
      </c>
      <c r="B279" s="128"/>
      <c r="C279" s="128" t="str">
        <f>IF(C280="","",IF(ISNUMBER(LOOKUP("Â",Code128(C280),1)),"Error!",Code128(C280)))</f>
        <v/>
      </c>
      <c r="D279" s="128"/>
    </row>
    <row r="280" spans="1:4" x14ac:dyDescent="0.3">
      <c r="A280" s="105" t="str">
        <f>IF(DB!A281=0,"",DB!A281)</f>
        <v/>
      </c>
      <c r="B280" s="106" t="str">
        <f>IF(DB!A281=0,"",CONCATENATE("  ",DB!B281))</f>
        <v/>
      </c>
      <c r="C280" s="105" t="str">
        <f>IF(DB!A282=0,"",DB!A282)</f>
        <v/>
      </c>
      <c r="D280" s="106" t="str">
        <f>IF(DB!A281=0,"",CONCATENATE("  ",DB!B282))</f>
        <v/>
      </c>
    </row>
    <row r="281" spans="1:4" ht="52.8" x14ac:dyDescent="0.3">
      <c r="A281" s="128" t="str">
        <f>IF(A282="","",IF(ISNUMBER(LOOKUP("Â",Code128(A282),1)),"Error!",Code128(A282)))</f>
        <v/>
      </c>
      <c r="B281" s="128"/>
      <c r="C281" s="128" t="str">
        <f>IF(C282="","",IF(ISNUMBER(LOOKUP("Â",Code128(C282),1)),"Error!",Code128(C282)))</f>
        <v/>
      </c>
      <c r="D281" s="128"/>
    </row>
    <row r="282" spans="1:4" x14ac:dyDescent="0.3">
      <c r="A282" s="105" t="str">
        <f>IF(DB!A283=0,"",DB!A283)</f>
        <v/>
      </c>
      <c r="B282" s="106" t="str">
        <f>IF(DB!A283=0,"",CONCATENATE("  ",DB!B283))</f>
        <v/>
      </c>
      <c r="C282" s="105" t="str">
        <f>IF(DB!A284=0,"",DB!A284)</f>
        <v/>
      </c>
      <c r="D282" s="106" t="str">
        <f>IF(DB!A283=0,"",CONCATENATE("  ",DB!B284))</f>
        <v/>
      </c>
    </row>
    <row r="283" spans="1:4" ht="52.8" x14ac:dyDescent="0.3">
      <c r="A283" s="128" t="str">
        <f>IF(A284="","",IF(ISNUMBER(LOOKUP("Â",Code128(A284),1)),"Error!",Code128(A284)))</f>
        <v/>
      </c>
      <c r="B283" s="128"/>
      <c r="C283" s="128" t="str">
        <f>IF(C284="","",IF(ISNUMBER(LOOKUP("Â",Code128(C284),1)),"Error!",Code128(C284)))</f>
        <v/>
      </c>
      <c r="D283" s="128"/>
    </row>
    <row r="284" spans="1:4" x14ac:dyDescent="0.3">
      <c r="A284" s="105" t="str">
        <f>IF(DB!A285=0,"",DB!A285)</f>
        <v/>
      </c>
      <c r="B284" s="106" t="str">
        <f>IF(DB!A285=0,"",CONCATENATE("  ",DB!B285))</f>
        <v/>
      </c>
      <c r="C284" s="105" t="str">
        <f>IF(DB!A286=0,"",DB!A286)</f>
        <v/>
      </c>
      <c r="D284" s="106" t="str">
        <f>IF(DB!A285=0,"",CONCATENATE("  ",DB!B286))</f>
        <v/>
      </c>
    </row>
    <row r="285" spans="1:4" ht="52.8" x14ac:dyDescent="0.3">
      <c r="A285" s="128" t="str">
        <f>IF(A286="","",IF(ISNUMBER(LOOKUP("Â",Code128(A286),1)),"Error!",Code128(A286)))</f>
        <v/>
      </c>
      <c r="B285" s="128"/>
      <c r="C285" s="128" t="str">
        <f>IF(C286="","",IF(ISNUMBER(LOOKUP("Â",Code128(C286),1)),"Error!",Code128(C286)))</f>
        <v/>
      </c>
      <c r="D285" s="128"/>
    </row>
    <row r="286" spans="1:4" x14ac:dyDescent="0.3">
      <c r="A286" s="105" t="str">
        <f>IF(DB!A287=0,"",DB!A287)</f>
        <v/>
      </c>
      <c r="B286" s="106" t="str">
        <f>IF(DB!A287=0,"",CONCATENATE("  ",DB!B287))</f>
        <v/>
      </c>
      <c r="C286" s="105" t="str">
        <f>IF(DB!A288=0,"",DB!A288)</f>
        <v/>
      </c>
      <c r="D286" s="106" t="str">
        <f>IF(DB!A287=0,"",CONCATENATE("  ",DB!B288))</f>
        <v/>
      </c>
    </row>
    <row r="287" spans="1:4" ht="52.8" x14ac:dyDescent="0.3">
      <c r="A287" s="128" t="str">
        <f>IF(A288="","",IF(ISNUMBER(LOOKUP("Â",Code128(A288),1)),"Error!",Code128(A288)))</f>
        <v/>
      </c>
      <c r="B287" s="128"/>
      <c r="C287" s="128" t="str">
        <f>IF(C288="","",IF(ISNUMBER(LOOKUP("Â",Code128(C288),1)),"Error!",Code128(C288)))</f>
        <v/>
      </c>
      <c r="D287" s="128"/>
    </row>
    <row r="288" spans="1:4" x14ac:dyDescent="0.3">
      <c r="A288" s="105" t="str">
        <f>IF(DB!A289=0,"",DB!A289)</f>
        <v/>
      </c>
      <c r="B288" s="106" t="str">
        <f>IF(DB!A289=0,"",CONCATENATE("  ",DB!B289))</f>
        <v/>
      </c>
      <c r="C288" s="105" t="str">
        <f>IF(DB!A290=0,"",DB!A290)</f>
        <v/>
      </c>
      <c r="D288" s="106" t="str">
        <f>IF(DB!A289=0,"",CONCATENATE("  ",DB!B290))</f>
        <v/>
      </c>
    </row>
    <row r="289" spans="1:4" ht="52.8" x14ac:dyDescent="0.3">
      <c r="A289" s="128" t="str">
        <f>IF(A290="","",IF(ISNUMBER(LOOKUP("Â",Code128(A290),1)),"Error!",Code128(A290)))</f>
        <v/>
      </c>
      <c r="B289" s="128"/>
      <c r="C289" s="128" t="str">
        <f>IF(C290="","",IF(ISNUMBER(LOOKUP("Â",Code128(C290),1)),"Error!",Code128(C290)))</f>
        <v/>
      </c>
      <c r="D289" s="128"/>
    </row>
    <row r="290" spans="1:4" x14ac:dyDescent="0.3">
      <c r="A290" s="105" t="str">
        <f>IF(DB!A291=0,"",DB!A291)</f>
        <v/>
      </c>
      <c r="B290" s="106" t="str">
        <f>IF(DB!A291=0,"",CONCATENATE("  ",DB!B291))</f>
        <v/>
      </c>
      <c r="C290" s="105" t="str">
        <f>IF(DB!A292=0,"",DB!A292)</f>
        <v/>
      </c>
      <c r="D290" s="106" t="str">
        <f>IF(DB!A291=0,"",CONCATENATE("  ",DB!B292))</f>
        <v/>
      </c>
    </row>
    <row r="291" spans="1:4" ht="52.8" x14ac:dyDescent="0.3">
      <c r="A291" s="128" t="str">
        <f>IF(A292="","",IF(ISNUMBER(LOOKUP("Â",Code128(A292),1)),"Error!",Code128(A292)))</f>
        <v/>
      </c>
      <c r="B291" s="128"/>
      <c r="C291" s="128" t="str">
        <f>IF(C292="","",IF(ISNUMBER(LOOKUP("Â",Code128(C292),1)),"Error!",Code128(C292)))</f>
        <v/>
      </c>
      <c r="D291" s="128"/>
    </row>
    <row r="292" spans="1:4" x14ac:dyDescent="0.3">
      <c r="A292" s="105" t="str">
        <f>IF(DB!A293=0,"",DB!A293)</f>
        <v/>
      </c>
      <c r="B292" s="106" t="str">
        <f>IF(DB!A293=0,"",CONCATENATE("  ",DB!B293))</f>
        <v/>
      </c>
      <c r="C292" s="105" t="str">
        <f>IF(DB!A294=0,"",DB!A294)</f>
        <v/>
      </c>
      <c r="D292" s="106" t="str">
        <f>IF(DB!A293=0,"",CONCATENATE("  ",DB!B294))</f>
        <v/>
      </c>
    </row>
    <row r="293" spans="1:4" ht="52.8" x14ac:dyDescent="0.3">
      <c r="A293" s="128" t="str">
        <f>IF(A294="","",IF(ISNUMBER(LOOKUP("Â",Code128(A294),1)),"Error!",Code128(A294)))</f>
        <v/>
      </c>
      <c r="B293" s="128"/>
      <c r="C293" s="128" t="str">
        <f>IF(C294="","",IF(ISNUMBER(LOOKUP("Â",Code128(C294),1)),"Error!",Code128(C294)))</f>
        <v/>
      </c>
      <c r="D293" s="128"/>
    </row>
    <row r="294" spans="1:4" x14ac:dyDescent="0.3">
      <c r="A294" s="105" t="str">
        <f>IF(DB!A295=0,"",DB!A295)</f>
        <v/>
      </c>
      <c r="B294" s="106" t="str">
        <f>IF(DB!A295=0,"",CONCATENATE("  ",DB!B295))</f>
        <v/>
      </c>
      <c r="C294" s="105" t="str">
        <f>IF(DB!A296=0,"",DB!A296)</f>
        <v/>
      </c>
      <c r="D294" s="106" t="str">
        <f>IF(DB!A295=0,"",CONCATENATE("  ",DB!B296))</f>
        <v/>
      </c>
    </row>
    <row r="295" spans="1:4" ht="52.8" x14ac:dyDescent="0.3">
      <c r="A295" s="128" t="str">
        <f>IF(A296="","",IF(ISNUMBER(LOOKUP("Â",Code128(A296),1)),"Error!",Code128(A296)))</f>
        <v/>
      </c>
      <c r="B295" s="128"/>
      <c r="C295" s="128" t="str">
        <f>IF(C296="","",IF(ISNUMBER(LOOKUP("Â",Code128(C296),1)),"Error!",Code128(C296)))</f>
        <v/>
      </c>
      <c r="D295" s="128"/>
    </row>
    <row r="296" spans="1:4" x14ac:dyDescent="0.3">
      <c r="A296" s="105" t="str">
        <f>IF(DB!A297=0,"",DB!A297)</f>
        <v/>
      </c>
      <c r="B296" s="106" t="str">
        <f>IF(DB!A297=0,"",CONCATENATE("  ",DB!B297))</f>
        <v/>
      </c>
      <c r="C296" s="105" t="str">
        <f>IF(DB!A298=0,"",DB!A298)</f>
        <v/>
      </c>
      <c r="D296" s="106" t="str">
        <f>IF(DB!A297=0,"",CONCATENATE("  ",DB!B298))</f>
        <v/>
      </c>
    </row>
    <row r="297" spans="1:4" ht="52.8" x14ac:dyDescent="0.3">
      <c r="A297" s="128" t="str">
        <f>IF(A298="","",IF(ISNUMBER(LOOKUP("Â",Code128(A298),1)),"Error!",Code128(A298)))</f>
        <v/>
      </c>
      <c r="B297" s="128"/>
      <c r="C297" s="128" t="str">
        <f>IF(C298="","",IF(ISNUMBER(LOOKUP("Â",Code128(C298),1)),"Error!",Code128(C298)))</f>
        <v/>
      </c>
      <c r="D297" s="128"/>
    </row>
    <row r="298" spans="1:4" x14ac:dyDescent="0.3">
      <c r="A298" s="105" t="str">
        <f>IF(DB!A299=0,"",DB!A299)</f>
        <v/>
      </c>
      <c r="B298" s="106" t="str">
        <f>IF(DB!A299=0,"",CONCATENATE("  ",DB!B299))</f>
        <v/>
      </c>
      <c r="C298" s="105" t="str">
        <f>IF(DB!A300=0,"",DB!A300)</f>
        <v/>
      </c>
      <c r="D298" s="106" t="str">
        <f>IF(DB!A299=0,"",CONCATENATE("  ",DB!B300))</f>
        <v/>
      </c>
    </row>
    <row r="299" spans="1:4" ht="52.8" x14ac:dyDescent="0.3">
      <c r="A299" s="128" t="str">
        <f>IF(A300="","",IF(ISNUMBER(LOOKUP("Â",Code128(A300),1)),"Error!",Code128(A300)))</f>
        <v/>
      </c>
      <c r="B299" s="128"/>
      <c r="C299" s="128" t="str">
        <f>IF(C300="","",IF(ISNUMBER(LOOKUP("Â",Code128(C300),1)),"Error!",Code128(C300)))</f>
        <v/>
      </c>
      <c r="D299" s="128"/>
    </row>
    <row r="300" spans="1:4" x14ac:dyDescent="0.3">
      <c r="A300" s="105" t="str">
        <f>IF(DB!A301=0,"",DB!A301)</f>
        <v/>
      </c>
      <c r="B300" s="106" t="str">
        <f>IF(DB!A301=0,"",CONCATENATE("  ",DB!B301))</f>
        <v/>
      </c>
      <c r="C300" s="105" t="str">
        <f>IF(DB!A302=0,"",DB!A302)</f>
        <v/>
      </c>
      <c r="D300" s="106" t="str">
        <f>IF(DB!A301=0,"",CONCATENATE("  ",DB!B302))</f>
        <v/>
      </c>
    </row>
    <row r="301" spans="1:4" ht="52.8" x14ac:dyDescent="0.3">
      <c r="A301" s="128" t="str">
        <f>IF(A302="","",IF(ISNUMBER(LOOKUP("Â",Code128(A302),1)),"Error!",Code128(A302)))</f>
        <v/>
      </c>
      <c r="B301" s="128"/>
      <c r="C301" s="128" t="str">
        <f>IF(C302="","",IF(ISNUMBER(LOOKUP("Â",Code128(C302),1)),"Error!",Code128(C302)))</f>
        <v/>
      </c>
      <c r="D301" s="128"/>
    </row>
    <row r="302" spans="1:4" x14ac:dyDescent="0.3">
      <c r="A302" s="105" t="str">
        <f>IF(DB!A303=0,"",DB!A303)</f>
        <v/>
      </c>
      <c r="B302" s="106" t="str">
        <f>IF(DB!A303=0,"",CONCATENATE("  ",DB!B303))</f>
        <v/>
      </c>
      <c r="C302" s="105" t="str">
        <f>IF(DB!A304=0,"",DB!A304)</f>
        <v/>
      </c>
      <c r="D302" s="106" t="str">
        <f>IF(DB!A303=0,"",CONCATENATE("  ",DB!B304))</f>
        <v/>
      </c>
    </row>
    <row r="303" spans="1:4" ht="52.8" x14ac:dyDescent="0.3">
      <c r="A303" s="128" t="str">
        <f>IF(A304="","",IF(ISNUMBER(LOOKUP("Â",Code128(A304),1)),"Error!",Code128(A304)))</f>
        <v/>
      </c>
      <c r="B303" s="128"/>
      <c r="C303" s="128" t="str">
        <f>IF(C304="","",IF(ISNUMBER(LOOKUP("Â",Code128(C304),1)),"Error!",Code128(C304)))</f>
        <v/>
      </c>
      <c r="D303" s="128"/>
    </row>
    <row r="304" spans="1:4" x14ac:dyDescent="0.3">
      <c r="A304" s="105" t="str">
        <f>IF(DB!A305=0,"",DB!A305)</f>
        <v/>
      </c>
      <c r="B304" s="106" t="str">
        <f>IF(DB!A305=0,"",CONCATENATE("  ",DB!B305))</f>
        <v/>
      </c>
      <c r="C304" s="105" t="str">
        <f>IF(DB!A306=0,"",DB!A306)</f>
        <v/>
      </c>
      <c r="D304" s="106" t="str">
        <f>IF(DB!A305=0,"",CONCATENATE("  ",DB!B306))</f>
        <v/>
      </c>
    </row>
    <row r="305" spans="1:4" ht="52.8" x14ac:dyDescent="0.3">
      <c r="A305" s="128" t="str">
        <f>IF(A306="","",IF(ISNUMBER(LOOKUP("Â",Code128(A306),1)),"Error!",Code128(A306)))</f>
        <v/>
      </c>
      <c r="B305" s="128"/>
      <c r="C305" s="128" t="str">
        <f>IF(C306="","",IF(ISNUMBER(LOOKUP("Â",Code128(C306),1)),"Error!",Code128(C306)))</f>
        <v/>
      </c>
      <c r="D305" s="128"/>
    </row>
    <row r="306" spans="1:4" x14ac:dyDescent="0.3">
      <c r="A306" s="105" t="str">
        <f>IF(DB!A307=0,"",DB!A307)</f>
        <v/>
      </c>
      <c r="B306" s="106" t="str">
        <f>IF(DB!A307=0,"",CONCATENATE("  ",DB!B307))</f>
        <v/>
      </c>
      <c r="C306" s="105" t="str">
        <f>IF(DB!A308=0,"",DB!A308)</f>
        <v/>
      </c>
      <c r="D306" s="106" t="str">
        <f>IF(DB!A307=0,"",CONCATENATE("  ",DB!B308))</f>
        <v/>
      </c>
    </row>
    <row r="307" spans="1:4" ht="52.8" x14ac:dyDescent="0.3">
      <c r="A307" s="128" t="str">
        <f>IF(A308="","",IF(ISNUMBER(LOOKUP("Â",Code128(A308),1)),"Error!",Code128(A308)))</f>
        <v/>
      </c>
      <c r="B307" s="128"/>
      <c r="C307" s="128" t="str">
        <f>IF(C308="","",IF(ISNUMBER(LOOKUP("Â",Code128(C308),1)),"Error!",Code128(C308)))</f>
        <v/>
      </c>
      <c r="D307" s="128"/>
    </row>
    <row r="308" spans="1:4" x14ac:dyDescent="0.3">
      <c r="A308" s="105" t="str">
        <f>IF(DB!A309=0,"",DB!A309)</f>
        <v/>
      </c>
      <c r="B308" s="106" t="str">
        <f>IF(DB!A309=0,"",CONCATENATE("  ",DB!B309))</f>
        <v/>
      </c>
      <c r="C308" s="105" t="str">
        <f>IF(DB!A310=0,"",DB!A310)</f>
        <v/>
      </c>
      <c r="D308" s="106" t="str">
        <f>IF(DB!A309=0,"",CONCATENATE("  ",DB!B310))</f>
        <v/>
      </c>
    </row>
    <row r="309" spans="1:4" ht="52.8" x14ac:dyDescent="0.3">
      <c r="A309" s="128" t="str">
        <f>IF(A310="","",IF(ISNUMBER(LOOKUP("Â",Code128(A310),1)),"Error!",Code128(A310)))</f>
        <v/>
      </c>
      <c r="B309" s="128"/>
      <c r="C309" s="128" t="str">
        <f>IF(C310="","",IF(ISNUMBER(LOOKUP("Â",Code128(C310),1)),"Error!",Code128(C310)))</f>
        <v/>
      </c>
      <c r="D309" s="128"/>
    </row>
    <row r="310" spans="1:4" x14ac:dyDescent="0.3">
      <c r="A310" s="105" t="str">
        <f>IF(DB!A311=0,"",DB!A311)</f>
        <v/>
      </c>
      <c r="B310" s="106" t="str">
        <f>IF(DB!A311=0,"",CONCATENATE("  ",DB!B311))</f>
        <v/>
      </c>
      <c r="C310" s="105" t="str">
        <f>IF(DB!A312=0,"",DB!A312)</f>
        <v/>
      </c>
      <c r="D310" s="106" t="str">
        <f>IF(DB!A311=0,"",CONCATENATE("  ",DB!B312))</f>
        <v/>
      </c>
    </row>
    <row r="311" spans="1:4" ht="52.8" x14ac:dyDescent="0.3">
      <c r="A311" s="128" t="str">
        <f>IF(A312="","",IF(ISNUMBER(LOOKUP("Â",Code128(A312),1)),"Error!",Code128(A312)))</f>
        <v/>
      </c>
      <c r="B311" s="128"/>
      <c r="C311" s="128" t="str">
        <f>IF(C312="","",IF(ISNUMBER(LOOKUP("Â",Code128(C312),1)),"Error!",Code128(C312)))</f>
        <v/>
      </c>
      <c r="D311" s="128"/>
    </row>
    <row r="312" spans="1:4" x14ac:dyDescent="0.3">
      <c r="A312" s="105" t="str">
        <f>IF(DB!A313=0,"",DB!A313)</f>
        <v/>
      </c>
      <c r="B312" s="106" t="str">
        <f>IF(DB!A313=0,"",CONCATENATE("  ",DB!B313))</f>
        <v/>
      </c>
      <c r="C312" s="105" t="str">
        <f>IF(DB!A314=0,"",DB!A314)</f>
        <v/>
      </c>
      <c r="D312" s="106" t="str">
        <f>IF(DB!A313=0,"",CONCATENATE("  ",DB!B314))</f>
        <v/>
      </c>
    </row>
    <row r="313" spans="1:4" ht="52.8" x14ac:dyDescent="0.3">
      <c r="A313" s="128" t="str">
        <f>IF(A314="","",IF(ISNUMBER(LOOKUP("Â",Code128(A314),1)),"Error!",Code128(A314)))</f>
        <v/>
      </c>
      <c r="B313" s="128"/>
      <c r="C313" s="128" t="str">
        <f>IF(C314="","",IF(ISNUMBER(LOOKUP("Â",Code128(C314),1)),"Error!",Code128(C314)))</f>
        <v/>
      </c>
      <c r="D313" s="128"/>
    </row>
    <row r="314" spans="1:4" x14ac:dyDescent="0.3">
      <c r="A314" s="105" t="str">
        <f>IF(DB!A315=0,"",DB!A315)</f>
        <v/>
      </c>
      <c r="B314" s="106" t="str">
        <f>IF(DB!A315=0,"",CONCATENATE("  ",DB!B315))</f>
        <v/>
      </c>
      <c r="C314" s="105" t="str">
        <f>IF(DB!A316=0,"",DB!A316)</f>
        <v/>
      </c>
      <c r="D314" s="106" t="str">
        <f>IF(DB!A315=0,"",CONCATENATE("  ",DB!B316))</f>
        <v/>
      </c>
    </row>
    <row r="315" spans="1:4" ht="52.8" x14ac:dyDescent="0.3">
      <c r="A315" s="128" t="str">
        <f>IF(A316="","",IF(ISNUMBER(LOOKUP("Â",Code128(A316),1)),"Error!",Code128(A316)))</f>
        <v/>
      </c>
      <c r="B315" s="128"/>
      <c r="C315" s="128" t="str">
        <f>IF(C316="","",IF(ISNUMBER(LOOKUP("Â",Code128(C316),1)),"Error!",Code128(C316)))</f>
        <v/>
      </c>
      <c r="D315" s="128"/>
    </row>
    <row r="316" spans="1:4" x14ac:dyDescent="0.3">
      <c r="A316" s="105" t="str">
        <f>IF(DB!A317=0,"",DB!A317)</f>
        <v/>
      </c>
      <c r="B316" s="106" t="str">
        <f>IF(DB!A317=0,"",CONCATENATE("  ",DB!B317))</f>
        <v/>
      </c>
      <c r="C316" s="105" t="str">
        <f>IF(DB!A318=0,"",DB!A318)</f>
        <v/>
      </c>
      <c r="D316" s="106" t="str">
        <f>IF(DB!A317=0,"",CONCATENATE("  ",DB!B318))</f>
        <v/>
      </c>
    </row>
    <row r="317" spans="1:4" ht="52.8" x14ac:dyDescent="0.3">
      <c r="A317" s="128" t="str">
        <f>IF(A318="","",IF(ISNUMBER(LOOKUP("Â",Code128(A318),1)),"Error!",Code128(A318)))</f>
        <v/>
      </c>
      <c r="B317" s="128"/>
      <c r="C317" s="128" t="str">
        <f>IF(C318="","",IF(ISNUMBER(LOOKUP("Â",Code128(C318),1)),"Error!",Code128(C318)))</f>
        <v/>
      </c>
      <c r="D317" s="128"/>
    </row>
    <row r="318" spans="1:4" x14ac:dyDescent="0.3">
      <c r="A318" s="105" t="str">
        <f>IF(DB!A319=0,"",DB!A319)</f>
        <v/>
      </c>
      <c r="B318" s="106" t="str">
        <f>IF(DB!A319=0,"",CONCATENATE("  ",DB!B319))</f>
        <v/>
      </c>
      <c r="C318" s="105" t="str">
        <f>IF(DB!A320=0,"",DB!A320)</f>
        <v/>
      </c>
      <c r="D318" s="106" t="str">
        <f>IF(DB!A319=0,"",CONCATENATE("  ",DB!B320))</f>
        <v/>
      </c>
    </row>
    <row r="319" spans="1:4" ht="52.8" x14ac:dyDescent="0.3">
      <c r="A319" s="128" t="str">
        <f>IF(A320="","",IF(ISNUMBER(LOOKUP("Â",Code128(A320),1)),"Error!",Code128(A320)))</f>
        <v/>
      </c>
      <c r="B319" s="128"/>
      <c r="C319" s="128" t="str">
        <f>IF(C320="","",IF(ISNUMBER(LOOKUP("Â",Code128(C320),1)),"Error!",Code128(C320)))</f>
        <v/>
      </c>
      <c r="D319" s="128"/>
    </row>
    <row r="320" spans="1:4" x14ac:dyDescent="0.3">
      <c r="A320" s="105" t="str">
        <f>IF(DB!A321=0,"",DB!A321)</f>
        <v/>
      </c>
      <c r="B320" s="106" t="str">
        <f>IF(DB!A321=0,"",CONCATENATE("  ",DB!B321))</f>
        <v/>
      </c>
      <c r="C320" s="105" t="str">
        <f>IF(DB!A322=0,"",DB!A322)</f>
        <v/>
      </c>
      <c r="D320" s="106" t="str">
        <f>IF(DB!A321=0,"",CONCATENATE("  ",DB!B322))</f>
        <v/>
      </c>
    </row>
    <row r="321" spans="1:4" ht="52.8" x14ac:dyDescent="0.3">
      <c r="A321" s="128" t="str">
        <f>IF(A322="","",IF(ISNUMBER(LOOKUP("Â",Code128(A322),1)),"Error!",Code128(A322)))</f>
        <v/>
      </c>
      <c r="B321" s="128"/>
      <c r="C321" s="128" t="str">
        <f>IF(C322="","",IF(ISNUMBER(LOOKUP("Â",Code128(C322),1)),"Error!",Code128(C322)))</f>
        <v/>
      </c>
      <c r="D321" s="128"/>
    </row>
    <row r="322" spans="1:4" x14ac:dyDescent="0.3">
      <c r="A322" s="105" t="str">
        <f>IF(DB!A323=0,"",DB!A323)</f>
        <v/>
      </c>
      <c r="B322" s="106" t="str">
        <f>IF(DB!A323=0,"",CONCATENATE("  ",DB!B323))</f>
        <v/>
      </c>
      <c r="C322" s="105" t="str">
        <f>IF(DB!A324=0,"",DB!A324)</f>
        <v/>
      </c>
      <c r="D322" s="106" t="str">
        <f>IF(DB!A323=0,"",CONCATENATE("  ",DB!B324))</f>
        <v/>
      </c>
    </row>
    <row r="323" spans="1:4" ht="52.8" x14ac:dyDescent="0.3">
      <c r="A323" s="128" t="str">
        <f>IF(A324="","",IF(ISNUMBER(LOOKUP("Â",Code128(A324),1)),"Error!",Code128(A324)))</f>
        <v/>
      </c>
      <c r="B323" s="128"/>
      <c r="C323" s="128" t="str">
        <f>IF(C324="","",IF(ISNUMBER(LOOKUP("Â",Code128(C324),1)),"Error!",Code128(C324)))</f>
        <v/>
      </c>
      <c r="D323" s="128"/>
    </row>
    <row r="324" spans="1:4" x14ac:dyDescent="0.3">
      <c r="A324" s="105" t="str">
        <f>IF(DB!A325=0,"",DB!A325)</f>
        <v/>
      </c>
      <c r="B324" s="106" t="str">
        <f>IF(DB!A325=0,"",CONCATENATE("  ",DB!B325))</f>
        <v/>
      </c>
      <c r="C324" s="105" t="str">
        <f>IF(DB!A326=0,"",DB!A326)</f>
        <v/>
      </c>
      <c r="D324" s="106" t="str">
        <f>IF(DB!A325=0,"",CONCATENATE("  ",DB!B326))</f>
        <v/>
      </c>
    </row>
    <row r="325" spans="1:4" ht="52.8" x14ac:dyDescent="0.3">
      <c r="A325" s="128" t="str">
        <f>IF(A326="","",IF(ISNUMBER(LOOKUP("Â",Code128(A326),1)),"Error!",Code128(A326)))</f>
        <v/>
      </c>
      <c r="B325" s="128"/>
      <c r="C325" s="128" t="str">
        <f>IF(C326="","",IF(ISNUMBER(LOOKUP("Â",Code128(C326),1)),"Error!",Code128(C326)))</f>
        <v/>
      </c>
      <c r="D325" s="128"/>
    </row>
    <row r="326" spans="1:4" x14ac:dyDescent="0.3">
      <c r="A326" s="105" t="str">
        <f>IF(DB!A327=0,"",DB!A327)</f>
        <v/>
      </c>
      <c r="B326" s="106" t="str">
        <f>IF(DB!A327=0,"",CONCATENATE("  ",DB!B327))</f>
        <v/>
      </c>
      <c r="C326" s="105" t="str">
        <f>IF(DB!A328=0,"",DB!A328)</f>
        <v/>
      </c>
      <c r="D326" s="106" t="str">
        <f>IF(DB!A327=0,"",CONCATENATE("  ",DB!B328))</f>
        <v/>
      </c>
    </row>
    <row r="327" spans="1:4" ht="52.8" x14ac:dyDescent="0.3">
      <c r="A327" s="128" t="str">
        <f>IF(A328="","",IF(ISNUMBER(LOOKUP("Â",Code128(A328),1)),"Error!",Code128(A328)))</f>
        <v/>
      </c>
      <c r="B327" s="128"/>
      <c r="C327" s="128" t="str">
        <f>IF(C328="","",IF(ISNUMBER(LOOKUP("Â",Code128(C328),1)),"Error!",Code128(C328)))</f>
        <v/>
      </c>
      <c r="D327" s="128"/>
    </row>
    <row r="328" spans="1:4" x14ac:dyDescent="0.3">
      <c r="A328" s="105" t="str">
        <f>IF(DB!A329=0,"",DB!A329)</f>
        <v/>
      </c>
      <c r="B328" s="106" t="str">
        <f>IF(DB!A329=0,"",CONCATENATE("  ",DB!B329))</f>
        <v/>
      </c>
      <c r="C328" s="105" t="str">
        <f>IF(DB!A330=0,"",DB!A330)</f>
        <v/>
      </c>
      <c r="D328" s="106" t="str">
        <f>IF(DB!A329=0,"",CONCATENATE("  ",DB!B330))</f>
        <v/>
      </c>
    </row>
    <row r="329" spans="1:4" ht="52.8" x14ac:dyDescent="0.3">
      <c r="A329" s="128" t="str">
        <f>IF(A330="","",IF(ISNUMBER(LOOKUP("Â",Code128(A330),1)),"Error!",Code128(A330)))</f>
        <v/>
      </c>
      <c r="B329" s="128"/>
      <c r="C329" s="128" t="str">
        <f>IF(C330="","",IF(ISNUMBER(LOOKUP("Â",Code128(C330),1)),"Error!",Code128(C330)))</f>
        <v/>
      </c>
      <c r="D329" s="128"/>
    </row>
    <row r="330" spans="1:4" x14ac:dyDescent="0.3">
      <c r="A330" s="105" t="str">
        <f>IF(DB!A331=0,"",DB!A331)</f>
        <v/>
      </c>
      <c r="B330" s="106" t="str">
        <f>IF(DB!A331=0,"",CONCATENATE("  ",DB!B331))</f>
        <v/>
      </c>
      <c r="C330" s="105" t="str">
        <f>IF(DB!A332=0,"",DB!A332)</f>
        <v/>
      </c>
      <c r="D330" s="106" t="str">
        <f>IF(DB!A331=0,"",CONCATENATE("  ",DB!B332))</f>
        <v/>
      </c>
    </row>
    <row r="331" spans="1:4" ht="52.8" x14ac:dyDescent="0.3">
      <c r="A331" s="128" t="str">
        <f>IF(A332="","",IF(ISNUMBER(LOOKUP("Â",Code128(A332),1)),"Error!",Code128(A332)))</f>
        <v/>
      </c>
      <c r="B331" s="128"/>
      <c r="C331" s="128" t="str">
        <f>IF(C332="","",IF(ISNUMBER(LOOKUP("Â",Code128(C332),1)),"Error!",Code128(C332)))</f>
        <v/>
      </c>
      <c r="D331" s="128"/>
    </row>
    <row r="332" spans="1:4" x14ac:dyDescent="0.3">
      <c r="A332" s="105" t="str">
        <f>IF(DB!A333=0,"",DB!A333)</f>
        <v/>
      </c>
      <c r="B332" s="106" t="str">
        <f>IF(DB!A333=0,"",CONCATENATE("  ",DB!B333))</f>
        <v/>
      </c>
      <c r="C332" s="105" t="str">
        <f>IF(DB!A334=0,"",DB!A334)</f>
        <v/>
      </c>
      <c r="D332" s="106" t="str">
        <f>IF(DB!A333=0,"",CONCATENATE("  ",DB!B334))</f>
        <v/>
      </c>
    </row>
    <row r="333" spans="1:4" ht="52.8" x14ac:dyDescent="0.3">
      <c r="A333" s="128" t="str">
        <f>IF(A334="","",IF(ISNUMBER(LOOKUP("Â",Code128(A334),1)),"Error!",Code128(A334)))</f>
        <v/>
      </c>
      <c r="B333" s="128"/>
      <c r="C333" s="128" t="str">
        <f>IF(C334="","",IF(ISNUMBER(LOOKUP("Â",Code128(C334),1)),"Error!",Code128(C334)))</f>
        <v/>
      </c>
      <c r="D333" s="128"/>
    </row>
    <row r="334" spans="1:4" x14ac:dyDescent="0.3">
      <c r="A334" s="105" t="str">
        <f>IF(DB!A335=0,"",DB!A335)</f>
        <v/>
      </c>
      <c r="B334" s="106" t="str">
        <f>IF(DB!A335=0,"",CONCATENATE("  ",DB!B335))</f>
        <v/>
      </c>
      <c r="C334" s="105" t="str">
        <f>IF(DB!A336=0,"",DB!A336)</f>
        <v/>
      </c>
      <c r="D334" s="106" t="str">
        <f>IF(DB!A335=0,"",CONCATENATE("  ",DB!B336))</f>
        <v/>
      </c>
    </row>
    <row r="335" spans="1:4" ht="52.8" x14ac:dyDescent="0.3">
      <c r="A335" s="128" t="str">
        <f>IF(A336="","",IF(ISNUMBER(LOOKUP("Â",Code128(A336),1)),"Error!",Code128(A336)))</f>
        <v/>
      </c>
      <c r="B335" s="128"/>
      <c r="C335" s="128" t="str">
        <f>IF(C336="","",IF(ISNUMBER(LOOKUP("Â",Code128(C336),1)),"Error!",Code128(C336)))</f>
        <v/>
      </c>
      <c r="D335" s="128"/>
    </row>
    <row r="336" spans="1:4" x14ac:dyDescent="0.3">
      <c r="A336" s="105" t="str">
        <f>IF(DB!A337=0,"",DB!A337)</f>
        <v/>
      </c>
      <c r="B336" s="106" t="str">
        <f>IF(DB!A337=0,"",CONCATENATE("  ",DB!B337))</f>
        <v/>
      </c>
      <c r="C336" s="105" t="str">
        <f>IF(DB!A338=0,"",DB!A338)</f>
        <v/>
      </c>
      <c r="D336" s="106" t="str">
        <f>IF(DB!A337=0,"",CONCATENATE("  ",DB!B338))</f>
        <v/>
      </c>
    </row>
    <row r="337" spans="1:4" ht="52.8" x14ac:dyDescent="0.3">
      <c r="A337" s="128" t="str">
        <f>IF(A338="","",IF(ISNUMBER(LOOKUP("Â",Code128(A338),1)),"Error!",Code128(A338)))</f>
        <v/>
      </c>
      <c r="B337" s="128"/>
      <c r="C337" s="128" t="str">
        <f>IF(C338="","",IF(ISNUMBER(LOOKUP("Â",Code128(C338),1)),"Error!",Code128(C338)))</f>
        <v/>
      </c>
      <c r="D337" s="128"/>
    </row>
    <row r="338" spans="1:4" x14ac:dyDescent="0.3">
      <c r="A338" s="105" t="str">
        <f>IF(DB!A339=0,"",DB!A339)</f>
        <v/>
      </c>
      <c r="B338" s="106" t="str">
        <f>IF(DB!A339=0,"",CONCATENATE("  ",DB!B339))</f>
        <v/>
      </c>
      <c r="C338" s="105" t="str">
        <f>IF(DB!A340=0,"",DB!A340)</f>
        <v/>
      </c>
      <c r="D338" s="106" t="str">
        <f>IF(DB!A339=0,"",CONCATENATE("  ",DB!B340))</f>
        <v/>
      </c>
    </row>
    <row r="339" spans="1:4" ht="52.8" x14ac:dyDescent="0.3">
      <c r="A339" s="128" t="str">
        <f>IF(A340="","",IF(ISNUMBER(LOOKUP("Â",Code128(A340),1)),"Error!",Code128(A340)))</f>
        <v/>
      </c>
      <c r="B339" s="128"/>
      <c r="C339" s="128" t="str">
        <f>IF(C340="","",IF(ISNUMBER(LOOKUP("Â",Code128(C340),1)),"Error!",Code128(C340)))</f>
        <v/>
      </c>
      <c r="D339" s="128"/>
    </row>
    <row r="340" spans="1:4" x14ac:dyDescent="0.3">
      <c r="A340" s="105" t="str">
        <f>IF(DB!A341=0,"",DB!A341)</f>
        <v/>
      </c>
      <c r="B340" s="106" t="str">
        <f>IF(DB!A341=0,"",CONCATENATE("  ",DB!B341))</f>
        <v/>
      </c>
      <c r="C340" s="105" t="str">
        <f>IF(DB!A342=0,"",DB!A342)</f>
        <v/>
      </c>
      <c r="D340" s="106" t="str">
        <f>IF(DB!A341=0,"",CONCATENATE("  ",DB!B342))</f>
        <v/>
      </c>
    </row>
    <row r="341" spans="1:4" ht="52.8" x14ac:dyDescent="0.3">
      <c r="A341" s="128" t="str">
        <f>IF(A342="","",IF(ISNUMBER(LOOKUP("Â",Code128(A342),1)),"Error!",Code128(A342)))</f>
        <v/>
      </c>
      <c r="B341" s="128"/>
      <c r="C341" s="128" t="str">
        <f>IF(C342="","",IF(ISNUMBER(LOOKUP("Â",Code128(C342),1)),"Error!",Code128(C342)))</f>
        <v/>
      </c>
      <c r="D341" s="128"/>
    </row>
    <row r="342" spans="1:4" x14ac:dyDescent="0.3">
      <c r="A342" s="105" t="str">
        <f>IF(DB!A343=0,"",DB!A343)</f>
        <v/>
      </c>
      <c r="B342" s="106" t="str">
        <f>IF(DB!A343=0,"",CONCATENATE("  ",DB!B343))</f>
        <v/>
      </c>
      <c r="C342" s="105" t="str">
        <f>IF(DB!A344=0,"",DB!A344)</f>
        <v/>
      </c>
      <c r="D342" s="106" t="str">
        <f>IF(DB!A343=0,"",CONCATENATE("  ",DB!B344))</f>
        <v/>
      </c>
    </row>
    <row r="343" spans="1:4" ht="52.8" x14ac:dyDescent="0.3">
      <c r="A343" s="128" t="str">
        <f>IF(A344="","",IF(ISNUMBER(LOOKUP("Â",Code128(A344),1)),"Error!",Code128(A344)))</f>
        <v/>
      </c>
      <c r="B343" s="128"/>
      <c r="C343" s="128" t="str">
        <f>IF(C344="","",IF(ISNUMBER(LOOKUP("Â",Code128(C344),1)),"Error!",Code128(C344)))</f>
        <v/>
      </c>
      <c r="D343" s="128"/>
    </row>
    <row r="344" spans="1:4" x14ac:dyDescent="0.3">
      <c r="A344" s="105" t="str">
        <f>IF(DB!A345=0,"",DB!A345)</f>
        <v/>
      </c>
      <c r="B344" s="106" t="str">
        <f>IF(DB!A345=0,"",CONCATENATE("  ",DB!B345))</f>
        <v/>
      </c>
      <c r="C344" s="105" t="str">
        <f>IF(DB!A346=0,"",DB!A346)</f>
        <v/>
      </c>
      <c r="D344" s="106" t="str">
        <f>IF(DB!A345=0,"",CONCATENATE("  ",DB!B346))</f>
        <v/>
      </c>
    </row>
    <row r="345" spans="1:4" ht="52.8" x14ac:dyDescent="0.3">
      <c r="A345" s="128" t="str">
        <f>IF(A346="","",IF(ISNUMBER(LOOKUP("Â",Code128(A346),1)),"Error!",Code128(A346)))</f>
        <v/>
      </c>
      <c r="B345" s="128"/>
      <c r="C345" s="128" t="str">
        <f>IF(C346="","",IF(ISNUMBER(LOOKUP("Â",Code128(C346),1)),"Error!",Code128(C346)))</f>
        <v/>
      </c>
      <c r="D345" s="128"/>
    </row>
    <row r="346" spans="1:4" x14ac:dyDescent="0.3">
      <c r="A346" s="105" t="str">
        <f>IF(DB!A347=0,"",DB!A347)</f>
        <v/>
      </c>
      <c r="B346" s="106" t="str">
        <f>IF(DB!A347=0,"",CONCATENATE("  ",DB!B347))</f>
        <v/>
      </c>
      <c r="C346" s="105" t="str">
        <f>IF(DB!A348=0,"",DB!A348)</f>
        <v/>
      </c>
      <c r="D346" s="106" t="str">
        <f>IF(DB!A347=0,"",CONCATENATE("  ",DB!B348))</f>
        <v/>
      </c>
    </row>
    <row r="347" spans="1:4" ht="52.8" x14ac:dyDescent="0.3">
      <c r="A347" s="128" t="str">
        <f>IF(A348="","",IF(ISNUMBER(LOOKUP("Â",Code128(A348),1)),"Error!",Code128(A348)))</f>
        <v/>
      </c>
      <c r="B347" s="128"/>
      <c r="C347" s="128" t="str">
        <f>IF(C348="","",IF(ISNUMBER(LOOKUP("Â",Code128(C348),1)),"Error!",Code128(C348)))</f>
        <v/>
      </c>
      <c r="D347" s="128"/>
    </row>
    <row r="348" spans="1:4" x14ac:dyDescent="0.3">
      <c r="A348" s="105" t="str">
        <f>IF(DB!A349=0,"",DB!A349)</f>
        <v/>
      </c>
      <c r="B348" s="106" t="str">
        <f>IF(DB!A349=0,"",CONCATENATE("  ",DB!B349))</f>
        <v/>
      </c>
      <c r="C348" s="105" t="str">
        <f>IF(DB!A350=0,"",DB!A350)</f>
        <v/>
      </c>
      <c r="D348" s="106" t="str">
        <f>IF(DB!A349=0,"",CONCATENATE("  ",DB!B350))</f>
        <v/>
      </c>
    </row>
    <row r="349" spans="1:4" ht="52.8" x14ac:dyDescent="0.3">
      <c r="A349" s="128" t="str">
        <f>IF(A350="","",IF(ISNUMBER(LOOKUP("Â",Code128(A350),1)),"Error!",Code128(A350)))</f>
        <v/>
      </c>
      <c r="B349" s="128"/>
      <c r="C349" s="128" t="str">
        <f>IF(C350="","",IF(ISNUMBER(LOOKUP("Â",Code128(C350),1)),"Error!",Code128(C350)))</f>
        <v/>
      </c>
      <c r="D349" s="128"/>
    </row>
    <row r="350" spans="1:4" x14ac:dyDescent="0.3">
      <c r="A350" s="105" t="str">
        <f>IF(DB!A351=0,"",DB!A351)</f>
        <v/>
      </c>
      <c r="B350" s="106" t="str">
        <f>IF(DB!A351=0,"",CONCATENATE("  ",DB!B351))</f>
        <v/>
      </c>
      <c r="C350" s="105" t="str">
        <f>IF(DB!A352=0,"",DB!A352)</f>
        <v/>
      </c>
      <c r="D350" s="106" t="str">
        <f>IF(DB!A351=0,"",CONCATENATE("  ",DB!B352))</f>
        <v/>
      </c>
    </row>
    <row r="351" spans="1:4" ht="52.8" x14ac:dyDescent="0.3">
      <c r="A351" s="128" t="str">
        <f>IF(A352="","",IF(ISNUMBER(LOOKUP("Â",Code128(A352),1)),"Error!",Code128(A352)))</f>
        <v/>
      </c>
      <c r="B351" s="128"/>
      <c r="C351" s="128" t="str">
        <f>IF(C352="","",IF(ISNUMBER(LOOKUP("Â",Code128(C352),1)),"Error!",Code128(C352)))</f>
        <v/>
      </c>
      <c r="D351" s="128"/>
    </row>
    <row r="352" spans="1:4" x14ac:dyDescent="0.3">
      <c r="A352" s="105" t="str">
        <f>IF(DB!A353=0,"",DB!A353)</f>
        <v/>
      </c>
      <c r="B352" s="106" t="str">
        <f>IF(DB!A353=0,"",CONCATENATE("  ",DB!B353))</f>
        <v/>
      </c>
      <c r="C352" s="105" t="str">
        <f>IF(DB!A354=0,"",DB!A354)</f>
        <v/>
      </c>
      <c r="D352" s="106" t="str">
        <f>IF(DB!A353=0,"",CONCATENATE("  ",DB!B354))</f>
        <v/>
      </c>
    </row>
    <row r="353" spans="1:4" ht="52.8" x14ac:dyDescent="0.3">
      <c r="A353" s="128" t="str">
        <f>IF(A354="","",IF(ISNUMBER(LOOKUP("Â",Code128(A354),1)),"Error!",Code128(A354)))</f>
        <v/>
      </c>
      <c r="B353" s="128"/>
      <c r="C353" s="128" t="str">
        <f>IF(C354="","",IF(ISNUMBER(LOOKUP("Â",Code128(C354),1)),"Error!",Code128(C354)))</f>
        <v/>
      </c>
      <c r="D353" s="128"/>
    </row>
    <row r="354" spans="1:4" x14ac:dyDescent="0.3">
      <c r="A354" s="105" t="str">
        <f>IF(DB!A355=0,"",DB!A355)</f>
        <v/>
      </c>
      <c r="B354" s="106" t="str">
        <f>IF(DB!A355=0,"",CONCATENATE("  ",DB!B355))</f>
        <v/>
      </c>
      <c r="C354" s="105" t="str">
        <f>IF(DB!A356=0,"",DB!A356)</f>
        <v/>
      </c>
      <c r="D354" s="106" t="str">
        <f>IF(DB!A355=0,"",CONCATENATE("  ",DB!B356))</f>
        <v/>
      </c>
    </row>
    <row r="355" spans="1:4" ht="52.8" x14ac:dyDescent="0.3">
      <c r="A355" s="128" t="str">
        <f>IF(A356="","",IF(ISNUMBER(LOOKUP("Â",Code128(A356),1)),"Error!",Code128(A356)))</f>
        <v/>
      </c>
      <c r="B355" s="128"/>
      <c r="C355" s="128" t="str">
        <f>IF(C356="","",IF(ISNUMBER(LOOKUP("Â",Code128(C356),1)),"Error!",Code128(C356)))</f>
        <v/>
      </c>
      <c r="D355" s="128"/>
    </row>
    <row r="356" spans="1:4" x14ac:dyDescent="0.3">
      <c r="A356" s="105" t="str">
        <f>IF(DB!A357=0,"",DB!A357)</f>
        <v/>
      </c>
      <c r="B356" s="106" t="str">
        <f>IF(DB!A357=0,"",CONCATENATE("  ",DB!B357))</f>
        <v/>
      </c>
      <c r="C356" s="105" t="str">
        <f>IF(DB!A358=0,"",DB!A358)</f>
        <v/>
      </c>
      <c r="D356" s="106" t="str">
        <f>IF(DB!A357=0,"",CONCATENATE("  ",DB!B358))</f>
        <v/>
      </c>
    </row>
    <row r="357" spans="1:4" ht="52.8" x14ac:dyDescent="0.3">
      <c r="A357" s="128" t="str">
        <f>IF(A358="","",IF(ISNUMBER(LOOKUP("Â",Code128(A358),1)),"Error!",Code128(A358)))</f>
        <v/>
      </c>
      <c r="B357" s="128"/>
      <c r="C357" s="128" t="str">
        <f>IF(C358="","",IF(ISNUMBER(LOOKUP("Â",Code128(C358),1)),"Error!",Code128(C358)))</f>
        <v/>
      </c>
      <c r="D357" s="128"/>
    </row>
    <row r="358" spans="1:4" x14ac:dyDescent="0.3">
      <c r="A358" s="105" t="str">
        <f>IF(DB!A359=0,"",DB!A359)</f>
        <v/>
      </c>
      <c r="B358" s="106" t="str">
        <f>IF(DB!A359=0,"",CONCATENATE("  ",DB!B359))</f>
        <v/>
      </c>
      <c r="C358" s="105" t="str">
        <f>IF(DB!A360=0,"",DB!A360)</f>
        <v/>
      </c>
      <c r="D358" s="106" t="str">
        <f>IF(DB!A359=0,"",CONCATENATE("  ",DB!B360))</f>
        <v/>
      </c>
    </row>
    <row r="359" spans="1:4" ht="52.8" x14ac:dyDescent="0.3">
      <c r="A359" s="128" t="str">
        <f>IF(A360="","",IF(ISNUMBER(LOOKUP("Â",Code128(A360),1)),"Error!",Code128(A360)))</f>
        <v/>
      </c>
      <c r="B359" s="128"/>
      <c r="C359" s="128" t="str">
        <f>IF(C360="","",IF(ISNUMBER(LOOKUP("Â",Code128(C360),1)),"Error!",Code128(C360)))</f>
        <v/>
      </c>
      <c r="D359" s="128"/>
    </row>
    <row r="360" spans="1:4" x14ac:dyDescent="0.3">
      <c r="A360" s="105" t="str">
        <f>IF(DB!A361=0,"",DB!A361)</f>
        <v/>
      </c>
      <c r="B360" s="106" t="str">
        <f>IF(DB!A361=0,"",CONCATENATE("  ",DB!B361))</f>
        <v/>
      </c>
      <c r="C360" s="105" t="str">
        <f>IF(DB!A362=0,"",DB!A362)</f>
        <v/>
      </c>
      <c r="D360" s="106" t="str">
        <f>IF(DB!A361=0,"",CONCATENATE("  ",DB!B362))</f>
        <v/>
      </c>
    </row>
    <row r="361" spans="1:4" ht="52.8" x14ac:dyDescent="0.3">
      <c r="A361" s="128" t="str">
        <f>IF(A362="","",IF(ISNUMBER(LOOKUP("Â",Code128(A362),1)),"Error!",Code128(A362)))</f>
        <v/>
      </c>
      <c r="B361" s="128"/>
      <c r="C361" s="128" t="str">
        <f>IF(C362="","",IF(ISNUMBER(LOOKUP("Â",Code128(C362),1)),"Error!",Code128(C362)))</f>
        <v/>
      </c>
      <c r="D361" s="128"/>
    </row>
    <row r="362" spans="1:4" x14ac:dyDescent="0.3">
      <c r="A362" s="105" t="str">
        <f>IF(DB!A363=0,"",DB!A363)</f>
        <v/>
      </c>
      <c r="B362" s="106" t="str">
        <f>IF(DB!A363=0,"",CONCATENATE("  ",DB!B363))</f>
        <v/>
      </c>
      <c r="C362" s="105" t="str">
        <f>IF(DB!A364=0,"",DB!A364)</f>
        <v/>
      </c>
      <c r="D362" s="106" t="str">
        <f>IF(DB!A363=0,"",CONCATENATE("  ",DB!B364))</f>
        <v/>
      </c>
    </row>
    <row r="363" spans="1:4" ht="52.8" x14ac:dyDescent="0.3">
      <c r="A363" s="128" t="str">
        <f>IF(A364="","",IF(ISNUMBER(LOOKUP("Â",Code128(A364),1)),"Error!",Code128(A364)))</f>
        <v/>
      </c>
      <c r="B363" s="128"/>
      <c r="C363" s="128" t="str">
        <f>IF(C364="","",IF(ISNUMBER(LOOKUP("Â",Code128(C364),1)),"Error!",Code128(C364)))</f>
        <v/>
      </c>
      <c r="D363" s="128"/>
    </row>
    <row r="364" spans="1:4" x14ac:dyDescent="0.3">
      <c r="A364" s="105" t="str">
        <f>IF(DB!A365=0,"",DB!A365)</f>
        <v/>
      </c>
      <c r="B364" s="106" t="str">
        <f>IF(DB!A365=0,"",CONCATENATE("  ",DB!B365))</f>
        <v/>
      </c>
      <c r="C364" s="105" t="str">
        <f>IF(DB!A366=0,"",DB!A366)</f>
        <v/>
      </c>
      <c r="D364" s="106" t="str">
        <f>IF(DB!A365=0,"",CONCATENATE("  ",DB!B366))</f>
        <v/>
      </c>
    </row>
    <row r="365" spans="1:4" ht="52.8" x14ac:dyDescent="0.3">
      <c r="A365" s="128" t="str">
        <f>IF(A366="","",IF(ISNUMBER(LOOKUP("Â",Code128(A366),1)),"Error!",Code128(A366)))</f>
        <v/>
      </c>
      <c r="B365" s="128"/>
      <c r="C365" s="128" t="str">
        <f>IF(C366="","",IF(ISNUMBER(LOOKUP("Â",Code128(C366),1)),"Error!",Code128(C366)))</f>
        <v/>
      </c>
      <c r="D365" s="128"/>
    </row>
    <row r="366" spans="1:4" x14ac:dyDescent="0.3">
      <c r="A366" s="105" t="str">
        <f>IF(DB!A367=0,"",DB!A367)</f>
        <v/>
      </c>
      <c r="B366" s="106" t="str">
        <f>IF(DB!A367=0,"",CONCATENATE("  ",DB!B367))</f>
        <v/>
      </c>
      <c r="C366" s="105" t="str">
        <f>IF(DB!A368=0,"",DB!A368)</f>
        <v/>
      </c>
      <c r="D366" s="106" t="str">
        <f>IF(DB!A367=0,"",CONCATENATE("  ",DB!B368))</f>
        <v/>
      </c>
    </row>
    <row r="367" spans="1:4" ht="52.8" x14ac:dyDescent="0.3">
      <c r="A367" s="128" t="str">
        <f>IF(A368="","",IF(ISNUMBER(LOOKUP("Â",Code128(A368),1)),"Error!",Code128(A368)))</f>
        <v/>
      </c>
      <c r="B367" s="128"/>
      <c r="C367" s="128" t="str">
        <f>IF(C368="","",IF(ISNUMBER(LOOKUP("Â",Code128(C368),1)),"Error!",Code128(C368)))</f>
        <v/>
      </c>
      <c r="D367" s="128"/>
    </row>
    <row r="368" spans="1:4" x14ac:dyDescent="0.3">
      <c r="A368" s="105" t="str">
        <f>IF(DB!A369=0,"",DB!A369)</f>
        <v/>
      </c>
      <c r="B368" s="106" t="str">
        <f>IF(DB!A369=0,"",CONCATENATE("  ",DB!B369))</f>
        <v/>
      </c>
      <c r="C368" s="105" t="str">
        <f>IF(DB!A370=0,"",DB!A370)</f>
        <v/>
      </c>
      <c r="D368" s="106" t="str">
        <f>IF(DB!A369=0,"",CONCATENATE("  ",DB!B370))</f>
        <v/>
      </c>
    </row>
    <row r="369" spans="1:4" ht="52.8" x14ac:dyDescent="0.3">
      <c r="A369" s="128" t="str">
        <f>IF(A370="","",IF(ISNUMBER(LOOKUP("Â",Code128(A370),1)),"Error!",Code128(A370)))</f>
        <v/>
      </c>
      <c r="B369" s="128"/>
      <c r="C369" s="128" t="str">
        <f>IF(C370="","",IF(ISNUMBER(LOOKUP("Â",Code128(C370),1)),"Error!",Code128(C370)))</f>
        <v/>
      </c>
      <c r="D369" s="128"/>
    </row>
    <row r="370" spans="1:4" x14ac:dyDescent="0.3">
      <c r="A370" s="105" t="str">
        <f>IF(DB!A371=0,"",DB!A371)</f>
        <v/>
      </c>
      <c r="B370" s="106" t="str">
        <f>IF(DB!A371=0,"",CONCATENATE("  ",DB!B371))</f>
        <v/>
      </c>
      <c r="C370" s="105" t="str">
        <f>IF(DB!A372=0,"",DB!A372)</f>
        <v/>
      </c>
      <c r="D370" s="106" t="str">
        <f>IF(DB!A371=0,"",CONCATENATE("  ",DB!B372))</f>
        <v/>
      </c>
    </row>
    <row r="371" spans="1:4" ht="52.8" x14ac:dyDescent="0.3">
      <c r="A371" s="128" t="str">
        <f>IF(A372="","",IF(ISNUMBER(LOOKUP("Â",Code128(A372),1)),"Error!",Code128(A372)))</f>
        <v/>
      </c>
      <c r="B371" s="128"/>
      <c r="C371" s="128" t="str">
        <f>IF(C372="","",IF(ISNUMBER(LOOKUP("Â",Code128(C372),1)),"Error!",Code128(C372)))</f>
        <v/>
      </c>
      <c r="D371" s="128"/>
    </row>
    <row r="372" spans="1:4" x14ac:dyDescent="0.3">
      <c r="A372" s="105" t="str">
        <f>IF(DB!A373=0,"",DB!A373)</f>
        <v/>
      </c>
      <c r="B372" s="106" t="str">
        <f>IF(DB!A373=0,"",CONCATENATE("  ",DB!B373))</f>
        <v/>
      </c>
      <c r="C372" s="105" t="str">
        <f>IF(DB!A374=0,"",DB!A374)</f>
        <v/>
      </c>
      <c r="D372" s="106" t="str">
        <f>IF(DB!A373=0,"",CONCATENATE("  ",DB!B374))</f>
        <v/>
      </c>
    </row>
    <row r="373" spans="1:4" ht="52.8" x14ac:dyDescent="0.3">
      <c r="A373" s="128" t="str">
        <f>IF(A374="","",IF(ISNUMBER(LOOKUP("Â",Code128(A374),1)),"Error!",Code128(A374)))</f>
        <v/>
      </c>
      <c r="B373" s="128"/>
      <c r="C373" s="128" t="str">
        <f>IF(C374="","",IF(ISNUMBER(LOOKUP("Â",Code128(C374),1)),"Error!",Code128(C374)))</f>
        <v/>
      </c>
      <c r="D373" s="128"/>
    </row>
    <row r="374" spans="1:4" x14ac:dyDescent="0.3">
      <c r="A374" s="105" t="str">
        <f>IF(DB!A375=0,"",DB!A375)</f>
        <v/>
      </c>
      <c r="B374" s="106" t="str">
        <f>IF(DB!A375=0,"",CONCATENATE("  ",DB!B375))</f>
        <v/>
      </c>
      <c r="C374" s="105" t="str">
        <f>IF(DB!A376=0,"",DB!A376)</f>
        <v/>
      </c>
      <c r="D374" s="106" t="str">
        <f>IF(DB!A375=0,"",CONCATENATE("  ",DB!B376))</f>
        <v/>
      </c>
    </row>
    <row r="375" spans="1:4" ht="52.8" x14ac:dyDescent="0.3">
      <c r="A375" s="128" t="str">
        <f>IF(A376="","",IF(ISNUMBER(LOOKUP("Â",Code128(A376),1)),"Error!",Code128(A376)))</f>
        <v/>
      </c>
      <c r="B375" s="128"/>
      <c r="C375" s="128" t="str">
        <f>IF(C376="","",IF(ISNUMBER(LOOKUP("Â",Code128(C376),1)),"Error!",Code128(C376)))</f>
        <v/>
      </c>
      <c r="D375" s="128"/>
    </row>
    <row r="376" spans="1:4" x14ac:dyDescent="0.3">
      <c r="A376" s="105" t="str">
        <f>IF(DB!A377=0,"",DB!A377)</f>
        <v/>
      </c>
      <c r="B376" s="106" t="str">
        <f>IF(DB!A377=0,"",CONCATENATE("  ",DB!B377))</f>
        <v/>
      </c>
      <c r="C376" s="105" t="str">
        <f>IF(DB!A378=0,"",DB!A378)</f>
        <v/>
      </c>
      <c r="D376" s="106" t="str">
        <f>IF(DB!A377=0,"",CONCATENATE("  ",DB!B378))</f>
        <v/>
      </c>
    </row>
    <row r="377" spans="1:4" ht="52.8" x14ac:dyDescent="0.3">
      <c r="A377" s="128" t="str">
        <f>IF(A378="","",IF(ISNUMBER(LOOKUP("Â",Code128(A378),1)),"Error!",Code128(A378)))</f>
        <v/>
      </c>
      <c r="B377" s="128"/>
      <c r="C377" s="128" t="str">
        <f>IF(C378="","",IF(ISNUMBER(LOOKUP("Â",Code128(C378),1)),"Error!",Code128(C378)))</f>
        <v/>
      </c>
      <c r="D377" s="128"/>
    </row>
    <row r="378" spans="1:4" x14ac:dyDescent="0.3">
      <c r="A378" s="105" t="str">
        <f>IF(DB!A379=0,"",DB!A379)</f>
        <v/>
      </c>
      <c r="B378" s="106" t="str">
        <f>IF(DB!A379=0,"",CONCATENATE("  ",DB!B379))</f>
        <v/>
      </c>
      <c r="C378" s="105" t="str">
        <f>IF(DB!A380=0,"",DB!A380)</f>
        <v/>
      </c>
      <c r="D378" s="106" t="str">
        <f>IF(DB!A379=0,"",CONCATENATE("  ",DB!B380))</f>
        <v/>
      </c>
    </row>
    <row r="379" spans="1:4" ht="52.8" x14ac:dyDescent="0.3">
      <c r="A379" s="128" t="str">
        <f>IF(A380="","",IF(ISNUMBER(LOOKUP("Â",Code128(A380),1)),"Error!",Code128(A380)))</f>
        <v/>
      </c>
      <c r="B379" s="128"/>
      <c r="C379" s="128" t="str">
        <f>IF(C380="","",IF(ISNUMBER(LOOKUP("Â",Code128(C380),1)),"Error!",Code128(C380)))</f>
        <v/>
      </c>
      <c r="D379" s="128"/>
    </row>
    <row r="380" spans="1:4" x14ac:dyDescent="0.3">
      <c r="A380" s="105" t="str">
        <f>IF(DB!A381=0,"",DB!A381)</f>
        <v/>
      </c>
      <c r="B380" s="106" t="str">
        <f>IF(DB!A381=0,"",CONCATENATE("  ",DB!B381))</f>
        <v/>
      </c>
      <c r="C380" s="105" t="str">
        <f>IF(DB!A382=0,"",DB!A382)</f>
        <v/>
      </c>
      <c r="D380" s="106" t="str">
        <f>IF(DB!A381=0,"",CONCATENATE("  ",DB!B382))</f>
        <v/>
      </c>
    </row>
    <row r="381" spans="1:4" ht="52.8" x14ac:dyDescent="0.3">
      <c r="A381" s="128" t="str">
        <f>IF(A382="","",IF(ISNUMBER(LOOKUP("Â",Code128(A382),1)),"Error!",Code128(A382)))</f>
        <v/>
      </c>
      <c r="B381" s="128"/>
      <c r="C381" s="128" t="str">
        <f>IF(C382="","",IF(ISNUMBER(LOOKUP("Â",Code128(C382),1)),"Error!",Code128(C382)))</f>
        <v/>
      </c>
      <c r="D381" s="128"/>
    </row>
    <row r="382" spans="1:4" x14ac:dyDescent="0.3">
      <c r="A382" s="105" t="str">
        <f>IF(DB!A383=0,"",DB!A383)</f>
        <v/>
      </c>
      <c r="B382" s="106" t="str">
        <f>IF(DB!A383=0,"",CONCATENATE("  ",DB!B383))</f>
        <v/>
      </c>
      <c r="C382" s="105" t="str">
        <f>IF(DB!A384=0,"",DB!A384)</f>
        <v/>
      </c>
      <c r="D382" s="106" t="str">
        <f>IF(DB!A383=0,"",CONCATENATE("  ",DB!B384))</f>
        <v/>
      </c>
    </row>
    <row r="383" spans="1:4" ht="52.8" x14ac:dyDescent="0.3">
      <c r="A383" s="128" t="str">
        <f>IF(A384="","",IF(ISNUMBER(LOOKUP("Â",Code128(A384),1)),"Error!",Code128(A384)))</f>
        <v/>
      </c>
      <c r="B383" s="128"/>
      <c r="C383" s="128" t="str">
        <f>IF(C384="","",IF(ISNUMBER(LOOKUP("Â",Code128(C384),1)),"Error!",Code128(C384)))</f>
        <v/>
      </c>
      <c r="D383" s="128"/>
    </row>
    <row r="384" spans="1:4" x14ac:dyDescent="0.3">
      <c r="A384" s="105" t="str">
        <f>IF(DB!A385=0,"",DB!A385)</f>
        <v/>
      </c>
      <c r="B384" s="106" t="str">
        <f>IF(DB!A385=0,"",CONCATENATE("  ",DB!B385))</f>
        <v/>
      </c>
      <c r="C384" s="105" t="str">
        <f>IF(DB!A386=0,"",DB!A386)</f>
        <v/>
      </c>
      <c r="D384" s="106" t="str">
        <f>IF(DB!A385=0,"",CONCATENATE("  ",DB!B386))</f>
        <v/>
      </c>
    </row>
    <row r="385" spans="1:4" ht="52.8" x14ac:dyDescent="0.3">
      <c r="A385" s="128" t="str">
        <f>IF(A386="","",IF(ISNUMBER(LOOKUP("Â",Code128(A386),1)),"Error!",Code128(A386)))</f>
        <v/>
      </c>
      <c r="B385" s="128"/>
      <c r="C385" s="128" t="str">
        <f>IF(C386="","",IF(ISNUMBER(LOOKUP("Â",Code128(C386),1)),"Error!",Code128(C386)))</f>
        <v/>
      </c>
      <c r="D385" s="128"/>
    </row>
    <row r="386" spans="1:4" x14ac:dyDescent="0.3">
      <c r="A386" s="105" t="str">
        <f>IF(DB!A387=0,"",DB!A387)</f>
        <v/>
      </c>
      <c r="B386" s="106" t="str">
        <f>IF(DB!A387=0,"",CONCATENATE("  ",DB!B387))</f>
        <v/>
      </c>
      <c r="C386" s="105" t="str">
        <f>IF(DB!A388=0,"",DB!A388)</f>
        <v/>
      </c>
      <c r="D386" s="106" t="str">
        <f>IF(DB!A387=0,"",CONCATENATE("  ",DB!B388))</f>
        <v/>
      </c>
    </row>
    <row r="387" spans="1:4" ht="52.8" x14ac:dyDescent="0.3">
      <c r="A387" s="128" t="str">
        <f>IF(A388="","",IF(ISNUMBER(LOOKUP("Â",Code128(A388),1)),"Error!",Code128(A388)))</f>
        <v/>
      </c>
      <c r="B387" s="128"/>
      <c r="C387" s="128" t="str">
        <f>IF(C388="","",IF(ISNUMBER(LOOKUP("Â",Code128(C388),1)),"Error!",Code128(C388)))</f>
        <v/>
      </c>
      <c r="D387" s="128"/>
    </row>
    <row r="388" spans="1:4" x14ac:dyDescent="0.3">
      <c r="A388" s="105" t="str">
        <f>IF(DB!A389=0,"",DB!A389)</f>
        <v/>
      </c>
      <c r="B388" s="106" t="str">
        <f>IF(DB!A389=0,"",CONCATENATE("  ",DB!B389))</f>
        <v/>
      </c>
      <c r="C388" s="105" t="str">
        <f>IF(DB!A390=0,"",DB!A390)</f>
        <v/>
      </c>
      <c r="D388" s="106" t="str">
        <f>IF(DB!A389=0,"",CONCATENATE("  ",DB!B390))</f>
        <v/>
      </c>
    </row>
    <row r="389" spans="1:4" ht="52.8" x14ac:dyDescent="0.3">
      <c r="A389" s="128" t="str">
        <f>IF(A390="","",IF(ISNUMBER(LOOKUP("Â",Code128(A390),1)),"Error!",Code128(A390)))</f>
        <v/>
      </c>
      <c r="B389" s="128"/>
      <c r="C389" s="128" t="str">
        <f>IF(C390="","",IF(ISNUMBER(LOOKUP("Â",Code128(C390),1)),"Error!",Code128(C390)))</f>
        <v/>
      </c>
      <c r="D389" s="128"/>
    </row>
    <row r="390" spans="1:4" x14ac:dyDescent="0.3">
      <c r="A390" s="105" t="str">
        <f>IF(DB!A391=0,"",DB!A391)</f>
        <v/>
      </c>
      <c r="B390" s="106" t="str">
        <f>IF(DB!A391=0,"",CONCATENATE("  ",DB!B391))</f>
        <v/>
      </c>
      <c r="C390" s="105" t="str">
        <f>IF(DB!A392=0,"",DB!A392)</f>
        <v/>
      </c>
      <c r="D390" s="106" t="str">
        <f>IF(DB!A391=0,"",CONCATENATE("  ",DB!B392))</f>
        <v/>
      </c>
    </row>
    <row r="391" spans="1:4" ht="52.8" x14ac:dyDescent="0.3">
      <c r="A391" s="128" t="str">
        <f>IF(A392="","",IF(ISNUMBER(LOOKUP("Â",Code128(A392),1)),"Error!",Code128(A392)))</f>
        <v/>
      </c>
      <c r="B391" s="128"/>
      <c r="C391" s="128" t="str">
        <f>IF(C392="","",IF(ISNUMBER(LOOKUP("Â",Code128(C392),1)),"Error!",Code128(C392)))</f>
        <v/>
      </c>
      <c r="D391" s="128"/>
    </row>
    <row r="392" spans="1:4" x14ac:dyDescent="0.3">
      <c r="A392" s="105" t="str">
        <f>IF(DB!A393=0,"",DB!A393)</f>
        <v/>
      </c>
      <c r="B392" s="106" t="str">
        <f>IF(DB!A393=0,"",CONCATENATE("  ",DB!B393))</f>
        <v/>
      </c>
      <c r="C392" s="105" t="str">
        <f>IF(DB!A394=0,"",DB!A394)</f>
        <v/>
      </c>
      <c r="D392" s="106" t="str">
        <f>IF(DB!A393=0,"",CONCATENATE("  ",DB!B394))</f>
        <v/>
      </c>
    </row>
    <row r="393" spans="1:4" ht="52.8" x14ac:dyDescent="0.3">
      <c r="A393" s="128" t="str">
        <f>IF(A394="","",IF(ISNUMBER(LOOKUP("Â",Code128(A394),1)),"Error!",Code128(A394)))</f>
        <v/>
      </c>
      <c r="B393" s="128"/>
      <c r="C393" s="128" t="str">
        <f>IF(C394="","",IF(ISNUMBER(LOOKUP("Â",Code128(C394),1)),"Error!",Code128(C394)))</f>
        <v/>
      </c>
      <c r="D393" s="128"/>
    </row>
    <row r="394" spans="1:4" x14ac:dyDescent="0.3">
      <c r="A394" s="105" t="str">
        <f>IF(DB!A395=0,"",DB!A395)</f>
        <v/>
      </c>
      <c r="B394" s="106" t="str">
        <f>IF(DB!A395=0,"",CONCATENATE("  ",DB!B395))</f>
        <v/>
      </c>
      <c r="C394" s="105" t="str">
        <f>IF(DB!A396=0,"",DB!A396)</f>
        <v/>
      </c>
      <c r="D394" s="106" t="str">
        <f>IF(DB!A395=0,"",CONCATENATE("  ",DB!B396))</f>
        <v/>
      </c>
    </row>
    <row r="395" spans="1:4" ht="52.8" x14ac:dyDescent="0.3">
      <c r="A395" s="128" t="str">
        <f>IF(A396="","",IF(ISNUMBER(LOOKUP("Â",Code128(A396),1)),"Error!",Code128(A396)))</f>
        <v/>
      </c>
      <c r="B395" s="128"/>
      <c r="C395" s="128" t="str">
        <f>IF(C396="","",IF(ISNUMBER(LOOKUP("Â",Code128(C396),1)),"Error!",Code128(C396)))</f>
        <v/>
      </c>
      <c r="D395" s="128"/>
    </row>
    <row r="396" spans="1:4" x14ac:dyDescent="0.3">
      <c r="A396" s="105" t="str">
        <f>IF(DB!A397=0,"",DB!A397)</f>
        <v/>
      </c>
      <c r="B396" s="106" t="str">
        <f>IF(DB!A397=0,"",CONCATENATE("  ",DB!B397))</f>
        <v/>
      </c>
      <c r="C396" s="105" t="str">
        <f>IF(DB!A398=0,"",DB!A398)</f>
        <v/>
      </c>
      <c r="D396" s="106" t="str">
        <f>IF(DB!A397=0,"",CONCATENATE("  ",DB!B398))</f>
        <v/>
      </c>
    </row>
    <row r="397" spans="1:4" ht="52.8" x14ac:dyDescent="0.3">
      <c r="A397" s="128" t="str">
        <f>IF(A398="","",IF(ISNUMBER(LOOKUP("Â",Code128(A398),1)),"Error!",Code128(A398)))</f>
        <v/>
      </c>
      <c r="B397" s="128"/>
      <c r="C397" s="128" t="str">
        <f>IF(C398="","",IF(ISNUMBER(LOOKUP("Â",Code128(C398),1)),"Error!",Code128(C398)))</f>
        <v/>
      </c>
      <c r="D397" s="128"/>
    </row>
    <row r="398" spans="1:4" x14ac:dyDescent="0.3">
      <c r="A398" s="105" t="str">
        <f>IF(DB!A399=0,"",DB!A399)</f>
        <v/>
      </c>
      <c r="B398" s="106" t="str">
        <f>IF(DB!A399=0,"",CONCATENATE("  ",DB!B399))</f>
        <v/>
      </c>
      <c r="C398" s="105" t="str">
        <f>IF(DB!A400=0,"",DB!A400)</f>
        <v/>
      </c>
      <c r="D398" s="106" t="str">
        <f>IF(DB!A399=0,"",CONCATENATE("  ",DB!B400))</f>
        <v/>
      </c>
    </row>
    <row r="399" spans="1:4" ht="52.8" x14ac:dyDescent="0.3">
      <c r="A399" s="128" t="str">
        <f>IF(A400="","",IF(ISNUMBER(LOOKUP("Â",Code128(A400),1)),"Error!",Code128(A400)))</f>
        <v/>
      </c>
      <c r="B399" s="128"/>
      <c r="C399" s="128" t="str">
        <f>IF(C400="","",IF(ISNUMBER(LOOKUP("Â",Code128(C400),1)),"Error!",Code128(C400)))</f>
        <v/>
      </c>
      <c r="D399" s="128"/>
    </row>
    <row r="400" spans="1:4" x14ac:dyDescent="0.3">
      <c r="A400" s="105" t="str">
        <f>IF(DB!A401=0,"",DB!A401)</f>
        <v/>
      </c>
      <c r="B400" s="106" t="str">
        <f>IF(DB!A401=0,"",CONCATENATE("  ",DB!B401))</f>
        <v/>
      </c>
      <c r="C400" s="105" t="str">
        <f>IF(DB!A402=0,"",DB!A402)</f>
        <v/>
      </c>
      <c r="D400" s="106" t="str">
        <f>IF(DB!A401=0,"",CONCATENATE("  ",DB!B402))</f>
        <v/>
      </c>
    </row>
    <row r="401" spans="1:4" ht="52.8" x14ac:dyDescent="0.3">
      <c r="A401" s="128" t="str">
        <f>IF(A402="","",IF(ISNUMBER(LOOKUP("Â",Code128(A402),1)),"Error!",Code128(A402)))</f>
        <v/>
      </c>
      <c r="B401" s="128"/>
      <c r="C401" s="128" t="str">
        <f>IF(C402="","",IF(ISNUMBER(LOOKUP("Â",Code128(C402),1)),"Error!",Code128(C402)))</f>
        <v/>
      </c>
      <c r="D401" s="128"/>
    </row>
    <row r="402" spans="1:4" x14ac:dyDescent="0.3">
      <c r="A402" s="105" t="str">
        <f>IF(DB!A403=0,"",DB!A403)</f>
        <v/>
      </c>
      <c r="B402" s="106" t="str">
        <f>IF(DB!A403=0,"",CONCATENATE("  ",DB!B403))</f>
        <v/>
      </c>
      <c r="C402" s="105" t="str">
        <f>IF(DB!A404=0,"",DB!A404)</f>
        <v/>
      </c>
      <c r="D402" s="106" t="str">
        <f>IF(DB!A403=0,"",CONCATENATE("  ",DB!B404))</f>
        <v/>
      </c>
    </row>
    <row r="403" spans="1:4" ht="52.8" x14ac:dyDescent="0.3">
      <c r="A403" s="128" t="str">
        <f>IF(A404="","",IF(ISNUMBER(LOOKUP("Â",Code128(A404),1)),"Error!",Code128(A404)))</f>
        <v/>
      </c>
      <c r="B403" s="128"/>
      <c r="C403" s="128" t="str">
        <f>IF(C404="","",IF(ISNUMBER(LOOKUP("Â",Code128(C404),1)),"Error!",Code128(C404)))</f>
        <v/>
      </c>
      <c r="D403" s="128"/>
    </row>
    <row r="404" spans="1:4" x14ac:dyDescent="0.3">
      <c r="A404" s="105" t="str">
        <f>IF(DB!A405=0,"",DB!A405)</f>
        <v/>
      </c>
      <c r="B404" s="106" t="str">
        <f>IF(DB!A405=0,"",CONCATENATE("  ",DB!B405))</f>
        <v/>
      </c>
      <c r="C404" s="105" t="str">
        <f>IF(DB!A406=0,"",DB!A406)</f>
        <v/>
      </c>
      <c r="D404" s="106" t="str">
        <f>IF(DB!A405=0,"",CONCATENATE("  ",DB!B406))</f>
        <v/>
      </c>
    </row>
    <row r="405" spans="1:4" ht="52.8" x14ac:dyDescent="0.3">
      <c r="A405" s="128" t="str">
        <f>IF(A406="","",IF(ISNUMBER(LOOKUP("Â",Code128(A406),1)),"Error!",Code128(A406)))</f>
        <v/>
      </c>
      <c r="B405" s="128"/>
      <c r="C405" s="128" t="str">
        <f>IF(C406="","",IF(ISNUMBER(LOOKUP("Â",Code128(C406),1)),"Error!",Code128(C406)))</f>
        <v/>
      </c>
      <c r="D405" s="128"/>
    </row>
    <row r="406" spans="1:4" x14ac:dyDescent="0.3">
      <c r="A406" s="105" t="str">
        <f>IF(DB!A407=0,"",DB!A407)</f>
        <v/>
      </c>
      <c r="B406" s="106" t="str">
        <f>IF(DB!A407=0,"",CONCATENATE("  ",DB!B407))</f>
        <v/>
      </c>
      <c r="C406" s="105" t="str">
        <f>IF(DB!A408=0,"",DB!A408)</f>
        <v/>
      </c>
      <c r="D406" s="106" t="str">
        <f>IF(DB!A407=0,"",CONCATENATE("  ",DB!B408))</f>
        <v/>
      </c>
    </row>
    <row r="407" spans="1:4" ht="52.8" x14ac:dyDescent="0.3">
      <c r="A407" s="128" t="str">
        <f>IF(A408="","",IF(ISNUMBER(LOOKUP("Â",Code128(A408),1)),"Error!",Code128(A408)))</f>
        <v/>
      </c>
      <c r="B407" s="128"/>
      <c r="C407" s="128" t="str">
        <f>IF(C408="","",IF(ISNUMBER(LOOKUP("Â",Code128(C408),1)),"Error!",Code128(C408)))</f>
        <v/>
      </c>
      <c r="D407" s="128"/>
    </row>
    <row r="408" spans="1:4" x14ac:dyDescent="0.3">
      <c r="A408" s="105" t="str">
        <f>IF(DB!A409=0,"",DB!A409)</f>
        <v/>
      </c>
      <c r="B408" s="106" t="str">
        <f>IF(DB!A409=0,"",CONCATENATE("  ",DB!B409))</f>
        <v/>
      </c>
      <c r="C408" s="105" t="str">
        <f>IF(DB!A410=0,"",DB!A410)</f>
        <v/>
      </c>
      <c r="D408" s="106" t="str">
        <f>IF(DB!A409=0,"",CONCATENATE("  ",DB!B410))</f>
        <v/>
      </c>
    </row>
    <row r="409" spans="1:4" ht="52.8" x14ac:dyDescent="0.3">
      <c r="A409" s="128" t="str">
        <f>IF(A410="","",IF(ISNUMBER(LOOKUP("Â",Code128(A410),1)),"Error!",Code128(A410)))</f>
        <v/>
      </c>
      <c r="B409" s="128"/>
      <c r="C409" s="128" t="str">
        <f>IF(C410="","",IF(ISNUMBER(LOOKUP("Â",Code128(C410),1)),"Error!",Code128(C410)))</f>
        <v/>
      </c>
      <c r="D409" s="128"/>
    </row>
    <row r="410" spans="1:4" x14ac:dyDescent="0.3">
      <c r="A410" s="105" t="str">
        <f>IF(DB!A411=0,"",DB!A411)</f>
        <v/>
      </c>
      <c r="B410" s="106" t="str">
        <f>IF(DB!A411=0,"",CONCATENATE("  ",DB!B411))</f>
        <v/>
      </c>
      <c r="C410" s="105" t="str">
        <f>IF(DB!A412=0,"",DB!A412)</f>
        <v/>
      </c>
      <c r="D410" s="106" t="str">
        <f>IF(DB!A411=0,"",CONCATENATE("  ",DB!B412))</f>
        <v/>
      </c>
    </row>
    <row r="411" spans="1:4" ht="52.8" x14ac:dyDescent="0.3">
      <c r="A411" s="128" t="str">
        <f>IF(A412="","",IF(ISNUMBER(LOOKUP("Â",Code128(A412),1)),"Error!",Code128(A412)))</f>
        <v/>
      </c>
      <c r="B411" s="128"/>
      <c r="C411" s="128" t="str">
        <f>IF(C412="","",IF(ISNUMBER(LOOKUP("Â",Code128(C412),1)),"Error!",Code128(C412)))</f>
        <v/>
      </c>
      <c r="D411" s="128"/>
    </row>
    <row r="412" spans="1:4" x14ac:dyDescent="0.3">
      <c r="A412" s="105" t="str">
        <f>IF(DB!A413=0,"",DB!A413)</f>
        <v/>
      </c>
      <c r="B412" s="106" t="str">
        <f>IF(DB!A413=0,"",CONCATENATE("  ",DB!B413))</f>
        <v/>
      </c>
      <c r="C412" s="105" t="str">
        <f>IF(DB!A414=0,"",DB!A414)</f>
        <v/>
      </c>
      <c r="D412" s="106" t="str">
        <f>IF(DB!A413=0,"",CONCATENATE("  ",DB!B414))</f>
        <v/>
      </c>
    </row>
    <row r="413" spans="1:4" ht="52.8" x14ac:dyDescent="0.3">
      <c r="A413" s="128" t="str">
        <f>IF(A414="","",IF(ISNUMBER(LOOKUP("Â",Code128(A414),1)),"Error!",Code128(A414)))</f>
        <v/>
      </c>
      <c r="B413" s="128"/>
      <c r="C413" s="128" t="str">
        <f>IF(C414="","",IF(ISNUMBER(LOOKUP("Â",Code128(C414),1)),"Error!",Code128(C414)))</f>
        <v/>
      </c>
      <c r="D413" s="128"/>
    </row>
    <row r="414" spans="1:4" x14ac:dyDescent="0.3">
      <c r="A414" s="105" t="str">
        <f>IF(DB!A415=0,"",DB!A415)</f>
        <v/>
      </c>
      <c r="B414" s="106" t="str">
        <f>IF(DB!A415=0,"",CONCATENATE("  ",DB!B415))</f>
        <v/>
      </c>
      <c r="C414" s="105" t="str">
        <f>IF(DB!A416=0,"",DB!A416)</f>
        <v/>
      </c>
      <c r="D414" s="106" t="str">
        <f>IF(DB!A415=0,"",CONCATENATE("  ",DB!B416))</f>
        <v/>
      </c>
    </row>
    <row r="415" spans="1:4" ht="52.8" x14ac:dyDescent="0.3">
      <c r="A415" s="128" t="str">
        <f>IF(A416="","",IF(ISNUMBER(LOOKUP("Â",Code128(A416),1)),"Error!",Code128(A416)))</f>
        <v/>
      </c>
      <c r="B415" s="128"/>
      <c r="C415" s="128" t="str">
        <f>IF(C416="","",IF(ISNUMBER(LOOKUP("Â",Code128(C416),1)),"Error!",Code128(C416)))</f>
        <v/>
      </c>
      <c r="D415" s="128"/>
    </row>
    <row r="416" spans="1:4" x14ac:dyDescent="0.3">
      <c r="A416" s="105" t="str">
        <f>IF(DB!A417=0,"",DB!A417)</f>
        <v/>
      </c>
      <c r="B416" s="106" t="str">
        <f>IF(DB!A417=0,"",CONCATENATE("  ",DB!B417))</f>
        <v/>
      </c>
      <c r="C416" s="105" t="str">
        <f>IF(DB!A418=0,"",DB!A418)</f>
        <v/>
      </c>
      <c r="D416" s="106" t="str">
        <f>IF(DB!A417=0,"",CONCATENATE("  ",DB!B418))</f>
        <v/>
      </c>
    </row>
    <row r="417" spans="1:4" ht="52.8" x14ac:dyDescent="0.3">
      <c r="A417" s="128" t="str">
        <f>IF(A418="","",IF(ISNUMBER(LOOKUP("Â",Code128(A418),1)),"Error!",Code128(A418)))</f>
        <v/>
      </c>
      <c r="B417" s="128"/>
      <c r="C417" s="128" t="str">
        <f>IF(C418="","",IF(ISNUMBER(LOOKUP("Â",Code128(C418),1)),"Error!",Code128(C418)))</f>
        <v/>
      </c>
      <c r="D417" s="128"/>
    </row>
    <row r="418" spans="1:4" x14ac:dyDescent="0.3">
      <c r="A418" s="105" t="str">
        <f>IF(DB!A419=0,"",DB!A419)</f>
        <v/>
      </c>
      <c r="B418" s="106" t="str">
        <f>IF(DB!A419=0,"",CONCATENATE("  ",DB!B419))</f>
        <v/>
      </c>
      <c r="C418" s="105" t="str">
        <f>IF(DB!A420=0,"",DB!A420)</f>
        <v/>
      </c>
      <c r="D418" s="106" t="str">
        <f>IF(DB!A419=0,"",CONCATENATE("  ",DB!B420))</f>
        <v/>
      </c>
    </row>
    <row r="419" spans="1:4" ht="52.8" x14ac:dyDescent="0.3">
      <c r="A419" s="128" t="str">
        <f>IF(A420="","",IF(ISNUMBER(LOOKUP("Â",Code128(A420),1)),"Error!",Code128(A420)))</f>
        <v/>
      </c>
      <c r="B419" s="128"/>
      <c r="C419" s="128" t="str">
        <f>IF(C420="","",IF(ISNUMBER(LOOKUP("Â",Code128(C420),1)),"Error!",Code128(C420)))</f>
        <v/>
      </c>
      <c r="D419" s="128"/>
    </row>
    <row r="420" spans="1:4" x14ac:dyDescent="0.3">
      <c r="A420" s="105" t="str">
        <f>IF(DB!A421=0,"",DB!A421)</f>
        <v/>
      </c>
      <c r="B420" s="106" t="str">
        <f>IF(DB!A421=0,"",CONCATENATE("  ",DB!B421))</f>
        <v/>
      </c>
      <c r="C420" s="105" t="str">
        <f>IF(DB!A422=0,"",DB!A422)</f>
        <v/>
      </c>
      <c r="D420" s="106" t="str">
        <f>IF(DB!A421=0,"",CONCATENATE("  ",DB!B422))</f>
        <v/>
      </c>
    </row>
    <row r="421" spans="1:4" ht="52.8" x14ac:dyDescent="0.3">
      <c r="A421" s="128" t="str">
        <f>IF(A422="","",IF(ISNUMBER(LOOKUP("Â",Code128(A422),1)),"Error!",Code128(A422)))</f>
        <v/>
      </c>
      <c r="B421" s="128"/>
      <c r="C421" s="128" t="str">
        <f>IF(C422="","",IF(ISNUMBER(LOOKUP("Â",Code128(C422),1)),"Error!",Code128(C422)))</f>
        <v/>
      </c>
      <c r="D421" s="128"/>
    </row>
    <row r="422" spans="1:4" x14ac:dyDescent="0.3">
      <c r="A422" s="105" t="str">
        <f>IF(DB!A423=0,"",DB!A423)</f>
        <v/>
      </c>
      <c r="B422" s="106" t="str">
        <f>IF(DB!A423=0,"",CONCATENATE("  ",DB!B423))</f>
        <v/>
      </c>
      <c r="C422" s="105" t="str">
        <f>IF(DB!A424=0,"",DB!A424)</f>
        <v/>
      </c>
      <c r="D422" s="106" t="str">
        <f>IF(DB!A423=0,"",CONCATENATE("  ",DB!B424))</f>
        <v/>
      </c>
    </row>
    <row r="423" spans="1:4" ht="52.8" x14ac:dyDescent="0.3">
      <c r="A423" s="128" t="str">
        <f>IF(A424="","",IF(ISNUMBER(LOOKUP("Â",Code128(A424),1)),"Error!",Code128(A424)))</f>
        <v/>
      </c>
      <c r="B423" s="128"/>
      <c r="C423" s="128" t="str">
        <f>IF(C424="","",IF(ISNUMBER(LOOKUP("Â",Code128(C424),1)),"Error!",Code128(C424)))</f>
        <v/>
      </c>
      <c r="D423" s="128"/>
    </row>
    <row r="424" spans="1:4" x14ac:dyDescent="0.3">
      <c r="A424" s="105" t="str">
        <f>IF(DB!A425=0,"",DB!A425)</f>
        <v/>
      </c>
      <c r="B424" s="106" t="str">
        <f>IF(DB!A425=0,"",CONCATENATE("  ",DB!B425))</f>
        <v/>
      </c>
      <c r="C424" s="105" t="str">
        <f>IF(DB!A426=0,"",DB!A426)</f>
        <v/>
      </c>
      <c r="D424" s="106" t="str">
        <f>IF(DB!A425=0,"",CONCATENATE("  ",DB!B426))</f>
        <v/>
      </c>
    </row>
    <row r="425" spans="1:4" ht="52.8" x14ac:dyDescent="0.3">
      <c r="A425" s="128" t="str">
        <f>IF(A426="","",IF(ISNUMBER(LOOKUP("Â",Code128(A426),1)),"Error!",Code128(A426)))</f>
        <v/>
      </c>
      <c r="B425" s="128"/>
      <c r="C425" s="128" t="str">
        <f>IF(C426="","",IF(ISNUMBER(LOOKUP("Â",Code128(C426),1)),"Error!",Code128(C426)))</f>
        <v/>
      </c>
      <c r="D425" s="128"/>
    </row>
    <row r="426" spans="1:4" x14ac:dyDescent="0.3">
      <c r="A426" s="105" t="str">
        <f>IF(DB!A427=0,"",DB!A427)</f>
        <v/>
      </c>
      <c r="B426" s="106" t="str">
        <f>IF(DB!A427=0,"",CONCATENATE("  ",DB!B427))</f>
        <v/>
      </c>
      <c r="C426" s="105" t="str">
        <f>IF(DB!A428=0,"",DB!A428)</f>
        <v/>
      </c>
      <c r="D426" s="106" t="str">
        <f>IF(DB!A427=0,"",CONCATENATE("  ",DB!B428))</f>
        <v/>
      </c>
    </row>
    <row r="427" spans="1:4" ht="52.8" x14ac:dyDescent="0.3">
      <c r="A427" s="128" t="str">
        <f>IF(A428="","",IF(ISNUMBER(LOOKUP("Â",Code128(A428),1)),"Error!",Code128(A428)))</f>
        <v/>
      </c>
      <c r="B427" s="128"/>
      <c r="C427" s="128" t="str">
        <f>IF(C428="","",IF(ISNUMBER(LOOKUP("Â",Code128(C428),1)),"Error!",Code128(C428)))</f>
        <v/>
      </c>
      <c r="D427" s="128"/>
    </row>
    <row r="428" spans="1:4" x14ac:dyDescent="0.3">
      <c r="A428" s="105" t="str">
        <f>IF(DB!A429=0,"",DB!A429)</f>
        <v/>
      </c>
      <c r="B428" s="106" t="str">
        <f>IF(DB!A429=0,"",CONCATENATE("  ",DB!B429))</f>
        <v/>
      </c>
      <c r="C428" s="105" t="str">
        <f>IF(DB!A430=0,"",DB!A430)</f>
        <v/>
      </c>
      <c r="D428" s="106" t="str">
        <f>IF(DB!A429=0,"",CONCATENATE("  ",DB!B430))</f>
        <v/>
      </c>
    </row>
    <row r="429" spans="1:4" ht="52.8" x14ac:dyDescent="0.3">
      <c r="A429" s="128" t="str">
        <f>IF(A430="","",IF(ISNUMBER(LOOKUP("Â",Code128(A430),1)),"Error!",Code128(A430)))</f>
        <v/>
      </c>
      <c r="B429" s="128"/>
      <c r="C429" s="128" t="str">
        <f>IF(C430="","",IF(ISNUMBER(LOOKUP("Â",Code128(C430),1)),"Error!",Code128(C430)))</f>
        <v/>
      </c>
      <c r="D429" s="128"/>
    </row>
    <row r="430" spans="1:4" x14ac:dyDescent="0.3">
      <c r="A430" s="105" t="str">
        <f>IF(DB!A431=0,"",DB!A431)</f>
        <v/>
      </c>
      <c r="B430" s="106" t="str">
        <f>IF(DB!A431=0,"",CONCATENATE("  ",DB!B431))</f>
        <v/>
      </c>
      <c r="C430" s="105" t="str">
        <f>IF(DB!A432=0,"",DB!A432)</f>
        <v/>
      </c>
      <c r="D430" s="106" t="str">
        <f>IF(DB!A431=0,"",CONCATENATE("  ",DB!B432))</f>
        <v/>
      </c>
    </row>
    <row r="431" spans="1:4" ht="52.8" x14ac:dyDescent="0.3">
      <c r="A431" s="128" t="str">
        <f>IF(A432="","",IF(ISNUMBER(LOOKUP("Â",Code128(A432),1)),"Error!",Code128(A432)))</f>
        <v/>
      </c>
      <c r="B431" s="128"/>
      <c r="C431" s="128" t="str">
        <f>IF(C432="","",IF(ISNUMBER(LOOKUP("Â",Code128(C432),1)),"Error!",Code128(C432)))</f>
        <v/>
      </c>
      <c r="D431" s="128"/>
    </row>
    <row r="432" spans="1:4" x14ac:dyDescent="0.3">
      <c r="A432" s="105" t="str">
        <f>IF(DB!A433=0,"",DB!A433)</f>
        <v/>
      </c>
      <c r="B432" s="106" t="str">
        <f>IF(DB!A433=0,"",CONCATENATE("  ",DB!B433))</f>
        <v/>
      </c>
      <c r="C432" s="105" t="str">
        <f>IF(DB!A434=0,"",DB!A434)</f>
        <v/>
      </c>
      <c r="D432" s="106" t="str">
        <f>IF(DB!A433=0,"",CONCATENATE("  ",DB!B434))</f>
        <v/>
      </c>
    </row>
    <row r="433" spans="1:4" ht="52.8" x14ac:dyDescent="0.3">
      <c r="A433" s="128" t="str">
        <f>IF(A434="","",IF(ISNUMBER(LOOKUP("Â",Code128(A434),1)),"Error!",Code128(A434)))</f>
        <v/>
      </c>
      <c r="B433" s="128"/>
      <c r="C433" s="128" t="str">
        <f>IF(C434="","",IF(ISNUMBER(LOOKUP("Â",Code128(C434),1)),"Error!",Code128(C434)))</f>
        <v/>
      </c>
      <c r="D433" s="128"/>
    </row>
    <row r="434" spans="1:4" x14ac:dyDescent="0.3">
      <c r="A434" s="105" t="str">
        <f>IF(DB!A435=0,"",DB!A435)</f>
        <v/>
      </c>
      <c r="B434" s="106" t="str">
        <f>IF(DB!A435=0,"",CONCATENATE("  ",DB!B435))</f>
        <v/>
      </c>
      <c r="C434" s="105" t="str">
        <f>IF(DB!A436=0,"",DB!A436)</f>
        <v/>
      </c>
      <c r="D434" s="106" t="str">
        <f>IF(DB!A435=0,"",CONCATENATE("  ",DB!B436))</f>
        <v/>
      </c>
    </row>
    <row r="435" spans="1:4" ht="52.8" x14ac:dyDescent="0.3">
      <c r="A435" s="128" t="str">
        <f>IF(A436="","",IF(ISNUMBER(LOOKUP("Â",Code128(A436),1)),"Error!",Code128(A436)))</f>
        <v/>
      </c>
      <c r="B435" s="128"/>
      <c r="C435" s="128" t="str">
        <f>IF(C436="","",IF(ISNUMBER(LOOKUP("Â",Code128(C436),1)),"Error!",Code128(C436)))</f>
        <v/>
      </c>
      <c r="D435" s="128"/>
    </row>
    <row r="436" spans="1:4" x14ac:dyDescent="0.3">
      <c r="A436" s="105" t="str">
        <f>IF(DB!A437=0,"",DB!A437)</f>
        <v/>
      </c>
      <c r="B436" s="106" t="str">
        <f>IF(DB!A437=0,"",CONCATENATE("  ",DB!B437))</f>
        <v/>
      </c>
      <c r="C436" s="105" t="str">
        <f>IF(DB!A438=0,"",DB!A438)</f>
        <v/>
      </c>
      <c r="D436" s="106" t="str">
        <f>IF(DB!A437=0,"",CONCATENATE("  ",DB!B438))</f>
        <v/>
      </c>
    </row>
    <row r="437" spans="1:4" ht="52.8" x14ac:dyDescent="0.3">
      <c r="A437" s="128" t="str">
        <f>IF(A438="","",IF(ISNUMBER(LOOKUP("Â",Code128(A438),1)),"Error!",Code128(A438)))</f>
        <v/>
      </c>
      <c r="B437" s="128"/>
      <c r="C437" s="128" t="str">
        <f>IF(C438="","",IF(ISNUMBER(LOOKUP("Â",Code128(C438),1)),"Error!",Code128(C438)))</f>
        <v/>
      </c>
      <c r="D437" s="128"/>
    </row>
    <row r="438" spans="1:4" x14ac:dyDescent="0.3">
      <c r="A438" s="105" t="str">
        <f>IF(DB!A439=0,"",DB!A439)</f>
        <v/>
      </c>
      <c r="B438" s="106" t="str">
        <f>IF(DB!A439=0,"",CONCATENATE("  ",DB!B439))</f>
        <v/>
      </c>
      <c r="C438" s="105" t="str">
        <f>IF(DB!A440=0,"",DB!A440)</f>
        <v/>
      </c>
      <c r="D438" s="106" t="str">
        <f>IF(DB!A439=0,"",CONCATENATE("  ",DB!B440))</f>
        <v/>
      </c>
    </row>
    <row r="439" spans="1:4" ht="52.8" x14ac:dyDescent="0.3">
      <c r="A439" s="128" t="str">
        <f>IF(A440="","",IF(ISNUMBER(LOOKUP("Â",Code128(A440),1)),"Error!",Code128(A440)))</f>
        <v/>
      </c>
      <c r="B439" s="128"/>
      <c r="C439" s="128" t="str">
        <f>IF(C440="","",IF(ISNUMBER(LOOKUP("Â",Code128(C440),1)),"Error!",Code128(C440)))</f>
        <v/>
      </c>
      <c r="D439" s="128"/>
    </row>
    <row r="440" spans="1:4" x14ac:dyDescent="0.3">
      <c r="A440" s="105" t="str">
        <f>IF(DB!A441=0,"",DB!A441)</f>
        <v/>
      </c>
      <c r="B440" s="106" t="str">
        <f>IF(DB!A441=0,"",CONCATENATE("  ",DB!B441))</f>
        <v/>
      </c>
      <c r="C440" s="105" t="str">
        <f>IF(DB!A442=0,"",DB!A442)</f>
        <v/>
      </c>
      <c r="D440" s="106" t="str">
        <f>IF(DB!A441=0,"",CONCATENATE("  ",DB!B442))</f>
        <v/>
      </c>
    </row>
    <row r="441" spans="1:4" ht="52.8" x14ac:dyDescent="0.3">
      <c r="A441" s="128" t="str">
        <f>IF(A442="","",IF(ISNUMBER(LOOKUP("Â",Code128(A442),1)),"Error!",Code128(A442)))</f>
        <v/>
      </c>
      <c r="B441" s="128"/>
      <c r="C441" s="128" t="str">
        <f>IF(C442="","",IF(ISNUMBER(LOOKUP("Â",Code128(C442),1)),"Error!",Code128(C442)))</f>
        <v/>
      </c>
      <c r="D441" s="128"/>
    </row>
    <row r="442" spans="1:4" x14ac:dyDescent="0.3">
      <c r="A442" s="105" t="str">
        <f>IF(DB!A443=0,"",DB!A443)</f>
        <v/>
      </c>
      <c r="B442" s="106" t="str">
        <f>IF(DB!A443=0,"",CONCATENATE("  ",DB!B443))</f>
        <v/>
      </c>
      <c r="C442" s="105" t="str">
        <f>IF(DB!A444=0,"",DB!A444)</f>
        <v/>
      </c>
      <c r="D442" s="106" t="str">
        <f>IF(DB!A443=0,"",CONCATENATE("  ",DB!B444))</f>
        <v/>
      </c>
    </row>
    <row r="443" spans="1:4" ht="52.8" x14ac:dyDescent="0.3">
      <c r="A443" s="128" t="str">
        <f>IF(A444="","",IF(ISNUMBER(LOOKUP("Â",Code128(A444),1)),"Error!",Code128(A444)))</f>
        <v/>
      </c>
      <c r="B443" s="128"/>
      <c r="C443" s="128" t="str">
        <f>IF(C444="","",IF(ISNUMBER(LOOKUP("Â",Code128(C444),1)),"Error!",Code128(C444)))</f>
        <v/>
      </c>
      <c r="D443" s="128"/>
    </row>
    <row r="444" spans="1:4" x14ac:dyDescent="0.3">
      <c r="A444" s="105" t="str">
        <f>IF(DB!A445=0,"",DB!A445)</f>
        <v/>
      </c>
      <c r="B444" s="106" t="str">
        <f>IF(DB!A445=0,"",CONCATENATE("  ",DB!B445))</f>
        <v/>
      </c>
      <c r="C444" s="105" t="str">
        <f>IF(DB!A446=0,"",DB!A446)</f>
        <v/>
      </c>
      <c r="D444" s="106" t="str">
        <f>IF(DB!A445=0,"",CONCATENATE("  ",DB!B446))</f>
        <v/>
      </c>
    </row>
    <row r="445" spans="1:4" ht="52.8" x14ac:dyDescent="0.3">
      <c r="A445" s="128" t="str">
        <f>IF(A446="","",IF(ISNUMBER(LOOKUP("Â",Code128(A446),1)),"Error!",Code128(A446)))</f>
        <v/>
      </c>
      <c r="B445" s="128"/>
      <c r="C445" s="128" t="str">
        <f>IF(C446="","",IF(ISNUMBER(LOOKUP("Â",Code128(C446),1)),"Error!",Code128(C446)))</f>
        <v/>
      </c>
      <c r="D445" s="128"/>
    </row>
    <row r="446" spans="1:4" x14ac:dyDescent="0.3">
      <c r="A446" s="105" t="str">
        <f>IF(DB!A447=0,"",DB!A447)</f>
        <v/>
      </c>
      <c r="B446" s="106" t="str">
        <f>IF(DB!A447=0,"",CONCATENATE("  ",DB!B447))</f>
        <v/>
      </c>
      <c r="C446" s="105" t="str">
        <f>IF(DB!A448=0,"",DB!A448)</f>
        <v/>
      </c>
      <c r="D446" s="106" t="str">
        <f>IF(DB!A447=0,"",CONCATENATE("  ",DB!B448))</f>
        <v/>
      </c>
    </row>
    <row r="447" spans="1:4" ht="52.8" x14ac:dyDescent="0.3">
      <c r="A447" s="128" t="str">
        <f>IF(A448="","",IF(ISNUMBER(LOOKUP("Â",Code128(A448),1)),"Error!",Code128(A448)))</f>
        <v/>
      </c>
      <c r="B447" s="128"/>
      <c r="C447" s="128" t="str">
        <f>IF(C448="","",IF(ISNUMBER(LOOKUP("Â",Code128(C448),1)),"Error!",Code128(C448)))</f>
        <v/>
      </c>
      <c r="D447" s="128"/>
    </row>
    <row r="448" spans="1:4" x14ac:dyDescent="0.3">
      <c r="A448" s="105" t="str">
        <f>IF(DB!A449=0,"",DB!A449)</f>
        <v/>
      </c>
      <c r="B448" s="106" t="str">
        <f>IF(DB!A449=0,"",CONCATENATE("  ",DB!B449))</f>
        <v/>
      </c>
      <c r="C448" s="105" t="str">
        <f>IF(DB!A450=0,"",DB!A450)</f>
        <v/>
      </c>
      <c r="D448" s="106" t="str">
        <f>IF(DB!A449=0,"",CONCATENATE("  ",DB!B450))</f>
        <v/>
      </c>
    </row>
    <row r="449" spans="1:4" ht="52.8" x14ac:dyDescent="0.3">
      <c r="A449" s="128" t="str">
        <f>IF(A450="","",IF(ISNUMBER(LOOKUP("Â",Code128(A450),1)),"Error!",Code128(A450)))</f>
        <v/>
      </c>
      <c r="B449" s="128"/>
      <c r="C449" s="128" t="str">
        <f>IF(C450="","",IF(ISNUMBER(LOOKUP("Â",Code128(C450),1)),"Error!",Code128(C450)))</f>
        <v/>
      </c>
      <c r="D449" s="128"/>
    </row>
    <row r="450" spans="1:4" x14ac:dyDescent="0.3">
      <c r="A450" s="105" t="str">
        <f>IF(DB!A451=0,"",DB!A451)</f>
        <v/>
      </c>
      <c r="B450" s="106" t="str">
        <f>IF(DB!A451=0,"",CONCATENATE("  ",DB!B451))</f>
        <v/>
      </c>
      <c r="C450" s="105" t="str">
        <f>IF(DB!A452=0,"",DB!A452)</f>
        <v/>
      </c>
      <c r="D450" s="106" t="str">
        <f>IF(DB!A451=0,"",CONCATENATE("  ",DB!B452))</f>
        <v/>
      </c>
    </row>
    <row r="451" spans="1:4" ht="52.8" x14ac:dyDescent="0.3">
      <c r="A451" s="128" t="str">
        <f>IF(A452="","",IF(ISNUMBER(LOOKUP("Â",Code128(A452),1)),"Error!",Code128(A452)))</f>
        <v/>
      </c>
      <c r="B451" s="128"/>
      <c r="C451" s="128" t="str">
        <f>IF(C452="","",IF(ISNUMBER(LOOKUP("Â",Code128(C452),1)),"Error!",Code128(C452)))</f>
        <v/>
      </c>
      <c r="D451" s="128"/>
    </row>
    <row r="452" spans="1:4" x14ac:dyDescent="0.3">
      <c r="A452" s="105" t="str">
        <f>IF(DB!A453=0,"",DB!A453)</f>
        <v/>
      </c>
      <c r="B452" s="106" t="str">
        <f>IF(DB!A453=0,"",CONCATENATE("  ",DB!B453))</f>
        <v/>
      </c>
      <c r="C452" s="105" t="str">
        <f>IF(DB!A454=0,"",DB!A454)</f>
        <v/>
      </c>
      <c r="D452" s="106" t="str">
        <f>IF(DB!A453=0,"",CONCATENATE("  ",DB!B454))</f>
        <v/>
      </c>
    </row>
    <row r="453" spans="1:4" ht="52.8" x14ac:dyDescent="0.3">
      <c r="A453" s="128" t="str">
        <f>IF(A454="","",IF(ISNUMBER(LOOKUP("Â",Code128(A454),1)),"Error!",Code128(A454)))</f>
        <v/>
      </c>
      <c r="B453" s="128"/>
      <c r="C453" s="128" t="str">
        <f>IF(C454="","",IF(ISNUMBER(LOOKUP("Â",Code128(C454),1)),"Error!",Code128(C454)))</f>
        <v/>
      </c>
      <c r="D453" s="128"/>
    </row>
    <row r="454" spans="1:4" x14ac:dyDescent="0.3">
      <c r="A454" s="105" t="str">
        <f>IF(DB!A455=0,"",DB!A455)</f>
        <v/>
      </c>
      <c r="B454" s="106" t="str">
        <f>IF(DB!A455=0,"",CONCATENATE("  ",DB!B455))</f>
        <v/>
      </c>
      <c r="C454" s="105" t="str">
        <f>IF(DB!A456=0,"",DB!A456)</f>
        <v/>
      </c>
      <c r="D454" s="106" t="str">
        <f>IF(DB!A455=0,"",CONCATENATE("  ",DB!B456))</f>
        <v/>
      </c>
    </row>
    <row r="455" spans="1:4" ht="52.8" x14ac:dyDescent="0.3">
      <c r="A455" s="128" t="str">
        <f>IF(A456="","",IF(ISNUMBER(LOOKUP("Â",Code128(A456),1)),"Error!",Code128(A456)))</f>
        <v/>
      </c>
      <c r="B455" s="128"/>
      <c r="C455" s="128" t="str">
        <f>IF(C456="","",IF(ISNUMBER(LOOKUP("Â",Code128(C456),1)),"Error!",Code128(C456)))</f>
        <v/>
      </c>
      <c r="D455" s="128"/>
    </row>
    <row r="456" spans="1:4" x14ac:dyDescent="0.3">
      <c r="A456" s="105" t="str">
        <f>IF(DB!A457=0,"",DB!A457)</f>
        <v/>
      </c>
      <c r="B456" s="106" t="str">
        <f>IF(DB!A457=0,"",CONCATENATE("  ",DB!B457))</f>
        <v/>
      </c>
      <c r="C456" s="105" t="str">
        <f>IF(DB!A458=0,"",DB!A458)</f>
        <v/>
      </c>
      <c r="D456" s="106" t="str">
        <f>IF(DB!A457=0,"",CONCATENATE("  ",DB!B458))</f>
        <v/>
      </c>
    </row>
    <row r="457" spans="1:4" ht="52.8" x14ac:dyDescent="0.3">
      <c r="A457" s="128" t="str">
        <f>IF(A458="","",IF(ISNUMBER(LOOKUP("Â",Code128(A458),1)),"Error!",Code128(A458)))</f>
        <v/>
      </c>
      <c r="B457" s="128"/>
      <c r="C457" s="128" t="str">
        <f>IF(C458="","",IF(ISNUMBER(LOOKUP("Â",Code128(C458),1)),"Error!",Code128(C458)))</f>
        <v/>
      </c>
      <c r="D457" s="128"/>
    </row>
    <row r="458" spans="1:4" x14ac:dyDescent="0.3">
      <c r="A458" s="105" t="str">
        <f>IF(DB!A459=0,"",DB!A459)</f>
        <v/>
      </c>
      <c r="B458" s="106" t="str">
        <f>IF(DB!A459=0,"",CONCATENATE("  ",DB!B459))</f>
        <v/>
      </c>
      <c r="C458" s="105" t="str">
        <f>IF(DB!A460=0,"",DB!A460)</f>
        <v/>
      </c>
      <c r="D458" s="106" t="str">
        <f>IF(DB!A459=0,"",CONCATENATE("  ",DB!B460))</f>
        <v/>
      </c>
    </row>
    <row r="459" spans="1:4" ht="52.8" x14ac:dyDescent="0.3">
      <c r="A459" s="128" t="str">
        <f>IF(A460="","",IF(ISNUMBER(LOOKUP("Â",Code128(A460),1)),"Error!",Code128(A460)))</f>
        <v/>
      </c>
      <c r="B459" s="128"/>
      <c r="C459" s="128" t="str">
        <f>IF(C460="","",IF(ISNUMBER(LOOKUP("Â",Code128(C460),1)),"Error!",Code128(C460)))</f>
        <v/>
      </c>
      <c r="D459" s="128"/>
    </row>
    <row r="460" spans="1:4" x14ac:dyDescent="0.3">
      <c r="A460" s="105" t="str">
        <f>IF(DB!A461=0,"",DB!A461)</f>
        <v/>
      </c>
      <c r="B460" s="106" t="str">
        <f>IF(DB!A461=0,"",CONCATENATE("  ",DB!B461))</f>
        <v/>
      </c>
      <c r="C460" s="105" t="str">
        <f>IF(DB!A462=0,"",DB!A462)</f>
        <v/>
      </c>
      <c r="D460" s="106" t="str">
        <f>IF(DB!A461=0,"",CONCATENATE("  ",DB!B462))</f>
        <v/>
      </c>
    </row>
    <row r="461" spans="1:4" ht="52.8" x14ac:dyDescent="0.3">
      <c r="A461" s="128" t="str">
        <f>IF(A462="","",IF(ISNUMBER(LOOKUP("Â",Code128(A462),1)),"Error!",Code128(A462)))</f>
        <v/>
      </c>
      <c r="B461" s="128"/>
      <c r="C461" s="128" t="str">
        <f>IF(C462="","",IF(ISNUMBER(LOOKUP("Â",Code128(C462),1)),"Error!",Code128(C462)))</f>
        <v/>
      </c>
      <c r="D461" s="128"/>
    </row>
    <row r="462" spans="1:4" x14ac:dyDescent="0.3">
      <c r="A462" s="105" t="str">
        <f>IF(DB!A463=0,"",DB!A463)</f>
        <v/>
      </c>
      <c r="B462" s="106" t="str">
        <f>IF(DB!A463=0,"",CONCATENATE("  ",DB!B463))</f>
        <v/>
      </c>
      <c r="C462" s="105" t="str">
        <f>IF(DB!A464=0,"",DB!A464)</f>
        <v/>
      </c>
      <c r="D462" s="106" t="str">
        <f>IF(DB!A463=0,"",CONCATENATE("  ",DB!B464))</f>
        <v/>
      </c>
    </row>
    <row r="463" spans="1:4" ht="52.8" x14ac:dyDescent="0.3">
      <c r="A463" s="128" t="str">
        <f>IF(A464="","",IF(ISNUMBER(LOOKUP("Â",Code128(A464),1)),"Error!",Code128(A464)))</f>
        <v/>
      </c>
      <c r="B463" s="128"/>
      <c r="C463" s="128" t="str">
        <f>IF(C464="","",IF(ISNUMBER(LOOKUP("Â",Code128(C464),1)),"Error!",Code128(C464)))</f>
        <v/>
      </c>
      <c r="D463" s="128"/>
    </row>
    <row r="464" spans="1:4" x14ac:dyDescent="0.3">
      <c r="A464" s="105" t="str">
        <f>IF(DB!A465=0,"",DB!A465)</f>
        <v/>
      </c>
      <c r="B464" s="106" t="str">
        <f>IF(DB!A465=0,"",CONCATENATE("  ",DB!B465))</f>
        <v/>
      </c>
      <c r="C464" s="105" t="str">
        <f>IF(DB!A466=0,"",DB!A466)</f>
        <v/>
      </c>
      <c r="D464" s="106" t="str">
        <f>IF(DB!A465=0,"",CONCATENATE("  ",DB!B466))</f>
        <v/>
      </c>
    </row>
    <row r="465" spans="1:4" ht="52.8" x14ac:dyDescent="0.3">
      <c r="A465" s="128" t="str">
        <f>IF(A466="","",IF(ISNUMBER(LOOKUP("Â",Code128(A466),1)),"Error!",Code128(A466)))</f>
        <v/>
      </c>
      <c r="B465" s="128"/>
      <c r="C465" s="128" t="str">
        <f>IF(C466="","",IF(ISNUMBER(LOOKUP("Â",Code128(C466),1)),"Error!",Code128(C466)))</f>
        <v/>
      </c>
      <c r="D465" s="128"/>
    </row>
    <row r="466" spans="1:4" x14ac:dyDescent="0.3">
      <c r="A466" s="105" t="str">
        <f>IF(DB!A467=0,"",DB!A467)</f>
        <v/>
      </c>
      <c r="B466" s="106" t="str">
        <f>IF(DB!A467=0,"",CONCATENATE("  ",DB!B467))</f>
        <v/>
      </c>
      <c r="C466" s="105" t="str">
        <f>IF(DB!A468=0,"",DB!A468)</f>
        <v/>
      </c>
      <c r="D466" s="106" t="str">
        <f>IF(DB!A467=0,"",CONCATENATE("  ",DB!B468))</f>
        <v/>
      </c>
    </row>
    <row r="467" spans="1:4" ht="52.8" x14ac:dyDescent="0.3">
      <c r="A467" s="128" t="str">
        <f>IF(A468="","",IF(ISNUMBER(LOOKUP("Â",Code128(A468),1)),"Error!",Code128(A468)))</f>
        <v/>
      </c>
      <c r="B467" s="128"/>
      <c r="C467" s="128" t="str">
        <f>IF(C468="","",IF(ISNUMBER(LOOKUP("Â",Code128(C468),1)),"Error!",Code128(C468)))</f>
        <v/>
      </c>
      <c r="D467" s="128"/>
    </row>
    <row r="468" spans="1:4" x14ac:dyDescent="0.3">
      <c r="A468" s="105" t="str">
        <f>IF(DB!A469=0,"",DB!A469)</f>
        <v/>
      </c>
      <c r="B468" s="106" t="str">
        <f>IF(DB!A469=0,"",CONCATENATE("  ",DB!B469))</f>
        <v/>
      </c>
      <c r="C468" s="105" t="str">
        <f>IF(DB!A470=0,"",DB!A470)</f>
        <v/>
      </c>
      <c r="D468" s="106" t="str">
        <f>IF(DB!A469=0,"",CONCATENATE("  ",DB!B470))</f>
        <v/>
      </c>
    </row>
    <row r="469" spans="1:4" ht="52.8" x14ac:dyDescent="0.3">
      <c r="A469" s="128" t="str">
        <f>IF(A470="","",IF(ISNUMBER(LOOKUP("Â",Code128(A470),1)),"Error!",Code128(A470)))</f>
        <v/>
      </c>
      <c r="B469" s="128"/>
      <c r="C469" s="128" t="str">
        <f>IF(C470="","",IF(ISNUMBER(LOOKUP("Â",Code128(C470),1)),"Error!",Code128(C470)))</f>
        <v/>
      </c>
      <c r="D469" s="128"/>
    </row>
    <row r="470" spans="1:4" x14ac:dyDescent="0.3">
      <c r="A470" s="105" t="str">
        <f>IF(DB!A471=0,"",DB!A471)</f>
        <v/>
      </c>
      <c r="B470" s="106" t="str">
        <f>IF(DB!A471=0,"",CONCATENATE("  ",DB!B471))</f>
        <v/>
      </c>
      <c r="C470" s="105" t="str">
        <f>IF(DB!A472=0,"",DB!A472)</f>
        <v/>
      </c>
      <c r="D470" s="106" t="str">
        <f>IF(DB!A471=0,"",CONCATENATE("  ",DB!B472))</f>
        <v/>
      </c>
    </row>
    <row r="471" spans="1:4" ht="52.8" x14ac:dyDescent="0.3">
      <c r="A471" s="128" t="str">
        <f>IF(A472="","",IF(ISNUMBER(LOOKUP("Â",Code128(A472),1)),"Error!",Code128(A472)))</f>
        <v/>
      </c>
      <c r="B471" s="128"/>
      <c r="C471" s="128" t="str">
        <f>IF(C472="","",IF(ISNUMBER(LOOKUP("Â",Code128(C472),1)),"Error!",Code128(C472)))</f>
        <v/>
      </c>
      <c r="D471" s="128"/>
    </row>
    <row r="472" spans="1:4" x14ac:dyDescent="0.3">
      <c r="A472" s="105" t="str">
        <f>IF(DB!A473=0,"",DB!A473)</f>
        <v/>
      </c>
      <c r="B472" s="106" t="str">
        <f>IF(DB!A473=0,"",CONCATENATE("  ",DB!B473))</f>
        <v/>
      </c>
      <c r="C472" s="105" t="str">
        <f>IF(DB!A474=0,"",DB!A474)</f>
        <v/>
      </c>
      <c r="D472" s="106" t="str">
        <f>IF(DB!A473=0,"",CONCATENATE("  ",DB!B474))</f>
        <v/>
      </c>
    </row>
    <row r="473" spans="1:4" ht="52.8" x14ac:dyDescent="0.3">
      <c r="A473" s="128" t="str">
        <f>IF(A474="","",IF(ISNUMBER(LOOKUP("Â",Code128(A474),1)),"Error!",Code128(A474)))</f>
        <v/>
      </c>
      <c r="B473" s="128"/>
      <c r="C473" s="128" t="str">
        <f>IF(C474="","",IF(ISNUMBER(LOOKUP("Â",Code128(C474),1)),"Error!",Code128(C474)))</f>
        <v/>
      </c>
      <c r="D473" s="128"/>
    </row>
    <row r="474" spans="1:4" x14ac:dyDescent="0.3">
      <c r="A474" s="105" t="str">
        <f>IF(DB!A475=0,"",DB!A475)</f>
        <v/>
      </c>
      <c r="B474" s="106" t="str">
        <f>IF(DB!A475=0,"",CONCATENATE("  ",DB!B475))</f>
        <v/>
      </c>
      <c r="C474" s="105" t="str">
        <f>IF(DB!A476=0,"",DB!A476)</f>
        <v/>
      </c>
      <c r="D474" s="106" t="str">
        <f>IF(DB!A475=0,"",CONCATENATE("  ",DB!B476))</f>
        <v/>
      </c>
    </row>
    <row r="475" spans="1:4" ht="52.8" x14ac:dyDescent="0.3">
      <c r="A475" s="128" t="str">
        <f>IF(A476="","",IF(ISNUMBER(LOOKUP("Â",Code128(A476),1)),"Error!",Code128(A476)))</f>
        <v/>
      </c>
      <c r="B475" s="128"/>
      <c r="C475" s="128" t="str">
        <f>IF(C476="","",IF(ISNUMBER(LOOKUP("Â",Code128(C476),1)),"Error!",Code128(C476)))</f>
        <v/>
      </c>
      <c r="D475" s="128"/>
    </row>
    <row r="476" spans="1:4" x14ac:dyDescent="0.3">
      <c r="A476" s="105" t="str">
        <f>IF(DB!A477=0,"",DB!A477)</f>
        <v/>
      </c>
      <c r="B476" s="106" t="str">
        <f>IF(DB!A477=0,"",CONCATENATE("  ",DB!B477))</f>
        <v/>
      </c>
      <c r="C476" s="105" t="str">
        <f>IF(DB!A478=0,"",DB!A478)</f>
        <v/>
      </c>
      <c r="D476" s="106" t="str">
        <f>IF(DB!A477=0,"",CONCATENATE("  ",DB!B478))</f>
        <v/>
      </c>
    </row>
    <row r="477" spans="1:4" ht="52.8" x14ac:dyDescent="0.3">
      <c r="A477" s="128" t="str">
        <f>IF(A478="","",IF(ISNUMBER(LOOKUP("Â",Code128(A478),1)),"Error!",Code128(A478)))</f>
        <v/>
      </c>
      <c r="B477" s="128"/>
      <c r="C477" s="128" t="str">
        <f>IF(C478="","",IF(ISNUMBER(LOOKUP("Â",Code128(C478),1)),"Error!",Code128(C478)))</f>
        <v/>
      </c>
      <c r="D477" s="128"/>
    </row>
    <row r="478" spans="1:4" x14ac:dyDescent="0.3">
      <c r="A478" s="105" t="str">
        <f>IF(DB!A479=0,"",DB!A479)</f>
        <v/>
      </c>
      <c r="B478" s="106" t="str">
        <f>IF(DB!A479=0,"",CONCATENATE("  ",DB!B479))</f>
        <v/>
      </c>
      <c r="C478" s="105" t="str">
        <f>IF(DB!A480=0,"",DB!A480)</f>
        <v/>
      </c>
      <c r="D478" s="106" t="str">
        <f>IF(DB!A479=0,"",CONCATENATE("  ",DB!B480))</f>
        <v/>
      </c>
    </row>
    <row r="479" spans="1:4" ht="52.8" x14ac:dyDescent="0.3">
      <c r="A479" s="128" t="str">
        <f>IF(A480="","",IF(ISNUMBER(LOOKUP("Â",Code128(A480),1)),"Error!",Code128(A480)))</f>
        <v/>
      </c>
      <c r="B479" s="128"/>
      <c r="C479" s="128" t="str">
        <f>IF(C480="","",IF(ISNUMBER(LOOKUP("Â",Code128(C480),1)),"Error!",Code128(C480)))</f>
        <v/>
      </c>
      <c r="D479" s="128"/>
    </row>
    <row r="480" spans="1:4" x14ac:dyDescent="0.3">
      <c r="A480" s="105" t="str">
        <f>IF(DB!A481=0,"",DB!A481)</f>
        <v/>
      </c>
      <c r="B480" s="106" t="str">
        <f>IF(DB!A481=0,"",CONCATENATE("  ",DB!B481))</f>
        <v/>
      </c>
      <c r="C480" s="105" t="str">
        <f>IF(DB!A482=0,"",DB!A482)</f>
        <v/>
      </c>
      <c r="D480" s="106" t="str">
        <f>IF(DB!A481=0,"",CONCATENATE("  ",DB!B482))</f>
        <v/>
      </c>
    </row>
    <row r="481" spans="1:4" ht="52.8" x14ac:dyDescent="0.3">
      <c r="A481" s="128" t="str">
        <f>IF(A482="","",IF(ISNUMBER(LOOKUP("Â",Code128(A482),1)),"Error!",Code128(A482)))</f>
        <v/>
      </c>
      <c r="B481" s="128"/>
      <c r="C481" s="128" t="str">
        <f>IF(C482="","",IF(ISNUMBER(LOOKUP("Â",Code128(C482),1)),"Error!",Code128(C482)))</f>
        <v/>
      </c>
      <c r="D481" s="128"/>
    </row>
    <row r="482" spans="1:4" x14ac:dyDescent="0.3">
      <c r="A482" s="105" t="str">
        <f>IF(DB!A483=0,"",DB!A483)</f>
        <v/>
      </c>
      <c r="B482" s="106" t="str">
        <f>IF(DB!A483=0,"",CONCATENATE("  ",DB!B483))</f>
        <v/>
      </c>
      <c r="C482" s="105" t="str">
        <f>IF(DB!A484=0,"",DB!A484)</f>
        <v/>
      </c>
      <c r="D482" s="106" t="str">
        <f>IF(DB!A483=0,"",CONCATENATE("  ",DB!B484))</f>
        <v/>
      </c>
    </row>
    <row r="483" spans="1:4" ht="52.8" x14ac:dyDescent="0.3">
      <c r="A483" s="128" t="str">
        <f>IF(A484="","",IF(ISNUMBER(LOOKUP("Â",Code128(A484),1)),"Error!",Code128(A484)))</f>
        <v/>
      </c>
      <c r="B483" s="128"/>
      <c r="C483" s="128" t="str">
        <f>IF(C484="","",IF(ISNUMBER(LOOKUP("Â",Code128(C484),1)),"Error!",Code128(C484)))</f>
        <v/>
      </c>
      <c r="D483" s="128"/>
    </row>
    <row r="484" spans="1:4" x14ac:dyDescent="0.3">
      <c r="A484" s="105" t="str">
        <f>IF(DB!A485=0,"",DB!A485)</f>
        <v/>
      </c>
      <c r="B484" s="106" t="str">
        <f>IF(DB!A485=0,"",CONCATENATE("  ",DB!B485))</f>
        <v/>
      </c>
      <c r="C484" s="105" t="str">
        <f>IF(DB!A486=0,"",DB!A486)</f>
        <v/>
      </c>
      <c r="D484" s="106" t="str">
        <f>IF(DB!A485=0,"",CONCATENATE("  ",DB!B486))</f>
        <v/>
      </c>
    </row>
    <row r="485" spans="1:4" ht="52.8" x14ac:dyDescent="0.3">
      <c r="A485" s="128" t="str">
        <f>IF(A486="","",IF(ISNUMBER(LOOKUP("Â",Code128(A486),1)),"Error!",Code128(A486)))</f>
        <v/>
      </c>
      <c r="B485" s="128"/>
      <c r="C485" s="128" t="str">
        <f>IF(C486="","",IF(ISNUMBER(LOOKUP("Â",Code128(C486),1)),"Error!",Code128(C486)))</f>
        <v/>
      </c>
      <c r="D485" s="128"/>
    </row>
    <row r="486" spans="1:4" x14ac:dyDescent="0.3">
      <c r="A486" s="105" t="str">
        <f>IF(DB!A487=0,"",DB!A487)</f>
        <v/>
      </c>
      <c r="B486" s="106" t="str">
        <f>IF(DB!A487=0,"",CONCATENATE("  ",DB!B487))</f>
        <v/>
      </c>
      <c r="C486" s="105" t="str">
        <f>IF(DB!A488=0,"",DB!A488)</f>
        <v/>
      </c>
      <c r="D486" s="106" t="str">
        <f>IF(DB!A487=0,"",CONCATENATE("  ",DB!B488))</f>
        <v/>
      </c>
    </row>
    <row r="487" spans="1:4" ht="52.8" x14ac:dyDescent="0.3">
      <c r="A487" s="128" t="str">
        <f>IF(A488="","",IF(ISNUMBER(LOOKUP("Â",Code128(A488),1)),"Error!",Code128(A488)))</f>
        <v/>
      </c>
      <c r="B487" s="128"/>
      <c r="C487" s="128" t="str">
        <f>IF(C488="","",IF(ISNUMBER(LOOKUP("Â",Code128(C488),1)),"Error!",Code128(C488)))</f>
        <v/>
      </c>
      <c r="D487" s="128"/>
    </row>
    <row r="488" spans="1:4" x14ac:dyDescent="0.3">
      <c r="A488" s="105" t="str">
        <f>IF(DB!A489=0,"",DB!A489)</f>
        <v/>
      </c>
      <c r="B488" s="106" t="str">
        <f>IF(DB!A489=0,"",CONCATENATE("  ",DB!B489))</f>
        <v/>
      </c>
      <c r="C488" s="105" t="str">
        <f>IF(DB!A490=0,"",DB!A490)</f>
        <v/>
      </c>
      <c r="D488" s="106" t="str">
        <f>IF(DB!A489=0,"",CONCATENATE("  ",DB!B490))</f>
        <v/>
      </c>
    </row>
    <row r="489" spans="1:4" ht="52.8" x14ac:dyDescent="0.3">
      <c r="A489" s="128" t="str">
        <f>IF(A490="","",IF(ISNUMBER(LOOKUP("Â",Code128(A490),1)),"Error!",Code128(A490)))</f>
        <v/>
      </c>
      <c r="B489" s="128"/>
      <c r="C489" s="128" t="str">
        <f>IF(C490="","",IF(ISNUMBER(LOOKUP("Â",Code128(C490),1)),"Error!",Code128(C490)))</f>
        <v/>
      </c>
      <c r="D489" s="128"/>
    </row>
    <row r="490" spans="1:4" x14ac:dyDescent="0.3">
      <c r="A490" s="105" t="str">
        <f>IF(DB!A491=0,"",DB!A491)</f>
        <v/>
      </c>
      <c r="B490" s="106" t="str">
        <f>IF(DB!A491=0,"",CONCATENATE("  ",DB!B491))</f>
        <v/>
      </c>
      <c r="C490" s="105" t="str">
        <f>IF(DB!A492=0,"",DB!A492)</f>
        <v/>
      </c>
      <c r="D490" s="106" t="str">
        <f>IF(DB!A491=0,"",CONCATENATE("  ",DB!B492))</f>
        <v/>
      </c>
    </row>
    <row r="491" spans="1:4" ht="52.8" x14ac:dyDescent="0.3">
      <c r="A491" s="128" t="str">
        <f>IF(A492="","",IF(ISNUMBER(LOOKUP("Â",Code128(A492),1)),"Error!",Code128(A492)))</f>
        <v/>
      </c>
      <c r="B491" s="128"/>
      <c r="C491" s="128" t="str">
        <f>IF(C492="","",IF(ISNUMBER(LOOKUP("Â",Code128(C492),1)),"Error!",Code128(C492)))</f>
        <v/>
      </c>
      <c r="D491" s="128"/>
    </row>
    <row r="492" spans="1:4" x14ac:dyDescent="0.3">
      <c r="A492" s="105" t="str">
        <f>IF(DB!A493=0,"",DB!A493)</f>
        <v/>
      </c>
      <c r="B492" s="106" t="str">
        <f>IF(DB!A493=0,"",CONCATENATE("  ",DB!B493))</f>
        <v/>
      </c>
      <c r="C492" s="105" t="str">
        <f>IF(DB!A494=0,"",DB!A494)</f>
        <v/>
      </c>
      <c r="D492" s="106" t="str">
        <f>IF(DB!A493=0,"",CONCATENATE("  ",DB!B494))</f>
        <v/>
      </c>
    </row>
    <row r="493" spans="1:4" ht="52.8" x14ac:dyDescent="0.3">
      <c r="A493" s="128" t="str">
        <f>IF(A494="","",IF(ISNUMBER(LOOKUP("Â",Code128(A494),1)),"Error!",Code128(A494)))</f>
        <v/>
      </c>
      <c r="B493" s="128"/>
      <c r="C493" s="128" t="str">
        <f>IF(C494="","",IF(ISNUMBER(LOOKUP("Â",Code128(C494),1)),"Error!",Code128(C494)))</f>
        <v/>
      </c>
      <c r="D493" s="128"/>
    </row>
    <row r="494" spans="1:4" x14ac:dyDescent="0.3">
      <c r="A494" s="105" t="str">
        <f>IF(DB!A495=0,"",DB!A495)</f>
        <v/>
      </c>
      <c r="B494" s="106" t="str">
        <f>IF(DB!A495=0,"",CONCATENATE("  ",DB!B495))</f>
        <v/>
      </c>
      <c r="C494" s="105" t="str">
        <f>IF(DB!A496=0,"",DB!A496)</f>
        <v/>
      </c>
      <c r="D494" s="106" t="str">
        <f>IF(DB!A495=0,"",CONCATENATE("  ",DB!B496))</f>
        <v/>
      </c>
    </row>
    <row r="495" spans="1:4" ht="52.8" x14ac:dyDescent="0.3">
      <c r="A495" s="128" t="str">
        <f>IF(A496="","",IF(ISNUMBER(LOOKUP("Â",Code128(A496),1)),"Error!",Code128(A496)))</f>
        <v/>
      </c>
      <c r="B495" s="128"/>
      <c r="C495" s="128" t="str">
        <f>IF(C496="","",IF(ISNUMBER(LOOKUP("Â",Code128(C496),1)),"Error!",Code128(C496)))</f>
        <v/>
      </c>
      <c r="D495" s="128"/>
    </row>
    <row r="496" spans="1:4" x14ac:dyDescent="0.3">
      <c r="A496" s="105" t="str">
        <f>IF(DB!A497=0,"",DB!A497)</f>
        <v/>
      </c>
      <c r="B496" s="106" t="str">
        <f>IF(DB!A497=0,"",CONCATENATE("  ",DB!B497))</f>
        <v/>
      </c>
      <c r="C496" s="105" t="str">
        <f>IF(DB!A498=0,"",DB!A498)</f>
        <v/>
      </c>
      <c r="D496" s="106" t="str">
        <f>IF(DB!A497=0,"",CONCATENATE("  ",DB!B498))</f>
        <v/>
      </c>
    </row>
    <row r="497" spans="1:4" ht="52.8" x14ac:dyDescent="0.3">
      <c r="A497" s="128" t="str">
        <f>IF(A498="","",IF(ISNUMBER(LOOKUP("Â",Code128(A498),1)),"Error!",Code128(A498)))</f>
        <v/>
      </c>
      <c r="B497" s="128"/>
      <c r="C497" s="128" t="str">
        <f>IF(C498="","",IF(ISNUMBER(LOOKUP("Â",Code128(C498),1)),"Error!",Code128(C498)))</f>
        <v/>
      </c>
      <c r="D497" s="128"/>
    </row>
    <row r="498" spans="1:4" x14ac:dyDescent="0.3">
      <c r="A498" s="105" t="str">
        <f>IF(DB!A499=0,"",DB!A499)</f>
        <v/>
      </c>
      <c r="B498" s="106" t="str">
        <f>IF(DB!A499=0,"",CONCATENATE("  ",DB!B499))</f>
        <v/>
      </c>
      <c r="C498" s="105" t="str">
        <f>IF(DB!A500=0,"",DB!A500)</f>
        <v/>
      </c>
      <c r="D498" s="106" t="str">
        <f>IF(DB!A499=0,"",CONCATENATE("  ",DB!B500))</f>
        <v/>
      </c>
    </row>
    <row r="499" spans="1:4" ht="52.8" x14ac:dyDescent="0.3">
      <c r="A499" s="107"/>
      <c r="B499" s="107"/>
      <c r="C499" s="107"/>
      <c r="D499" s="107"/>
    </row>
    <row r="500" spans="1:4" hidden="1" x14ac:dyDescent="0.3">
      <c r="A500" s="105" t="str">
        <f>IF(DB!D501=0,"",DB!D501)</f>
        <v/>
      </c>
      <c r="B500" s="106" t="str">
        <f>IF(DB!D501=0,"",CONCATENATE("  ",DB!E501))</f>
        <v/>
      </c>
      <c r="C500" s="105" t="str">
        <f>IF(DB!D502=0,"",DB!D502)</f>
        <v/>
      </c>
      <c r="D500" s="106" t="str">
        <f>IF(DB!D501=0,"",CONCATENATE("  ",DB!E502))</f>
        <v/>
      </c>
    </row>
    <row r="501" spans="1:4" hidden="1" x14ac:dyDescent="0.3"/>
    <row r="502" spans="1:4" hidden="1" x14ac:dyDescent="0.3"/>
    <row r="503" spans="1:4" hidden="1" x14ac:dyDescent="0.3"/>
    <row r="504" spans="1:4" hidden="1" x14ac:dyDescent="0.3"/>
    <row r="505" spans="1:4" hidden="1" x14ac:dyDescent="0.3"/>
    <row r="506" spans="1:4" hidden="1" x14ac:dyDescent="0.3"/>
    <row r="507" spans="1:4" hidden="1" x14ac:dyDescent="0.3"/>
    <row r="508" spans="1:4" hidden="1" x14ac:dyDescent="0.3"/>
    <row r="509" spans="1:4" hidden="1" x14ac:dyDescent="0.3"/>
    <row r="510" spans="1:4" hidden="1" x14ac:dyDescent="0.3"/>
    <row r="511" spans="1:4" hidden="1" x14ac:dyDescent="0.3"/>
    <row r="512" spans="1:4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  <row r="5003" hidden="1" x14ac:dyDescent="0.3"/>
    <row r="5004" hidden="1" x14ac:dyDescent="0.3"/>
    <row r="5005" hidden="1" x14ac:dyDescent="0.3"/>
    <row r="5006" hidden="1" x14ac:dyDescent="0.3"/>
    <row r="5007" hidden="1" x14ac:dyDescent="0.3"/>
    <row r="5008" hidden="1" x14ac:dyDescent="0.3"/>
    <row r="5009" hidden="1" x14ac:dyDescent="0.3"/>
    <row r="5010" hidden="1" x14ac:dyDescent="0.3"/>
    <row r="5011" hidden="1" x14ac:dyDescent="0.3"/>
    <row r="5012" hidden="1" x14ac:dyDescent="0.3"/>
    <row r="5013" hidden="1" x14ac:dyDescent="0.3"/>
    <row r="5014" hidden="1" x14ac:dyDescent="0.3"/>
    <row r="5015" hidden="1" x14ac:dyDescent="0.3"/>
    <row r="5016" hidden="1" x14ac:dyDescent="0.3"/>
    <row r="5017" hidden="1" x14ac:dyDescent="0.3"/>
    <row r="5018" hidden="1" x14ac:dyDescent="0.3"/>
    <row r="5019" hidden="1" x14ac:dyDescent="0.3"/>
    <row r="5020" hidden="1" x14ac:dyDescent="0.3"/>
    <row r="5021" hidden="1" x14ac:dyDescent="0.3"/>
    <row r="5022" hidden="1" x14ac:dyDescent="0.3"/>
    <row r="5023" hidden="1" x14ac:dyDescent="0.3"/>
    <row r="5024" hidden="1" x14ac:dyDescent="0.3"/>
    <row r="5025" hidden="1" x14ac:dyDescent="0.3"/>
    <row r="5026" hidden="1" x14ac:dyDescent="0.3"/>
    <row r="5027" hidden="1" x14ac:dyDescent="0.3"/>
    <row r="5028" hidden="1" x14ac:dyDescent="0.3"/>
    <row r="5029" hidden="1" x14ac:dyDescent="0.3"/>
    <row r="5030" hidden="1" x14ac:dyDescent="0.3"/>
    <row r="5031" hidden="1" x14ac:dyDescent="0.3"/>
    <row r="5032" hidden="1" x14ac:dyDescent="0.3"/>
    <row r="5033" hidden="1" x14ac:dyDescent="0.3"/>
    <row r="5034" hidden="1" x14ac:dyDescent="0.3"/>
    <row r="5035" hidden="1" x14ac:dyDescent="0.3"/>
    <row r="5036" hidden="1" x14ac:dyDescent="0.3"/>
    <row r="5037" hidden="1" x14ac:dyDescent="0.3"/>
    <row r="5038" hidden="1" x14ac:dyDescent="0.3"/>
    <row r="5039" hidden="1" x14ac:dyDescent="0.3"/>
    <row r="5040" hidden="1" x14ac:dyDescent="0.3"/>
    <row r="5041" hidden="1" x14ac:dyDescent="0.3"/>
    <row r="5042" hidden="1" x14ac:dyDescent="0.3"/>
    <row r="5043" hidden="1" x14ac:dyDescent="0.3"/>
    <row r="5044" hidden="1" x14ac:dyDescent="0.3"/>
    <row r="5045" hidden="1" x14ac:dyDescent="0.3"/>
    <row r="5046" hidden="1" x14ac:dyDescent="0.3"/>
    <row r="5047" hidden="1" x14ac:dyDescent="0.3"/>
    <row r="5048" hidden="1" x14ac:dyDescent="0.3"/>
    <row r="5049" hidden="1" x14ac:dyDescent="0.3"/>
    <row r="5050" hidden="1" x14ac:dyDescent="0.3"/>
    <row r="5051" hidden="1" x14ac:dyDescent="0.3"/>
    <row r="5052" hidden="1" x14ac:dyDescent="0.3"/>
    <row r="5053" hidden="1" x14ac:dyDescent="0.3"/>
    <row r="5054" hidden="1" x14ac:dyDescent="0.3"/>
    <row r="5055" hidden="1" x14ac:dyDescent="0.3"/>
    <row r="5056" hidden="1" x14ac:dyDescent="0.3"/>
    <row r="5057" hidden="1" x14ac:dyDescent="0.3"/>
    <row r="5058" hidden="1" x14ac:dyDescent="0.3"/>
    <row r="5059" hidden="1" x14ac:dyDescent="0.3"/>
    <row r="5060" hidden="1" x14ac:dyDescent="0.3"/>
    <row r="5061" hidden="1" x14ac:dyDescent="0.3"/>
    <row r="5062" hidden="1" x14ac:dyDescent="0.3"/>
    <row r="5063" hidden="1" x14ac:dyDescent="0.3"/>
    <row r="5064" hidden="1" x14ac:dyDescent="0.3"/>
    <row r="5065" hidden="1" x14ac:dyDescent="0.3"/>
    <row r="5066" hidden="1" x14ac:dyDescent="0.3"/>
    <row r="5067" hidden="1" x14ac:dyDescent="0.3"/>
    <row r="5068" hidden="1" x14ac:dyDescent="0.3"/>
    <row r="5069" hidden="1" x14ac:dyDescent="0.3"/>
    <row r="5070" hidden="1" x14ac:dyDescent="0.3"/>
    <row r="5071" hidden="1" x14ac:dyDescent="0.3"/>
    <row r="5072" hidden="1" x14ac:dyDescent="0.3"/>
    <row r="5073" hidden="1" x14ac:dyDescent="0.3"/>
    <row r="5074" hidden="1" x14ac:dyDescent="0.3"/>
    <row r="5075" hidden="1" x14ac:dyDescent="0.3"/>
    <row r="5076" hidden="1" x14ac:dyDescent="0.3"/>
    <row r="5077" hidden="1" x14ac:dyDescent="0.3"/>
    <row r="5078" hidden="1" x14ac:dyDescent="0.3"/>
    <row r="5079" hidden="1" x14ac:dyDescent="0.3"/>
    <row r="5080" hidden="1" x14ac:dyDescent="0.3"/>
    <row r="5081" hidden="1" x14ac:dyDescent="0.3"/>
    <row r="5082" hidden="1" x14ac:dyDescent="0.3"/>
    <row r="5083" hidden="1" x14ac:dyDescent="0.3"/>
    <row r="5084" hidden="1" x14ac:dyDescent="0.3"/>
    <row r="5085" hidden="1" x14ac:dyDescent="0.3"/>
    <row r="5086" hidden="1" x14ac:dyDescent="0.3"/>
    <row r="5087" hidden="1" x14ac:dyDescent="0.3"/>
    <row r="5088" hidden="1" x14ac:dyDescent="0.3"/>
    <row r="5089" hidden="1" x14ac:dyDescent="0.3"/>
    <row r="5090" hidden="1" x14ac:dyDescent="0.3"/>
    <row r="5091" hidden="1" x14ac:dyDescent="0.3"/>
    <row r="5092" hidden="1" x14ac:dyDescent="0.3"/>
    <row r="5093" hidden="1" x14ac:dyDescent="0.3"/>
    <row r="5094" hidden="1" x14ac:dyDescent="0.3"/>
    <row r="5095" hidden="1" x14ac:dyDescent="0.3"/>
    <row r="5096" hidden="1" x14ac:dyDescent="0.3"/>
    <row r="5097" hidden="1" x14ac:dyDescent="0.3"/>
    <row r="5098" hidden="1" x14ac:dyDescent="0.3"/>
    <row r="5099" hidden="1" x14ac:dyDescent="0.3"/>
    <row r="5100" hidden="1" x14ac:dyDescent="0.3"/>
    <row r="5101" hidden="1" x14ac:dyDescent="0.3"/>
    <row r="5102" hidden="1" x14ac:dyDescent="0.3"/>
    <row r="5103" hidden="1" x14ac:dyDescent="0.3"/>
    <row r="5104" hidden="1" x14ac:dyDescent="0.3"/>
    <row r="5105" hidden="1" x14ac:dyDescent="0.3"/>
    <row r="5106" hidden="1" x14ac:dyDescent="0.3"/>
    <row r="5107" hidden="1" x14ac:dyDescent="0.3"/>
    <row r="5108" hidden="1" x14ac:dyDescent="0.3"/>
    <row r="5109" hidden="1" x14ac:dyDescent="0.3"/>
    <row r="5110" hidden="1" x14ac:dyDescent="0.3"/>
    <row r="5111" hidden="1" x14ac:dyDescent="0.3"/>
    <row r="5112" hidden="1" x14ac:dyDescent="0.3"/>
    <row r="5113" hidden="1" x14ac:dyDescent="0.3"/>
    <row r="5114" hidden="1" x14ac:dyDescent="0.3"/>
    <row r="5115" hidden="1" x14ac:dyDescent="0.3"/>
    <row r="5116" hidden="1" x14ac:dyDescent="0.3"/>
    <row r="5117" hidden="1" x14ac:dyDescent="0.3"/>
    <row r="5118" hidden="1" x14ac:dyDescent="0.3"/>
    <row r="5119" hidden="1" x14ac:dyDescent="0.3"/>
    <row r="5120" hidden="1" x14ac:dyDescent="0.3"/>
    <row r="5121" hidden="1" x14ac:dyDescent="0.3"/>
    <row r="5122" hidden="1" x14ac:dyDescent="0.3"/>
    <row r="5123" hidden="1" x14ac:dyDescent="0.3"/>
    <row r="5124" hidden="1" x14ac:dyDescent="0.3"/>
    <row r="5125" hidden="1" x14ac:dyDescent="0.3"/>
    <row r="5126" hidden="1" x14ac:dyDescent="0.3"/>
    <row r="5127" hidden="1" x14ac:dyDescent="0.3"/>
    <row r="5128" hidden="1" x14ac:dyDescent="0.3"/>
    <row r="5129" hidden="1" x14ac:dyDescent="0.3"/>
    <row r="5130" hidden="1" x14ac:dyDescent="0.3"/>
    <row r="5131" hidden="1" x14ac:dyDescent="0.3"/>
    <row r="5132" hidden="1" x14ac:dyDescent="0.3"/>
    <row r="5133" hidden="1" x14ac:dyDescent="0.3"/>
    <row r="5134" hidden="1" x14ac:dyDescent="0.3"/>
    <row r="5135" hidden="1" x14ac:dyDescent="0.3"/>
    <row r="5136" hidden="1" x14ac:dyDescent="0.3"/>
    <row r="5137" hidden="1" x14ac:dyDescent="0.3"/>
    <row r="5138" hidden="1" x14ac:dyDescent="0.3"/>
    <row r="5139" hidden="1" x14ac:dyDescent="0.3"/>
    <row r="5140" hidden="1" x14ac:dyDescent="0.3"/>
    <row r="5141" hidden="1" x14ac:dyDescent="0.3"/>
    <row r="5142" hidden="1" x14ac:dyDescent="0.3"/>
    <row r="5143" hidden="1" x14ac:dyDescent="0.3"/>
    <row r="5144" hidden="1" x14ac:dyDescent="0.3"/>
    <row r="5145" hidden="1" x14ac:dyDescent="0.3"/>
    <row r="5146" hidden="1" x14ac:dyDescent="0.3"/>
    <row r="5147" hidden="1" x14ac:dyDescent="0.3"/>
    <row r="5148" hidden="1" x14ac:dyDescent="0.3"/>
    <row r="5149" hidden="1" x14ac:dyDescent="0.3"/>
    <row r="5150" hidden="1" x14ac:dyDescent="0.3"/>
    <row r="5151" hidden="1" x14ac:dyDescent="0.3"/>
    <row r="5152" hidden="1" x14ac:dyDescent="0.3"/>
    <row r="5153" hidden="1" x14ac:dyDescent="0.3"/>
    <row r="5154" hidden="1" x14ac:dyDescent="0.3"/>
    <row r="5155" hidden="1" x14ac:dyDescent="0.3"/>
    <row r="5156" hidden="1" x14ac:dyDescent="0.3"/>
    <row r="5157" hidden="1" x14ac:dyDescent="0.3"/>
    <row r="5158" hidden="1" x14ac:dyDescent="0.3"/>
    <row r="5159" hidden="1" x14ac:dyDescent="0.3"/>
    <row r="5160" hidden="1" x14ac:dyDescent="0.3"/>
    <row r="5161" hidden="1" x14ac:dyDescent="0.3"/>
    <row r="5162" hidden="1" x14ac:dyDescent="0.3"/>
    <row r="5163" hidden="1" x14ac:dyDescent="0.3"/>
    <row r="5164" hidden="1" x14ac:dyDescent="0.3"/>
    <row r="5165" hidden="1" x14ac:dyDescent="0.3"/>
    <row r="5166" hidden="1" x14ac:dyDescent="0.3"/>
    <row r="5167" hidden="1" x14ac:dyDescent="0.3"/>
    <row r="5168" hidden="1" x14ac:dyDescent="0.3"/>
    <row r="5169" hidden="1" x14ac:dyDescent="0.3"/>
    <row r="5170" hidden="1" x14ac:dyDescent="0.3"/>
    <row r="5171" hidden="1" x14ac:dyDescent="0.3"/>
    <row r="5172" hidden="1" x14ac:dyDescent="0.3"/>
    <row r="5173" hidden="1" x14ac:dyDescent="0.3"/>
    <row r="5174" hidden="1" x14ac:dyDescent="0.3"/>
    <row r="5175" hidden="1" x14ac:dyDescent="0.3"/>
    <row r="5176" hidden="1" x14ac:dyDescent="0.3"/>
    <row r="5177" hidden="1" x14ac:dyDescent="0.3"/>
    <row r="5178" hidden="1" x14ac:dyDescent="0.3"/>
    <row r="5179" hidden="1" x14ac:dyDescent="0.3"/>
    <row r="5180" hidden="1" x14ac:dyDescent="0.3"/>
    <row r="5181" hidden="1" x14ac:dyDescent="0.3"/>
    <row r="5182" hidden="1" x14ac:dyDescent="0.3"/>
    <row r="5183" hidden="1" x14ac:dyDescent="0.3"/>
    <row r="5184" hidden="1" x14ac:dyDescent="0.3"/>
    <row r="5185" hidden="1" x14ac:dyDescent="0.3"/>
    <row r="5186" hidden="1" x14ac:dyDescent="0.3"/>
    <row r="5187" hidden="1" x14ac:dyDescent="0.3"/>
    <row r="5188" hidden="1" x14ac:dyDescent="0.3"/>
    <row r="5189" hidden="1" x14ac:dyDescent="0.3"/>
    <row r="5190" hidden="1" x14ac:dyDescent="0.3"/>
    <row r="5191" hidden="1" x14ac:dyDescent="0.3"/>
    <row r="5192" hidden="1" x14ac:dyDescent="0.3"/>
    <row r="5193" hidden="1" x14ac:dyDescent="0.3"/>
    <row r="5194" hidden="1" x14ac:dyDescent="0.3"/>
    <row r="5195" hidden="1" x14ac:dyDescent="0.3"/>
    <row r="5196" hidden="1" x14ac:dyDescent="0.3"/>
    <row r="5197" hidden="1" x14ac:dyDescent="0.3"/>
    <row r="5198" hidden="1" x14ac:dyDescent="0.3"/>
    <row r="5199" hidden="1" x14ac:dyDescent="0.3"/>
    <row r="5200" hidden="1" x14ac:dyDescent="0.3"/>
    <row r="5201" hidden="1" x14ac:dyDescent="0.3"/>
    <row r="5202" hidden="1" x14ac:dyDescent="0.3"/>
    <row r="5203" hidden="1" x14ac:dyDescent="0.3"/>
    <row r="5204" hidden="1" x14ac:dyDescent="0.3"/>
    <row r="5205" hidden="1" x14ac:dyDescent="0.3"/>
    <row r="5206" hidden="1" x14ac:dyDescent="0.3"/>
    <row r="5207" hidden="1" x14ac:dyDescent="0.3"/>
    <row r="5208" hidden="1" x14ac:dyDescent="0.3"/>
    <row r="5209" hidden="1" x14ac:dyDescent="0.3"/>
    <row r="5210" hidden="1" x14ac:dyDescent="0.3"/>
    <row r="5211" hidden="1" x14ac:dyDescent="0.3"/>
    <row r="5212" hidden="1" x14ac:dyDescent="0.3"/>
    <row r="5213" hidden="1" x14ac:dyDescent="0.3"/>
    <row r="5214" hidden="1" x14ac:dyDescent="0.3"/>
    <row r="5215" hidden="1" x14ac:dyDescent="0.3"/>
    <row r="5216" hidden="1" x14ac:dyDescent="0.3"/>
    <row r="5217" hidden="1" x14ac:dyDescent="0.3"/>
    <row r="5218" hidden="1" x14ac:dyDescent="0.3"/>
    <row r="5219" hidden="1" x14ac:dyDescent="0.3"/>
    <row r="5220" hidden="1" x14ac:dyDescent="0.3"/>
    <row r="5221" hidden="1" x14ac:dyDescent="0.3"/>
    <row r="5222" hidden="1" x14ac:dyDescent="0.3"/>
    <row r="5223" hidden="1" x14ac:dyDescent="0.3"/>
    <row r="5224" hidden="1" x14ac:dyDescent="0.3"/>
    <row r="5225" hidden="1" x14ac:dyDescent="0.3"/>
    <row r="5226" hidden="1" x14ac:dyDescent="0.3"/>
    <row r="5227" hidden="1" x14ac:dyDescent="0.3"/>
    <row r="5228" hidden="1" x14ac:dyDescent="0.3"/>
    <row r="5229" hidden="1" x14ac:dyDescent="0.3"/>
    <row r="5230" hidden="1" x14ac:dyDescent="0.3"/>
    <row r="5231" hidden="1" x14ac:dyDescent="0.3"/>
    <row r="5232" hidden="1" x14ac:dyDescent="0.3"/>
    <row r="5233" hidden="1" x14ac:dyDescent="0.3"/>
    <row r="5234" hidden="1" x14ac:dyDescent="0.3"/>
    <row r="5235" hidden="1" x14ac:dyDescent="0.3"/>
    <row r="5236" hidden="1" x14ac:dyDescent="0.3"/>
    <row r="5237" hidden="1" x14ac:dyDescent="0.3"/>
    <row r="5238" hidden="1" x14ac:dyDescent="0.3"/>
    <row r="5239" hidden="1" x14ac:dyDescent="0.3"/>
    <row r="5240" hidden="1" x14ac:dyDescent="0.3"/>
    <row r="5241" hidden="1" x14ac:dyDescent="0.3"/>
    <row r="5242" hidden="1" x14ac:dyDescent="0.3"/>
    <row r="5243" hidden="1" x14ac:dyDescent="0.3"/>
    <row r="5244" hidden="1" x14ac:dyDescent="0.3"/>
    <row r="5245" hidden="1" x14ac:dyDescent="0.3"/>
    <row r="5246" hidden="1" x14ac:dyDescent="0.3"/>
    <row r="5247" hidden="1" x14ac:dyDescent="0.3"/>
    <row r="5248" hidden="1" x14ac:dyDescent="0.3"/>
    <row r="5249" hidden="1" x14ac:dyDescent="0.3"/>
    <row r="5250" hidden="1" x14ac:dyDescent="0.3"/>
    <row r="5251" hidden="1" x14ac:dyDescent="0.3"/>
    <row r="5252" hidden="1" x14ac:dyDescent="0.3"/>
    <row r="5253" hidden="1" x14ac:dyDescent="0.3"/>
    <row r="5254" hidden="1" x14ac:dyDescent="0.3"/>
    <row r="5255" hidden="1" x14ac:dyDescent="0.3"/>
    <row r="5256" hidden="1" x14ac:dyDescent="0.3"/>
    <row r="5257" hidden="1" x14ac:dyDescent="0.3"/>
    <row r="5258" hidden="1" x14ac:dyDescent="0.3"/>
    <row r="5259" hidden="1" x14ac:dyDescent="0.3"/>
    <row r="5260" hidden="1" x14ac:dyDescent="0.3"/>
    <row r="5261" hidden="1" x14ac:dyDescent="0.3"/>
    <row r="5262" hidden="1" x14ac:dyDescent="0.3"/>
    <row r="5263" hidden="1" x14ac:dyDescent="0.3"/>
    <row r="5264" hidden="1" x14ac:dyDescent="0.3"/>
    <row r="5265" hidden="1" x14ac:dyDescent="0.3"/>
    <row r="5266" hidden="1" x14ac:dyDescent="0.3"/>
    <row r="5267" hidden="1" x14ac:dyDescent="0.3"/>
    <row r="5268" hidden="1" x14ac:dyDescent="0.3"/>
    <row r="5269" hidden="1" x14ac:dyDescent="0.3"/>
    <row r="5270" hidden="1" x14ac:dyDescent="0.3"/>
    <row r="5271" hidden="1" x14ac:dyDescent="0.3"/>
    <row r="5272" hidden="1" x14ac:dyDescent="0.3"/>
    <row r="5273" hidden="1" x14ac:dyDescent="0.3"/>
    <row r="5274" hidden="1" x14ac:dyDescent="0.3"/>
    <row r="5275" hidden="1" x14ac:dyDescent="0.3"/>
    <row r="5276" hidden="1" x14ac:dyDescent="0.3"/>
    <row r="5277" hidden="1" x14ac:dyDescent="0.3"/>
    <row r="5278" hidden="1" x14ac:dyDescent="0.3"/>
    <row r="5279" hidden="1" x14ac:dyDescent="0.3"/>
    <row r="5280" hidden="1" x14ac:dyDescent="0.3"/>
    <row r="5281" hidden="1" x14ac:dyDescent="0.3"/>
    <row r="5282" hidden="1" x14ac:dyDescent="0.3"/>
    <row r="5283" hidden="1" x14ac:dyDescent="0.3"/>
    <row r="5284" hidden="1" x14ac:dyDescent="0.3"/>
    <row r="5285" hidden="1" x14ac:dyDescent="0.3"/>
    <row r="5286" hidden="1" x14ac:dyDescent="0.3"/>
    <row r="5287" hidden="1" x14ac:dyDescent="0.3"/>
    <row r="5288" hidden="1" x14ac:dyDescent="0.3"/>
    <row r="5289" hidden="1" x14ac:dyDescent="0.3"/>
    <row r="5290" hidden="1" x14ac:dyDescent="0.3"/>
    <row r="5291" hidden="1" x14ac:dyDescent="0.3"/>
    <row r="5292" hidden="1" x14ac:dyDescent="0.3"/>
    <row r="5293" hidden="1" x14ac:dyDescent="0.3"/>
    <row r="5294" hidden="1" x14ac:dyDescent="0.3"/>
    <row r="5295" hidden="1" x14ac:dyDescent="0.3"/>
    <row r="5296" hidden="1" x14ac:dyDescent="0.3"/>
    <row r="5297" hidden="1" x14ac:dyDescent="0.3"/>
    <row r="5298" hidden="1" x14ac:dyDescent="0.3"/>
    <row r="5299" hidden="1" x14ac:dyDescent="0.3"/>
    <row r="5300" hidden="1" x14ac:dyDescent="0.3"/>
    <row r="5301" hidden="1" x14ac:dyDescent="0.3"/>
    <row r="5302" hidden="1" x14ac:dyDescent="0.3"/>
    <row r="5303" hidden="1" x14ac:dyDescent="0.3"/>
    <row r="5304" hidden="1" x14ac:dyDescent="0.3"/>
    <row r="5305" hidden="1" x14ac:dyDescent="0.3"/>
    <row r="5306" hidden="1" x14ac:dyDescent="0.3"/>
    <row r="5307" hidden="1" x14ac:dyDescent="0.3"/>
    <row r="5308" hidden="1" x14ac:dyDescent="0.3"/>
    <row r="5309" hidden="1" x14ac:dyDescent="0.3"/>
    <row r="5310" hidden="1" x14ac:dyDescent="0.3"/>
    <row r="5311" hidden="1" x14ac:dyDescent="0.3"/>
    <row r="5312" hidden="1" x14ac:dyDescent="0.3"/>
    <row r="5313" hidden="1" x14ac:dyDescent="0.3"/>
    <row r="5314" hidden="1" x14ac:dyDescent="0.3"/>
    <row r="5315" hidden="1" x14ac:dyDescent="0.3"/>
    <row r="5316" hidden="1" x14ac:dyDescent="0.3"/>
    <row r="5317" hidden="1" x14ac:dyDescent="0.3"/>
    <row r="5318" hidden="1" x14ac:dyDescent="0.3"/>
    <row r="5319" hidden="1" x14ac:dyDescent="0.3"/>
    <row r="5320" hidden="1" x14ac:dyDescent="0.3"/>
    <row r="5321" hidden="1" x14ac:dyDescent="0.3"/>
    <row r="5322" hidden="1" x14ac:dyDescent="0.3"/>
    <row r="5323" hidden="1" x14ac:dyDescent="0.3"/>
    <row r="5324" hidden="1" x14ac:dyDescent="0.3"/>
    <row r="5325" hidden="1" x14ac:dyDescent="0.3"/>
    <row r="5326" hidden="1" x14ac:dyDescent="0.3"/>
    <row r="5327" hidden="1" x14ac:dyDescent="0.3"/>
    <row r="5328" hidden="1" x14ac:dyDescent="0.3"/>
    <row r="5329" hidden="1" x14ac:dyDescent="0.3"/>
    <row r="5330" hidden="1" x14ac:dyDescent="0.3"/>
    <row r="5331" hidden="1" x14ac:dyDescent="0.3"/>
    <row r="5332" hidden="1" x14ac:dyDescent="0.3"/>
    <row r="5333" hidden="1" x14ac:dyDescent="0.3"/>
    <row r="5334" hidden="1" x14ac:dyDescent="0.3"/>
    <row r="5335" hidden="1" x14ac:dyDescent="0.3"/>
    <row r="5336" hidden="1" x14ac:dyDescent="0.3"/>
    <row r="5337" hidden="1" x14ac:dyDescent="0.3"/>
    <row r="5338" hidden="1" x14ac:dyDescent="0.3"/>
    <row r="5339" hidden="1" x14ac:dyDescent="0.3"/>
    <row r="5340" hidden="1" x14ac:dyDescent="0.3"/>
    <row r="5341" hidden="1" x14ac:dyDescent="0.3"/>
    <row r="5342" hidden="1" x14ac:dyDescent="0.3"/>
    <row r="5343" hidden="1" x14ac:dyDescent="0.3"/>
    <row r="5344" hidden="1" x14ac:dyDescent="0.3"/>
    <row r="5345" hidden="1" x14ac:dyDescent="0.3"/>
    <row r="5346" hidden="1" x14ac:dyDescent="0.3"/>
    <row r="5347" hidden="1" x14ac:dyDescent="0.3"/>
    <row r="5348" hidden="1" x14ac:dyDescent="0.3"/>
    <row r="5349" hidden="1" x14ac:dyDescent="0.3"/>
    <row r="5350" hidden="1" x14ac:dyDescent="0.3"/>
    <row r="5351" hidden="1" x14ac:dyDescent="0.3"/>
    <row r="5352" hidden="1" x14ac:dyDescent="0.3"/>
    <row r="5353" hidden="1" x14ac:dyDescent="0.3"/>
    <row r="5354" hidden="1" x14ac:dyDescent="0.3"/>
    <row r="5355" hidden="1" x14ac:dyDescent="0.3"/>
    <row r="5356" hidden="1" x14ac:dyDescent="0.3"/>
    <row r="5357" hidden="1" x14ac:dyDescent="0.3"/>
    <row r="5358" hidden="1" x14ac:dyDescent="0.3"/>
    <row r="5359" hidden="1" x14ac:dyDescent="0.3"/>
    <row r="5360" hidden="1" x14ac:dyDescent="0.3"/>
    <row r="5361" hidden="1" x14ac:dyDescent="0.3"/>
    <row r="5362" hidden="1" x14ac:dyDescent="0.3"/>
    <row r="5363" hidden="1" x14ac:dyDescent="0.3"/>
    <row r="5364" hidden="1" x14ac:dyDescent="0.3"/>
    <row r="5365" hidden="1" x14ac:dyDescent="0.3"/>
    <row r="5366" hidden="1" x14ac:dyDescent="0.3"/>
    <row r="5367" hidden="1" x14ac:dyDescent="0.3"/>
    <row r="5368" hidden="1" x14ac:dyDescent="0.3"/>
    <row r="5369" hidden="1" x14ac:dyDescent="0.3"/>
    <row r="5370" hidden="1" x14ac:dyDescent="0.3"/>
    <row r="5371" hidden="1" x14ac:dyDescent="0.3"/>
    <row r="5372" hidden="1" x14ac:dyDescent="0.3"/>
    <row r="5373" hidden="1" x14ac:dyDescent="0.3"/>
    <row r="5374" hidden="1" x14ac:dyDescent="0.3"/>
    <row r="5375" hidden="1" x14ac:dyDescent="0.3"/>
    <row r="5376" hidden="1" x14ac:dyDescent="0.3"/>
    <row r="5377" hidden="1" x14ac:dyDescent="0.3"/>
    <row r="5378" hidden="1" x14ac:dyDescent="0.3"/>
    <row r="5379" hidden="1" x14ac:dyDescent="0.3"/>
    <row r="5380" hidden="1" x14ac:dyDescent="0.3"/>
    <row r="5381" hidden="1" x14ac:dyDescent="0.3"/>
    <row r="5382" hidden="1" x14ac:dyDescent="0.3"/>
    <row r="5383" hidden="1" x14ac:dyDescent="0.3"/>
    <row r="5384" hidden="1" x14ac:dyDescent="0.3"/>
    <row r="5385" hidden="1" x14ac:dyDescent="0.3"/>
    <row r="5386" hidden="1" x14ac:dyDescent="0.3"/>
    <row r="5387" hidden="1" x14ac:dyDescent="0.3"/>
    <row r="5388" hidden="1" x14ac:dyDescent="0.3"/>
    <row r="5389" hidden="1" x14ac:dyDescent="0.3"/>
    <row r="5390" hidden="1" x14ac:dyDescent="0.3"/>
    <row r="5391" hidden="1" x14ac:dyDescent="0.3"/>
    <row r="5392" hidden="1" x14ac:dyDescent="0.3"/>
    <row r="5393" hidden="1" x14ac:dyDescent="0.3"/>
    <row r="5394" hidden="1" x14ac:dyDescent="0.3"/>
    <row r="5395" hidden="1" x14ac:dyDescent="0.3"/>
    <row r="5396" hidden="1" x14ac:dyDescent="0.3"/>
    <row r="5397" hidden="1" x14ac:dyDescent="0.3"/>
    <row r="5398" hidden="1" x14ac:dyDescent="0.3"/>
    <row r="5399" hidden="1" x14ac:dyDescent="0.3"/>
    <row r="5400" hidden="1" x14ac:dyDescent="0.3"/>
    <row r="5401" hidden="1" x14ac:dyDescent="0.3"/>
    <row r="5402" hidden="1" x14ac:dyDescent="0.3"/>
    <row r="5403" hidden="1" x14ac:dyDescent="0.3"/>
    <row r="5404" hidden="1" x14ac:dyDescent="0.3"/>
    <row r="5405" hidden="1" x14ac:dyDescent="0.3"/>
    <row r="5406" hidden="1" x14ac:dyDescent="0.3"/>
    <row r="5407" hidden="1" x14ac:dyDescent="0.3"/>
    <row r="5408" hidden="1" x14ac:dyDescent="0.3"/>
    <row r="5409" hidden="1" x14ac:dyDescent="0.3"/>
    <row r="5410" hidden="1" x14ac:dyDescent="0.3"/>
    <row r="5411" hidden="1" x14ac:dyDescent="0.3"/>
    <row r="5412" hidden="1" x14ac:dyDescent="0.3"/>
    <row r="5413" hidden="1" x14ac:dyDescent="0.3"/>
    <row r="5414" hidden="1" x14ac:dyDescent="0.3"/>
    <row r="5415" hidden="1" x14ac:dyDescent="0.3"/>
    <row r="5416" hidden="1" x14ac:dyDescent="0.3"/>
    <row r="5417" hidden="1" x14ac:dyDescent="0.3"/>
    <row r="5418" hidden="1" x14ac:dyDescent="0.3"/>
    <row r="5419" hidden="1" x14ac:dyDescent="0.3"/>
    <row r="5420" hidden="1" x14ac:dyDescent="0.3"/>
    <row r="5421" hidden="1" x14ac:dyDescent="0.3"/>
    <row r="5422" hidden="1" x14ac:dyDescent="0.3"/>
    <row r="5423" hidden="1" x14ac:dyDescent="0.3"/>
    <row r="5424" hidden="1" x14ac:dyDescent="0.3"/>
    <row r="5425" hidden="1" x14ac:dyDescent="0.3"/>
    <row r="5426" hidden="1" x14ac:dyDescent="0.3"/>
    <row r="5427" hidden="1" x14ac:dyDescent="0.3"/>
    <row r="5428" hidden="1" x14ac:dyDescent="0.3"/>
    <row r="5429" hidden="1" x14ac:dyDescent="0.3"/>
    <row r="5430" hidden="1" x14ac:dyDescent="0.3"/>
    <row r="5431" hidden="1" x14ac:dyDescent="0.3"/>
    <row r="5432" hidden="1" x14ac:dyDescent="0.3"/>
    <row r="5433" hidden="1" x14ac:dyDescent="0.3"/>
    <row r="5434" hidden="1" x14ac:dyDescent="0.3"/>
    <row r="5435" hidden="1" x14ac:dyDescent="0.3"/>
    <row r="5436" hidden="1" x14ac:dyDescent="0.3"/>
    <row r="5437" hidden="1" x14ac:dyDescent="0.3"/>
    <row r="5438" hidden="1" x14ac:dyDescent="0.3"/>
    <row r="5439" hidden="1" x14ac:dyDescent="0.3"/>
    <row r="5440" hidden="1" x14ac:dyDescent="0.3"/>
    <row r="5441" hidden="1" x14ac:dyDescent="0.3"/>
    <row r="5442" hidden="1" x14ac:dyDescent="0.3"/>
    <row r="5443" hidden="1" x14ac:dyDescent="0.3"/>
    <row r="5444" hidden="1" x14ac:dyDescent="0.3"/>
    <row r="5445" hidden="1" x14ac:dyDescent="0.3"/>
    <row r="5446" hidden="1" x14ac:dyDescent="0.3"/>
    <row r="5447" hidden="1" x14ac:dyDescent="0.3"/>
    <row r="5448" hidden="1" x14ac:dyDescent="0.3"/>
    <row r="5449" hidden="1" x14ac:dyDescent="0.3"/>
    <row r="5450" hidden="1" x14ac:dyDescent="0.3"/>
    <row r="5451" hidden="1" x14ac:dyDescent="0.3"/>
    <row r="5452" hidden="1" x14ac:dyDescent="0.3"/>
    <row r="5453" hidden="1" x14ac:dyDescent="0.3"/>
    <row r="5454" hidden="1" x14ac:dyDescent="0.3"/>
    <row r="5455" hidden="1" x14ac:dyDescent="0.3"/>
    <row r="5456" hidden="1" x14ac:dyDescent="0.3"/>
    <row r="5457" hidden="1" x14ac:dyDescent="0.3"/>
    <row r="5458" hidden="1" x14ac:dyDescent="0.3"/>
    <row r="5459" hidden="1" x14ac:dyDescent="0.3"/>
    <row r="5460" hidden="1" x14ac:dyDescent="0.3"/>
    <row r="5461" hidden="1" x14ac:dyDescent="0.3"/>
    <row r="5462" hidden="1" x14ac:dyDescent="0.3"/>
    <row r="5463" hidden="1" x14ac:dyDescent="0.3"/>
    <row r="5464" hidden="1" x14ac:dyDescent="0.3"/>
    <row r="5465" hidden="1" x14ac:dyDescent="0.3"/>
    <row r="5466" hidden="1" x14ac:dyDescent="0.3"/>
    <row r="5467" hidden="1" x14ac:dyDescent="0.3"/>
    <row r="5468" hidden="1" x14ac:dyDescent="0.3"/>
    <row r="5469" hidden="1" x14ac:dyDescent="0.3"/>
    <row r="5470" hidden="1" x14ac:dyDescent="0.3"/>
    <row r="5471" hidden="1" x14ac:dyDescent="0.3"/>
    <row r="5472" hidden="1" x14ac:dyDescent="0.3"/>
    <row r="5473" hidden="1" x14ac:dyDescent="0.3"/>
    <row r="5474" hidden="1" x14ac:dyDescent="0.3"/>
    <row r="5475" hidden="1" x14ac:dyDescent="0.3"/>
    <row r="5476" hidden="1" x14ac:dyDescent="0.3"/>
    <row r="5477" hidden="1" x14ac:dyDescent="0.3"/>
    <row r="5478" hidden="1" x14ac:dyDescent="0.3"/>
    <row r="5479" hidden="1" x14ac:dyDescent="0.3"/>
    <row r="5480" hidden="1" x14ac:dyDescent="0.3"/>
    <row r="5481" hidden="1" x14ac:dyDescent="0.3"/>
    <row r="5482" hidden="1" x14ac:dyDescent="0.3"/>
    <row r="5483" hidden="1" x14ac:dyDescent="0.3"/>
    <row r="5484" hidden="1" x14ac:dyDescent="0.3"/>
    <row r="5485" hidden="1" x14ac:dyDescent="0.3"/>
    <row r="5486" hidden="1" x14ac:dyDescent="0.3"/>
    <row r="5487" hidden="1" x14ac:dyDescent="0.3"/>
    <row r="5488" hidden="1" x14ac:dyDescent="0.3"/>
    <row r="5489" hidden="1" x14ac:dyDescent="0.3"/>
    <row r="5490" hidden="1" x14ac:dyDescent="0.3"/>
    <row r="5491" hidden="1" x14ac:dyDescent="0.3"/>
    <row r="5492" hidden="1" x14ac:dyDescent="0.3"/>
    <row r="5493" hidden="1" x14ac:dyDescent="0.3"/>
    <row r="5494" hidden="1" x14ac:dyDescent="0.3"/>
    <row r="5495" hidden="1" x14ac:dyDescent="0.3"/>
    <row r="5496" hidden="1" x14ac:dyDescent="0.3"/>
    <row r="5497" hidden="1" x14ac:dyDescent="0.3"/>
    <row r="5498" hidden="1" x14ac:dyDescent="0.3"/>
    <row r="5499" hidden="1" x14ac:dyDescent="0.3"/>
    <row r="5500" hidden="1" x14ac:dyDescent="0.3"/>
    <row r="5501" hidden="1" x14ac:dyDescent="0.3"/>
    <row r="5502" hidden="1" x14ac:dyDescent="0.3"/>
    <row r="5503" hidden="1" x14ac:dyDescent="0.3"/>
    <row r="5504" hidden="1" x14ac:dyDescent="0.3"/>
    <row r="5505" hidden="1" x14ac:dyDescent="0.3"/>
    <row r="5506" hidden="1" x14ac:dyDescent="0.3"/>
    <row r="5507" hidden="1" x14ac:dyDescent="0.3"/>
    <row r="5508" hidden="1" x14ac:dyDescent="0.3"/>
    <row r="5509" hidden="1" x14ac:dyDescent="0.3"/>
    <row r="5510" hidden="1" x14ac:dyDescent="0.3"/>
    <row r="5511" hidden="1" x14ac:dyDescent="0.3"/>
    <row r="5512" hidden="1" x14ac:dyDescent="0.3"/>
    <row r="5513" hidden="1" x14ac:dyDescent="0.3"/>
    <row r="5514" hidden="1" x14ac:dyDescent="0.3"/>
    <row r="5515" hidden="1" x14ac:dyDescent="0.3"/>
    <row r="5516" hidden="1" x14ac:dyDescent="0.3"/>
    <row r="5517" hidden="1" x14ac:dyDescent="0.3"/>
    <row r="5518" hidden="1" x14ac:dyDescent="0.3"/>
    <row r="5519" hidden="1" x14ac:dyDescent="0.3"/>
    <row r="5520" hidden="1" x14ac:dyDescent="0.3"/>
    <row r="5521" hidden="1" x14ac:dyDescent="0.3"/>
    <row r="5522" hidden="1" x14ac:dyDescent="0.3"/>
    <row r="5523" hidden="1" x14ac:dyDescent="0.3"/>
    <row r="5524" hidden="1" x14ac:dyDescent="0.3"/>
    <row r="5525" hidden="1" x14ac:dyDescent="0.3"/>
    <row r="5526" hidden="1" x14ac:dyDescent="0.3"/>
    <row r="5527" hidden="1" x14ac:dyDescent="0.3"/>
    <row r="5528" hidden="1" x14ac:dyDescent="0.3"/>
    <row r="5529" hidden="1" x14ac:dyDescent="0.3"/>
    <row r="5530" hidden="1" x14ac:dyDescent="0.3"/>
    <row r="5531" hidden="1" x14ac:dyDescent="0.3"/>
    <row r="5532" hidden="1" x14ac:dyDescent="0.3"/>
    <row r="5533" hidden="1" x14ac:dyDescent="0.3"/>
    <row r="5534" hidden="1" x14ac:dyDescent="0.3"/>
    <row r="5535" hidden="1" x14ac:dyDescent="0.3"/>
    <row r="5536" hidden="1" x14ac:dyDescent="0.3"/>
    <row r="5537" hidden="1" x14ac:dyDescent="0.3"/>
    <row r="5538" hidden="1" x14ac:dyDescent="0.3"/>
    <row r="5539" hidden="1" x14ac:dyDescent="0.3"/>
    <row r="5540" hidden="1" x14ac:dyDescent="0.3"/>
    <row r="5541" hidden="1" x14ac:dyDescent="0.3"/>
    <row r="5542" hidden="1" x14ac:dyDescent="0.3"/>
    <row r="5543" hidden="1" x14ac:dyDescent="0.3"/>
    <row r="5544" hidden="1" x14ac:dyDescent="0.3"/>
    <row r="5545" hidden="1" x14ac:dyDescent="0.3"/>
    <row r="5546" hidden="1" x14ac:dyDescent="0.3"/>
    <row r="5547" hidden="1" x14ac:dyDescent="0.3"/>
    <row r="5548" hidden="1" x14ac:dyDescent="0.3"/>
    <row r="5549" hidden="1" x14ac:dyDescent="0.3"/>
    <row r="5550" hidden="1" x14ac:dyDescent="0.3"/>
    <row r="5551" hidden="1" x14ac:dyDescent="0.3"/>
    <row r="5552" hidden="1" x14ac:dyDescent="0.3"/>
    <row r="5553" hidden="1" x14ac:dyDescent="0.3"/>
    <row r="5554" hidden="1" x14ac:dyDescent="0.3"/>
    <row r="5555" hidden="1" x14ac:dyDescent="0.3"/>
    <row r="5556" hidden="1" x14ac:dyDescent="0.3"/>
    <row r="5557" hidden="1" x14ac:dyDescent="0.3"/>
    <row r="5558" hidden="1" x14ac:dyDescent="0.3"/>
    <row r="5559" hidden="1" x14ac:dyDescent="0.3"/>
    <row r="5560" hidden="1" x14ac:dyDescent="0.3"/>
    <row r="5561" hidden="1" x14ac:dyDescent="0.3"/>
    <row r="5562" hidden="1" x14ac:dyDescent="0.3"/>
    <row r="5563" hidden="1" x14ac:dyDescent="0.3"/>
    <row r="5564" hidden="1" x14ac:dyDescent="0.3"/>
    <row r="5565" hidden="1" x14ac:dyDescent="0.3"/>
    <row r="5566" hidden="1" x14ac:dyDescent="0.3"/>
    <row r="5567" hidden="1" x14ac:dyDescent="0.3"/>
    <row r="5568" hidden="1" x14ac:dyDescent="0.3"/>
    <row r="5569" hidden="1" x14ac:dyDescent="0.3"/>
    <row r="5570" hidden="1" x14ac:dyDescent="0.3"/>
    <row r="5571" hidden="1" x14ac:dyDescent="0.3"/>
    <row r="5572" hidden="1" x14ac:dyDescent="0.3"/>
    <row r="5573" hidden="1" x14ac:dyDescent="0.3"/>
    <row r="5574" hidden="1" x14ac:dyDescent="0.3"/>
    <row r="5575" hidden="1" x14ac:dyDescent="0.3"/>
    <row r="5576" hidden="1" x14ac:dyDescent="0.3"/>
    <row r="5577" hidden="1" x14ac:dyDescent="0.3"/>
    <row r="5578" hidden="1" x14ac:dyDescent="0.3"/>
    <row r="5579" hidden="1" x14ac:dyDescent="0.3"/>
    <row r="5580" hidden="1" x14ac:dyDescent="0.3"/>
    <row r="5581" hidden="1" x14ac:dyDescent="0.3"/>
    <row r="5582" hidden="1" x14ac:dyDescent="0.3"/>
    <row r="5583" hidden="1" x14ac:dyDescent="0.3"/>
    <row r="5584" hidden="1" x14ac:dyDescent="0.3"/>
    <row r="5585" hidden="1" x14ac:dyDescent="0.3"/>
    <row r="5586" hidden="1" x14ac:dyDescent="0.3"/>
    <row r="5587" hidden="1" x14ac:dyDescent="0.3"/>
    <row r="5588" hidden="1" x14ac:dyDescent="0.3"/>
    <row r="5589" hidden="1" x14ac:dyDescent="0.3"/>
    <row r="5590" hidden="1" x14ac:dyDescent="0.3"/>
    <row r="5591" hidden="1" x14ac:dyDescent="0.3"/>
    <row r="5592" hidden="1" x14ac:dyDescent="0.3"/>
    <row r="5593" hidden="1" x14ac:dyDescent="0.3"/>
    <row r="5594" hidden="1" x14ac:dyDescent="0.3"/>
    <row r="5595" hidden="1" x14ac:dyDescent="0.3"/>
    <row r="5596" hidden="1" x14ac:dyDescent="0.3"/>
    <row r="5597" hidden="1" x14ac:dyDescent="0.3"/>
    <row r="5598" hidden="1" x14ac:dyDescent="0.3"/>
    <row r="5599" hidden="1" x14ac:dyDescent="0.3"/>
    <row r="5600" hidden="1" x14ac:dyDescent="0.3"/>
    <row r="5601" hidden="1" x14ac:dyDescent="0.3"/>
    <row r="5602" hidden="1" x14ac:dyDescent="0.3"/>
    <row r="5603" hidden="1" x14ac:dyDescent="0.3"/>
    <row r="5604" hidden="1" x14ac:dyDescent="0.3"/>
    <row r="5605" hidden="1" x14ac:dyDescent="0.3"/>
    <row r="5606" hidden="1" x14ac:dyDescent="0.3"/>
    <row r="5607" hidden="1" x14ac:dyDescent="0.3"/>
    <row r="5608" hidden="1" x14ac:dyDescent="0.3"/>
    <row r="5609" hidden="1" x14ac:dyDescent="0.3"/>
    <row r="5610" hidden="1" x14ac:dyDescent="0.3"/>
    <row r="5611" hidden="1" x14ac:dyDescent="0.3"/>
    <row r="5612" hidden="1" x14ac:dyDescent="0.3"/>
    <row r="5613" hidden="1" x14ac:dyDescent="0.3"/>
    <row r="5614" hidden="1" x14ac:dyDescent="0.3"/>
    <row r="5615" hidden="1" x14ac:dyDescent="0.3"/>
    <row r="5616" hidden="1" x14ac:dyDescent="0.3"/>
    <row r="5617" hidden="1" x14ac:dyDescent="0.3"/>
    <row r="5618" hidden="1" x14ac:dyDescent="0.3"/>
    <row r="5619" hidden="1" x14ac:dyDescent="0.3"/>
    <row r="5620" hidden="1" x14ac:dyDescent="0.3"/>
    <row r="5621" hidden="1" x14ac:dyDescent="0.3"/>
    <row r="5622" hidden="1" x14ac:dyDescent="0.3"/>
    <row r="5623" hidden="1" x14ac:dyDescent="0.3"/>
    <row r="5624" hidden="1" x14ac:dyDescent="0.3"/>
    <row r="5625" hidden="1" x14ac:dyDescent="0.3"/>
    <row r="5626" hidden="1" x14ac:dyDescent="0.3"/>
    <row r="5627" hidden="1" x14ac:dyDescent="0.3"/>
    <row r="5628" hidden="1" x14ac:dyDescent="0.3"/>
    <row r="5629" hidden="1" x14ac:dyDescent="0.3"/>
    <row r="5630" hidden="1" x14ac:dyDescent="0.3"/>
    <row r="5631" hidden="1" x14ac:dyDescent="0.3"/>
    <row r="5632" hidden="1" x14ac:dyDescent="0.3"/>
    <row r="5633" hidden="1" x14ac:dyDescent="0.3"/>
    <row r="5634" hidden="1" x14ac:dyDescent="0.3"/>
    <row r="5635" hidden="1" x14ac:dyDescent="0.3"/>
    <row r="5636" hidden="1" x14ac:dyDescent="0.3"/>
    <row r="5637" hidden="1" x14ac:dyDescent="0.3"/>
    <row r="5638" hidden="1" x14ac:dyDescent="0.3"/>
    <row r="5639" hidden="1" x14ac:dyDescent="0.3"/>
    <row r="5640" hidden="1" x14ac:dyDescent="0.3"/>
    <row r="5641" hidden="1" x14ac:dyDescent="0.3"/>
    <row r="5642" hidden="1" x14ac:dyDescent="0.3"/>
    <row r="5643" hidden="1" x14ac:dyDescent="0.3"/>
    <row r="5644" hidden="1" x14ac:dyDescent="0.3"/>
    <row r="5645" hidden="1" x14ac:dyDescent="0.3"/>
    <row r="5646" hidden="1" x14ac:dyDescent="0.3"/>
    <row r="5647" hidden="1" x14ac:dyDescent="0.3"/>
    <row r="5648" hidden="1" x14ac:dyDescent="0.3"/>
    <row r="5649" hidden="1" x14ac:dyDescent="0.3"/>
    <row r="5650" hidden="1" x14ac:dyDescent="0.3"/>
    <row r="5651" hidden="1" x14ac:dyDescent="0.3"/>
    <row r="5652" hidden="1" x14ac:dyDescent="0.3"/>
    <row r="5653" hidden="1" x14ac:dyDescent="0.3"/>
    <row r="5654" hidden="1" x14ac:dyDescent="0.3"/>
    <row r="5655" hidden="1" x14ac:dyDescent="0.3"/>
    <row r="5656" hidden="1" x14ac:dyDescent="0.3"/>
    <row r="5657" hidden="1" x14ac:dyDescent="0.3"/>
    <row r="5658" hidden="1" x14ac:dyDescent="0.3"/>
    <row r="5659" hidden="1" x14ac:dyDescent="0.3"/>
    <row r="5660" hidden="1" x14ac:dyDescent="0.3"/>
    <row r="5661" hidden="1" x14ac:dyDescent="0.3"/>
    <row r="5662" hidden="1" x14ac:dyDescent="0.3"/>
    <row r="5663" hidden="1" x14ac:dyDescent="0.3"/>
    <row r="5664" hidden="1" x14ac:dyDescent="0.3"/>
    <row r="5665" hidden="1" x14ac:dyDescent="0.3"/>
    <row r="5666" hidden="1" x14ac:dyDescent="0.3"/>
    <row r="5667" hidden="1" x14ac:dyDescent="0.3"/>
    <row r="5668" hidden="1" x14ac:dyDescent="0.3"/>
    <row r="5669" hidden="1" x14ac:dyDescent="0.3"/>
    <row r="5670" hidden="1" x14ac:dyDescent="0.3"/>
    <row r="5671" hidden="1" x14ac:dyDescent="0.3"/>
    <row r="5672" hidden="1" x14ac:dyDescent="0.3"/>
    <row r="5673" hidden="1" x14ac:dyDescent="0.3"/>
    <row r="5674" hidden="1" x14ac:dyDescent="0.3"/>
    <row r="5675" hidden="1" x14ac:dyDescent="0.3"/>
    <row r="5676" hidden="1" x14ac:dyDescent="0.3"/>
    <row r="5677" hidden="1" x14ac:dyDescent="0.3"/>
    <row r="5678" hidden="1" x14ac:dyDescent="0.3"/>
    <row r="5679" hidden="1" x14ac:dyDescent="0.3"/>
    <row r="5680" hidden="1" x14ac:dyDescent="0.3"/>
    <row r="5681" hidden="1" x14ac:dyDescent="0.3"/>
    <row r="5682" hidden="1" x14ac:dyDescent="0.3"/>
    <row r="5683" hidden="1" x14ac:dyDescent="0.3"/>
    <row r="5684" hidden="1" x14ac:dyDescent="0.3"/>
    <row r="5685" hidden="1" x14ac:dyDescent="0.3"/>
    <row r="5686" hidden="1" x14ac:dyDescent="0.3"/>
    <row r="5687" hidden="1" x14ac:dyDescent="0.3"/>
    <row r="5688" hidden="1" x14ac:dyDescent="0.3"/>
    <row r="5689" hidden="1" x14ac:dyDescent="0.3"/>
    <row r="5690" hidden="1" x14ac:dyDescent="0.3"/>
    <row r="5691" hidden="1" x14ac:dyDescent="0.3"/>
    <row r="5692" hidden="1" x14ac:dyDescent="0.3"/>
    <row r="5693" hidden="1" x14ac:dyDescent="0.3"/>
    <row r="5694" hidden="1" x14ac:dyDescent="0.3"/>
    <row r="5695" hidden="1" x14ac:dyDescent="0.3"/>
    <row r="5696" hidden="1" x14ac:dyDescent="0.3"/>
    <row r="5697" hidden="1" x14ac:dyDescent="0.3"/>
    <row r="5698" hidden="1" x14ac:dyDescent="0.3"/>
    <row r="5699" hidden="1" x14ac:dyDescent="0.3"/>
    <row r="5700" hidden="1" x14ac:dyDescent="0.3"/>
    <row r="5701" hidden="1" x14ac:dyDescent="0.3"/>
    <row r="5702" hidden="1" x14ac:dyDescent="0.3"/>
    <row r="5703" hidden="1" x14ac:dyDescent="0.3"/>
    <row r="5704" hidden="1" x14ac:dyDescent="0.3"/>
    <row r="5705" hidden="1" x14ac:dyDescent="0.3"/>
    <row r="5706" hidden="1" x14ac:dyDescent="0.3"/>
    <row r="5707" hidden="1" x14ac:dyDescent="0.3"/>
    <row r="5708" hidden="1" x14ac:dyDescent="0.3"/>
    <row r="5709" hidden="1" x14ac:dyDescent="0.3"/>
    <row r="5710" hidden="1" x14ac:dyDescent="0.3"/>
    <row r="5711" hidden="1" x14ac:dyDescent="0.3"/>
    <row r="5712" hidden="1" x14ac:dyDescent="0.3"/>
    <row r="5713" hidden="1" x14ac:dyDescent="0.3"/>
    <row r="5714" hidden="1" x14ac:dyDescent="0.3"/>
    <row r="5715" hidden="1" x14ac:dyDescent="0.3"/>
    <row r="5716" hidden="1" x14ac:dyDescent="0.3"/>
    <row r="5717" hidden="1" x14ac:dyDescent="0.3"/>
    <row r="5718" hidden="1" x14ac:dyDescent="0.3"/>
    <row r="5719" hidden="1" x14ac:dyDescent="0.3"/>
    <row r="5720" hidden="1" x14ac:dyDescent="0.3"/>
    <row r="5721" hidden="1" x14ac:dyDescent="0.3"/>
    <row r="5722" hidden="1" x14ac:dyDescent="0.3"/>
    <row r="5723" hidden="1" x14ac:dyDescent="0.3"/>
    <row r="5724" hidden="1" x14ac:dyDescent="0.3"/>
    <row r="5725" hidden="1" x14ac:dyDescent="0.3"/>
    <row r="5726" hidden="1" x14ac:dyDescent="0.3"/>
    <row r="5727" hidden="1" x14ac:dyDescent="0.3"/>
    <row r="5728" hidden="1" x14ac:dyDescent="0.3"/>
    <row r="5729" hidden="1" x14ac:dyDescent="0.3"/>
    <row r="5730" hidden="1" x14ac:dyDescent="0.3"/>
    <row r="5731" hidden="1" x14ac:dyDescent="0.3"/>
    <row r="5732" hidden="1" x14ac:dyDescent="0.3"/>
    <row r="5733" hidden="1" x14ac:dyDescent="0.3"/>
    <row r="5734" hidden="1" x14ac:dyDescent="0.3"/>
    <row r="5735" hidden="1" x14ac:dyDescent="0.3"/>
    <row r="5736" hidden="1" x14ac:dyDescent="0.3"/>
    <row r="5737" hidden="1" x14ac:dyDescent="0.3"/>
    <row r="5738" hidden="1" x14ac:dyDescent="0.3"/>
    <row r="5739" hidden="1" x14ac:dyDescent="0.3"/>
    <row r="5740" hidden="1" x14ac:dyDescent="0.3"/>
    <row r="5741" hidden="1" x14ac:dyDescent="0.3"/>
    <row r="5742" hidden="1" x14ac:dyDescent="0.3"/>
    <row r="5743" hidden="1" x14ac:dyDescent="0.3"/>
    <row r="5744" hidden="1" x14ac:dyDescent="0.3"/>
    <row r="5745" hidden="1" x14ac:dyDescent="0.3"/>
    <row r="5746" hidden="1" x14ac:dyDescent="0.3"/>
    <row r="5747" hidden="1" x14ac:dyDescent="0.3"/>
    <row r="5748" hidden="1" x14ac:dyDescent="0.3"/>
    <row r="5749" hidden="1" x14ac:dyDescent="0.3"/>
    <row r="5750" hidden="1" x14ac:dyDescent="0.3"/>
    <row r="5751" hidden="1" x14ac:dyDescent="0.3"/>
    <row r="5752" hidden="1" x14ac:dyDescent="0.3"/>
    <row r="5753" hidden="1" x14ac:dyDescent="0.3"/>
    <row r="5754" hidden="1" x14ac:dyDescent="0.3"/>
    <row r="5755" hidden="1" x14ac:dyDescent="0.3"/>
    <row r="5756" hidden="1" x14ac:dyDescent="0.3"/>
    <row r="5757" hidden="1" x14ac:dyDescent="0.3"/>
    <row r="5758" hidden="1" x14ac:dyDescent="0.3"/>
    <row r="5759" hidden="1" x14ac:dyDescent="0.3"/>
    <row r="5760" hidden="1" x14ac:dyDescent="0.3"/>
    <row r="5761" hidden="1" x14ac:dyDescent="0.3"/>
    <row r="5762" hidden="1" x14ac:dyDescent="0.3"/>
    <row r="5763" hidden="1" x14ac:dyDescent="0.3"/>
    <row r="5764" hidden="1" x14ac:dyDescent="0.3"/>
    <row r="5765" hidden="1" x14ac:dyDescent="0.3"/>
    <row r="5766" hidden="1" x14ac:dyDescent="0.3"/>
    <row r="5767" hidden="1" x14ac:dyDescent="0.3"/>
    <row r="5768" hidden="1" x14ac:dyDescent="0.3"/>
    <row r="5769" hidden="1" x14ac:dyDescent="0.3"/>
    <row r="5770" hidden="1" x14ac:dyDescent="0.3"/>
    <row r="5771" hidden="1" x14ac:dyDescent="0.3"/>
    <row r="5772" hidden="1" x14ac:dyDescent="0.3"/>
    <row r="5773" hidden="1" x14ac:dyDescent="0.3"/>
    <row r="5774" hidden="1" x14ac:dyDescent="0.3"/>
    <row r="5775" hidden="1" x14ac:dyDescent="0.3"/>
    <row r="5776" hidden="1" x14ac:dyDescent="0.3"/>
    <row r="5777" hidden="1" x14ac:dyDescent="0.3"/>
    <row r="5778" hidden="1" x14ac:dyDescent="0.3"/>
    <row r="5779" hidden="1" x14ac:dyDescent="0.3"/>
    <row r="5780" hidden="1" x14ac:dyDescent="0.3"/>
    <row r="5781" hidden="1" x14ac:dyDescent="0.3"/>
    <row r="5782" hidden="1" x14ac:dyDescent="0.3"/>
    <row r="5783" hidden="1" x14ac:dyDescent="0.3"/>
    <row r="5784" hidden="1" x14ac:dyDescent="0.3"/>
    <row r="5785" hidden="1" x14ac:dyDescent="0.3"/>
    <row r="5786" hidden="1" x14ac:dyDescent="0.3"/>
    <row r="5787" hidden="1" x14ac:dyDescent="0.3"/>
    <row r="5788" hidden="1" x14ac:dyDescent="0.3"/>
    <row r="5789" hidden="1" x14ac:dyDescent="0.3"/>
    <row r="5790" hidden="1" x14ac:dyDescent="0.3"/>
    <row r="5791" hidden="1" x14ac:dyDescent="0.3"/>
    <row r="5792" hidden="1" x14ac:dyDescent="0.3"/>
    <row r="5793" hidden="1" x14ac:dyDescent="0.3"/>
    <row r="5794" hidden="1" x14ac:dyDescent="0.3"/>
    <row r="5795" hidden="1" x14ac:dyDescent="0.3"/>
    <row r="5796" hidden="1" x14ac:dyDescent="0.3"/>
    <row r="5797" hidden="1" x14ac:dyDescent="0.3"/>
    <row r="5798" hidden="1" x14ac:dyDescent="0.3"/>
    <row r="5799" hidden="1" x14ac:dyDescent="0.3"/>
    <row r="5800" hidden="1" x14ac:dyDescent="0.3"/>
    <row r="5801" hidden="1" x14ac:dyDescent="0.3"/>
    <row r="5802" hidden="1" x14ac:dyDescent="0.3"/>
    <row r="5803" hidden="1" x14ac:dyDescent="0.3"/>
    <row r="5804" hidden="1" x14ac:dyDescent="0.3"/>
    <row r="5805" hidden="1" x14ac:dyDescent="0.3"/>
    <row r="5806" hidden="1" x14ac:dyDescent="0.3"/>
    <row r="5807" hidden="1" x14ac:dyDescent="0.3"/>
    <row r="5808" hidden="1" x14ac:dyDescent="0.3"/>
    <row r="5809" hidden="1" x14ac:dyDescent="0.3"/>
    <row r="5810" hidden="1" x14ac:dyDescent="0.3"/>
    <row r="5811" hidden="1" x14ac:dyDescent="0.3"/>
    <row r="5812" hidden="1" x14ac:dyDescent="0.3"/>
    <row r="5813" hidden="1" x14ac:dyDescent="0.3"/>
    <row r="5814" hidden="1" x14ac:dyDescent="0.3"/>
    <row r="5815" hidden="1" x14ac:dyDescent="0.3"/>
    <row r="5816" hidden="1" x14ac:dyDescent="0.3"/>
    <row r="5817" hidden="1" x14ac:dyDescent="0.3"/>
    <row r="5818" hidden="1" x14ac:dyDescent="0.3"/>
    <row r="5819" hidden="1" x14ac:dyDescent="0.3"/>
    <row r="5820" hidden="1" x14ac:dyDescent="0.3"/>
    <row r="5821" hidden="1" x14ac:dyDescent="0.3"/>
    <row r="5822" hidden="1" x14ac:dyDescent="0.3"/>
    <row r="5823" hidden="1" x14ac:dyDescent="0.3"/>
    <row r="5824" hidden="1" x14ac:dyDescent="0.3"/>
    <row r="5825" hidden="1" x14ac:dyDescent="0.3"/>
    <row r="5826" hidden="1" x14ac:dyDescent="0.3"/>
    <row r="5827" hidden="1" x14ac:dyDescent="0.3"/>
    <row r="5828" hidden="1" x14ac:dyDescent="0.3"/>
    <row r="5829" hidden="1" x14ac:dyDescent="0.3"/>
    <row r="5830" hidden="1" x14ac:dyDescent="0.3"/>
    <row r="5831" hidden="1" x14ac:dyDescent="0.3"/>
    <row r="5832" hidden="1" x14ac:dyDescent="0.3"/>
    <row r="5833" hidden="1" x14ac:dyDescent="0.3"/>
    <row r="5834" hidden="1" x14ac:dyDescent="0.3"/>
    <row r="5835" hidden="1" x14ac:dyDescent="0.3"/>
    <row r="5836" hidden="1" x14ac:dyDescent="0.3"/>
    <row r="5837" hidden="1" x14ac:dyDescent="0.3"/>
    <row r="5838" hidden="1" x14ac:dyDescent="0.3"/>
    <row r="5839" hidden="1" x14ac:dyDescent="0.3"/>
    <row r="5840" hidden="1" x14ac:dyDescent="0.3"/>
    <row r="5841" hidden="1" x14ac:dyDescent="0.3"/>
    <row r="5842" hidden="1" x14ac:dyDescent="0.3"/>
    <row r="5843" hidden="1" x14ac:dyDescent="0.3"/>
    <row r="5844" hidden="1" x14ac:dyDescent="0.3"/>
    <row r="5845" hidden="1" x14ac:dyDescent="0.3"/>
    <row r="5846" hidden="1" x14ac:dyDescent="0.3"/>
    <row r="5847" hidden="1" x14ac:dyDescent="0.3"/>
    <row r="5848" hidden="1" x14ac:dyDescent="0.3"/>
    <row r="5849" hidden="1" x14ac:dyDescent="0.3"/>
    <row r="5850" hidden="1" x14ac:dyDescent="0.3"/>
    <row r="5851" hidden="1" x14ac:dyDescent="0.3"/>
    <row r="5852" hidden="1" x14ac:dyDescent="0.3"/>
    <row r="5853" hidden="1" x14ac:dyDescent="0.3"/>
    <row r="5854" hidden="1" x14ac:dyDescent="0.3"/>
    <row r="5855" hidden="1" x14ac:dyDescent="0.3"/>
    <row r="5856" hidden="1" x14ac:dyDescent="0.3"/>
    <row r="5857" hidden="1" x14ac:dyDescent="0.3"/>
    <row r="5858" hidden="1" x14ac:dyDescent="0.3"/>
    <row r="5859" hidden="1" x14ac:dyDescent="0.3"/>
    <row r="5860" hidden="1" x14ac:dyDescent="0.3"/>
    <row r="5861" hidden="1" x14ac:dyDescent="0.3"/>
    <row r="5862" hidden="1" x14ac:dyDescent="0.3"/>
    <row r="5863" hidden="1" x14ac:dyDescent="0.3"/>
    <row r="5864" hidden="1" x14ac:dyDescent="0.3"/>
    <row r="5865" hidden="1" x14ac:dyDescent="0.3"/>
    <row r="5866" hidden="1" x14ac:dyDescent="0.3"/>
    <row r="5867" hidden="1" x14ac:dyDescent="0.3"/>
    <row r="5868" hidden="1" x14ac:dyDescent="0.3"/>
    <row r="5869" hidden="1" x14ac:dyDescent="0.3"/>
    <row r="5870" hidden="1" x14ac:dyDescent="0.3"/>
    <row r="5871" hidden="1" x14ac:dyDescent="0.3"/>
    <row r="5872" hidden="1" x14ac:dyDescent="0.3"/>
    <row r="5873" hidden="1" x14ac:dyDescent="0.3"/>
    <row r="5874" hidden="1" x14ac:dyDescent="0.3"/>
    <row r="5875" hidden="1" x14ac:dyDescent="0.3"/>
    <row r="5876" hidden="1" x14ac:dyDescent="0.3"/>
    <row r="5877" hidden="1" x14ac:dyDescent="0.3"/>
    <row r="5878" hidden="1" x14ac:dyDescent="0.3"/>
    <row r="5879" hidden="1" x14ac:dyDescent="0.3"/>
    <row r="5880" hidden="1" x14ac:dyDescent="0.3"/>
    <row r="5881" hidden="1" x14ac:dyDescent="0.3"/>
    <row r="5882" hidden="1" x14ac:dyDescent="0.3"/>
    <row r="5883" hidden="1" x14ac:dyDescent="0.3"/>
    <row r="5884" hidden="1" x14ac:dyDescent="0.3"/>
    <row r="5885" hidden="1" x14ac:dyDescent="0.3"/>
    <row r="5886" hidden="1" x14ac:dyDescent="0.3"/>
    <row r="5887" hidden="1" x14ac:dyDescent="0.3"/>
    <row r="5888" hidden="1" x14ac:dyDescent="0.3"/>
    <row r="5889" hidden="1" x14ac:dyDescent="0.3"/>
    <row r="5890" hidden="1" x14ac:dyDescent="0.3"/>
    <row r="5891" hidden="1" x14ac:dyDescent="0.3"/>
    <row r="5892" hidden="1" x14ac:dyDescent="0.3"/>
    <row r="5893" hidden="1" x14ac:dyDescent="0.3"/>
    <row r="5894" hidden="1" x14ac:dyDescent="0.3"/>
    <row r="5895" hidden="1" x14ac:dyDescent="0.3"/>
    <row r="5896" hidden="1" x14ac:dyDescent="0.3"/>
    <row r="5897" hidden="1" x14ac:dyDescent="0.3"/>
    <row r="5898" hidden="1" x14ac:dyDescent="0.3"/>
    <row r="5899" hidden="1" x14ac:dyDescent="0.3"/>
    <row r="5900" hidden="1" x14ac:dyDescent="0.3"/>
    <row r="5901" hidden="1" x14ac:dyDescent="0.3"/>
    <row r="5902" hidden="1" x14ac:dyDescent="0.3"/>
    <row r="5903" hidden="1" x14ac:dyDescent="0.3"/>
    <row r="5904" hidden="1" x14ac:dyDescent="0.3"/>
    <row r="5905" hidden="1" x14ac:dyDescent="0.3"/>
    <row r="5906" hidden="1" x14ac:dyDescent="0.3"/>
    <row r="5907" hidden="1" x14ac:dyDescent="0.3"/>
    <row r="5908" hidden="1" x14ac:dyDescent="0.3"/>
    <row r="5909" hidden="1" x14ac:dyDescent="0.3"/>
    <row r="5910" hidden="1" x14ac:dyDescent="0.3"/>
    <row r="5911" hidden="1" x14ac:dyDescent="0.3"/>
    <row r="5912" hidden="1" x14ac:dyDescent="0.3"/>
    <row r="5913" hidden="1" x14ac:dyDescent="0.3"/>
    <row r="5914" hidden="1" x14ac:dyDescent="0.3"/>
    <row r="5915" hidden="1" x14ac:dyDescent="0.3"/>
    <row r="5916" hidden="1" x14ac:dyDescent="0.3"/>
    <row r="5917" hidden="1" x14ac:dyDescent="0.3"/>
    <row r="5918" hidden="1" x14ac:dyDescent="0.3"/>
    <row r="5919" hidden="1" x14ac:dyDescent="0.3"/>
    <row r="5920" hidden="1" x14ac:dyDescent="0.3"/>
    <row r="5921" hidden="1" x14ac:dyDescent="0.3"/>
    <row r="5922" hidden="1" x14ac:dyDescent="0.3"/>
    <row r="5923" hidden="1" x14ac:dyDescent="0.3"/>
    <row r="5924" hidden="1" x14ac:dyDescent="0.3"/>
    <row r="5925" hidden="1" x14ac:dyDescent="0.3"/>
    <row r="5926" hidden="1" x14ac:dyDescent="0.3"/>
    <row r="5927" hidden="1" x14ac:dyDescent="0.3"/>
    <row r="5928" hidden="1" x14ac:dyDescent="0.3"/>
    <row r="5929" hidden="1" x14ac:dyDescent="0.3"/>
    <row r="5930" hidden="1" x14ac:dyDescent="0.3"/>
    <row r="5931" hidden="1" x14ac:dyDescent="0.3"/>
    <row r="5932" hidden="1" x14ac:dyDescent="0.3"/>
    <row r="5933" hidden="1" x14ac:dyDescent="0.3"/>
    <row r="5934" hidden="1" x14ac:dyDescent="0.3"/>
    <row r="5935" hidden="1" x14ac:dyDescent="0.3"/>
    <row r="5936" hidden="1" x14ac:dyDescent="0.3"/>
    <row r="5937" hidden="1" x14ac:dyDescent="0.3"/>
    <row r="5938" hidden="1" x14ac:dyDescent="0.3"/>
    <row r="5939" hidden="1" x14ac:dyDescent="0.3"/>
    <row r="5940" hidden="1" x14ac:dyDescent="0.3"/>
    <row r="5941" hidden="1" x14ac:dyDescent="0.3"/>
    <row r="5942" hidden="1" x14ac:dyDescent="0.3"/>
    <row r="5943" hidden="1" x14ac:dyDescent="0.3"/>
    <row r="5944" hidden="1" x14ac:dyDescent="0.3"/>
    <row r="5945" hidden="1" x14ac:dyDescent="0.3"/>
    <row r="5946" hidden="1" x14ac:dyDescent="0.3"/>
    <row r="5947" hidden="1" x14ac:dyDescent="0.3"/>
    <row r="5948" hidden="1" x14ac:dyDescent="0.3"/>
    <row r="5949" hidden="1" x14ac:dyDescent="0.3"/>
    <row r="5950" hidden="1" x14ac:dyDescent="0.3"/>
    <row r="5951" hidden="1" x14ac:dyDescent="0.3"/>
    <row r="5952" hidden="1" x14ac:dyDescent="0.3"/>
    <row r="5953" hidden="1" x14ac:dyDescent="0.3"/>
    <row r="5954" hidden="1" x14ac:dyDescent="0.3"/>
    <row r="5955" hidden="1" x14ac:dyDescent="0.3"/>
    <row r="5956" hidden="1" x14ac:dyDescent="0.3"/>
    <row r="5957" hidden="1" x14ac:dyDescent="0.3"/>
    <row r="5958" hidden="1" x14ac:dyDescent="0.3"/>
    <row r="5959" hidden="1" x14ac:dyDescent="0.3"/>
    <row r="5960" hidden="1" x14ac:dyDescent="0.3"/>
    <row r="5961" hidden="1" x14ac:dyDescent="0.3"/>
    <row r="5962" hidden="1" x14ac:dyDescent="0.3"/>
    <row r="5963" hidden="1" x14ac:dyDescent="0.3"/>
    <row r="5964" hidden="1" x14ac:dyDescent="0.3"/>
    <row r="5965" hidden="1" x14ac:dyDescent="0.3"/>
    <row r="5966" hidden="1" x14ac:dyDescent="0.3"/>
    <row r="5967" hidden="1" x14ac:dyDescent="0.3"/>
    <row r="5968" hidden="1" x14ac:dyDescent="0.3"/>
    <row r="5969" hidden="1" x14ac:dyDescent="0.3"/>
    <row r="5970" hidden="1" x14ac:dyDescent="0.3"/>
    <row r="5971" hidden="1" x14ac:dyDescent="0.3"/>
    <row r="5972" hidden="1" x14ac:dyDescent="0.3"/>
    <row r="5973" hidden="1" x14ac:dyDescent="0.3"/>
    <row r="5974" hidden="1" x14ac:dyDescent="0.3"/>
    <row r="5975" hidden="1" x14ac:dyDescent="0.3"/>
    <row r="5976" hidden="1" x14ac:dyDescent="0.3"/>
    <row r="5977" hidden="1" x14ac:dyDescent="0.3"/>
    <row r="5978" hidden="1" x14ac:dyDescent="0.3"/>
    <row r="5979" hidden="1" x14ac:dyDescent="0.3"/>
    <row r="5980" hidden="1" x14ac:dyDescent="0.3"/>
    <row r="5981" hidden="1" x14ac:dyDescent="0.3"/>
    <row r="5982" hidden="1" x14ac:dyDescent="0.3"/>
    <row r="5983" hidden="1" x14ac:dyDescent="0.3"/>
    <row r="5984" hidden="1" x14ac:dyDescent="0.3"/>
    <row r="5985" hidden="1" x14ac:dyDescent="0.3"/>
    <row r="5986" hidden="1" x14ac:dyDescent="0.3"/>
    <row r="5987" hidden="1" x14ac:dyDescent="0.3"/>
    <row r="5988" hidden="1" x14ac:dyDescent="0.3"/>
    <row r="5989" hidden="1" x14ac:dyDescent="0.3"/>
    <row r="5990" hidden="1" x14ac:dyDescent="0.3"/>
    <row r="5991" hidden="1" x14ac:dyDescent="0.3"/>
    <row r="5992" hidden="1" x14ac:dyDescent="0.3"/>
    <row r="5993" hidden="1" x14ac:dyDescent="0.3"/>
    <row r="5994" hidden="1" x14ac:dyDescent="0.3"/>
    <row r="5995" hidden="1" x14ac:dyDescent="0.3"/>
    <row r="5996" hidden="1" x14ac:dyDescent="0.3"/>
    <row r="5997" hidden="1" x14ac:dyDescent="0.3"/>
    <row r="5998" hidden="1" x14ac:dyDescent="0.3"/>
    <row r="5999" hidden="1" x14ac:dyDescent="0.3"/>
    <row r="6000" hidden="1" x14ac:dyDescent="0.3"/>
    <row r="6001" hidden="1" x14ac:dyDescent="0.3"/>
    <row r="6002" hidden="1" x14ac:dyDescent="0.3"/>
    <row r="6003" hidden="1" x14ac:dyDescent="0.3"/>
    <row r="6004" hidden="1" x14ac:dyDescent="0.3"/>
    <row r="6005" hidden="1" x14ac:dyDescent="0.3"/>
    <row r="6006" hidden="1" x14ac:dyDescent="0.3"/>
    <row r="6007" hidden="1" x14ac:dyDescent="0.3"/>
    <row r="6008" hidden="1" x14ac:dyDescent="0.3"/>
    <row r="6009" hidden="1" x14ac:dyDescent="0.3"/>
    <row r="6010" hidden="1" x14ac:dyDescent="0.3"/>
    <row r="6011" hidden="1" x14ac:dyDescent="0.3"/>
    <row r="6012" hidden="1" x14ac:dyDescent="0.3"/>
    <row r="6013" hidden="1" x14ac:dyDescent="0.3"/>
    <row r="6014" hidden="1" x14ac:dyDescent="0.3"/>
    <row r="6015" hidden="1" x14ac:dyDescent="0.3"/>
    <row r="6016" hidden="1" x14ac:dyDescent="0.3"/>
    <row r="6017" hidden="1" x14ac:dyDescent="0.3"/>
    <row r="6018" hidden="1" x14ac:dyDescent="0.3"/>
    <row r="6019" hidden="1" x14ac:dyDescent="0.3"/>
    <row r="6020" hidden="1" x14ac:dyDescent="0.3"/>
    <row r="6021" hidden="1" x14ac:dyDescent="0.3"/>
    <row r="6022" hidden="1" x14ac:dyDescent="0.3"/>
    <row r="6023" hidden="1" x14ac:dyDescent="0.3"/>
    <row r="6024" hidden="1" x14ac:dyDescent="0.3"/>
    <row r="6025" hidden="1" x14ac:dyDescent="0.3"/>
    <row r="6026" hidden="1" x14ac:dyDescent="0.3"/>
    <row r="6027" hidden="1" x14ac:dyDescent="0.3"/>
    <row r="6028" hidden="1" x14ac:dyDescent="0.3"/>
    <row r="6029" hidden="1" x14ac:dyDescent="0.3"/>
    <row r="6030" hidden="1" x14ac:dyDescent="0.3"/>
    <row r="6031" hidden="1" x14ac:dyDescent="0.3"/>
    <row r="6032" hidden="1" x14ac:dyDescent="0.3"/>
    <row r="6033" hidden="1" x14ac:dyDescent="0.3"/>
    <row r="6034" hidden="1" x14ac:dyDescent="0.3"/>
    <row r="6035" hidden="1" x14ac:dyDescent="0.3"/>
    <row r="6036" hidden="1" x14ac:dyDescent="0.3"/>
    <row r="6037" hidden="1" x14ac:dyDescent="0.3"/>
    <row r="6038" hidden="1" x14ac:dyDescent="0.3"/>
    <row r="6039" hidden="1" x14ac:dyDescent="0.3"/>
    <row r="6040" hidden="1" x14ac:dyDescent="0.3"/>
    <row r="6041" hidden="1" x14ac:dyDescent="0.3"/>
    <row r="6042" hidden="1" x14ac:dyDescent="0.3"/>
    <row r="6043" hidden="1" x14ac:dyDescent="0.3"/>
    <row r="6044" hidden="1" x14ac:dyDescent="0.3"/>
    <row r="6045" hidden="1" x14ac:dyDescent="0.3"/>
    <row r="6046" hidden="1" x14ac:dyDescent="0.3"/>
    <row r="6047" hidden="1" x14ac:dyDescent="0.3"/>
    <row r="6048" hidden="1" x14ac:dyDescent="0.3"/>
    <row r="6049" hidden="1" x14ac:dyDescent="0.3"/>
    <row r="6050" hidden="1" x14ac:dyDescent="0.3"/>
    <row r="6051" hidden="1" x14ac:dyDescent="0.3"/>
    <row r="6052" hidden="1" x14ac:dyDescent="0.3"/>
    <row r="6053" hidden="1" x14ac:dyDescent="0.3"/>
    <row r="6054" hidden="1" x14ac:dyDescent="0.3"/>
    <row r="6055" hidden="1" x14ac:dyDescent="0.3"/>
    <row r="6056" hidden="1" x14ac:dyDescent="0.3"/>
    <row r="6057" hidden="1" x14ac:dyDescent="0.3"/>
    <row r="6058" hidden="1" x14ac:dyDescent="0.3"/>
    <row r="6059" hidden="1" x14ac:dyDescent="0.3"/>
    <row r="6060" hidden="1" x14ac:dyDescent="0.3"/>
    <row r="6061" hidden="1" x14ac:dyDescent="0.3"/>
    <row r="6062" hidden="1" x14ac:dyDescent="0.3"/>
    <row r="6063" hidden="1" x14ac:dyDescent="0.3"/>
    <row r="6064" hidden="1" x14ac:dyDescent="0.3"/>
    <row r="6065" hidden="1" x14ac:dyDescent="0.3"/>
    <row r="6066" hidden="1" x14ac:dyDescent="0.3"/>
    <row r="6067" hidden="1" x14ac:dyDescent="0.3"/>
    <row r="6068" hidden="1" x14ac:dyDescent="0.3"/>
    <row r="6069" hidden="1" x14ac:dyDescent="0.3"/>
    <row r="6070" hidden="1" x14ac:dyDescent="0.3"/>
    <row r="6071" hidden="1" x14ac:dyDescent="0.3"/>
    <row r="6072" hidden="1" x14ac:dyDescent="0.3"/>
    <row r="6073" hidden="1" x14ac:dyDescent="0.3"/>
    <row r="6074" hidden="1" x14ac:dyDescent="0.3"/>
    <row r="6075" hidden="1" x14ac:dyDescent="0.3"/>
    <row r="6076" hidden="1" x14ac:dyDescent="0.3"/>
    <row r="6077" hidden="1" x14ac:dyDescent="0.3"/>
    <row r="6078" hidden="1" x14ac:dyDescent="0.3"/>
    <row r="6079" hidden="1" x14ac:dyDescent="0.3"/>
    <row r="6080" hidden="1" x14ac:dyDescent="0.3"/>
    <row r="6081" hidden="1" x14ac:dyDescent="0.3"/>
    <row r="6082" hidden="1" x14ac:dyDescent="0.3"/>
    <row r="6083" hidden="1" x14ac:dyDescent="0.3"/>
    <row r="6084" hidden="1" x14ac:dyDescent="0.3"/>
    <row r="6085" hidden="1" x14ac:dyDescent="0.3"/>
    <row r="6086" hidden="1" x14ac:dyDescent="0.3"/>
    <row r="6087" hidden="1" x14ac:dyDescent="0.3"/>
    <row r="6088" hidden="1" x14ac:dyDescent="0.3"/>
    <row r="6089" hidden="1" x14ac:dyDescent="0.3"/>
    <row r="6090" hidden="1" x14ac:dyDescent="0.3"/>
    <row r="6091" hidden="1" x14ac:dyDescent="0.3"/>
    <row r="6092" hidden="1" x14ac:dyDescent="0.3"/>
    <row r="6093" hidden="1" x14ac:dyDescent="0.3"/>
    <row r="6094" hidden="1" x14ac:dyDescent="0.3"/>
    <row r="6095" hidden="1" x14ac:dyDescent="0.3"/>
    <row r="6096" hidden="1" x14ac:dyDescent="0.3"/>
    <row r="6097" hidden="1" x14ac:dyDescent="0.3"/>
    <row r="6098" hidden="1" x14ac:dyDescent="0.3"/>
    <row r="6099" hidden="1" x14ac:dyDescent="0.3"/>
    <row r="6100" hidden="1" x14ac:dyDescent="0.3"/>
    <row r="6101" hidden="1" x14ac:dyDescent="0.3"/>
    <row r="6102" hidden="1" x14ac:dyDescent="0.3"/>
    <row r="6103" hidden="1" x14ac:dyDescent="0.3"/>
    <row r="6104" hidden="1" x14ac:dyDescent="0.3"/>
    <row r="6105" hidden="1" x14ac:dyDescent="0.3"/>
    <row r="6106" hidden="1" x14ac:dyDescent="0.3"/>
    <row r="6107" hidden="1" x14ac:dyDescent="0.3"/>
    <row r="6108" hidden="1" x14ac:dyDescent="0.3"/>
    <row r="6109" hidden="1" x14ac:dyDescent="0.3"/>
    <row r="6110" hidden="1" x14ac:dyDescent="0.3"/>
    <row r="6111" hidden="1" x14ac:dyDescent="0.3"/>
    <row r="6112" hidden="1" x14ac:dyDescent="0.3"/>
    <row r="6113" hidden="1" x14ac:dyDescent="0.3"/>
    <row r="6114" hidden="1" x14ac:dyDescent="0.3"/>
    <row r="6115" hidden="1" x14ac:dyDescent="0.3"/>
    <row r="6116" hidden="1" x14ac:dyDescent="0.3"/>
    <row r="6117" hidden="1" x14ac:dyDescent="0.3"/>
    <row r="6118" hidden="1" x14ac:dyDescent="0.3"/>
    <row r="6119" hidden="1" x14ac:dyDescent="0.3"/>
    <row r="6120" hidden="1" x14ac:dyDescent="0.3"/>
    <row r="6121" hidden="1" x14ac:dyDescent="0.3"/>
    <row r="6122" hidden="1" x14ac:dyDescent="0.3"/>
    <row r="6123" hidden="1" x14ac:dyDescent="0.3"/>
    <row r="6124" hidden="1" x14ac:dyDescent="0.3"/>
    <row r="6125" hidden="1" x14ac:dyDescent="0.3"/>
    <row r="6126" hidden="1" x14ac:dyDescent="0.3"/>
    <row r="6127" hidden="1" x14ac:dyDescent="0.3"/>
    <row r="6128" hidden="1" x14ac:dyDescent="0.3"/>
    <row r="6129" hidden="1" x14ac:dyDescent="0.3"/>
    <row r="6130" hidden="1" x14ac:dyDescent="0.3"/>
    <row r="6131" hidden="1" x14ac:dyDescent="0.3"/>
    <row r="6132" hidden="1" x14ac:dyDescent="0.3"/>
    <row r="6133" hidden="1" x14ac:dyDescent="0.3"/>
    <row r="6134" hidden="1" x14ac:dyDescent="0.3"/>
    <row r="6135" hidden="1" x14ac:dyDescent="0.3"/>
    <row r="6136" hidden="1" x14ac:dyDescent="0.3"/>
    <row r="6137" hidden="1" x14ac:dyDescent="0.3"/>
    <row r="6138" hidden="1" x14ac:dyDescent="0.3"/>
    <row r="6139" hidden="1" x14ac:dyDescent="0.3"/>
    <row r="6140" hidden="1" x14ac:dyDescent="0.3"/>
    <row r="6141" hidden="1" x14ac:dyDescent="0.3"/>
    <row r="6142" hidden="1" x14ac:dyDescent="0.3"/>
    <row r="6143" hidden="1" x14ac:dyDescent="0.3"/>
    <row r="6144" hidden="1" x14ac:dyDescent="0.3"/>
    <row r="6145" hidden="1" x14ac:dyDescent="0.3"/>
    <row r="6146" hidden="1" x14ac:dyDescent="0.3"/>
    <row r="6147" hidden="1" x14ac:dyDescent="0.3"/>
    <row r="6148" hidden="1" x14ac:dyDescent="0.3"/>
    <row r="6149" hidden="1" x14ac:dyDescent="0.3"/>
    <row r="6150" hidden="1" x14ac:dyDescent="0.3"/>
    <row r="6151" hidden="1" x14ac:dyDescent="0.3"/>
    <row r="6152" hidden="1" x14ac:dyDescent="0.3"/>
    <row r="6153" hidden="1" x14ac:dyDescent="0.3"/>
    <row r="6154" hidden="1" x14ac:dyDescent="0.3"/>
    <row r="6155" hidden="1" x14ac:dyDescent="0.3"/>
    <row r="6156" hidden="1" x14ac:dyDescent="0.3"/>
    <row r="6157" hidden="1" x14ac:dyDescent="0.3"/>
    <row r="6158" hidden="1" x14ac:dyDescent="0.3"/>
    <row r="6159" hidden="1" x14ac:dyDescent="0.3"/>
    <row r="6160" hidden="1" x14ac:dyDescent="0.3"/>
    <row r="6161" hidden="1" x14ac:dyDescent="0.3"/>
    <row r="6162" hidden="1" x14ac:dyDescent="0.3"/>
    <row r="6163" hidden="1" x14ac:dyDescent="0.3"/>
    <row r="6164" hidden="1" x14ac:dyDescent="0.3"/>
    <row r="6165" hidden="1" x14ac:dyDescent="0.3"/>
    <row r="6166" hidden="1" x14ac:dyDescent="0.3"/>
    <row r="6167" hidden="1" x14ac:dyDescent="0.3"/>
    <row r="6168" hidden="1" x14ac:dyDescent="0.3"/>
    <row r="6169" hidden="1" x14ac:dyDescent="0.3"/>
    <row r="6170" hidden="1" x14ac:dyDescent="0.3"/>
    <row r="6171" hidden="1" x14ac:dyDescent="0.3"/>
    <row r="6172" hidden="1" x14ac:dyDescent="0.3"/>
    <row r="6173" hidden="1" x14ac:dyDescent="0.3"/>
    <row r="6174" hidden="1" x14ac:dyDescent="0.3"/>
    <row r="6175" hidden="1" x14ac:dyDescent="0.3"/>
    <row r="6176" hidden="1" x14ac:dyDescent="0.3"/>
    <row r="6177" hidden="1" x14ac:dyDescent="0.3"/>
    <row r="6178" hidden="1" x14ac:dyDescent="0.3"/>
    <row r="6179" hidden="1" x14ac:dyDescent="0.3"/>
    <row r="6180" hidden="1" x14ac:dyDescent="0.3"/>
    <row r="6181" hidden="1" x14ac:dyDescent="0.3"/>
    <row r="6182" hidden="1" x14ac:dyDescent="0.3"/>
    <row r="6183" hidden="1" x14ac:dyDescent="0.3"/>
    <row r="6184" hidden="1" x14ac:dyDescent="0.3"/>
    <row r="6185" hidden="1" x14ac:dyDescent="0.3"/>
    <row r="6186" hidden="1" x14ac:dyDescent="0.3"/>
    <row r="6187" hidden="1" x14ac:dyDescent="0.3"/>
    <row r="6188" hidden="1" x14ac:dyDescent="0.3"/>
    <row r="6189" hidden="1" x14ac:dyDescent="0.3"/>
    <row r="6190" hidden="1" x14ac:dyDescent="0.3"/>
    <row r="6191" hidden="1" x14ac:dyDescent="0.3"/>
    <row r="6192" hidden="1" x14ac:dyDescent="0.3"/>
    <row r="6193" hidden="1" x14ac:dyDescent="0.3"/>
    <row r="6194" hidden="1" x14ac:dyDescent="0.3"/>
    <row r="6195" hidden="1" x14ac:dyDescent="0.3"/>
    <row r="6196" hidden="1" x14ac:dyDescent="0.3"/>
    <row r="6197" hidden="1" x14ac:dyDescent="0.3"/>
    <row r="6198" hidden="1" x14ac:dyDescent="0.3"/>
    <row r="6199" hidden="1" x14ac:dyDescent="0.3"/>
    <row r="6200" hidden="1" x14ac:dyDescent="0.3"/>
    <row r="6201" hidden="1" x14ac:dyDescent="0.3"/>
    <row r="6202" hidden="1" x14ac:dyDescent="0.3"/>
    <row r="6203" hidden="1" x14ac:dyDescent="0.3"/>
    <row r="6204" hidden="1" x14ac:dyDescent="0.3"/>
    <row r="6205" hidden="1" x14ac:dyDescent="0.3"/>
    <row r="6206" hidden="1" x14ac:dyDescent="0.3"/>
    <row r="6207" hidden="1" x14ac:dyDescent="0.3"/>
    <row r="6208" hidden="1" x14ac:dyDescent="0.3"/>
    <row r="6209" hidden="1" x14ac:dyDescent="0.3"/>
    <row r="6210" hidden="1" x14ac:dyDescent="0.3"/>
    <row r="6211" hidden="1" x14ac:dyDescent="0.3"/>
    <row r="6212" hidden="1" x14ac:dyDescent="0.3"/>
    <row r="6213" hidden="1" x14ac:dyDescent="0.3"/>
    <row r="6214" hidden="1" x14ac:dyDescent="0.3"/>
    <row r="6215" hidden="1" x14ac:dyDescent="0.3"/>
    <row r="6216" hidden="1" x14ac:dyDescent="0.3"/>
    <row r="6217" hidden="1" x14ac:dyDescent="0.3"/>
    <row r="6218" hidden="1" x14ac:dyDescent="0.3"/>
    <row r="6219" hidden="1" x14ac:dyDescent="0.3"/>
    <row r="6220" hidden="1" x14ac:dyDescent="0.3"/>
    <row r="6221" hidden="1" x14ac:dyDescent="0.3"/>
    <row r="6222" hidden="1" x14ac:dyDescent="0.3"/>
    <row r="6223" hidden="1" x14ac:dyDescent="0.3"/>
    <row r="6224" hidden="1" x14ac:dyDescent="0.3"/>
    <row r="6225" hidden="1" x14ac:dyDescent="0.3"/>
    <row r="6226" hidden="1" x14ac:dyDescent="0.3"/>
    <row r="6227" hidden="1" x14ac:dyDescent="0.3"/>
    <row r="6228" hidden="1" x14ac:dyDescent="0.3"/>
    <row r="6229" hidden="1" x14ac:dyDescent="0.3"/>
    <row r="6230" hidden="1" x14ac:dyDescent="0.3"/>
    <row r="6231" hidden="1" x14ac:dyDescent="0.3"/>
    <row r="6232" hidden="1" x14ac:dyDescent="0.3"/>
    <row r="6233" hidden="1" x14ac:dyDescent="0.3"/>
    <row r="6234" hidden="1" x14ac:dyDescent="0.3"/>
    <row r="6235" hidden="1" x14ac:dyDescent="0.3"/>
    <row r="6236" hidden="1" x14ac:dyDescent="0.3"/>
    <row r="6237" hidden="1" x14ac:dyDescent="0.3"/>
    <row r="6238" hidden="1" x14ac:dyDescent="0.3"/>
    <row r="6239" hidden="1" x14ac:dyDescent="0.3"/>
    <row r="6240" hidden="1" x14ac:dyDescent="0.3"/>
    <row r="6241" hidden="1" x14ac:dyDescent="0.3"/>
    <row r="6242" hidden="1" x14ac:dyDescent="0.3"/>
    <row r="6243" hidden="1" x14ac:dyDescent="0.3"/>
    <row r="6244" hidden="1" x14ac:dyDescent="0.3"/>
    <row r="6245" hidden="1" x14ac:dyDescent="0.3"/>
    <row r="6246" hidden="1" x14ac:dyDescent="0.3"/>
    <row r="6247" hidden="1" x14ac:dyDescent="0.3"/>
    <row r="6248" hidden="1" x14ac:dyDescent="0.3"/>
    <row r="6249" hidden="1" x14ac:dyDescent="0.3"/>
    <row r="6250" hidden="1" x14ac:dyDescent="0.3"/>
    <row r="6251" hidden="1" x14ac:dyDescent="0.3"/>
    <row r="6252" hidden="1" x14ac:dyDescent="0.3"/>
    <row r="6253" hidden="1" x14ac:dyDescent="0.3"/>
    <row r="6254" hidden="1" x14ac:dyDescent="0.3"/>
    <row r="6255" hidden="1" x14ac:dyDescent="0.3"/>
    <row r="6256" hidden="1" x14ac:dyDescent="0.3"/>
    <row r="6257" hidden="1" x14ac:dyDescent="0.3"/>
    <row r="6258" hidden="1" x14ac:dyDescent="0.3"/>
    <row r="6259" hidden="1" x14ac:dyDescent="0.3"/>
    <row r="6260" hidden="1" x14ac:dyDescent="0.3"/>
    <row r="6261" hidden="1" x14ac:dyDescent="0.3"/>
    <row r="6262" hidden="1" x14ac:dyDescent="0.3"/>
    <row r="6263" hidden="1" x14ac:dyDescent="0.3"/>
    <row r="6264" hidden="1" x14ac:dyDescent="0.3"/>
    <row r="6265" hidden="1" x14ac:dyDescent="0.3"/>
    <row r="6266" hidden="1" x14ac:dyDescent="0.3"/>
    <row r="6267" hidden="1" x14ac:dyDescent="0.3"/>
    <row r="6268" hidden="1" x14ac:dyDescent="0.3"/>
    <row r="6269" hidden="1" x14ac:dyDescent="0.3"/>
    <row r="6270" hidden="1" x14ac:dyDescent="0.3"/>
    <row r="6271" hidden="1" x14ac:dyDescent="0.3"/>
    <row r="6272" hidden="1" x14ac:dyDescent="0.3"/>
    <row r="6273" hidden="1" x14ac:dyDescent="0.3"/>
    <row r="6274" hidden="1" x14ac:dyDescent="0.3"/>
    <row r="6275" hidden="1" x14ac:dyDescent="0.3"/>
    <row r="6276" hidden="1" x14ac:dyDescent="0.3"/>
    <row r="6277" hidden="1" x14ac:dyDescent="0.3"/>
    <row r="6278" hidden="1" x14ac:dyDescent="0.3"/>
    <row r="6279" hidden="1" x14ac:dyDescent="0.3"/>
    <row r="6280" hidden="1" x14ac:dyDescent="0.3"/>
    <row r="6281" hidden="1" x14ac:dyDescent="0.3"/>
    <row r="6282" hidden="1" x14ac:dyDescent="0.3"/>
    <row r="6283" hidden="1" x14ac:dyDescent="0.3"/>
    <row r="6284" hidden="1" x14ac:dyDescent="0.3"/>
    <row r="6285" hidden="1" x14ac:dyDescent="0.3"/>
    <row r="6286" hidden="1" x14ac:dyDescent="0.3"/>
    <row r="6287" hidden="1" x14ac:dyDescent="0.3"/>
    <row r="6288" hidden="1" x14ac:dyDescent="0.3"/>
    <row r="6289" hidden="1" x14ac:dyDescent="0.3"/>
    <row r="6290" hidden="1" x14ac:dyDescent="0.3"/>
    <row r="6291" hidden="1" x14ac:dyDescent="0.3"/>
    <row r="6292" hidden="1" x14ac:dyDescent="0.3"/>
    <row r="6293" hidden="1" x14ac:dyDescent="0.3"/>
    <row r="6294" hidden="1" x14ac:dyDescent="0.3"/>
    <row r="6295" hidden="1" x14ac:dyDescent="0.3"/>
    <row r="6296" hidden="1" x14ac:dyDescent="0.3"/>
    <row r="6297" hidden="1" x14ac:dyDescent="0.3"/>
    <row r="6298" hidden="1" x14ac:dyDescent="0.3"/>
    <row r="6299" hidden="1" x14ac:dyDescent="0.3"/>
    <row r="6300" hidden="1" x14ac:dyDescent="0.3"/>
    <row r="6301" hidden="1" x14ac:dyDescent="0.3"/>
    <row r="6302" hidden="1" x14ac:dyDescent="0.3"/>
    <row r="6303" hidden="1" x14ac:dyDescent="0.3"/>
    <row r="6304" hidden="1" x14ac:dyDescent="0.3"/>
    <row r="6305" hidden="1" x14ac:dyDescent="0.3"/>
    <row r="6306" hidden="1" x14ac:dyDescent="0.3"/>
    <row r="6307" hidden="1" x14ac:dyDescent="0.3"/>
    <row r="6308" hidden="1" x14ac:dyDescent="0.3"/>
    <row r="6309" hidden="1" x14ac:dyDescent="0.3"/>
    <row r="6310" hidden="1" x14ac:dyDescent="0.3"/>
    <row r="6311" hidden="1" x14ac:dyDescent="0.3"/>
    <row r="6312" hidden="1" x14ac:dyDescent="0.3"/>
    <row r="6313" hidden="1" x14ac:dyDescent="0.3"/>
    <row r="6314" hidden="1" x14ac:dyDescent="0.3"/>
    <row r="6315" hidden="1" x14ac:dyDescent="0.3"/>
    <row r="6316" hidden="1" x14ac:dyDescent="0.3"/>
    <row r="6317" hidden="1" x14ac:dyDescent="0.3"/>
    <row r="6318" hidden="1" x14ac:dyDescent="0.3"/>
    <row r="6319" hidden="1" x14ac:dyDescent="0.3"/>
    <row r="6320" hidden="1" x14ac:dyDescent="0.3"/>
    <row r="6321" hidden="1" x14ac:dyDescent="0.3"/>
    <row r="6322" hidden="1" x14ac:dyDescent="0.3"/>
    <row r="6323" hidden="1" x14ac:dyDescent="0.3"/>
    <row r="6324" hidden="1" x14ac:dyDescent="0.3"/>
    <row r="6325" hidden="1" x14ac:dyDescent="0.3"/>
    <row r="6326" hidden="1" x14ac:dyDescent="0.3"/>
    <row r="6327" hidden="1" x14ac:dyDescent="0.3"/>
    <row r="6328" hidden="1" x14ac:dyDescent="0.3"/>
    <row r="6329" hidden="1" x14ac:dyDescent="0.3"/>
    <row r="6330" hidden="1" x14ac:dyDescent="0.3"/>
    <row r="6331" hidden="1" x14ac:dyDescent="0.3"/>
    <row r="6332" hidden="1" x14ac:dyDescent="0.3"/>
    <row r="6333" hidden="1" x14ac:dyDescent="0.3"/>
    <row r="6334" hidden="1" x14ac:dyDescent="0.3"/>
    <row r="6335" hidden="1" x14ac:dyDescent="0.3"/>
    <row r="6336" hidden="1" x14ac:dyDescent="0.3"/>
    <row r="6337" hidden="1" x14ac:dyDescent="0.3"/>
    <row r="6338" hidden="1" x14ac:dyDescent="0.3"/>
    <row r="6339" hidden="1" x14ac:dyDescent="0.3"/>
    <row r="6340" hidden="1" x14ac:dyDescent="0.3"/>
    <row r="6341" hidden="1" x14ac:dyDescent="0.3"/>
    <row r="6342" hidden="1" x14ac:dyDescent="0.3"/>
    <row r="6343" hidden="1" x14ac:dyDescent="0.3"/>
    <row r="6344" hidden="1" x14ac:dyDescent="0.3"/>
    <row r="6345" hidden="1" x14ac:dyDescent="0.3"/>
    <row r="6346" hidden="1" x14ac:dyDescent="0.3"/>
    <row r="6347" hidden="1" x14ac:dyDescent="0.3"/>
    <row r="6348" hidden="1" x14ac:dyDescent="0.3"/>
    <row r="6349" hidden="1" x14ac:dyDescent="0.3"/>
    <row r="6350" hidden="1" x14ac:dyDescent="0.3"/>
    <row r="6351" hidden="1" x14ac:dyDescent="0.3"/>
    <row r="6352" hidden="1" x14ac:dyDescent="0.3"/>
    <row r="6353" hidden="1" x14ac:dyDescent="0.3"/>
    <row r="6354" hidden="1" x14ac:dyDescent="0.3"/>
    <row r="6355" hidden="1" x14ac:dyDescent="0.3"/>
    <row r="6356" hidden="1" x14ac:dyDescent="0.3"/>
    <row r="6357" hidden="1" x14ac:dyDescent="0.3"/>
    <row r="6358" hidden="1" x14ac:dyDescent="0.3"/>
    <row r="6359" hidden="1" x14ac:dyDescent="0.3"/>
    <row r="6360" hidden="1" x14ac:dyDescent="0.3"/>
    <row r="6361" hidden="1" x14ac:dyDescent="0.3"/>
    <row r="6362" hidden="1" x14ac:dyDescent="0.3"/>
    <row r="6363" hidden="1" x14ac:dyDescent="0.3"/>
    <row r="6364" hidden="1" x14ac:dyDescent="0.3"/>
    <row r="6365" hidden="1" x14ac:dyDescent="0.3"/>
    <row r="6366" hidden="1" x14ac:dyDescent="0.3"/>
    <row r="6367" hidden="1" x14ac:dyDescent="0.3"/>
    <row r="6368" hidden="1" x14ac:dyDescent="0.3"/>
    <row r="6369" hidden="1" x14ac:dyDescent="0.3"/>
    <row r="6370" hidden="1" x14ac:dyDescent="0.3"/>
    <row r="6371" hidden="1" x14ac:dyDescent="0.3"/>
    <row r="6372" hidden="1" x14ac:dyDescent="0.3"/>
    <row r="6373" hidden="1" x14ac:dyDescent="0.3"/>
    <row r="6374" hidden="1" x14ac:dyDescent="0.3"/>
    <row r="6375" hidden="1" x14ac:dyDescent="0.3"/>
    <row r="6376" hidden="1" x14ac:dyDescent="0.3"/>
    <row r="6377" hidden="1" x14ac:dyDescent="0.3"/>
    <row r="6378" hidden="1" x14ac:dyDescent="0.3"/>
    <row r="6379" hidden="1" x14ac:dyDescent="0.3"/>
    <row r="6380" hidden="1" x14ac:dyDescent="0.3"/>
    <row r="6381" hidden="1" x14ac:dyDescent="0.3"/>
    <row r="6382" hidden="1" x14ac:dyDescent="0.3"/>
    <row r="6383" hidden="1" x14ac:dyDescent="0.3"/>
    <row r="6384" hidden="1" x14ac:dyDescent="0.3"/>
    <row r="6385" hidden="1" x14ac:dyDescent="0.3"/>
    <row r="6386" hidden="1" x14ac:dyDescent="0.3"/>
    <row r="6387" hidden="1" x14ac:dyDescent="0.3"/>
    <row r="6388" hidden="1" x14ac:dyDescent="0.3"/>
    <row r="6389" hidden="1" x14ac:dyDescent="0.3"/>
    <row r="6390" hidden="1" x14ac:dyDescent="0.3"/>
    <row r="6391" hidden="1" x14ac:dyDescent="0.3"/>
    <row r="6392" hidden="1" x14ac:dyDescent="0.3"/>
    <row r="6393" hidden="1" x14ac:dyDescent="0.3"/>
    <row r="6394" hidden="1" x14ac:dyDescent="0.3"/>
    <row r="6395" hidden="1" x14ac:dyDescent="0.3"/>
    <row r="6396" hidden="1" x14ac:dyDescent="0.3"/>
    <row r="6397" hidden="1" x14ac:dyDescent="0.3"/>
    <row r="6398" hidden="1" x14ac:dyDescent="0.3"/>
    <row r="6399" hidden="1" x14ac:dyDescent="0.3"/>
    <row r="6400" hidden="1" x14ac:dyDescent="0.3"/>
    <row r="6401" hidden="1" x14ac:dyDescent="0.3"/>
    <row r="6402" hidden="1" x14ac:dyDescent="0.3"/>
    <row r="6403" hidden="1" x14ac:dyDescent="0.3"/>
    <row r="6404" hidden="1" x14ac:dyDescent="0.3"/>
    <row r="6405" hidden="1" x14ac:dyDescent="0.3"/>
    <row r="6406" hidden="1" x14ac:dyDescent="0.3"/>
    <row r="6407" hidden="1" x14ac:dyDescent="0.3"/>
    <row r="6408" hidden="1" x14ac:dyDescent="0.3"/>
    <row r="6409" hidden="1" x14ac:dyDescent="0.3"/>
    <row r="6410" hidden="1" x14ac:dyDescent="0.3"/>
    <row r="6411" hidden="1" x14ac:dyDescent="0.3"/>
    <row r="6412" hidden="1" x14ac:dyDescent="0.3"/>
    <row r="6413" hidden="1" x14ac:dyDescent="0.3"/>
    <row r="6414" hidden="1" x14ac:dyDescent="0.3"/>
    <row r="6415" hidden="1" x14ac:dyDescent="0.3"/>
    <row r="6416" hidden="1" x14ac:dyDescent="0.3"/>
    <row r="6417" hidden="1" x14ac:dyDescent="0.3"/>
    <row r="6418" hidden="1" x14ac:dyDescent="0.3"/>
    <row r="6419" hidden="1" x14ac:dyDescent="0.3"/>
    <row r="6420" hidden="1" x14ac:dyDescent="0.3"/>
    <row r="6421" hidden="1" x14ac:dyDescent="0.3"/>
    <row r="6422" hidden="1" x14ac:dyDescent="0.3"/>
    <row r="6423" hidden="1" x14ac:dyDescent="0.3"/>
    <row r="6424" hidden="1" x14ac:dyDescent="0.3"/>
    <row r="6425" hidden="1" x14ac:dyDescent="0.3"/>
    <row r="6426" hidden="1" x14ac:dyDescent="0.3"/>
    <row r="6427" hidden="1" x14ac:dyDescent="0.3"/>
    <row r="6428" hidden="1" x14ac:dyDescent="0.3"/>
    <row r="6429" hidden="1" x14ac:dyDescent="0.3"/>
    <row r="6430" hidden="1" x14ac:dyDescent="0.3"/>
    <row r="6431" hidden="1" x14ac:dyDescent="0.3"/>
    <row r="6432" hidden="1" x14ac:dyDescent="0.3"/>
    <row r="6433" hidden="1" x14ac:dyDescent="0.3"/>
    <row r="6434" hidden="1" x14ac:dyDescent="0.3"/>
    <row r="6435" hidden="1" x14ac:dyDescent="0.3"/>
    <row r="6436" hidden="1" x14ac:dyDescent="0.3"/>
    <row r="6437" hidden="1" x14ac:dyDescent="0.3"/>
    <row r="6438" hidden="1" x14ac:dyDescent="0.3"/>
    <row r="6439" hidden="1" x14ac:dyDescent="0.3"/>
    <row r="6440" hidden="1" x14ac:dyDescent="0.3"/>
    <row r="6441" hidden="1" x14ac:dyDescent="0.3"/>
    <row r="6442" hidden="1" x14ac:dyDescent="0.3"/>
    <row r="6443" hidden="1" x14ac:dyDescent="0.3"/>
    <row r="6444" hidden="1" x14ac:dyDescent="0.3"/>
    <row r="6445" hidden="1" x14ac:dyDescent="0.3"/>
    <row r="6446" hidden="1" x14ac:dyDescent="0.3"/>
    <row r="6447" hidden="1" x14ac:dyDescent="0.3"/>
    <row r="6448" hidden="1" x14ac:dyDescent="0.3"/>
    <row r="6449" hidden="1" x14ac:dyDescent="0.3"/>
    <row r="6450" hidden="1" x14ac:dyDescent="0.3"/>
    <row r="6451" hidden="1" x14ac:dyDescent="0.3"/>
    <row r="6452" hidden="1" x14ac:dyDescent="0.3"/>
    <row r="6453" hidden="1" x14ac:dyDescent="0.3"/>
    <row r="6454" hidden="1" x14ac:dyDescent="0.3"/>
    <row r="6455" hidden="1" x14ac:dyDescent="0.3"/>
    <row r="6456" hidden="1" x14ac:dyDescent="0.3"/>
    <row r="6457" hidden="1" x14ac:dyDescent="0.3"/>
    <row r="6458" hidden="1" x14ac:dyDescent="0.3"/>
    <row r="6459" hidden="1" x14ac:dyDescent="0.3"/>
    <row r="6460" hidden="1" x14ac:dyDescent="0.3"/>
    <row r="6461" hidden="1" x14ac:dyDescent="0.3"/>
    <row r="6462" hidden="1" x14ac:dyDescent="0.3"/>
    <row r="6463" hidden="1" x14ac:dyDescent="0.3"/>
    <row r="6464" hidden="1" x14ac:dyDescent="0.3"/>
    <row r="6465" hidden="1" x14ac:dyDescent="0.3"/>
    <row r="6466" hidden="1" x14ac:dyDescent="0.3"/>
    <row r="6467" hidden="1" x14ac:dyDescent="0.3"/>
    <row r="6468" hidden="1" x14ac:dyDescent="0.3"/>
    <row r="6469" hidden="1" x14ac:dyDescent="0.3"/>
    <row r="6470" hidden="1" x14ac:dyDescent="0.3"/>
    <row r="6471" hidden="1" x14ac:dyDescent="0.3"/>
    <row r="6472" hidden="1" x14ac:dyDescent="0.3"/>
    <row r="6473" hidden="1" x14ac:dyDescent="0.3"/>
    <row r="6474" hidden="1" x14ac:dyDescent="0.3"/>
    <row r="6475" hidden="1" x14ac:dyDescent="0.3"/>
    <row r="6476" hidden="1" x14ac:dyDescent="0.3"/>
    <row r="6477" hidden="1" x14ac:dyDescent="0.3"/>
    <row r="6478" hidden="1" x14ac:dyDescent="0.3"/>
    <row r="6479" hidden="1" x14ac:dyDescent="0.3"/>
    <row r="6480" hidden="1" x14ac:dyDescent="0.3"/>
    <row r="6481" hidden="1" x14ac:dyDescent="0.3"/>
    <row r="6482" hidden="1" x14ac:dyDescent="0.3"/>
    <row r="6483" hidden="1" x14ac:dyDescent="0.3"/>
    <row r="6484" hidden="1" x14ac:dyDescent="0.3"/>
    <row r="6485" hidden="1" x14ac:dyDescent="0.3"/>
    <row r="6486" hidden="1" x14ac:dyDescent="0.3"/>
    <row r="6487" hidden="1" x14ac:dyDescent="0.3"/>
    <row r="6488" hidden="1" x14ac:dyDescent="0.3"/>
    <row r="6489" hidden="1" x14ac:dyDescent="0.3"/>
    <row r="6490" hidden="1" x14ac:dyDescent="0.3"/>
    <row r="6491" hidden="1" x14ac:dyDescent="0.3"/>
    <row r="6492" hidden="1" x14ac:dyDescent="0.3"/>
    <row r="6493" hidden="1" x14ac:dyDescent="0.3"/>
    <row r="6494" hidden="1" x14ac:dyDescent="0.3"/>
    <row r="6495" hidden="1" x14ac:dyDescent="0.3"/>
    <row r="6496" hidden="1" x14ac:dyDescent="0.3"/>
    <row r="6497" hidden="1" x14ac:dyDescent="0.3"/>
    <row r="6498" hidden="1" x14ac:dyDescent="0.3"/>
    <row r="6499" hidden="1" x14ac:dyDescent="0.3"/>
    <row r="6500" hidden="1" x14ac:dyDescent="0.3"/>
    <row r="6501" hidden="1" x14ac:dyDescent="0.3"/>
    <row r="6502" hidden="1" x14ac:dyDescent="0.3"/>
    <row r="6503" hidden="1" x14ac:dyDescent="0.3"/>
    <row r="6504" hidden="1" x14ac:dyDescent="0.3"/>
    <row r="6505" hidden="1" x14ac:dyDescent="0.3"/>
    <row r="6506" hidden="1" x14ac:dyDescent="0.3"/>
    <row r="6507" hidden="1" x14ac:dyDescent="0.3"/>
    <row r="6508" hidden="1" x14ac:dyDescent="0.3"/>
    <row r="6509" hidden="1" x14ac:dyDescent="0.3"/>
    <row r="6510" hidden="1" x14ac:dyDescent="0.3"/>
    <row r="6511" hidden="1" x14ac:dyDescent="0.3"/>
    <row r="6512" hidden="1" x14ac:dyDescent="0.3"/>
    <row r="6513" hidden="1" x14ac:dyDescent="0.3"/>
    <row r="6514" hidden="1" x14ac:dyDescent="0.3"/>
    <row r="6515" hidden="1" x14ac:dyDescent="0.3"/>
    <row r="6516" hidden="1" x14ac:dyDescent="0.3"/>
    <row r="6517" hidden="1" x14ac:dyDescent="0.3"/>
    <row r="6518" hidden="1" x14ac:dyDescent="0.3"/>
    <row r="6519" hidden="1" x14ac:dyDescent="0.3"/>
    <row r="6520" hidden="1" x14ac:dyDescent="0.3"/>
    <row r="6521" hidden="1" x14ac:dyDescent="0.3"/>
    <row r="6522" hidden="1" x14ac:dyDescent="0.3"/>
    <row r="6523" hidden="1" x14ac:dyDescent="0.3"/>
    <row r="6524" hidden="1" x14ac:dyDescent="0.3"/>
    <row r="6525" hidden="1" x14ac:dyDescent="0.3"/>
    <row r="6526" hidden="1" x14ac:dyDescent="0.3"/>
    <row r="6527" hidden="1" x14ac:dyDescent="0.3"/>
    <row r="6528" hidden="1" x14ac:dyDescent="0.3"/>
    <row r="6529" hidden="1" x14ac:dyDescent="0.3"/>
    <row r="6530" hidden="1" x14ac:dyDescent="0.3"/>
    <row r="6531" hidden="1" x14ac:dyDescent="0.3"/>
    <row r="6532" hidden="1" x14ac:dyDescent="0.3"/>
    <row r="6533" hidden="1" x14ac:dyDescent="0.3"/>
    <row r="6534" hidden="1" x14ac:dyDescent="0.3"/>
    <row r="6535" hidden="1" x14ac:dyDescent="0.3"/>
    <row r="6536" hidden="1" x14ac:dyDescent="0.3"/>
    <row r="6537" hidden="1" x14ac:dyDescent="0.3"/>
    <row r="6538" hidden="1" x14ac:dyDescent="0.3"/>
    <row r="6539" hidden="1" x14ac:dyDescent="0.3"/>
    <row r="6540" hidden="1" x14ac:dyDescent="0.3"/>
    <row r="6541" hidden="1" x14ac:dyDescent="0.3"/>
    <row r="6542" hidden="1" x14ac:dyDescent="0.3"/>
    <row r="6543" hidden="1" x14ac:dyDescent="0.3"/>
    <row r="6544" hidden="1" x14ac:dyDescent="0.3"/>
    <row r="6545" hidden="1" x14ac:dyDescent="0.3"/>
    <row r="6546" hidden="1" x14ac:dyDescent="0.3"/>
    <row r="6547" hidden="1" x14ac:dyDescent="0.3"/>
    <row r="6548" hidden="1" x14ac:dyDescent="0.3"/>
    <row r="6549" hidden="1" x14ac:dyDescent="0.3"/>
    <row r="6550" hidden="1" x14ac:dyDescent="0.3"/>
    <row r="6551" hidden="1" x14ac:dyDescent="0.3"/>
    <row r="6552" hidden="1" x14ac:dyDescent="0.3"/>
    <row r="6553" hidden="1" x14ac:dyDescent="0.3"/>
    <row r="6554" hidden="1" x14ac:dyDescent="0.3"/>
    <row r="6555" hidden="1" x14ac:dyDescent="0.3"/>
    <row r="6556" hidden="1" x14ac:dyDescent="0.3"/>
    <row r="6557" hidden="1" x14ac:dyDescent="0.3"/>
    <row r="6558" hidden="1" x14ac:dyDescent="0.3"/>
    <row r="6559" hidden="1" x14ac:dyDescent="0.3"/>
    <row r="6560" hidden="1" x14ac:dyDescent="0.3"/>
    <row r="6561" hidden="1" x14ac:dyDescent="0.3"/>
    <row r="6562" hidden="1" x14ac:dyDescent="0.3"/>
    <row r="6563" hidden="1" x14ac:dyDescent="0.3"/>
    <row r="6564" hidden="1" x14ac:dyDescent="0.3"/>
    <row r="6565" hidden="1" x14ac:dyDescent="0.3"/>
    <row r="6566" hidden="1" x14ac:dyDescent="0.3"/>
    <row r="6567" hidden="1" x14ac:dyDescent="0.3"/>
    <row r="6568" hidden="1" x14ac:dyDescent="0.3"/>
    <row r="6569" hidden="1" x14ac:dyDescent="0.3"/>
    <row r="6570" hidden="1" x14ac:dyDescent="0.3"/>
    <row r="6571" hidden="1" x14ac:dyDescent="0.3"/>
    <row r="6572" hidden="1" x14ac:dyDescent="0.3"/>
    <row r="6573" hidden="1" x14ac:dyDescent="0.3"/>
    <row r="6574" hidden="1" x14ac:dyDescent="0.3"/>
    <row r="6575" hidden="1" x14ac:dyDescent="0.3"/>
    <row r="6576" hidden="1" x14ac:dyDescent="0.3"/>
    <row r="6577" hidden="1" x14ac:dyDescent="0.3"/>
    <row r="6578" hidden="1" x14ac:dyDescent="0.3"/>
    <row r="6579" hidden="1" x14ac:dyDescent="0.3"/>
    <row r="6580" hidden="1" x14ac:dyDescent="0.3"/>
    <row r="6581" hidden="1" x14ac:dyDescent="0.3"/>
    <row r="6582" hidden="1" x14ac:dyDescent="0.3"/>
    <row r="6583" hidden="1" x14ac:dyDescent="0.3"/>
    <row r="6584" hidden="1" x14ac:dyDescent="0.3"/>
    <row r="6585" hidden="1" x14ac:dyDescent="0.3"/>
    <row r="6586" hidden="1" x14ac:dyDescent="0.3"/>
    <row r="6587" hidden="1" x14ac:dyDescent="0.3"/>
    <row r="6588" hidden="1" x14ac:dyDescent="0.3"/>
    <row r="6589" hidden="1" x14ac:dyDescent="0.3"/>
    <row r="6590" hidden="1" x14ac:dyDescent="0.3"/>
    <row r="6591" hidden="1" x14ac:dyDescent="0.3"/>
    <row r="6592" hidden="1" x14ac:dyDescent="0.3"/>
    <row r="6593" hidden="1" x14ac:dyDescent="0.3"/>
    <row r="6594" hidden="1" x14ac:dyDescent="0.3"/>
    <row r="6595" hidden="1" x14ac:dyDescent="0.3"/>
    <row r="6596" hidden="1" x14ac:dyDescent="0.3"/>
    <row r="6597" hidden="1" x14ac:dyDescent="0.3"/>
    <row r="6598" hidden="1" x14ac:dyDescent="0.3"/>
    <row r="6599" hidden="1" x14ac:dyDescent="0.3"/>
    <row r="6600" hidden="1" x14ac:dyDescent="0.3"/>
    <row r="6601" hidden="1" x14ac:dyDescent="0.3"/>
    <row r="6602" hidden="1" x14ac:dyDescent="0.3"/>
    <row r="6603" hidden="1" x14ac:dyDescent="0.3"/>
    <row r="6604" hidden="1" x14ac:dyDescent="0.3"/>
    <row r="6605" hidden="1" x14ac:dyDescent="0.3"/>
    <row r="6606" hidden="1" x14ac:dyDescent="0.3"/>
    <row r="6607" hidden="1" x14ac:dyDescent="0.3"/>
    <row r="6608" hidden="1" x14ac:dyDescent="0.3"/>
    <row r="6609" hidden="1" x14ac:dyDescent="0.3"/>
    <row r="6610" hidden="1" x14ac:dyDescent="0.3"/>
    <row r="6611" hidden="1" x14ac:dyDescent="0.3"/>
    <row r="6612" hidden="1" x14ac:dyDescent="0.3"/>
    <row r="6613" hidden="1" x14ac:dyDescent="0.3"/>
    <row r="6614" hidden="1" x14ac:dyDescent="0.3"/>
    <row r="6615" hidden="1" x14ac:dyDescent="0.3"/>
    <row r="6616" hidden="1" x14ac:dyDescent="0.3"/>
    <row r="6617" hidden="1" x14ac:dyDescent="0.3"/>
    <row r="6618" hidden="1" x14ac:dyDescent="0.3"/>
    <row r="6619" hidden="1" x14ac:dyDescent="0.3"/>
    <row r="6620" hidden="1" x14ac:dyDescent="0.3"/>
    <row r="6621" hidden="1" x14ac:dyDescent="0.3"/>
    <row r="6622" hidden="1" x14ac:dyDescent="0.3"/>
    <row r="6623" hidden="1" x14ac:dyDescent="0.3"/>
    <row r="6624" hidden="1" x14ac:dyDescent="0.3"/>
    <row r="6625" hidden="1" x14ac:dyDescent="0.3"/>
    <row r="6626" hidden="1" x14ac:dyDescent="0.3"/>
    <row r="6627" hidden="1" x14ac:dyDescent="0.3"/>
    <row r="6628" hidden="1" x14ac:dyDescent="0.3"/>
    <row r="6629" hidden="1" x14ac:dyDescent="0.3"/>
    <row r="6630" hidden="1" x14ac:dyDescent="0.3"/>
    <row r="6631" hidden="1" x14ac:dyDescent="0.3"/>
    <row r="6632" hidden="1" x14ac:dyDescent="0.3"/>
    <row r="6633" hidden="1" x14ac:dyDescent="0.3"/>
    <row r="6634" hidden="1" x14ac:dyDescent="0.3"/>
    <row r="6635" hidden="1" x14ac:dyDescent="0.3"/>
    <row r="6636" hidden="1" x14ac:dyDescent="0.3"/>
    <row r="6637" hidden="1" x14ac:dyDescent="0.3"/>
    <row r="6638" hidden="1" x14ac:dyDescent="0.3"/>
    <row r="6639" hidden="1" x14ac:dyDescent="0.3"/>
    <row r="6640" hidden="1" x14ac:dyDescent="0.3"/>
    <row r="6641" hidden="1" x14ac:dyDescent="0.3"/>
    <row r="6642" hidden="1" x14ac:dyDescent="0.3"/>
    <row r="6643" hidden="1" x14ac:dyDescent="0.3"/>
    <row r="6644" hidden="1" x14ac:dyDescent="0.3"/>
    <row r="6645" hidden="1" x14ac:dyDescent="0.3"/>
    <row r="6646" hidden="1" x14ac:dyDescent="0.3"/>
    <row r="6647" hidden="1" x14ac:dyDescent="0.3"/>
    <row r="6648" hidden="1" x14ac:dyDescent="0.3"/>
    <row r="6649" hidden="1" x14ac:dyDescent="0.3"/>
    <row r="6650" hidden="1" x14ac:dyDescent="0.3"/>
    <row r="6651" hidden="1" x14ac:dyDescent="0.3"/>
    <row r="6652" hidden="1" x14ac:dyDescent="0.3"/>
    <row r="6653" hidden="1" x14ac:dyDescent="0.3"/>
    <row r="6654" hidden="1" x14ac:dyDescent="0.3"/>
    <row r="6655" hidden="1" x14ac:dyDescent="0.3"/>
    <row r="6656" hidden="1" x14ac:dyDescent="0.3"/>
    <row r="6657" hidden="1" x14ac:dyDescent="0.3"/>
    <row r="6658" hidden="1" x14ac:dyDescent="0.3"/>
    <row r="6659" hidden="1" x14ac:dyDescent="0.3"/>
    <row r="6660" hidden="1" x14ac:dyDescent="0.3"/>
    <row r="6661" hidden="1" x14ac:dyDescent="0.3"/>
    <row r="6662" hidden="1" x14ac:dyDescent="0.3"/>
    <row r="6663" hidden="1" x14ac:dyDescent="0.3"/>
    <row r="6664" hidden="1" x14ac:dyDescent="0.3"/>
    <row r="6665" hidden="1" x14ac:dyDescent="0.3"/>
    <row r="6666" hidden="1" x14ac:dyDescent="0.3"/>
    <row r="6667" hidden="1" x14ac:dyDescent="0.3"/>
    <row r="6668" hidden="1" x14ac:dyDescent="0.3"/>
    <row r="6669" hidden="1" x14ac:dyDescent="0.3"/>
    <row r="6670" hidden="1" x14ac:dyDescent="0.3"/>
    <row r="6671" hidden="1" x14ac:dyDescent="0.3"/>
    <row r="6672" hidden="1" x14ac:dyDescent="0.3"/>
    <row r="6673" hidden="1" x14ac:dyDescent="0.3"/>
    <row r="6674" hidden="1" x14ac:dyDescent="0.3"/>
    <row r="6675" hidden="1" x14ac:dyDescent="0.3"/>
    <row r="6676" hidden="1" x14ac:dyDescent="0.3"/>
    <row r="6677" hidden="1" x14ac:dyDescent="0.3"/>
    <row r="6678" hidden="1" x14ac:dyDescent="0.3"/>
    <row r="6679" hidden="1" x14ac:dyDescent="0.3"/>
    <row r="6680" hidden="1" x14ac:dyDescent="0.3"/>
    <row r="6681" hidden="1" x14ac:dyDescent="0.3"/>
    <row r="6682" hidden="1" x14ac:dyDescent="0.3"/>
    <row r="6683" hidden="1" x14ac:dyDescent="0.3"/>
    <row r="6684" hidden="1" x14ac:dyDescent="0.3"/>
    <row r="6685" hidden="1" x14ac:dyDescent="0.3"/>
    <row r="6686" hidden="1" x14ac:dyDescent="0.3"/>
    <row r="6687" hidden="1" x14ac:dyDescent="0.3"/>
    <row r="6688" hidden="1" x14ac:dyDescent="0.3"/>
    <row r="6689" hidden="1" x14ac:dyDescent="0.3"/>
    <row r="6690" hidden="1" x14ac:dyDescent="0.3"/>
    <row r="6691" hidden="1" x14ac:dyDescent="0.3"/>
    <row r="6692" hidden="1" x14ac:dyDescent="0.3"/>
    <row r="6693" hidden="1" x14ac:dyDescent="0.3"/>
    <row r="6694" hidden="1" x14ac:dyDescent="0.3"/>
    <row r="6695" hidden="1" x14ac:dyDescent="0.3"/>
    <row r="6696" hidden="1" x14ac:dyDescent="0.3"/>
    <row r="6697" hidden="1" x14ac:dyDescent="0.3"/>
    <row r="6698" hidden="1" x14ac:dyDescent="0.3"/>
    <row r="6699" hidden="1" x14ac:dyDescent="0.3"/>
    <row r="6700" hidden="1" x14ac:dyDescent="0.3"/>
    <row r="6701" hidden="1" x14ac:dyDescent="0.3"/>
    <row r="6702" hidden="1" x14ac:dyDescent="0.3"/>
    <row r="6703" hidden="1" x14ac:dyDescent="0.3"/>
    <row r="6704" hidden="1" x14ac:dyDescent="0.3"/>
    <row r="6705" hidden="1" x14ac:dyDescent="0.3"/>
    <row r="6706" hidden="1" x14ac:dyDescent="0.3"/>
    <row r="6707" hidden="1" x14ac:dyDescent="0.3"/>
    <row r="6708" hidden="1" x14ac:dyDescent="0.3"/>
    <row r="6709" hidden="1" x14ac:dyDescent="0.3"/>
    <row r="6710" hidden="1" x14ac:dyDescent="0.3"/>
    <row r="6711" hidden="1" x14ac:dyDescent="0.3"/>
    <row r="6712" hidden="1" x14ac:dyDescent="0.3"/>
    <row r="6713" hidden="1" x14ac:dyDescent="0.3"/>
    <row r="6714" hidden="1" x14ac:dyDescent="0.3"/>
    <row r="6715" hidden="1" x14ac:dyDescent="0.3"/>
    <row r="6716" hidden="1" x14ac:dyDescent="0.3"/>
    <row r="6717" hidden="1" x14ac:dyDescent="0.3"/>
    <row r="6718" hidden="1" x14ac:dyDescent="0.3"/>
    <row r="6719" hidden="1" x14ac:dyDescent="0.3"/>
    <row r="6720" hidden="1" x14ac:dyDescent="0.3"/>
    <row r="6721" hidden="1" x14ac:dyDescent="0.3"/>
    <row r="6722" hidden="1" x14ac:dyDescent="0.3"/>
    <row r="6723" hidden="1" x14ac:dyDescent="0.3"/>
    <row r="6724" hidden="1" x14ac:dyDescent="0.3"/>
    <row r="6725" hidden="1" x14ac:dyDescent="0.3"/>
    <row r="6726" hidden="1" x14ac:dyDescent="0.3"/>
    <row r="6727" hidden="1" x14ac:dyDescent="0.3"/>
    <row r="6728" hidden="1" x14ac:dyDescent="0.3"/>
    <row r="6729" hidden="1" x14ac:dyDescent="0.3"/>
    <row r="6730" hidden="1" x14ac:dyDescent="0.3"/>
    <row r="6731" hidden="1" x14ac:dyDescent="0.3"/>
    <row r="6732" hidden="1" x14ac:dyDescent="0.3"/>
    <row r="6733" hidden="1" x14ac:dyDescent="0.3"/>
    <row r="6734" hidden="1" x14ac:dyDescent="0.3"/>
    <row r="6735" hidden="1" x14ac:dyDescent="0.3"/>
    <row r="6736" hidden="1" x14ac:dyDescent="0.3"/>
    <row r="6737" hidden="1" x14ac:dyDescent="0.3"/>
    <row r="6738" hidden="1" x14ac:dyDescent="0.3"/>
    <row r="6739" hidden="1" x14ac:dyDescent="0.3"/>
    <row r="6740" hidden="1" x14ac:dyDescent="0.3"/>
    <row r="6741" hidden="1" x14ac:dyDescent="0.3"/>
    <row r="6742" hidden="1" x14ac:dyDescent="0.3"/>
    <row r="6743" hidden="1" x14ac:dyDescent="0.3"/>
    <row r="6744" hidden="1" x14ac:dyDescent="0.3"/>
    <row r="6745" hidden="1" x14ac:dyDescent="0.3"/>
    <row r="6746" hidden="1" x14ac:dyDescent="0.3"/>
    <row r="6747" hidden="1" x14ac:dyDescent="0.3"/>
    <row r="6748" hidden="1" x14ac:dyDescent="0.3"/>
    <row r="6749" hidden="1" x14ac:dyDescent="0.3"/>
    <row r="6750" hidden="1" x14ac:dyDescent="0.3"/>
    <row r="6751" hidden="1" x14ac:dyDescent="0.3"/>
    <row r="6752" hidden="1" x14ac:dyDescent="0.3"/>
    <row r="6753" hidden="1" x14ac:dyDescent="0.3"/>
    <row r="6754" hidden="1" x14ac:dyDescent="0.3"/>
    <row r="6755" hidden="1" x14ac:dyDescent="0.3"/>
    <row r="6756" hidden="1" x14ac:dyDescent="0.3"/>
    <row r="6757" hidden="1" x14ac:dyDescent="0.3"/>
    <row r="6758" hidden="1" x14ac:dyDescent="0.3"/>
    <row r="6759" hidden="1" x14ac:dyDescent="0.3"/>
    <row r="6760" hidden="1" x14ac:dyDescent="0.3"/>
    <row r="6761" hidden="1" x14ac:dyDescent="0.3"/>
    <row r="6762" hidden="1" x14ac:dyDescent="0.3"/>
    <row r="6763" hidden="1" x14ac:dyDescent="0.3"/>
    <row r="6764" hidden="1" x14ac:dyDescent="0.3"/>
    <row r="6765" hidden="1" x14ac:dyDescent="0.3"/>
    <row r="6766" hidden="1" x14ac:dyDescent="0.3"/>
    <row r="6767" hidden="1" x14ac:dyDescent="0.3"/>
    <row r="6768" hidden="1" x14ac:dyDescent="0.3"/>
    <row r="6769" hidden="1" x14ac:dyDescent="0.3"/>
    <row r="6770" hidden="1" x14ac:dyDescent="0.3"/>
    <row r="6771" hidden="1" x14ac:dyDescent="0.3"/>
    <row r="6772" hidden="1" x14ac:dyDescent="0.3"/>
    <row r="6773" hidden="1" x14ac:dyDescent="0.3"/>
    <row r="6774" hidden="1" x14ac:dyDescent="0.3"/>
    <row r="6775" hidden="1" x14ac:dyDescent="0.3"/>
    <row r="6776" hidden="1" x14ac:dyDescent="0.3"/>
    <row r="6777" hidden="1" x14ac:dyDescent="0.3"/>
    <row r="6778" hidden="1" x14ac:dyDescent="0.3"/>
    <row r="6779" hidden="1" x14ac:dyDescent="0.3"/>
    <row r="6780" hidden="1" x14ac:dyDescent="0.3"/>
    <row r="6781" hidden="1" x14ac:dyDescent="0.3"/>
    <row r="6782" hidden="1" x14ac:dyDescent="0.3"/>
    <row r="6783" hidden="1" x14ac:dyDescent="0.3"/>
    <row r="6784" hidden="1" x14ac:dyDescent="0.3"/>
    <row r="6785" hidden="1" x14ac:dyDescent="0.3"/>
    <row r="6786" hidden="1" x14ac:dyDescent="0.3"/>
    <row r="6787" hidden="1" x14ac:dyDescent="0.3"/>
    <row r="6788" hidden="1" x14ac:dyDescent="0.3"/>
    <row r="6789" hidden="1" x14ac:dyDescent="0.3"/>
    <row r="6790" hidden="1" x14ac:dyDescent="0.3"/>
    <row r="6791" hidden="1" x14ac:dyDescent="0.3"/>
    <row r="6792" hidden="1" x14ac:dyDescent="0.3"/>
    <row r="6793" hidden="1" x14ac:dyDescent="0.3"/>
    <row r="6794" hidden="1" x14ac:dyDescent="0.3"/>
    <row r="6795" hidden="1" x14ac:dyDescent="0.3"/>
    <row r="6796" hidden="1" x14ac:dyDescent="0.3"/>
    <row r="6797" hidden="1" x14ac:dyDescent="0.3"/>
    <row r="6798" hidden="1" x14ac:dyDescent="0.3"/>
    <row r="6799" hidden="1" x14ac:dyDescent="0.3"/>
    <row r="6800" hidden="1" x14ac:dyDescent="0.3"/>
    <row r="6801" hidden="1" x14ac:dyDescent="0.3"/>
    <row r="6802" hidden="1" x14ac:dyDescent="0.3"/>
    <row r="6803" hidden="1" x14ac:dyDescent="0.3"/>
    <row r="6804" hidden="1" x14ac:dyDescent="0.3"/>
    <row r="6805" hidden="1" x14ac:dyDescent="0.3"/>
    <row r="6806" hidden="1" x14ac:dyDescent="0.3"/>
    <row r="6807" hidden="1" x14ac:dyDescent="0.3"/>
    <row r="6808" hidden="1" x14ac:dyDescent="0.3"/>
    <row r="6809" hidden="1" x14ac:dyDescent="0.3"/>
    <row r="6810" hidden="1" x14ac:dyDescent="0.3"/>
    <row r="6811" hidden="1" x14ac:dyDescent="0.3"/>
    <row r="6812" hidden="1" x14ac:dyDescent="0.3"/>
    <row r="6813" hidden="1" x14ac:dyDescent="0.3"/>
    <row r="6814" hidden="1" x14ac:dyDescent="0.3"/>
    <row r="6815" hidden="1" x14ac:dyDescent="0.3"/>
    <row r="6816" hidden="1" x14ac:dyDescent="0.3"/>
    <row r="6817" hidden="1" x14ac:dyDescent="0.3"/>
    <row r="6818" hidden="1" x14ac:dyDescent="0.3"/>
    <row r="6819" hidden="1" x14ac:dyDescent="0.3"/>
    <row r="6820" hidden="1" x14ac:dyDescent="0.3"/>
    <row r="6821" hidden="1" x14ac:dyDescent="0.3"/>
    <row r="6822" hidden="1" x14ac:dyDescent="0.3"/>
    <row r="6823" hidden="1" x14ac:dyDescent="0.3"/>
    <row r="6824" hidden="1" x14ac:dyDescent="0.3"/>
    <row r="6825" hidden="1" x14ac:dyDescent="0.3"/>
    <row r="6826" hidden="1" x14ac:dyDescent="0.3"/>
    <row r="6827" hidden="1" x14ac:dyDescent="0.3"/>
    <row r="6828" hidden="1" x14ac:dyDescent="0.3"/>
    <row r="6829" hidden="1" x14ac:dyDescent="0.3"/>
    <row r="6830" hidden="1" x14ac:dyDescent="0.3"/>
    <row r="6831" hidden="1" x14ac:dyDescent="0.3"/>
    <row r="6832" hidden="1" x14ac:dyDescent="0.3"/>
    <row r="6833" hidden="1" x14ac:dyDescent="0.3"/>
    <row r="6834" hidden="1" x14ac:dyDescent="0.3"/>
    <row r="6835" hidden="1" x14ac:dyDescent="0.3"/>
    <row r="6836" hidden="1" x14ac:dyDescent="0.3"/>
    <row r="6837" hidden="1" x14ac:dyDescent="0.3"/>
    <row r="6838" hidden="1" x14ac:dyDescent="0.3"/>
    <row r="6839" hidden="1" x14ac:dyDescent="0.3"/>
    <row r="6840" hidden="1" x14ac:dyDescent="0.3"/>
    <row r="6841" hidden="1" x14ac:dyDescent="0.3"/>
    <row r="6842" hidden="1" x14ac:dyDescent="0.3"/>
    <row r="6843" hidden="1" x14ac:dyDescent="0.3"/>
    <row r="6844" hidden="1" x14ac:dyDescent="0.3"/>
    <row r="6845" hidden="1" x14ac:dyDescent="0.3"/>
    <row r="6846" hidden="1" x14ac:dyDescent="0.3"/>
    <row r="6847" hidden="1" x14ac:dyDescent="0.3"/>
    <row r="6848" hidden="1" x14ac:dyDescent="0.3"/>
    <row r="6849" hidden="1" x14ac:dyDescent="0.3"/>
    <row r="6850" hidden="1" x14ac:dyDescent="0.3"/>
    <row r="6851" hidden="1" x14ac:dyDescent="0.3"/>
    <row r="6852" hidden="1" x14ac:dyDescent="0.3"/>
    <row r="6853" hidden="1" x14ac:dyDescent="0.3"/>
    <row r="6854" hidden="1" x14ac:dyDescent="0.3"/>
    <row r="6855" hidden="1" x14ac:dyDescent="0.3"/>
    <row r="6856" hidden="1" x14ac:dyDescent="0.3"/>
    <row r="6857" hidden="1" x14ac:dyDescent="0.3"/>
    <row r="6858" hidden="1" x14ac:dyDescent="0.3"/>
    <row r="6859" hidden="1" x14ac:dyDescent="0.3"/>
    <row r="6860" hidden="1" x14ac:dyDescent="0.3"/>
    <row r="6861" hidden="1" x14ac:dyDescent="0.3"/>
    <row r="6862" hidden="1" x14ac:dyDescent="0.3"/>
    <row r="6863" hidden="1" x14ac:dyDescent="0.3"/>
    <row r="6864" hidden="1" x14ac:dyDescent="0.3"/>
    <row r="6865" hidden="1" x14ac:dyDescent="0.3"/>
    <row r="6866" hidden="1" x14ac:dyDescent="0.3"/>
    <row r="6867" hidden="1" x14ac:dyDescent="0.3"/>
    <row r="6868" hidden="1" x14ac:dyDescent="0.3"/>
    <row r="6869" hidden="1" x14ac:dyDescent="0.3"/>
    <row r="6870" hidden="1" x14ac:dyDescent="0.3"/>
    <row r="6871" hidden="1" x14ac:dyDescent="0.3"/>
    <row r="6872" hidden="1" x14ac:dyDescent="0.3"/>
    <row r="6873" hidden="1" x14ac:dyDescent="0.3"/>
    <row r="6874" hidden="1" x14ac:dyDescent="0.3"/>
    <row r="6875" hidden="1" x14ac:dyDescent="0.3"/>
    <row r="6876" hidden="1" x14ac:dyDescent="0.3"/>
    <row r="6877" hidden="1" x14ac:dyDescent="0.3"/>
    <row r="6878" hidden="1" x14ac:dyDescent="0.3"/>
    <row r="6879" hidden="1" x14ac:dyDescent="0.3"/>
    <row r="6880" hidden="1" x14ac:dyDescent="0.3"/>
    <row r="6881" hidden="1" x14ac:dyDescent="0.3"/>
    <row r="6882" hidden="1" x14ac:dyDescent="0.3"/>
    <row r="6883" hidden="1" x14ac:dyDescent="0.3"/>
    <row r="6884" hidden="1" x14ac:dyDescent="0.3"/>
    <row r="6885" hidden="1" x14ac:dyDescent="0.3"/>
    <row r="6886" hidden="1" x14ac:dyDescent="0.3"/>
    <row r="6887" hidden="1" x14ac:dyDescent="0.3"/>
    <row r="6888" hidden="1" x14ac:dyDescent="0.3"/>
    <row r="6889" hidden="1" x14ac:dyDescent="0.3"/>
    <row r="6890" hidden="1" x14ac:dyDescent="0.3"/>
    <row r="6891" hidden="1" x14ac:dyDescent="0.3"/>
    <row r="6892" hidden="1" x14ac:dyDescent="0.3"/>
    <row r="6893" hidden="1" x14ac:dyDescent="0.3"/>
    <row r="6894" hidden="1" x14ac:dyDescent="0.3"/>
    <row r="6895" hidden="1" x14ac:dyDescent="0.3"/>
    <row r="6896" hidden="1" x14ac:dyDescent="0.3"/>
    <row r="6897" hidden="1" x14ac:dyDescent="0.3"/>
    <row r="6898" hidden="1" x14ac:dyDescent="0.3"/>
    <row r="6899" hidden="1" x14ac:dyDescent="0.3"/>
    <row r="6900" hidden="1" x14ac:dyDescent="0.3"/>
    <row r="6901" hidden="1" x14ac:dyDescent="0.3"/>
    <row r="6902" hidden="1" x14ac:dyDescent="0.3"/>
    <row r="6903" hidden="1" x14ac:dyDescent="0.3"/>
    <row r="6904" hidden="1" x14ac:dyDescent="0.3"/>
    <row r="6905" hidden="1" x14ac:dyDescent="0.3"/>
    <row r="6906" hidden="1" x14ac:dyDescent="0.3"/>
    <row r="6907" hidden="1" x14ac:dyDescent="0.3"/>
    <row r="6908" hidden="1" x14ac:dyDescent="0.3"/>
    <row r="6909" hidden="1" x14ac:dyDescent="0.3"/>
    <row r="6910" hidden="1" x14ac:dyDescent="0.3"/>
    <row r="6911" hidden="1" x14ac:dyDescent="0.3"/>
    <row r="6912" hidden="1" x14ac:dyDescent="0.3"/>
    <row r="6913" hidden="1" x14ac:dyDescent="0.3"/>
    <row r="6914" hidden="1" x14ac:dyDescent="0.3"/>
    <row r="6915" hidden="1" x14ac:dyDescent="0.3"/>
    <row r="6916" hidden="1" x14ac:dyDescent="0.3"/>
    <row r="6917" hidden="1" x14ac:dyDescent="0.3"/>
    <row r="6918" hidden="1" x14ac:dyDescent="0.3"/>
    <row r="6919" hidden="1" x14ac:dyDescent="0.3"/>
    <row r="6920" hidden="1" x14ac:dyDescent="0.3"/>
    <row r="6921" hidden="1" x14ac:dyDescent="0.3"/>
    <row r="6922" hidden="1" x14ac:dyDescent="0.3"/>
    <row r="6923" hidden="1" x14ac:dyDescent="0.3"/>
    <row r="6924" hidden="1" x14ac:dyDescent="0.3"/>
    <row r="6925" hidden="1" x14ac:dyDescent="0.3"/>
    <row r="6926" hidden="1" x14ac:dyDescent="0.3"/>
    <row r="6927" hidden="1" x14ac:dyDescent="0.3"/>
    <row r="6928" hidden="1" x14ac:dyDescent="0.3"/>
    <row r="6929" hidden="1" x14ac:dyDescent="0.3"/>
    <row r="6930" hidden="1" x14ac:dyDescent="0.3"/>
    <row r="6931" hidden="1" x14ac:dyDescent="0.3"/>
    <row r="6932" hidden="1" x14ac:dyDescent="0.3"/>
    <row r="6933" hidden="1" x14ac:dyDescent="0.3"/>
    <row r="6934" hidden="1" x14ac:dyDescent="0.3"/>
    <row r="6935" hidden="1" x14ac:dyDescent="0.3"/>
    <row r="6936" hidden="1" x14ac:dyDescent="0.3"/>
    <row r="6937" hidden="1" x14ac:dyDescent="0.3"/>
    <row r="6938" hidden="1" x14ac:dyDescent="0.3"/>
    <row r="6939" hidden="1" x14ac:dyDescent="0.3"/>
    <row r="6940" hidden="1" x14ac:dyDescent="0.3"/>
    <row r="6941" hidden="1" x14ac:dyDescent="0.3"/>
    <row r="6942" hidden="1" x14ac:dyDescent="0.3"/>
    <row r="6943" hidden="1" x14ac:dyDescent="0.3"/>
    <row r="6944" hidden="1" x14ac:dyDescent="0.3"/>
    <row r="6945" hidden="1" x14ac:dyDescent="0.3"/>
    <row r="6946" hidden="1" x14ac:dyDescent="0.3"/>
    <row r="6947" hidden="1" x14ac:dyDescent="0.3"/>
    <row r="6948" hidden="1" x14ac:dyDescent="0.3"/>
    <row r="6949" hidden="1" x14ac:dyDescent="0.3"/>
    <row r="6950" hidden="1" x14ac:dyDescent="0.3"/>
    <row r="6951" hidden="1" x14ac:dyDescent="0.3"/>
    <row r="6952" hidden="1" x14ac:dyDescent="0.3"/>
    <row r="6953" hidden="1" x14ac:dyDescent="0.3"/>
    <row r="6954" hidden="1" x14ac:dyDescent="0.3"/>
    <row r="6955" hidden="1" x14ac:dyDescent="0.3"/>
    <row r="6956" hidden="1" x14ac:dyDescent="0.3"/>
    <row r="6957" hidden="1" x14ac:dyDescent="0.3"/>
    <row r="6958" hidden="1" x14ac:dyDescent="0.3"/>
    <row r="6959" hidden="1" x14ac:dyDescent="0.3"/>
    <row r="6960" hidden="1" x14ac:dyDescent="0.3"/>
    <row r="6961" hidden="1" x14ac:dyDescent="0.3"/>
    <row r="6962" hidden="1" x14ac:dyDescent="0.3"/>
    <row r="6963" hidden="1" x14ac:dyDescent="0.3"/>
    <row r="6964" hidden="1" x14ac:dyDescent="0.3"/>
    <row r="6965" hidden="1" x14ac:dyDescent="0.3"/>
    <row r="6966" hidden="1" x14ac:dyDescent="0.3"/>
    <row r="6967" hidden="1" x14ac:dyDescent="0.3"/>
    <row r="6968" hidden="1" x14ac:dyDescent="0.3"/>
    <row r="6969" hidden="1" x14ac:dyDescent="0.3"/>
    <row r="6970" hidden="1" x14ac:dyDescent="0.3"/>
    <row r="6971" hidden="1" x14ac:dyDescent="0.3"/>
    <row r="6972" hidden="1" x14ac:dyDescent="0.3"/>
    <row r="6973" hidden="1" x14ac:dyDescent="0.3"/>
    <row r="6974" hidden="1" x14ac:dyDescent="0.3"/>
    <row r="6975" hidden="1" x14ac:dyDescent="0.3"/>
    <row r="6976" hidden="1" x14ac:dyDescent="0.3"/>
    <row r="6977" hidden="1" x14ac:dyDescent="0.3"/>
    <row r="6978" hidden="1" x14ac:dyDescent="0.3"/>
    <row r="6979" hidden="1" x14ac:dyDescent="0.3"/>
    <row r="6980" hidden="1" x14ac:dyDescent="0.3"/>
    <row r="6981" hidden="1" x14ac:dyDescent="0.3"/>
    <row r="6982" hidden="1" x14ac:dyDescent="0.3"/>
    <row r="6983" hidden="1" x14ac:dyDescent="0.3"/>
    <row r="6984" hidden="1" x14ac:dyDescent="0.3"/>
    <row r="6985" hidden="1" x14ac:dyDescent="0.3"/>
    <row r="6986" hidden="1" x14ac:dyDescent="0.3"/>
    <row r="6987" hidden="1" x14ac:dyDescent="0.3"/>
    <row r="6988" hidden="1" x14ac:dyDescent="0.3"/>
    <row r="6989" hidden="1" x14ac:dyDescent="0.3"/>
    <row r="6990" hidden="1" x14ac:dyDescent="0.3"/>
    <row r="6991" hidden="1" x14ac:dyDescent="0.3"/>
    <row r="6992" hidden="1" x14ac:dyDescent="0.3"/>
    <row r="6993" hidden="1" x14ac:dyDescent="0.3"/>
    <row r="6994" hidden="1" x14ac:dyDescent="0.3"/>
    <row r="6995" hidden="1" x14ac:dyDescent="0.3"/>
    <row r="6996" hidden="1" x14ac:dyDescent="0.3"/>
    <row r="6997" hidden="1" x14ac:dyDescent="0.3"/>
    <row r="6998" hidden="1" x14ac:dyDescent="0.3"/>
    <row r="6999" hidden="1" x14ac:dyDescent="0.3"/>
    <row r="7000" hidden="1" x14ac:dyDescent="0.3"/>
    <row r="7001" hidden="1" x14ac:dyDescent="0.3"/>
    <row r="7002" hidden="1" x14ac:dyDescent="0.3"/>
    <row r="7003" hidden="1" x14ac:dyDescent="0.3"/>
    <row r="7004" hidden="1" x14ac:dyDescent="0.3"/>
    <row r="7005" hidden="1" x14ac:dyDescent="0.3"/>
    <row r="7006" hidden="1" x14ac:dyDescent="0.3"/>
    <row r="7007" hidden="1" x14ac:dyDescent="0.3"/>
    <row r="7008" hidden="1" x14ac:dyDescent="0.3"/>
    <row r="7009" hidden="1" x14ac:dyDescent="0.3"/>
    <row r="7010" hidden="1" x14ac:dyDescent="0.3"/>
    <row r="7011" hidden="1" x14ac:dyDescent="0.3"/>
    <row r="7012" hidden="1" x14ac:dyDescent="0.3"/>
    <row r="7013" hidden="1" x14ac:dyDescent="0.3"/>
    <row r="7014" hidden="1" x14ac:dyDescent="0.3"/>
    <row r="7015" hidden="1" x14ac:dyDescent="0.3"/>
    <row r="7016" hidden="1" x14ac:dyDescent="0.3"/>
    <row r="7017" hidden="1" x14ac:dyDescent="0.3"/>
    <row r="7018" hidden="1" x14ac:dyDescent="0.3"/>
    <row r="7019" hidden="1" x14ac:dyDescent="0.3"/>
    <row r="7020" hidden="1" x14ac:dyDescent="0.3"/>
    <row r="7021" hidden="1" x14ac:dyDescent="0.3"/>
    <row r="7022" hidden="1" x14ac:dyDescent="0.3"/>
    <row r="7023" hidden="1" x14ac:dyDescent="0.3"/>
    <row r="7024" hidden="1" x14ac:dyDescent="0.3"/>
    <row r="7025" hidden="1" x14ac:dyDescent="0.3"/>
    <row r="7026" hidden="1" x14ac:dyDescent="0.3"/>
    <row r="7027" hidden="1" x14ac:dyDescent="0.3"/>
    <row r="7028" hidden="1" x14ac:dyDescent="0.3"/>
    <row r="7029" hidden="1" x14ac:dyDescent="0.3"/>
    <row r="7030" hidden="1" x14ac:dyDescent="0.3"/>
    <row r="7031" hidden="1" x14ac:dyDescent="0.3"/>
    <row r="7032" hidden="1" x14ac:dyDescent="0.3"/>
    <row r="7033" hidden="1" x14ac:dyDescent="0.3"/>
    <row r="7034" hidden="1" x14ac:dyDescent="0.3"/>
    <row r="7035" hidden="1" x14ac:dyDescent="0.3"/>
    <row r="7036" hidden="1" x14ac:dyDescent="0.3"/>
    <row r="7037" hidden="1" x14ac:dyDescent="0.3"/>
    <row r="7038" hidden="1" x14ac:dyDescent="0.3"/>
    <row r="7039" hidden="1" x14ac:dyDescent="0.3"/>
    <row r="7040" hidden="1" x14ac:dyDescent="0.3"/>
    <row r="7041" hidden="1" x14ac:dyDescent="0.3"/>
    <row r="7042" hidden="1" x14ac:dyDescent="0.3"/>
    <row r="7043" hidden="1" x14ac:dyDescent="0.3"/>
    <row r="7044" hidden="1" x14ac:dyDescent="0.3"/>
    <row r="7045" hidden="1" x14ac:dyDescent="0.3"/>
    <row r="7046" hidden="1" x14ac:dyDescent="0.3"/>
    <row r="7047" hidden="1" x14ac:dyDescent="0.3"/>
    <row r="7048" hidden="1" x14ac:dyDescent="0.3"/>
    <row r="7049" hidden="1" x14ac:dyDescent="0.3"/>
    <row r="7050" hidden="1" x14ac:dyDescent="0.3"/>
    <row r="7051" hidden="1" x14ac:dyDescent="0.3"/>
    <row r="7052" hidden="1" x14ac:dyDescent="0.3"/>
    <row r="7053" hidden="1" x14ac:dyDescent="0.3"/>
    <row r="7054" hidden="1" x14ac:dyDescent="0.3"/>
    <row r="7055" hidden="1" x14ac:dyDescent="0.3"/>
    <row r="7056" hidden="1" x14ac:dyDescent="0.3"/>
    <row r="7057" hidden="1" x14ac:dyDescent="0.3"/>
    <row r="7058" hidden="1" x14ac:dyDescent="0.3"/>
    <row r="7059" hidden="1" x14ac:dyDescent="0.3"/>
    <row r="7060" hidden="1" x14ac:dyDescent="0.3"/>
    <row r="7061" hidden="1" x14ac:dyDescent="0.3"/>
    <row r="7062" hidden="1" x14ac:dyDescent="0.3"/>
    <row r="7063" hidden="1" x14ac:dyDescent="0.3"/>
    <row r="7064" hidden="1" x14ac:dyDescent="0.3"/>
    <row r="7065" hidden="1" x14ac:dyDescent="0.3"/>
    <row r="7066" hidden="1" x14ac:dyDescent="0.3"/>
    <row r="7067" hidden="1" x14ac:dyDescent="0.3"/>
    <row r="7068" hidden="1" x14ac:dyDescent="0.3"/>
    <row r="7069" hidden="1" x14ac:dyDescent="0.3"/>
    <row r="7070" hidden="1" x14ac:dyDescent="0.3"/>
    <row r="7071" hidden="1" x14ac:dyDescent="0.3"/>
    <row r="7072" hidden="1" x14ac:dyDescent="0.3"/>
    <row r="7073" hidden="1" x14ac:dyDescent="0.3"/>
    <row r="7074" hidden="1" x14ac:dyDescent="0.3"/>
    <row r="7075" hidden="1" x14ac:dyDescent="0.3"/>
    <row r="7076" hidden="1" x14ac:dyDescent="0.3"/>
    <row r="7077" hidden="1" x14ac:dyDescent="0.3"/>
    <row r="7078" hidden="1" x14ac:dyDescent="0.3"/>
    <row r="7079" hidden="1" x14ac:dyDescent="0.3"/>
    <row r="7080" hidden="1" x14ac:dyDescent="0.3"/>
    <row r="7081" hidden="1" x14ac:dyDescent="0.3"/>
    <row r="7082" hidden="1" x14ac:dyDescent="0.3"/>
    <row r="7083" hidden="1" x14ac:dyDescent="0.3"/>
    <row r="7084" hidden="1" x14ac:dyDescent="0.3"/>
    <row r="7085" hidden="1" x14ac:dyDescent="0.3"/>
    <row r="7086" hidden="1" x14ac:dyDescent="0.3"/>
    <row r="7087" hidden="1" x14ac:dyDescent="0.3"/>
    <row r="7088" hidden="1" x14ac:dyDescent="0.3"/>
    <row r="7089" hidden="1" x14ac:dyDescent="0.3"/>
    <row r="7090" hidden="1" x14ac:dyDescent="0.3"/>
    <row r="7091" hidden="1" x14ac:dyDescent="0.3"/>
    <row r="7092" hidden="1" x14ac:dyDescent="0.3"/>
    <row r="7093" hidden="1" x14ac:dyDescent="0.3"/>
    <row r="7094" hidden="1" x14ac:dyDescent="0.3"/>
    <row r="7095" hidden="1" x14ac:dyDescent="0.3"/>
    <row r="7096" hidden="1" x14ac:dyDescent="0.3"/>
    <row r="7097" hidden="1" x14ac:dyDescent="0.3"/>
    <row r="7098" hidden="1" x14ac:dyDescent="0.3"/>
    <row r="7099" hidden="1" x14ac:dyDescent="0.3"/>
    <row r="7100" hidden="1" x14ac:dyDescent="0.3"/>
    <row r="7101" hidden="1" x14ac:dyDescent="0.3"/>
    <row r="7102" hidden="1" x14ac:dyDescent="0.3"/>
    <row r="7103" hidden="1" x14ac:dyDescent="0.3"/>
    <row r="7104" hidden="1" x14ac:dyDescent="0.3"/>
    <row r="7105" hidden="1" x14ac:dyDescent="0.3"/>
    <row r="7106" hidden="1" x14ac:dyDescent="0.3"/>
    <row r="7107" hidden="1" x14ac:dyDescent="0.3"/>
    <row r="7108" hidden="1" x14ac:dyDescent="0.3"/>
    <row r="7109" hidden="1" x14ac:dyDescent="0.3"/>
    <row r="7110" hidden="1" x14ac:dyDescent="0.3"/>
    <row r="7111" hidden="1" x14ac:dyDescent="0.3"/>
    <row r="7112" hidden="1" x14ac:dyDescent="0.3"/>
    <row r="7113" hidden="1" x14ac:dyDescent="0.3"/>
    <row r="7114" hidden="1" x14ac:dyDescent="0.3"/>
    <row r="7115" hidden="1" x14ac:dyDescent="0.3"/>
    <row r="7116" hidden="1" x14ac:dyDescent="0.3"/>
    <row r="7117" hidden="1" x14ac:dyDescent="0.3"/>
    <row r="7118" hidden="1" x14ac:dyDescent="0.3"/>
    <row r="7119" hidden="1" x14ac:dyDescent="0.3"/>
    <row r="7120" hidden="1" x14ac:dyDescent="0.3"/>
    <row r="7121" hidden="1" x14ac:dyDescent="0.3"/>
    <row r="7122" hidden="1" x14ac:dyDescent="0.3"/>
    <row r="7123" hidden="1" x14ac:dyDescent="0.3"/>
    <row r="7124" hidden="1" x14ac:dyDescent="0.3"/>
    <row r="7125" hidden="1" x14ac:dyDescent="0.3"/>
    <row r="7126" hidden="1" x14ac:dyDescent="0.3"/>
    <row r="7127" hidden="1" x14ac:dyDescent="0.3"/>
    <row r="7128" hidden="1" x14ac:dyDescent="0.3"/>
    <row r="7129" hidden="1" x14ac:dyDescent="0.3"/>
    <row r="7130" hidden="1" x14ac:dyDescent="0.3"/>
    <row r="7131" hidden="1" x14ac:dyDescent="0.3"/>
    <row r="7132" hidden="1" x14ac:dyDescent="0.3"/>
    <row r="7133" hidden="1" x14ac:dyDescent="0.3"/>
    <row r="7134" hidden="1" x14ac:dyDescent="0.3"/>
    <row r="7135" hidden="1" x14ac:dyDescent="0.3"/>
    <row r="7136" hidden="1" x14ac:dyDescent="0.3"/>
    <row r="7137" hidden="1" x14ac:dyDescent="0.3"/>
    <row r="7138" hidden="1" x14ac:dyDescent="0.3"/>
    <row r="7139" hidden="1" x14ac:dyDescent="0.3"/>
    <row r="7140" hidden="1" x14ac:dyDescent="0.3"/>
    <row r="7141" hidden="1" x14ac:dyDescent="0.3"/>
    <row r="7142" hidden="1" x14ac:dyDescent="0.3"/>
    <row r="7143" hidden="1" x14ac:dyDescent="0.3"/>
    <row r="7144" hidden="1" x14ac:dyDescent="0.3"/>
    <row r="7145" hidden="1" x14ac:dyDescent="0.3"/>
    <row r="7146" hidden="1" x14ac:dyDescent="0.3"/>
    <row r="7147" hidden="1" x14ac:dyDescent="0.3"/>
    <row r="7148" hidden="1" x14ac:dyDescent="0.3"/>
    <row r="7149" hidden="1" x14ac:dyDescent="0.3"/>
    <row r="7150" hidden="1" x14ac:dyDescent="0.3"/>
    <row r="7151" hidden="1" x14ac:dyDescent="0.3"/>
    <row r="7152" hidden="1" x14ac:dyDescent="0.3"/>
    <row r="7153" hidden="1" x14ac:dyDescent="0.3"/>
    <row r="7154" hidden="1" x14ac:dyDescent="0.3"/>
    <row r="7155" hidden="1" x14ac:dyDescent="0.3"/>
    <row r="7156" hidden="1" x14ac:dyDescent="0.3"/>
    <row r="7157" hidden="1" x14ac:dyDescent="0.3"/>
    <row r="7158" hidden="1" x14ac:dyDescent="0.3"/>
    <row r="7159" hidden="1" x14ac:dyDescent="0.3"/>
    <row r="7160" hidden="1" x14ac:dyDescent="0.3"/>
    <row r="7161" hidden="1" x14ac:dyDescent="0.3"/>
    <row r="7162" hidden="1" x14ac:dyDescent="0.3"/>
    <row r="7163" hidden="1" x14ac:dyDescent="0.3"/>
    <row r="7164" hidden="1" x14ac:dyDescent="0.3"/>
    <row r="7165" hidden="1" x14ac:dyDescent="0.3"/>
    <row r="7166" hidden="1" x14ac:dyDescent="0.3"/>
    <row r="7167" hidden="1" x14ac:dyDescent="0.3"/>
    <row r="7168" hidden="1" x14ac:dyDescent="0.3"/>
    <row r="7169" hidden="1" x14ac:dyDescent="0.3"/>
    <row r="7170" hidden="1" x14ac:dyDescent="0.3"/>
    <row r="7171" hidden="1" x14ac:dyDescent="0.3"/>
    <row r="7172" hidden="1" x14ac:dyDescent="0.3"/>
    <row r="7173" hidden="1" x14ac:dyDescent="0.3"/>
    <row r="7174" hidden="1" x14ac:dyDescent="0.3"/>
    <row r="7175" hidden="1" x14ac:dyDescent="0.3"/>
    <row r="7176" hidden="1" x14ac:dyDescent="0.3"/>
    <row r="7177" hidden="1" x14ac:dyDescent="0.3"/>
    <row r="7178" hidden="1" x14ac:dyDescent="0.3"/>
    <row r="7179" hidden="1" x14ac:dyDescent="0.3"/>
    <row r="7180" hidden="1" x14ac:dyDescent="0.3"/>
    <row r="7181" hidden="1" x14ac:dyDescent="0.3"/>
    <row r="7182" hidden="1" x14ac:dyDescent="0.3"/>
    <row r="7183" hidden="1" x14ac:dyDescent="0.3"/>
    <row r="7184" hidden="1" x14ac:dyDescent="0.3"/>
    <row r="7185" hidden="1" x14ac:dyDescent="0.3"/>
    <row r="7186" hidden="1" x14ac:dyDescent="0.3"/>
    <row r="7187" hidden="1" x14ac:dyDescent="0.3"/>
    <row r="7188" hidden="1" x14ac:dyDescent="0.3"/>
    <row r="7189" hidden="1" x14ac:dyDescent="0.3"/>
    <row r="7190" hidden="1" x14ac:dyDescent="0.3"/>
    <row r="7191" hidden="1" x14ac:dyDescent="0.3"/>
    <row r="7192" hidden="1" x14ac:dyDescent="0.3"/>
    <row r="7193" hidden="1" x14ac:dyDescent="0.3"/>
    <row r="7194" hidden="1" x14ac:dyDescent="0.3"/>
    <row r="7195" hidden="1" x14ac:dyDescent="0.3"/>
    <row r="7196" hidden="1" x14ac:dyDescent="0.3"/>
    <row r="7197" hidden="1" x14ac:dyDescent="0.3"/>
    <row r="7198" hidden="1" x14ac:dyDescent="0.3"/>
    <row r="7199" hidden="1" x14ac:dyDescent="0.3"/>
    <row r="7200" hidden="1" x14ac:dyDescent="0.3"/>
    <row r="7201" hidden="1" x14ac:dyDescent="0.3"/>
    <row r="7202" hidden="1" x14ac:dyDescent="0.3"/>
    <row r="7203" hidden="1" x14ac:dyDescent="0.3"/>
    <row r="7204" hidden="1" x14ac:dyDescent="0.3"/>
    <row r="7205" hidden="1" x14ac:dyDescent="0.3"/>
    <row r="7206" hidden="1" x14ac:dyDescent="0.3"/>
    <row r="7207" hidden="1" x14ac:dyDescent="0.3"/>
    <row r="7208" hidden="1" x14ac:dyDescent="0.3"/>
    <row r="7209" hidden="1" x14ac:dyDescent="0.3"/>
    <row r="7210" hidden="1" x14ac:dyDescent="0.3"/>
    <row r="7211" hidden="1" x14ac:dyDescent="0.3"/>
    <row r="7212" hidden="1" x14ac:dyDescent="0.3"/>
    <row r="7213" hidden="1" x14ac:dyDescent="0.3"/>
    <row r="7214" hidden="1" x14ac:dyDescent="0.3"/>
    <row r="7215" hidden="1" x14ac:dyDescent="0.3"/>
    <row r="7216" hidden="1" x14ac:dyDescent="0.3"/>
    <row r="7217" hidden="1" x14ac:dyDescent="0.3"/>
    <row r="7218" hidden="1" x14ac:dyDescent="0.3"/>
    <row r="7219" hidden="1" x14ac:dyDescent="0.3"/>
    <row r="7220" hidden="1" x14ac:dyDescent="0.3"/>
    <row r="7221" hidden="1" x14ac:dyDescent="0.3"/>
    <row r="7222" hidden="1" x14ac:dyDescent="0.3"/>
    <row r="7223" hidden="1" x14ac:dyDescent="0.3"/>
    <row r="7224" hidden="1" x14ac:dyDescent="0.3"/>
    <row r="7225" hidden="1" x14ac:dyDescent="0.3"/>
    <row r="7226" hidden="1" x14ac:dyDescent="0.3"/>
    <row r="7227" hidden="1" x14ac:dyDescent="0.3"/>
    <row r="7228" hidden="1" x14ac:dyDescent="0.3"/>
    <row r="7229" hidden="1" x14ac:dyDescent="0.3"/>
    <row r="7230" hidden="1" x14ac:dyDescent="0.3"/>
    <row r="7231" hidden="1" x14ac:dyDescent="0.3"/>
    <row r="7232" hidden="1" x14ac:dyDescent="0.3"/>
    <row r="7233" hidden="1" x14ac:dyDescent="0.3"/>
    <row r="7234" hidden="1" x14ac:dyDescent="0.3"/>
    <row r="7235" hidden="1" x14ac:dyDescent="0.3"/>
    <row r="7236" hidden="1" x14ac:dyDescent="0.3"/>
    <row r="7237" hidden="1" x14ac:dyDescent="0.3"/>
    <row r="7238" hidden="1" x14ac:dyDescent="0.3"/>
    <row r="7239" hidden="1" x14ac:dyDescent="0.3"/>
    <row r="7240" hidden="1" x14ac:dyDescent="0.3"/>
    <row r="7241" hidden="1" x14ac:dyDescent="0.3"/>
    <row r="7242" hidden="1" x14ac:dyDescent="0.3"/>
    <row r="7243" hidden="1" x14ac:dyDescent="0.3"/>
    <row r="7244" hidden="1" x14ac:dyDescent="0.3"/>
    <row r="7245" hidden="1" x14ac:dyDescent="0.3"/>
    <row r="7246" hidden="1" x14ac:dyDescent="0.3"/>
    <row r="7247" hidden="1" x14ac:dyDescent="0.3"/>
    <row r="7248" hidden="1" x14ac:dyDescent="0.3"/>
    <row r="7249" hidden="1" x14ac:dyDescent="0.3"/>
    <row r="7250" hidden="1" x14ac:dyDescent="0.3"/>
    <row r="7251" hidden="1" x14ac:dyDescent="0.3"/>
    <row r="7252" hidden="1" x14ac:dyDescent="0.3"/>
    <row r="7253" hidden="1" x14ac:dyDescent="0.3"/>
    <row r="7254" hidden="1" x14ac:dyDescent="0.3"/>
    <row r="7255" hidden="1" x14ac:dyDescent="0.3"/>
    <row r="7256" hidden="1" x14ac:dyDescent="0.3"/>
    <row r="7257" hidden="1" x14ac:dyDescent="0.3"/>
    <row r="7258" hidden="1" x14ac:dyDescent="0.3"/>
    <row r="7259" hidden="1" x14ac:dyDescent="0.3"/>
    <row r="7260" hidden="1" x14ac:dyDescent="0.3"/>
    <row r="7261" hidden="1" x14ac:dyDescent="0.3"/>
    <row r="7262" hidden="1" x14ac:dyDescent="0.3"/>
    <row r="7263" hidden="1" x14ac:dyDescent="0.3"/>
    <row r="7264" hidden="1" x14ac:dyDescent="0.3"/>
    <row r="7265" hidden="1" x14ac:dyDescent="0.3"/>
    <row r="7266" hidden="1" x14ac:dyDescent="0.3"/>
    <row r="7267" hidden="1" x14ac:dyDescent="0.3"/>
    <row r="7268" hidden="1" x14ac:dyDescent="0.3"/>
    <row r="7269" hidden="1" x14ac:dyDescent="0.3"/>
    <row r="7270" hidden="1" x14ac:dyDescent="0.3"/>
    <row r="7271" hidden="1" x14ac:dyDescent="0.3"/>
    <row r="7272" hidden="1" x14ac:dyDescent="0.3"/>
    <row r="7273" hidden="1" x14ac:dyDescent="0.3"/>
    <row r="7274" hidden="1" x14ac:dyDescent="0.3"/>
    <row r="7275" hidden="1" x14ac:dyDescent="0.3"/>
    <row r="7276" hidden="1" x14ac:dyDescent="0.3"/>
    <row r="7277" hidden="1" x14ac:dyDescent="0.3"/>
    <row r="7278" hidden="1" x14ac:dyDescent="0.3"/>
    <row r="7279" hidden="1" x14ac:dyDescent="0.3"/>
    <row r="7280" hidden="1" x14ac:dyDescent="0.3"/>
    <row r="7281" hidden="1" x14ac:dyDescent="0.3"/>
    <row r="7282" hidden="1" x14ac:dyDescent="0.3"/>
    <row r="7283" hidden="1" x14ac:dyDescent="0.3"/>
    <row r="7284" hidden="1" x14ac:dyDescent="0.3"/>
    <row r="7285" hidden="1" x14ac:dyDescent="0.3"/>
    <row r="7286" hidden="1" x14ac:dyDescent="0.3"/>
    <row r="7287" hidden="1" x14ac:dyDescent="0.3"/>
    <row r="7288" hidden="1" x14ac:dyDescent="0.3"/>
    <row r="7289" hidden="1" x14ac:dyDescent="0.3"/>
    <row r="7290" hidden="1" x14ac:dyDescent="0.3"/>
    <row r="7291" hidden="1" x14ac:dyDescent="0.3"/>
    <row r="7292" hidden="1" x14ac:dyDescent="0.3"/>
    <row r="7293" hidden="1" x14ac:dyDescent="0.3"/>
    <row r="7294" hidden="1" x14ac:dyDescent="0.3"/>
    <row r="7295" hidden="1" x14ac:dyDescent="0.3"/>
    <row r="7296" hidden="1" x14ac:dyDescent="0.3"/>
    <row r="7297" hidden="1" x14ac:dyDescent="0.3"/>
    <row r="7298" hidden="1" x14ac:dyDescent="0.3"/>
    <row r="7299" hidden="1" x14ac:dyDescent="0.3"/>
    <row r="7300" hidden="1" x14ac:dyDescent="0.3"/>
    <row r="7301" hidden="1" x14ac:dyDescent="0.3"/>
    <row r="7302" hidden="1" x14ac:dyDescent="0.3"/>
    <row r="7303" hidden="1" x14ac:dyDescent="0.3"/>
    <row r="7304" hidden="1" x14ac:dyDescent="0.3"/>
    <row r="7305" hidden="1" x14ac:dyDescent="0.3"/>
    <row r="7306" hidden="1" x14ac:dyDescent="0.3"/>
    <row r="7307" hidden="1" x14ac:dyDescent="0.3"/>
    <row r="7308" hidden="1" x14ac:dyDescent="0.3"/>
    <row r="7309" hidden="1" x14ac:dyDescent="0.3"/>
    <row r="7310" hidden="1" x14ac:dyDescent="0.3"/>
    <row r="7311" hidden="1" x14ac:dyDescent="0.3"/>
    <row r="7312" hidden="1" x14ac:dyDescent="0.3"/>
    <row r="7313" hidden="1" x14ac:dyDescent="0.3"/>
    <row r="7314" hidden="1" x14ac:dyDescent="0.3"/>
    <row r="7315" hidden="1" x14ac:dyDescent="0.3"/>
    <row r="7316" hidden="1" x14ac:dyDescent="0.3"/>
    <row r="7317" hidden="1" x14ac:dyDescent="0.3"/>
    <row r="7318" hidden="1" x14ac:dyDescent="0.3"/>
    <row r="7319" hidden="1" x14ac:dyDescent="0.3"/>
    <row r="7320" hidden="1" x14ac:dyDescent="0.3"/>
    <row r="7321" hidden="1" x14ac:dyDescent="0.3"/>
    <row r="7322" hidden="1" x14ac:dyDescent="0.3"/>
    <row r="7323" hidden="1" x14ac:dyDescent="0.3"/>
    <row r="7324" hidden="1" x14ac:dyDescent="0.3"/>
    <row r="7325" hidden="1" x14ac:dyDescent="0.3"/>
    <row r="7326" hidden="1" x14ac:dyDescent="0.3"/>
    <row r="7327" hidden="1" x14ac:dyDescent="0.3"/>
    <row r="7328" hidden="1" x14ac:dyDescent="0.3"/>
    <row r="7329" hidden="1" x14ac:dyDescent="0.3"/>
    <row r="7330" hidden="1" x14ac:dyDescent="0.3"/>
    <row r="7331" hidden="1" x14ac:dyDescent="0.3"/>
    <row r="7332" hidden="1" x14ac:dyDescent="0.3"/>
    <row r="7333" hidden="1" x14ac:dyDescent="0.3"/>
    <row r="7334" hidden="1" x14ac:dyDescent="0.3"/>
    <row r="7335" hidden="1" x14ac:dyDescent="0.3"/>
    <row r="7336" hidden="1" x14ac:dyDescent="0.3"/>
    <row r="7337" hidden="1" x14ac:dyDescent="0.3"/>
    <row r="7338" hidden="1" x14ac:dyDescent="0.3"/>
    <row r="7339" hidden="1" x14ac:dyDescent="0.3"/>
    <row r="7340" hidden="1" x14ac:dyDescent="0.3"/>
    <row r="7341" hidden="1" x14ac:dyDescent="0.3"/>
    <row r="7342" hidden="1" x14ac:dyDescent="0.3"/>
    <row r="7343" hidden="1" x14ac:dyDescent="0.3"/>
    <row r="7344" hidden="1" x14ac:dyDescent="0.3"/>
    <row r="7345" hidden="1" x14ac:dyDescent="0.3"/>
    <row r="7346" hidden="1" x14ac:dyDescent="0.3"/>
    <row r="7347" hidden="1" x14ac:dyDescent="0.3"/>
    <row r="7348" hidden="1" x14ac:dyDescent="0.3"/>
    <row r="7349" hidden="1" x14ac:dyDescent="0.3"/>
    <row r="7350" hidden="1" x14ac:dyDescent="0.3"/>
    <row r="7351" hidden="1" x14ac:dyDescent="0.3"/>
    <row r="7352" hidden="1" x14ac:dyDescent="0.3"/>
    <row r="7353" hidden="1" x14ac:dyDescent="0.3"/>
    <row r="7354" hidden="1" x14ac:dyDescent="0.3"/>
    <row r="7355" hidden="1" x14ac:dyDescent="0.3"/>
    <row r="7356" hidden="1" x14ac:dyDescent="0.3"/>
    <row r="7357" hidden="1" x14ac:dyDescent="0.3"/>
    <row r="7358" hidden="1" x14ac:dyDescent="0.3"/>
    <row r="7359" hidden="1" x14ac:dyDescent="0.3"/>
    <row r="7360" hidden="1" x14ac:dyDescent="0.3"/>
    <row r="7361" hidden="1" x14ac:dyDescent="0.3"/>
    <row r="7362" hidden="1" x14ac:dyDescent="0.3"/>
    <row r="7363" hidden="1" x14ac:dyDescent="0.3"/>
    <row r="7364" hidden="1" x14ac:dyDescent="0.3"/>
    <row r="7365" hidden="1" x14ac:dyDescent="0.3"/>
    <row r="7366" hidden="1" x14ac:dyDescent="0.3"/>
    <row r="7367" hidden="1" x14ac:dyDescent="0.3"/>
    <row r="7368" hidden="1" x14ac:dyDescent="0.3"/>
    <row r="7369" hidden="1" x14ac:dyDescent="0.3"/>
    <row r="7370" hidden="1" x14ac:dyDescent="0.3"/>
    <row r="7371" hidden="1" x14ac:dyDescent="0.3"/>
    <row r="7372" hidden="1" x14ac:dyDescent="0.3"/>
    <row r="7373" hidden="1" x14ac:dyDescent="0.3"/>
    <row r="7374" hidden="1" x14ac:dyDescent="0.3"/>
    <row r="7375" hidden="1" x14ac:dyDescent="0.3"/>
    <row r="7376" hidden="1" x14ac:dyDescent="0.3"/>
    <row r="7377" hidden="1" x14ac:dyDescent="0.3"/>
    <row r="7378" hidden="1" x14ac:dyDescent="0.3"/>
    <row r="7379" hidden="1" x14ac:dyDescent="0.3"/>
    <row r="7380" hidden="1" x14ac:dyDescent="0.3"/>
    <row r="7381" hidden="1" x14ac:dyDescent="0.3"/>
    <row r="7382" hidden="1" x14ac:dyDescent="0.3"/>
    <row r="7383" hidden="1" x14ac:dyDescent="0.3"/>
    <row r="7384" hidden="1" x14ac:dyDescent="0.3"/>
    <row r="7385" hidden="1" x14ac:dyDescent="0.3"/>
    <row r="7386" hidden="1" x14ac:dyDescent="0.3"/>
    <row r="7387" hidden="1" x14ac:dyDescent="0.3"/>
    <row r="7388" hidden="1" x14ac:dyDescent="0.3"/>
    <row r="7389" hidden="1" x14ac:dyDescent="0.3"/>
    <row r="7390" hidden="1" x14ac:dyDescent="0.3"/>
    <row r="7391" hidden="1" x14ac:dyDescent="0.3"/>
    <row r="7392" hidden="1" x14ac:dyDescent="0.3"/>
    <row r="7393" hidden="1" x14ac:dyDescent="0.3"/>
    <row r="7394" hidden="1" x14ac:dyDescent="0.3"/>
    <row r="7395" hidden="1" x14ac:dyDescent="0.3"/>
    <row r="7396" hidden="1" x14ac:dyDescent="0.3"/>
    <row r="7397" hidden="1" x14ac:dyDescent="0.3"/>
    <row r="7398" hidden="1" x14ac:dyDescent="0.3"/>
    <row r="7399" hidden="1" x14ac:dyDescent="0.3"/>
    <row r="7400" hidden="1" x14ac:dyDescent="0.3"/>
    <row r="7401" hidden="1" x14ac:dyDescent="0.3"/>
    <row r="7402" hidden="1" x14ac:dyDescent="0.3"/>
    <row r="7403" hidden="1" x14ac:dyDescent="0.3"/>
    <row r="7404" hidden="1" x14ac:dyDescent="0.3"/>
    <row r="7405" hidden="1" x14ac:dyDescent="0.3"/>
    <row r="7406" hidden="1" x14ac:dyDescent="0.3"/>
    <row r="7407" hidden="1" x14ac:dyDescent="0.3"/>
    <row r="7408" hidden="1" x14ac:dyDescent="0.3"/>
    <row r="7409" hidden="1" x14ac:dyDescent="0.3"/>
    <row r="7410" hidden="1" x14ac:dyDescent="0.3"/>
    <row r="7411" hidden="1" x14ac:dyDescent="0.3"/>
    <row r="7412" hidden="1" x14ac:dyDescent="0.3"/>
    <row r="7413" hidden="1" x14ac:dyDescent="0.3"/>
    <row r="7414" hidden="1" x14ac:dyDescent="0.3"/>
    <row r="7415" hidden="1" x14ac:dyDescent="0.3"/>
    <row r="7416" hidden="1" x14ac:dyDescent="0.3"/>
    <row r="7417" hidden="1" x14ac:dyDescent="0.3"/>
    <row r="7418" hidden="1" x14ac:dyDescent="0.3"/>
    <row r="7419" hidden="1" x14ac:dyDescent="0.3"/>
    <row r="7420" hidden="1" x14ac:dyDescent="0.3"/>
    <row r="7421" hidden="1" x14ac:dyDescent="0.3"/>
    <row r="7422" hidden="1" x14ac:dyDescent="0.3"/>
    <row r="7423" hidden="1" x14ac:dyDescent="0.3"/>
    <row r="7424" hidden="1" x14ac:dyDescent="0.3"/>
    <row r="7425" hidden="1" x14ac:dyDescent="0.3"/>
    <row r="7426" hidden="1" x14ac:dyDescent="0.3"/>
    <row r="7427" hidden="1" x14ac:dyDescent="0.3"/>
    <row r="7428" hidden="1" x14ac:dyDescent="0.3"/>
    <row r="7429" hidden="1" x14ac:dyDescent="0.3"/>
    <row r="7430" hidden="1" x14ac:dyDescent="0.3"/>
    <row r="7431" hidden="1" x14ac:dyDescent="0.3"/>
    <row r="7432" hidden="1" x14ac:dyDescent="0.3"/>
    <row r="7433" hidden="1" x14ac:dyDescent="0.3"/>
    <row r="7434" hidden="1" x14ac:dyDescent="0.3"/>
    <row r="7435" hidden="1" x14ac:dyDescent="0.3"/>
    <row r="7436" hidden="1" x14ac:dyDescent="0.3"/>
    <row r="7437" hidden="1" x14ac:dyDescent="0.3"/>
    <row r="7438" hidden="1" x14ac:dyDescent="0.3"/>
    <row r="7439" hidden="1" x14ac:dyDescent="0.3"/>
    <row r="7440" hidden="1" x14ac:dyDescent="0.3"/>
    <row r="7441" hidden="1" x14ac:dyDescent="0.3"/>
    <row r="7442" hidden="1" x14ac:dyDescent="0.3"/>
    <row r="7443" hidden="1" x14ac:dyDescent="0.3"/>
    <row r="7444" hidden="1" x14ac:dyDescent="0.3"/>
    <row r="7445" hidden="1" x14ac:dyDescent="0.3"/>
    <row r="7446" hidden="1" x14ac:dyDescent="0.3"/>
    <row r="7447" hidden="1" x14ac:dyDescent="0.3"/>
    <row r="7448" hidden="1" x14ac:dyDescent="0.3"/>
    <row r="7449" hidden="1" x14ac:dyDescent="0.3"/>
    <row r="7450" hidden="1" x14ac:dyDescent="0.3"/>
    <row r="7451" hidden="1" x14ac:dyDescent="0.3"/>
    <row r="7452" hidden="1" x14ac:dyDescent="0.3"/>
    <row r="7453" hidden="1" x14ac:dyDescent="0.3"/>
    <row r="7454" hidden="1" x14ac:dyDescent="0.3"/>
    <row r="7455" hidden="1" x14ac:dyDescent="0.3"/>
    <row r="7456" hidden="1" x14ac:dyDescent="0.3"/>
    <row r="7457" hidden="1" x14ac:dyDescent="0.3"/>
    <row r="7458" hidden="1" x14ac:dyDescent="0.3"/>
    <row r="7459" hidden="1" x14ac:dyDescent="0.3"/>
    <row r="7460" hidden="1" x14ac:dyDescent="0.3"/>
    <row r="7461" hidden="1" x14ac:dyDescent="0.3"/>
    <row r="7462" hidden="1" x14ac:dyDescent="0.3"/>
    <row r="7463" hidden="1" x14ac:dyDescent="0.3"/>
    <row r="7464" hidden="1" x14ac:dyDescent="0.3"/>
    <row r="7465" hidden="1" x14ac:dyDescent="0.3"/>
    <row r="7466" hidden="1" x14ac:dyDescent="0.3"/>
    <row r="7467" hidden="1" x14ac:dyDescent="0.3"/>
    <row r="7468" hidden="1" x14ac:dyDescent="0.3"/>
    <row r="7469" hidden="1" x14ac:dyDescent="0.3"/>
    <row r="7470" hidden="1" x14ac:dyDescent="0.3"/>
    <row r="7471" hidden="1" x14ac:dyDescent="0.3"/>
    <row r="7472" hidden="1" x14ac:dyDescent="0.3"/>
    <row r="7473" hidden="1" x14ac:dyDescent="0.3"/>
    <row r="7474" hidden="1" x14ac:dyDescent="0.3"/>
    <row r="7475" hidden="1" x14ac:dyDescent="0.3"/>
    <row r="7476" hidden="1" x14ac:dyDescent="0.3"/>
    <row r="7477" hidden="1" x14ac:dyDescent="0.3"/>
    <row r="7478" hidden="1" x14ac:dyDescent="0.3"/>
    <row r="7479" hidden="1" x14ac:dyDescent="0.3"/>
    <row r="7480" hidden="1" x14ac:dyDescent="0.3"/>
    <row r="7481" hidden="1" x14ac:dyDescent="0.3"/>
    <row r="7482" hidden="1" x14ac:dyDescent="0.3"/>
    <row r="7483" hidden="1" x14ac:dyDescent="0.3"/>
    <row r="7484" hidden="1" x14ac:dyDescent="0.3"/>
    <row r="7485" hidden="1" x14ac:dyDescent="0.3"/>
    <row r="7486" hidden="1" x14ac:dyDescent="0.3"/>
    <row r="7487" hidden="1" x14ac:dyDescent="0.3"/>
    <row r="7488" hidden="1" x14ac:dyDescent="0.3"/>
    <row r="7489" hidden="1" x14ac:dyDescent="0.3"/>
    <row r="7490" hidden="1" x14ac:dyDescent="0.3"/>
    <row r="7491" hidden="1" x14ac:dyDescent="0.3"/>
    <row r="7492" hidden="1" x14ac:dyDescent="0.3"/>
    <row r="7493" hidden="1" x14ac:dyDescent="0.3"/>
    <row r="7494" hidden="1" x14ac:dyDescent="0.3"/>
    <row r="7495" hidden="1" x14ac:dyDescent="0.3"/>
    <row r="7496" hidden="1" x14ac:dyDescent="0.3"/>
    <row r="7497" hidden="1" x14ac:dyDescent="0.3"/>
    <row r="7498" hidden="1" x14ac:dyDescent="0.3"/>
    <row r="7499" hidden="1" x14ac:dyDescent="0.3"/>
    <row r="7500" hidden="1" x14ac:dyDescent="0.3"/>
    <row r="7501" hidden="1" x14ac:dyDescent="0.3"/>
    <row r="7502" hidden="1" x14ac:dyDescent="0.3"/>
    <row r="7503" hidden="1" x14ac:dyDescent="0.3"/>
    <row r="7504" hidden="1" x14ac:dyDescent="0.3"/>
    <row r="7505" hidden="1" x14ac:dyDescent="0.3"/>
    <row r="7506" hidden="1" x14ac:dyDescent="0.3"/>
    <row r="7507" hidden="1" x14ac:dyDescent="0.3"/>
    <row r="7508" hidden="1" x14ac:dyDescent="0.3"/>
    <row r="7509" hidden="1" x14ac:dyDescent="0.3"/>
    <row r="7510" hidden="1" x14ac:dyDescent="0.3"/>
    <row r="7511" hidden="1" x14ac:dyDescent="0.3"/>
    <row r="7512" hidden="1" x14ac:dyDescent="0.3"/>
    <row r="7513" hidden="1" x14ac:dyDescent="0.3"/>
    <row r="7514" hidden="1" x14ac:dyDescent="0.3"/>
    <row r="7515" hidden="1" x14ac:dyDescent="0.3"/>
    <row r="7516" hidden="1" x14ac:dyDescent="0.3"/>
    <row r="7517" hidden="1" x14ac:dyDescent="0.3"/>
    <row r="7518" hidden="1" x14ac:dyDescent="0.3"/>
    <row r="7519" hidden="1" x14ac:dyDescent="0.3"/>
    <row r="7520" hidden="1" x14ac:dyDescent="0.3"/>
    <row r="7521" hidden="1" x14ac:dyDescent="0.3"/>
    <row r="7522" hidden="1" x14ac:dyDescent="0.3"/>
    <row r="7523" hidden="1" x14ac:dyDescent="0.3"/>
    <row r="7524" hidden="1" x14ac:dyDescent="0.3"/>
    <row r="7525" hidden="1" x14ac:dyDescent="0.3"/>
    <row r="7526" hidden="1" x14ac:dyDescent="0.3"/>
    <row r="7527" hidden="1" x14ac:dyDescent="0.3"/>
    <row r="7528" hidden="1" x14ac:dyDescent="0.3"/>
    <row r="7529" hidden="1" x14ac:dyDescent="0.3"/>
    <row r="7530" hidden="1" x14ac:dyDescent="0.3"/>
    <row r="7531" hidden="1" x14ac:dyDescent="0.3"/>
    <row r="7532" hidden="1" x14ac:dyDescent="0.3"/>
    <row r="7533" hidden="1" x14ac:dyDescent="0.3"/>
    <row r="7534" hidden="1" x14ac:dyDescent="0.3"/>
    <row r="7535" hidden="1" x14ac:dyDescent="0.3"/>
    <row r="7536" hidden="1" x14ac:dyDescent="0.3"/>
    <row r="7537" hidden="1" x14ac:dyDescent="0.3"/>
    <row r="7538" hidden="1" x14ac:dyDescent="0.3"/>
    <row r="7539" hidden="1" x14ac:dyDescent="0.3"/>
    <row r="7540" hidden="1" x14ac:dyDescent="0.3"/>
    <row r="7541" hidden="1" x14ac:dyDescent="0.3"/>
    <row r="7542" hidden="1" x14ac:dyDescent="0.3"/>
    <row r="7543" hidden="1" x14ac:dyDescent="0.3"/>
    <row r="7544" hidden="1" x14ac:dyDescent="0.3"/>
    <row r="7545" hidden="1" x14ac:dyDescent="0.3"/>
    <row r="7546" hidden="1" x14ac:dyDescent="0.3"/>
    <row r="7547" hidden="1" x14ac:dyDescent="0.3"/>
    <row r="7548" hidden="1" x14ac:dyDescent="0.3"/>
    <row r="7549" hidden="1" x14ac:dyDescent="0.3"/>
    <row r="7550" hidden="1" x14ac:dyDescent="0.3"/>
    <row r="7551" hidden="1" x14ac:dyDescent="0.3"/>
    <row r="7552" hidden="1" x14ac:dyDescent="0.3"/>
    <row r="7553" hidden="1" x14ac:dyDescent="0.3"/>
    <row r="7554" hidden="1" x14ac:dyDescent="0.3"/>
    <row r="7555" hidden="1" x14ac:dyDescent="0.3"/>
    <row r="7556" hidden="1" x14ac:dyDescent="0.3"/>
    <row r="7557" hidden="1" x14ac:dyDescent="0.3"/>
    <row r="7558" hidden="1" x14ac:dyDescent="0.3"/>
    <row r="7559" hidden="1" x14ac:dyDescent="0.3"/>
    <row r="7560" hidden="1" x14ac:dyDescent="0.3"/>
    <row r="7561" hidden="1" x14ac:dyDescent="0.3"/>
    <row r="7562" hidden="1" x14ac:dyDescent="0.3"/>
    <row r="7563" hidden="1" x14ac:dyDescent="0.3"/>
    <row r="7564" hidden="1" x14ac:dyDescent="0.3"/>
    <row r="7565" hidden="1" x14ac:dyDescent="0.3"/>
    <row r="7566" hidden="1" x14ac:dyDescent="0.3"/>
    <row r="7567" hidden="1" x14ac:dyDescent="0.3"/>
    <row r="7568" hidden="1" x14ac:dyDescent="0.3"/>
    <row r="7569" hidden="1" x14ac:dyDescent="0.3"/>
    <row r="7570" hidden="1" x14ac:dyDescent="0.3"/>
    <row r="7571" hidden="1" x14ac:dyDescent="0.3"/>
    <row r="7572" hidden="1" x14ac:dyDescent="0.3"/>
    <row r="7573" hidden="1" x14ac:dyDescent="0.3"/>
    <row r="7574" hidden="1" x14ac:dyDescent="0.3"/>
    <row r="7575" hidden="1" x14ac:dyDescent="0.3"/>
    <row r="7576" hidden="1" x14ac:dyDescent="0.3"/>
    <row r="7577" hidden="1" x14ac:dyDescent="0.3"/>
    <row r="7578" hidden="1" x14ac:dyDescent="0.3"/>
    <row r="7579" hidden="1" x14ac:dyDescent="0.3"/>
    <row r="7580" hidden="1" x14ac:dyDescent="0.3"/>
    <row r="7581" hidden="1" x14ac:dyDescent="0.3"/>
    <row r="7582" hidden="1" x14ac:dyDescent="0.3"/>
    <row r="7583" hidden="1" x14ac:dyDescent="0.3"/>
    <row r="7584" hidden="1" x14ac:dyDescent="0.3"/>
    <row r="7585" hidden="1" x14ac:dyDescent="0.3"/>
    <row r="7586" hidden="1" x14ac:dyDescent="0.3"/>
    <row r="7587" hidden="1" x14ac:dyDescent="0.3"/>
    <row r="7588" hidden="1" x14ac:dyDescent="0.3"/>
    <row r="7589" hidden="1" x14ac:dyDescent="0.3"/>
    <row r="7590" hidden="1" x14ac:dyDescent="0.3"/>
    <row r="7591" hidden="1" x14ac:dyDescent="0.3"/>
    <row r="7592" hidden="1" x14ac:dyDescent="0.3"/>
    <row r="7593" hidden="1" x14ac:dyDescent="0.3"/>
    <row r="7594" hidden="1" x14ac:dyDescent="0.3"/>
    <row r="7595" hidden="1" x14ac:dyDescent="0.3"/>
    <row r="7596" hidden="1" x14ac:dyDescent="0.3"/>
    <row r="7597" hidden="1" x14ac:dyDescent="0.3"/>
    <row r="7598" hidden="1" x14ac:dyDescent="0.3"/>
    <row r="7599" hidden="1" x14ac:dyDescent="0.3"/>
    <row r="7600" hidden="1" x14ac:dyDescent="0.3"/>
    <row r="7601" hidden="1" x14ac:dyDescent="0.3"/>
    <row r="7602" hidden="1" x14ac:dyDescent="0.3"/>
    <row r="7603" hidden="1" x14ac:dyDescent="0.3"/>
    <row r="7604" hidden="1" x14ac:dyDescent="0.3"/>
    <row r="7605" hidden="1" x14ac:dyDescent="0.3"/>
    <row r="7606" hidden="1" x14ac:dyDescent="0.3"/>
    <row r="7607" hidden="1" x14ac:dyDescent="0.3"/>
    <row r="7608" hidden="1" x14ac:dyDescent="0.3"/>
    <row r="7609" hidden="1" x14ac:dyDescent="0.3"/>
    <row r="7610" hidden="1" x14ac:dyDescent="0.3"/>
    <row r="7611" hidden="1" x14ac:dyDescent="0.3"/>
    <row r="7612" hidden="1" x14ac:dyDescent="0.3"/>
    <row r="7613" hidden="1" x14ac:dyDescent="0.3"/>
    <row r="7614" hidden="1" x14ac:dyDescent="0.3"/>
    <row r="7615" hidden="1" x14ac:dyDescent="0.3"/>
    <row r="7616" hidden="1" x14ac:dyDescent="0.3"/>
    <row r="7617" hidden="1" x14ac:dyDescent="0.3"/>
    <row r="7618" hidden="1" x14ac:dyDescent="0.3"/>
    <row r="7619" hidden="1" x14ac:dyDescent="0.3"/>
    <row r="7620" hidden="1" x14ac:dyDescent="0.3"/>
    <row r="7621" hidden="1" x14ac:dyDescent="0.3"/>
    <row r="7622" hidden="1" x14ac:dyDescent="0.3"/>
    <row r="7623" hidden="1" x14ac:dyDescent="0.3"/>
    <row r="7624" hidden="1" x14ac:dyDescent="0.3"/>
    <row r="7625" hidden="1" x14ac:dyDescent="0.3"/>
    <row r="7626" hidden="1" x14ac:dyDescent="0.3"/>
    <row r="7627" hidden="1" x14ac:dyDescent="0.3"/>
    <row r="7628" hidden="1" x14ac:dyDescent="0.3"/>
    <row r="7629" hidden="1" x14ac:dyDescent="0.3"/>
    <row r="7630" hidden="1" x14ac:dyDescent="0.3"/>
    <row r="7631" hidden="1" x14ac:dyDescent="0.3"/>
    <row r="7632" hidden="1" x14ac:dyDescent="0.3"/>
    <row r="7633" hidden="1" x14ac:dyDescent="0.3"/>
    <row r="7634" hidden="1" x14ac:dyDescent="0.3"/>
    <row r="7635" hidden="1" x14ac:dyDescent="0.3"/>
    <row r="7636" hidden="1" x14ac:dyDescent="0.3"/>
    <row r="7637" hidden="1" x14ac:dyDescent="0.3"/>
    <row r="7638" hidden="1" x14ac:dyDescent="0.3"/>
    <row r="7639" hidden="1" x14ac:dyDescent="0.3"/>
    <row r="7640" hidden="1" x14ac:dyDescent="0.3"/>
    <row r="7641" hidden="1" x14ac:dyDescent="0.3"/>
    <row r="7642" hidden="1" x14ac:dyDescent="0.3"/>
    <row r="7643" hidden="1" x14ac:dyDescent="0.3"/>
    <row r="7644" hidden="1" x14ac:dyDescent="0.3"/>
    <row r="7645" hidden="1" x14ac:dyDescent="0.3"/>
    <row r="7646" hidden="1" x14ac:dyDescent="0.3"/>
    <row r="7647" hidden="1" x14ac:dyDescent="0.3"/>
    <row r="7648" hidden="1" x14ac:dyDescent="0.3"/>
    <row r="7649" hidden="1" x14ac:dyDescent="0.3"/>
    <row r="7650" hidden="1" x14ac:dyDescent="0.3"/>
    <row r="7651" hidden="1" x14ac:dyDescent="0.3"/>
    <row r="7652" hidden="1" x14ac:dyDescent="0.3"/>
    <row r="7653" hidden="1" x14ac:dyDescent="0.3"/>
    <row r="7654" hidden="1" x14ac:dyDescent="0.3"/>
    <row r="7655" hidden="1" x14ac:dyDescent="0.3"/>
    <row r="7656" hidden="1" x14ac:dyDescent="0.3"/>
    <row r="7657" hidden="1" x14ac:dyDescent="0.3"/>
    <row r="7658" hidden="1" x14ac:dyDescent="0.3"/>
    <row r="7659" hidden="1" x14ac:dyDescent="0.3"/>
    <row r="7660" hidden="1" x14ac:dyDescent="0.3"/>
    <row r="7661" hidden="1" x14ac:dyDescent="0.3"/>
    <row r="7662" hidden="1" x14ac:dyDescent="0.3"/>
    <row r="7663" hidden="1" x14ac:dyDescent="0.3"/>
    <row r="7664" hidden="1" x14ac:dyDescent="0.3"/>
    <row r="7665" hidden="1" x14ac:dyDescent="0.3"/>
    <row r="7666" hidden="1" x14ac:dyDescent="0.3"/>
    <row r="7667" hidden="1" x14ac:dyDescent="0.3"/>
    <row r="7668" hidden="1" x14ac:dyDescent="0.3"/>
    <row r="7669" hidden="1" x14ac:dyDescent="0.3"/>
    <row r="7670" hidden="1" x14ac:dyDescent="0.3"/>
    <row r="7671" hidden="1" x14ac:dyDescent="0.3"/>
    <row r="7672" hidden="1" x14ac:dyDescent="0.3"/>
    <row r="7673" hidden="1" x14ac:dyDescent="0.3"/>
    <row r="7674" hidden="1" x14ac:dyDescent="0.3"/>
    <row r="7675" hidden="1" x14ac:dyDescent="0.3"/>
    <row r="7676" hidden="1" x14ac:dyDescent="0.3"/>
    <row r="7677" hidden="1" x14ac:dyDescent="0.3"/>
    <row r="7678" hidden="1" x14ac:dyDescent="0.3"/>
    <row r="7679" hidden="1" x14ac:dyDescent="0.3"/>
    <row r="7680" hidden="1" x14ac:dyDescent="0.3"/>
    <row r="7681" hidden="1" x14ac:dyDescent="0.3"/>
    <row r="7682" hidden="1" x14ac:dyDescent="0.3"/>
    <row r="7683" hidden="1" x14ac:dyDescent="0.3"/>
    <row r="7684" hidden="1" x14ac:dyDescent="0.3"/>
    <row r="7685" hidden="1" x14ac:dyDescent="0.3"/>
    <row r="7686" hidden="1" x14ac:dyDescent="0.3"/>
    <row r="7687" hidden="1" x14ac:dyDescent="0.3"/>
    <row r="7688" hidden="1" x14ac:dyDescent="0.3"/>
    <row r="7689" hidden="1" x14ac:dyDescent="0.3"/>
    <row r="7690" hidden="1" x14ac:dyDescent="0.3"/>
    <row r="7691" hidden="1" x14ac:dyDescent="0.3"/>
    <row r="7692" hidden="1" x14ac:dyDescent="0.3"/>
    <row r="7693" hidden="1" x14ac:dyDescent="0.3"/>
    <row r="7694" hidden="1" x14ac:dyDescent="0.3"/>
    <row r="7695" hidden="1" x14ac:dyDescent="0.3"/>
    <row r="7696" hidden="1" x14ac:dyDescent="0.3"/>
    <row r="7697" hidden="1" x14ac:dyDescent="0.3"/>
    <row r="7698" hidden="1" x14ac:dyDescent="0.3"/>
    <row r="7699" hidden="1" x14ac:dyDescent="0.3"/>
    <row r="7700" hidden="1" x14ac:dyDescent="0.3"/>
    <row r="7701" hidden="1" x14ac:dyDescent="0.3"/>
    <row r="7702" hidden="1" x14ac:dyDescent="0.3"/>
    <row r="7703" hidden="1" x14ac:dyDescent="0.3"/>
    <row r="7704" hidden="1" x14ac:dyDescent="0.3"/>
    <row r="7705" hidden="1" x14ac:dyDescent="0.3"/>
    <row r="7706" hidden="1" x14ac:dyDescent="0.3"/>
    <row r="7707" hidden="1" x14ac:dyDescent="0.3"/>
    <row r="7708" hidden="1" x14ac:dyDescent="0.3"/>
    <row r="7709" hidden="1" x14ac:dyDescent="0.3"/>
    <row r="7710" hidden="1" x14ac:dyDescent="0.3"/>
    <row r="7711" hidden="1" x14ac:dyDescent="0.3"/>
    <row r="7712" hidden="1" x14ac:dyDescent="0.3"/>
    <row r="7713" hidden="1" x14ac:dyDescent="0.3"/>
    <row r="7714" hidden="1" x14ac:dyDescent="0.3"/>
    <row r="7715" hidden="1" x14ac:dyDescent="0.3"/>
    <row r="7716" hidden="1" x14ac:dyDescent="0.3"/>
    <row r="7717" hidden="1" x14ac:dyDescent="0.3"/>
    <row r="7718" hidden="1" x14ac:dyDescent="0.3"/>
    <row r="7719" hidden="1" x14ac:dyDescent="0.3"/>
    <row r="7720" hidden="1" x14ac:dyDescent="0.3"/>
    <row r="7721" hidden="1" x14ac:dyDescent="0.3"/>
    <row r="7722" hidden="1" x14ac:dyDescent="0.3"/>
    <row r="7723" hidden="1" x14ac:dyDescent="0.3"/>
    <row r="7724" hidden="1" x14ac:dyDescent="0.3"/>
    <row r="7725" hidden="1" x14ac:dyDescent="0.3"/>
    <row r="7726" hidden="1" x14ac:dyDescent="0.3"/>
    <row r="7727" hidden="1" x14ac:dyDescent="0.3"/>
    <row r="7728" hidden="1" x14ac:dyDescent="0.3"/>
    <row r="7729" hidden="1" x14ac:dyDescent="0.3"/>
    <row r="7730" hidden="1" x14ac:dyDescent="0.3"/>
    <row r="7731" hidden="1" x14ac:dyDescent="0.3"/>
    <row r="7732" hidden="1" x14ac:dyDescent="0.3"/>
    <row r="7733" hidden="1" x14ac:dyDescent="0.3"/>
    <row r="7734" hidden="1" x14ac:dyDescent="0.3"/>
    <row r="7735" hidden="1" x14ac:dyDescent="0.3"/>
    <row r="7736" hidden="1" x14ac:dyDescent="0.3"/>
    <row r="7737" hidden="1" x14ac:dyDescent="0.3"/>
    <row r="7738" hidden="1" x14ac:dyDescent="0.3"/>
    <row r="7739" hidden="1" x14ac:dyDescent="0.3"/>
    <row r="7740" hidden="1" x14ac:dyDescent="0.3"/>
    <row r="7741" hidden="1" x14ac:dyDescent="0.3"/>
    <row r="7742" hidden="1" x14ac:dyDescent="0.3"/>
    <row r="7743" hidden="1" x14ac:dyDescent="0.3"/>
    <row r="7744" hidden="1" x14ac:dyDescent="0.3"/>
    <row r="7745" hidden="1" x14ac:dyDescent="0.3"/>
    <row r="7746" hidden="1" x14ac:dyDescent="0.3"/>
    <row r="7747" hidden="1" x14ac:dyDescent="0.3"/>
    <row r="7748" hidden="1" x14ac:dyDescent="0.3"/>
    <row r="7749" hidden="1" x14ac:dyDescent="0.3"/>
    <row r="7750" hidden="1" x14ac:dyDescent="0.3"/>
    <row r="7751" hidden="1" x14ac:dyDescent="0.3"/>
    <row r="7752" hidden="1" x14ac:dyDescent="0.3"/>
    <row r="7753" hidden="1" x14ac:dyDescent="0.3"/>
    <row r="7754" hidden="1" x14ac:dyDescent="0.3"/>
    <row r="7755" hidden="1" x14ac:dyDescent="0.3"/>
    <row r="7756" hidden="1" x14ac:dyDescent="0.3"/>
    <row r="7757" hidden="1" x14ac:dyDescent="0.3"/>
    <row r="7758" hidden="1" x14ac:dyDescent="0.3"/>
    <row r="7759" hidden="1" x14ac:dyDescent="0.3"/>
    <row r="7760" hidden="1" x14ac:dyDescent="0.3"/>
    <row r="7761" hidden="1" x14ac:dyDescent="0.3"/>
    <row r="7762" hidden="1" x14ac:dyDescent="0.3"/>
    <row r="7763" hidden="1" x14ac:dyDescent="0.3"/>
    <row r="7764" hidden="1" x14ac:dyDescent="0.3"/>
    <row r="7765" hidden="1" x14ac:dyDescent="0.3"/>
    <row r="7766" hidden="1" x14ac:dyDescent="0.3"/>
    <row r="7767" hidden="1" x14ac:dyDescent="0.3"/>
    <row r="7768" hidden="1" x14ac:dyDescent="0.3"/>
    <row r="7769" hidden="1" x14ac:dyDescent="0.3"/>
    <row r="7770" hidden="1" x14ac:dyDescent="0.3"/>
    <row r="7771" hidden="1" x14ac:dyDescent="0.3"/>
    <row r="7772" hidden="1" x14ac:dyDescent="0.3"/>
    <row r="7773" hidden="1" x14ac:dyDescent="0.3"/>
    <row r="7774" hidden="1" x14ac:dyDescent="0.3"/>
    <row r="7775" hidden="1" x14ac:dyDescent="0.3"/>
    <row r="7776" hidden="1" x14ac:dyDescent="0.3"/>
    <row r="7777" hidden="1" x14ac:dyDescent="0.3"/>
    <row r="7778" hidden="1" x14ac:dyDescent="0.3"/>
    <row r="7779" hidden="1" x14ac:dyDescent="0.3"/>
    <row r="7780" hidden="1" x14ac:dyDescent="0.3"/>
    <row r="7781" hidden="1" x14ac:dyDescent="0.3"/>
    <row r="7782" hidden="1" x14ac:dyDescent="0.3"/>
    <row r="7783" hidden="1" x14ac:dyDescent="0.3"/>
    <row r="7784" hidden="1" x14ac:dyDescent="0.3"/>
    <row r="7785" hidden="1" x14ac:dyDescent="0.3"/>
    <row r="7786" hidden="1" x14ac:dyDescent="0.3"/>
    <row r="7787" hidden="1" x14ac:dyDescent="0.3"/>
    <row r="7788" hidden="1" x14ac:dyDescent="0.3"/>
    <row r="7789" hidden="1" x14ac:dyDescent="0.3"/>
    <row r="7790" hidden="1" x14ac:dyDescent="0.3"/>
    <row r="7791" hidden="1" x14ac:dyDescent="0.3"/>
    <row r="7792" hidden="1" x14ac:dyDescent="0.3"/>
    <row r="7793" hidden="1" x14ac:dyDescent="0.3"/>
    <row r="7794" hidden="1" x14ac:dyDescent="0.3"/>
    <row r="7795" hidden="1" x14ac:dyDescent="0.3"/>
    <row r="7796" hidden="1" x14ac:dyDescent="0.3"/>
    <row r="7797" hidden="1" x14ac:dyDescent="0.3"/>
    <row r="7798" hidden="1" x14ac:dyDescent="0.3"/>
    <row r="7799" hidden="1" x14ac:dyDescent="0.3"/>
    <row r="7800" hidden="1" x14ac:dyDescent="0.3"/>
    <row r="7801" hidden="1" x14ac:dyDescent="0.3"/>
    <row r="7802" hidden="1" x14ac:dyDescent="0.3"/>
    <row r="7803" hidden="1" x14ac:dyDescent="0.3"/>
    <row r="7804" hidden="1" x14ac:dyDescent="0.3"/>
    <row r="7805" hidden="1" x14ac:dyDescent="0.3"/>
    <row r="7806" hidden="1" x14ac:dyDescent="0.3"/>
    <row r="7807" hidden="1" x14ac:dyDescent="0.3"/>
    <row r="7808" hidden="1" x14ac:dyDescent="0.3"/>
    <row r="7809" hidden="1" x14ac:dyDescent="0.3"/>
    <row r="7810" hidden="1" x14ac:dyDescent="0.3"/>
    <row r="7811" hidden="1" x14ac:dyDescent="0.3"/>
    <row r="7812" hidden="1" x14ac:dyDescent="0.3"/>
    <row r="7813" hidden="1" x14ac:dyDescent="0.3"/>
    <row r="7814" hidden="1" x14ac:dyDescent="0.3"/>
    <row r="7815" hidden="1" x14ac:dyDescent="0.3"/>
    <row r="7816" hidden="1" x14ac:dyDescent="0.3"/>
    <row r="7817" hidden="1" x14ac:dyDescent="0.3"/>
    <row r="7818" hidden="1" x14ac:dyDescent="0.3"/>
    <row r="7819" hidden="1" x14ac:dyDescent="0.3"/>
    <row r="7820" hidden="1" x14ac:dyDescent="0.3"/>
    <row r="7821" hidden="1" x14ac:dyDescent="0.3"/>
    <row r="7822" hidden="1" x14ac:dyDescent="0.3"/>
    <row r="7823" hidden="1" x14ac:dyDescent="0.3"/>
    <row r="7824" hidden="1" x14ac:dyDescent="0.3"/>
    <row r="7825" hidden="1" x14ac:dyDescent="0.3"/>
    <row r="7826" hidden="1" x14ac:dyDescent="0.3"/>
    <row r="7827" hidden="1" x14ac:dyDescent="0.3"/>
    <row r="7828" hidden="1" x14ac:dyDescent="0.3"/>
    <row r="7829" hidden="1" x14ac:dyDescent="0.3"/>
    <row r="7830" hidden="1" x14ac:dyDescent="0.3"/>
    <row r="7831" hidden="1" x14ac:dyDescent="0.3"/>
    <row r="7832" hidden="1" x14ac:dyDescent="0.3"/>
    <row r="7833" hidden="1" x14ac:dyDescent="0.3"/>
    <row r="7834" hidden="1" x14ac:dyDescent="0.3"/>
    <row r="7835" hidden="1" x14ac:dyDescent="0.3"/>
    <row r="7836" hidden="1" x14ac:dyDescent="0.3"/>
    <row r="7837" hidden="1" x14ac:dyDescent="0.3"/>
    <row r="7838" hidden="1" x14ac:dyDescent="0.3"/>
    <row r="7839" hidden="1" x14ac:dyDescent="0.3"/>
    <row r="7840" hidden="1" x14ac:dyDescent="0.3"/>
    <row r="7841" hidden="1" x14ac:dyDescent="0.3"/>
    <row r="7842" hidden="1" x14ac:dyDescent="0.3"/>
    <row r="7843" hidden="1" x14ac:dyDescent="0.3"/>
    <row r="7844" hidden="1" x14ac:dyDescent="0.3"/>
    <row r="7845" hidden="1" x14ac:dyDescent="0.3"/>
    <row r="7846" hidden="1" x14ac:dyDescent="0.3"/>
    <row r="7847" hidden="1" x14ac:dyDescent="0.3"/>
    <row r="7848" hidden="1" x14ac:dyDescent="0.3"/>
    <row r="7849" hidden="1" x14ac:dyDescent="0.3"/>
    <row r="7850" hidden="1" x14ac:dyDescent="0.3"/>
    <row r="7851" hidden="1" x14ac:dyDescent="0.3"/>
    <row r="7852" hidden="1" x14ac:dyDescent="0.3"/>
    <row r="7853" hidden="1" x14ac:dyDescent="0.3"/>
    <row r="7854" hidden="1" x14ac:dyDescent="0.3"/>
    <row r="7855" hidden="1" x14ac:dyDescent="0.3"/>
    <row r="7856" hidden="1" x14ac:dyDescent="0.3"/>
    <row r="7857" hidden="1" x14ac:dyDescent="0.3"/>
    <row r="7858" hidden="1" x14ac:dyDescent="0.3"/>
    <row r="7859" hidden="1" x14ac:dyDescent="0.3"/>
    <row r="7860" hidden="1" x14ac:dyDescent="0.3"/>
    <row r="7861" hidden="1" x14ac:dyDescent="0.3"/>
    <row r="7862" hidden="1" x14ac:dyDescent="0.3"/>
    <row r="7863" hidden="1" x14ac:dyDescent="0.3"/>
    <row r="7864" hidden="1" x14ac:dyDescent="0.3"/>
    <row r="7865" hidden="1" x14ac:dyDescent="0.3"/>
    <row r="7866" hidden="1" x14ac:dyDescent="0.3"/>
    <row r="7867" hidden="1" x14ac:dyDescent="0.3"/>
    <row r="7868" hidden="1" x14ac:dyDescent="0.3"/>
    <row r="7869" hidden="1" x14ac:dyDescent="0.3"/>
    <row r="7870" hidden="1" x14ac:dyDescent="0.3"/>
    <row r="7871" hidden="1" x14ac:dyDescent="0.3"/>
    <row r="7872" hidden="1" x14ac:dyDescent="0.3"/>
    <row r="7873" hidden="1" x14ac:dyDescent="0.3"/>
    <row r="7874" hidden="1" x14ac:dyDescent="0.3"/>
    <row r="7875" hidden="1" x14ac:dyDescent="0.3"/>
    <row r="7876" hidden="1" x14ac:dyDescent="0.3"/>
    <row r="7877" hidden="1" x14ac:dyDescent="0.3"/>
    <row r="7878" hidden="1" x14ac:dyDescent="0.3"/>
    <row r="7879" hidden="1" x14ac:dyDescent="0.3"/>
    <row r="7880" hidden="1" x14ac:dyDescent="0.3"/>
    <row r="7881" hidden="1" x14ac:dyDescent="0.3"/>
    <row r="7882" hidden="1" x14ac:dyDescent="0.3"/>
    <row r="7883" hidden="1" x14ac:dyDescent="0.3"/>
    <row r="7884" hidden="1" x14ac:dyDescent="0.3"/>
    <row r="7885" hidden="1" x14ac:dyDescent="0.3"/>
    <row r="7886" hidden="1" x14ac:dyDescent="0.3"/>
    <row r="7887" hidden="1" x14ac:dyDescent="0.3"/>
    <row r="7888" hidden="1" x14ac:dyDescent="0.3"/>
    <row r="7889" hidden="1" x14ac:dyDescent="0.3"/>
    <row r="7890" hidden="1" x14ac:dyDescent="0.3"/>
    <row r="7891" hidden="1" x14ac:dyDescent="0.3"/>
    <row r="7892" hidden="1" x14ac:dyDescent="0.3"/>
    <row r="7893" hidden="1" x14ac:dyDescent="0.3"/>
    <row r="7894" hidden="1" x14ac:dyDescent="0.3"/>
    <row r="7895" hidden="1" x14ac:dyDescent="0.3"/>
    <row r="7896" hidden="1" x14ac:dyDescent="0.3"/>
    <row r="7897" hidden="1" x14ac:dyDescent="0.3"/>
    <row r="7898" hidden="1" x14ac:dyDescent="0.3"/>
    <row r="7899" hidden="1" x14ac:dyDescent="0.3"/>
    <row r="7900" hidden="1" x14ac:dyDescent="0.3"/>
    <row r="7901" hidden="1" x14ac:dyDescent="0.3"/>
    <row r="7902" hidden="1" x14ac:dyDescent="0.3"/>
    <row r="7903" hidden="1" x14ac:dyDescent="0.3"/>
    <row r="7904" hidden="1" x14ac:dyDescent="0.3"/>
    <row r="7905" hidden="1" x14ac:dyDescent="0.3"/>
    <row r="7906" hidden="1" x14ac:dyDescent="0.3"/>
    <row r="7907" hidden="1" x14ac:dyDescent="0.3"/>
    <row r="7908" hidden="1" x14ac:dyDescent="0.3"/>
    <row r="7909" hidden="1" x14ac:dyDescent="0.3"/>
    <row r="7910" hidden="1" x14ac:dyDescent="0.3"/>
    <row r="7911" hidden="1" x14ac:dyDescent="0.3"/>
    <row r="7912" hidden="1" x14ac:dyDescent="0.3"/>
    <row r="7913" hidden="1" x14ac:dyDescent="0.3"/>
    <row r="7914" hidden="1" x14ac:dyDescent="0.3"/>
    <row r="7915" hidden="1" x14ac:dyDescent="0.3"/>
    <row r="7916" hidden="1" x14ac:dyDescent="0.3"/>
    <row r="7917" hidden="1" x14ac:dyDescent="0.3"/>
    <row r="7918" hidden="1" x14ac:dyDescent="0.3"/>
    <row r="7919" hidden="1" x14ac:dyDescent="0.3"/>
    <row r="7920" hidden="1" x14ac:dyDescent="0.3"/>
    <row r="7921" hidden="1" x14ac:dyDescent="0.3"/>
    <row r="7922" hidden="1" x14ac:dyDescent="0.3"/>
    <row r="7923" hidden="1" x14ac:dyDescent="0.3"/>
    <row r="7924" hidden="1" x14ac:dyDescent="0.3"/>
    <row r="7925" hidden="1" x14ac:dyDescent="0.3"/>
    <row r="7926" hidden="1" x14ac:dyDescent="0.3"/>
    <row r="7927" hidden="1" x14ac:dyDescent="0.3"/>
    <row r="7928" hidden="1" x14ac:dyDescent="0.3"/>
    <row r="7929" hidden="1" x14ac:dyDescent="0.3"/>
    <row r="7930" hidden="1" x14ac:dyDescent="0.3"/>
    <row r="7931" hidden="1" x14ac:dyDescent="0.3"/>
    <row r="7932" hidden="1" x14ac:dyDescent="0.3"/>
    <row r="7933" hidden="1" x14ac:dyDescent="0.3"/>
    <row r="7934" hidden="1" x14ac:dyDescent="0.3"/>
    <row r="7935" hidden="1" x14ac:dyDescent="0.3"/>
    <row r="7936" hidden="1" x14ac:dyDescent="0.3"/>
    <row r="7937" hidden="1" x14ac:dyDescent="0.3"/>
    <row r="7938" hidden="1" x14ac:dyDescent="0.3"/>
    <row r="7939" hidden="1" x14ac:dyDescent="0.3"/>
    <row r="7940" hidden="1" x14ac:dyDescent="0.3"/>
    <row r="7941" hidden="1" x14ac:dyDescent="0.3"/>
    <row r="7942" hidden="1" x14ac:dyDescent="0.3"/>
    <row r="7943" hidden="1" x14ac:dyDescent="0.3"/>
    <row r="7944" hidden="1" x14ac:dyDescent="0.3"/>
    <row r="7945" hidden="1" x14ac:dyDescent="0.3"/>
    <row r="7946" hidden="1" x14ac:dyDescent="0.3"/>
    <row r="7947" hidden="1" x14ac:dyDescent="0.3"/>
    <row r="7948" hidden="1" x14ac:dyDescent="0.3"/>
    <row r="7949" hidden="1" x14ac:dyDescent="0.3"/>
    <row r="7950" hidden="1" x14ac:dyDescent="0.3"/>
    <row r="7951" hidden="1" x14ac:dyDescent="0.3"/>
    <row r="7952" hidden="1" x14ac:dyDescent="0.3"/>
    <row r="7953" hidden="1" x14ac:dyDescent="0.3"/>
    <row r="7954" hidden="1" x14ac:dyDescent="0.3"/>
    <row r="7955" hidden="1" x14ac:dyDescent="0.3"/>
    <row r="7956" hidden="1" x14ac:dyDescent="0.3"/>
    <row r="7957" hidden="1" x14ac:dyDescent="0.3"/>
    <row r="7958" hidden="1" x14ac:dyDescent="0.3"/>
    <row r="7959" hidden="1" x14ac:dyDescent="0.3"/>
    <row r="7960" hidden="1" x14ac:dyDescent="0.3"/>
    <row r="7961" hidden="1" x14ac:dyDescent="0.3"/>
    <row r="7962" hidden="1" x14ac:dyDescent="0.3"/>
    <row r="7963" hidden="1" x14ac:dyDescent="0.3"/>
    <row r="7964" hidden="1" x14ac:dyDescent="0.3"/>
    <row r="7965" hidden="1" x14ac:dyDescent="0.3"/>
    <row r="7966" hidden="1" x14ac:dyDescent="0.3"/>
    <row r="7967" hidden="1" x14ac:dyDescent="0.3"/>
    <row r="7968" hidden="1" x14ac:dyDescent="0.3"/>
    <row r="7969" hidden="1" x14ac:dyDescent="0.3"/>
    <row r="7970" hidden="1" x14ac:dyDescent="0.3"/>
    <row r="7971" hidden="1" x14ac:dyDescent="0.3"/>
    <row r="7972" hidden="1" x14ac:dyDescent="0.3"/>
    <row r="7973" hidden="1" x14ac:dyDescent="0.3"/>
    <row r="7974" hidden="1" x14ac:dyDescent="0.3"/>
    <row r="7975" hidden="1" x14ac:dyDescent="0.3"/>
    <row r="7976" hidden="1" x14ac:dyDescent="0.3"/>
    <row r="7977" hidden="1" x14ac:dyDescent="0.3"/>
    <row r="7978" hidden="1" x14ac:dyDescent="0.3"/>
    <row r="7979" hidden="1" x14ac:dyDescent="0.3"/>
    <row r="7980" hidden="1" x14ac:dyDescent="0.3"/>
    <row r="7981" hidden="1" x14ac:dyDescent="0.3"/>
    <row r="7982" hidden="1" x14ac:dyDescent="0.3"/>
    <row r="7983" hidden="1" x14ac:dyDescent="0.3"/>
    <row r="7984" hidden="1" x14ac:dyDescent="0.3"/>
    <row r="7985" hidden="1" x14ac:dyDescent="0.3"/>
    <row r="7986" hidden="1" x14ac:dyDescent="0.3"/>
    <row r="7987" hidden="1" x14ac:dyDescent="0.3"/>
    <row r="7988" hidden="1" x14ac:dyDescent="0.3"/>
    <row r="7989" hidden="1" x14ac:dyDescent="0.3"/>
    <row r="7990" hidden="1" x14ac:dyDescent="0.3"/>
    <row r="7991" hidden="1" x14ac:dyDescent="0.3"/>
    <row r="7992" hidden="1" x14ac:dyDescent="0.3"/>
    <row r="7993" hidden="1" x14ac:dyDescent="0.3"/>
    <row r="7994" hidden="1" x14ac:dyDescent="0.3"/>
    <row r="7995" hidden="1" x14ac:dyDescent="0.3"/>
    <row r="7996" hidden="1" x14ac:dyDescent="0.3"/>
    <row r="7997" hidden="1" x14ac:dyDescent="0.3"/>
    <row r="7998" hidden="1" x14ac:dyDescent="0.3"/>
    <row r="7999" hidden="1" x14ac:dyDescent="0.3"/>
    <row r="8000" hidden="1" x14ac:dyDescent="0.3"/>
    <row r="8001" hidden="1" x14ac:dyDescent="0.3"/>
    <row r="8002" hidden="1" x14ac:dyDescent="0.3"/>
    <row r="8003" hidden="1" x14ac:dyDescent="0.3"/>
    <row r="8004" hidden="1" x14ac:dyDescent="0.3"/>
    <row r="8005" hidden="1" x14ac:dyDescent="0.3"/>
    <row r="8006" hidden="1" x14ac:dyDescent="0.3"/>
    <row r="8007" hidden="1" x14ac:dyDescent="0.3"/>
    <row r="8008" hidden="1" x14ac:dyDescent="0.3"/>
    <row r="8009" hidden="1" x14ac:dyDescent="0.3"/>
    <row r="8010" hidden="1" x14ac:dyDescent="0.3"/>
    <row r="8011" hidden="1" x14ac:dyDescent="0.3"/>
    <row r="8012" hidden="1" x14ac:dyDescent="0.3"/>
    <row r="8013" hidden="1" x14ac:dyDescent="0.3"/>
    <row r="8014" hidden="1" x14ac:dyDescent="0.3"/>
    <row r="8015" hidden="1" x14ac:dyDescent="0.3"/>
    <row r="8016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hidden="1" x14ac:dyDescent="0.3"/>
    <row r="8098" hidden="1" x14ac:dyDescent="0.3"/>
    <row r="8099" hidden="1" x14ac:dyDescent="0.3"/>
    <row r="8100" hidden="1" x14ac:dyDescent="0.3"/>
    <row r="8101" hidden="1" x14ac:dyDescent="0.3"/>
    <row r="8102" hidden="1" x14ac:dyDescent="0.3"/>
    <row r="8103" hidden="1" x14ac:dyDescent="0.3"/>
    <row r="8104" hidden="1" x14ac:dyDescent="0.3"/>
    <row r="8105" hidden="1" x14ac:dyDescent="0.3"/>
    <row r="8106" hidden="1" x14ac:dyDescent="0.3"/>
    <row r="8107" hidden="1" x14ac:dyDescent="0.3"/>
    <row r="8108" hidden="1" x14ac:dyDescent="0.3"/>
    <row r="8109" hidden="1" x14ac:dyDescent="0.3"/>
    <row r="8110" hidden="1" x14ac:dyDescent="0.3"/>
    <row r="8111" hidden="1" x14ac:dyDescent="0.3"/>
    <row r="8112" hidden="1" x14ac:dyDescent="0.3"/>
    <row r="8113" hidden="1" x14ac:dyDescent="0.3"/>
    <row r="8114" hidden="1" x14ac:dyDescent="0.3"/>
    <row r="8115" hidden="1" x14ac:dyDescent="0.3"/>
    <row r="8116" hidden="1" x14ac:dyDescent="0.3"/>
    <row r="8117" hidden="1" x14ac:dyDescent="0.3"/>
    <row r="8118" hidden="1" x14ac:dyDescent="0.3"/>
    <row r="8119" hidden="1" x14ac:dyDescent="0.3"/>
    <row r="8120" hidden="1" x14ac:dyDescent="0.3"/>
    <row r="8121" hidden="1" x14ac:dyDescent="0.3"/>
    <row r="8122" hidden="1" x14ac:dyDescent="0.3"/>
    <row r="8123" hidden="1" x14ac:dyDescent="0.3"/>
    <row r="8124" hidden="1" x14ac:dyDescent="0.3"/>
    <row r="8125" hidden="1" x14ac:dyDescent="0.3"/>
    <row r="8126" hidden="1" x14ac:dyDescent="0.3"/>
    <row r="8127" hidden="1" x14ac:dyDescent="0.3"/>
    <row r="8128" hidden="1" x14ac:dyDescent="0.3"/>
    <row r="8129" hidden="1" x14ac:dyDescent="0.3"/>
    <row r="8130" hidden="1" x14ac:dyDescent="0.3"/>
    <row r="8131" hidden="1" x14ac:dyDescent="0.3"/>
    <row r="8132" hidden="1" x14ac:dyDescent="0.3"/>
    <row r="8133" hidden="1" x14ac:dyDescent="0.3"/>
    <row r="8134" hidden="1" x14ac:dyDescent="0.3"/>
    <row r="8135" hidden="1" x14ac:dyDescent="0.3"/>
    <row r="8136" hidden="1" x14ac:dyDescent="0.3"/>
    <row r="8137" hidden="1" x14ac:dyDescent="0.3"/>
    <row r="8138" hidden="1" x14ac:dyDescent="0.3"/>
    <row r="8139" hidden="1" x14ac:dyDescent="0.3"/>
    <row r="8140" hidden="1" x14ac:dyDescent="0.3"/>
    <row r="8141" hidden="1" x14ac:dyDescent="0.3"/>
    <row r="8142" hidden="1" x14ac:dyDescent="0.3"/>
    <row r="8143" hidden="1" x14ac:dyDescent="0.3"/>
    <row r="8144" hidden="1" x14ac:dyDescent="0.3"/>
    <row r="8145" hidden="1" x14ac:dyDescent="0.3"/>
    <row r="8146" hidden="1" x14ac:dyDescent="0.3"/>
    <row r="8147" hidden="1" x14ac:dyDescent="0.3"/>
    <row r="8148" hidden="1" x14ac:dyDescent="0.3"/>
    <row r="8149" hidden="1" x14ac:dyDescent="0.3"/>
    <row r="8150" hidden="1" x14ac:dyDescent="0.3"/>
    <row r="8151" hidden="1" x14ac:dyDescent="0.3"/>
    <row r="8152" hidden="1" x14ac:dyDescent="0.3"/>
    <row r="8153" hidden="1" x14ac:dyDescent="0.3"/>
    <row r="8154" hidden="1" x14ac:dyDescent="0.3"/>
    <row r="8155" hidden="1" x14ac:dyDescent="0.3"/>
    <row r="8156" hidden="1" x14ac:dyDescent="0.3"/>
    <row r="8157" hidden="1" x14ac:dyDescent="0.3"/>
    <row r="8158" hidden="1" x14ac:dyDescent="0.3"/>
    <row r="8159" hidden="1" x14ac:dyDescent="0.3"/>
    <row r="8160" hidden="1" x14ac:dyDescent="0.3"/>
    <row r="8161" hidden="1" x14ac:dyDescent="0.3"/>
    <row r="8162" hidden="1" x14ac:dyDescent="0.3"/>
    <row r="8163" hidden="1" x14ac:dyDescent="0.3"/>
    <row r="8164" hidden="1" x14ac:dyDescent="0.3"/>
    <row r="8165" hidden="1" x14ac:dyDescent="0.3"/>
    <row r="8166" hidden="1" x14ac:dyDescent="0.3"/>
    <row r="8167" hidden="1" x14ac:dyDescent="0.3"/>
    <row r="8168" hidden="1" x14ac:dyDescent="0.3"/>
    <row r="8169" hidden="1" x14ac:dyDescent="0.3"/>
    <row r="8170" hidden="1" x14ac:dyDescent="0.3"/>
    <row r="8171" hidden="1" x14ac:dyDescent="0.3"/>
    <row r="8172" hidden="1" x14ac:dyDescent="0.3"/>
    <row r="8173" hidden="1" x14ac:dyDescent="0.3"/>
    <row r="8174" hidden="1" x14ac:dyDescent="0.3"/>
    <row r="8175" hidden="1" x14ac:dyDescent="0.3"/>
    <row r="8176" hidden="1" x14ac:dyDescent="0.3"/>
    <row r="8177" hidden="1" x14ac:dyDescent="0.3"/>
    <row r="8178" hidden="1" x14ac:dyDescent="0.3"/>
    <row r="8179" hidden="1" x14ac:dyDescent="0.3"/>
    <row r="8180" hidden="1" x14ac:dyDescent="0.3"/>
    <row r="8181" hidden="1" x14ac:dyDescent="0.3"/>
    <row r="8182" hidden="1" x14ac:dyDescent="0.3"/>
    <row r="8183" hidden="1" x14ac:dyDescent="0.3"/>
    <row r="8184" hidden="1" x14ac:dyDescent="0.3"/>
    <row r="8185" hidden="1" x14ac:dyDescent="0.3"/>
    <row r="8186" hidden="1" x14ac:dyDescent="0.3"/>
    <row r="8187" hidden="1" x14ac:dyDescent="0.3"/>
    <row r="8188" hidden="1" x14ac:dyDescent="0.3"/>
    <row r="8189" hidden="1" x14ac:dyDescent="0.3"/>
    <row r="8190" hidden="1" x14ac:dyDescent="0.3"/>
    <row r="8191" hidden="1" x14ac:dyDescent="0.3"/>
    <row r="8192" hidden="1" x14ac:dyDescent="0.3"/>
    <row r="8193" hidden="1" x14ac:dyDescent="0.3"/>
    <row r="8194" hidden="1" x14ac:dyDescent="0.3"/>
    <row r="8195" hidden="1" x14ac:dyDescent="0.3"/>
    <row r="8196" hidden="1" x14ac:dyDescent="0.3"/>
    <row r="8197" hidden="1" x14ac:dyDescent="0.3"/>
    <row r="8198" hidden="1" x14ac:dyDescent="0.3"/>
    <row r="8199" hidden="1" x14ac:dyDescent="0.3"/>
    <row r="8200" hidden="1" x14ac:dyDescent="0.3"/>
    <row r="8201" hidden="1" x14ac:dyDescent="0.3"/>
    <row r="8202" hidden="1" x14ac:dyDescent="0.3"/>
    <row r="8203" hidden="1" x14ac:dyDescent="0.3"/>
    <row r="8204" hidden="1" x14ac:dyDescent="0.3"/>
    <row r="8205" hidden="1" x14ac:dyDescent="0.3"/>
    <row r="8206" hidden="1" x14ac:dyDescent="0.3"/>
    <row r="8207" hidden="1" x14ac:dyDescent="0.3"/>
    <row r="8208" hidden="1" x14ac:dyDescent="0.3"/>
    <row r="8209" hidden="1" x14ac:dyDescent="0.3"/>
    <row r="8210" hidden="1" x14ac:dyDescent="0.3"/>
    <row r="8211" hidden="1" x14ac:dyDescent="0.3"/>
    <row r="8212" hidden="1" x14ac:dyDescent="0.3"/>
    <row r="8213" hidden="1" x14ac:dyDescent="0.3"/>
    <row r="8214" hidden="1" x14ac:dyDescent="0.3"/>
    <row r="8215" hidden="1" x14ac:dyDescent="0.3"/>
    <row r="8216" hidden="1" x14ac:dyDescent="0.3"/>
    <row r="8217" hidden="1" x14ac:dyDescent="0.3"/>
    <row r="8218" hidden="1" x14ac:dyDescent="0.3"/>
    <row r="8219" hidden="1" x14ac:dyDescent="0.3"/>
    <row r="8220" hidden="1" x14ac:dyDescent="0.3"/>
    <row r="8221" hidden="1" x14ac:dyDescent="0.3"/>
    <row r="8222" hidden="1" x14ac:dyDescent="0.3"/>
    <row r="8223" hidden="1" x14ac:dyDescent="0.3"/>
    <row r="8224" hidden="1" x14ac:dyDescent="0.3"/>
    <row r="8225" hidden="1" x14ac:dyDescent="0.3"/>
    <row r="8226" hidden="1" x14ac:dyDescent="0.3"/>
    <row r="8227" hidden="1" x14ac:dyDescent="0.3"/>
    <row r="8228" hidden="1" x14ac:dyDescent="0.3"/>
    <row r="8229" hidden="1" x14ac:dyDescent="0.3"/>
    <row r="8230" hidden="1" x14ac:dyDescent="0.3"/>
    <row r="8231" hidden="1" x14ac:dyDescent="0.3"/>
    <row r="8232" hidden="1" x14ac:dyDescent="0.3"/>
    <row r="8233" hidden="1" x14ac:dyDescent="0.3"/>
    <row r="8234" hidden="1" x14ac:dyDescent="0.3"/>
    <row r="8235" hidden="1" x14ac:dyDescent="0.3"/>
    <row r="8236" hidden="1" x14ac:dyDescent="0.3"/>
    <row r="8237" hidden="1" x14ac:dyDescent="0.3"/>
    <row r="8238" hidden="1" x14ac:dyDescent="0.3"/>
    <row r="8239" hidden="1" x14ac:dyDescent="0.3"/>
    <row r="8240" hidden="1" x14ac:dyDescent="0.3"/>
    <row r="8241" hidden="1" x14ac:dyDescent="0.3"/>
    <row r="8242" hidden="1" x14ac:dyDescent="0.3"/>
    <row r="8243" hidden="1" x14ac:dyDescent="0.3"/>
    <row r="8244" hidden="1" x14ac:dyDescent="0.3"/>
    <row r="8245" hidden="1" x14ac:dyDescent="0.3"/>
    <row r="8246" hidden="1" x14ac:dyDescent="0.3"/>
    <row r="8247" hidden="1" x14ac:dyDescent="0.3"/>
    <row r="8248" hidden="1" x14ac:dyDescent="0.3"/>
    <row r="8249" hidden="1" x14ac:dyDescent="0.3"/>
    <row r="8250" hidden="1" x14ac:dyDescent="0.3"/>
    <row r="8251" hidden="1" x14ac:dyDescent="0.3"/>
    <row r="8252" hidden="1" x14ac:dyDescent="0.3"/>
    <row r="8253" hidden="1" x14ac:dyDescent="0.3"/>
    <row r="8254" hidden="1" x14ac:dyDescent="0.3"/>
    <row r="8255" hidden="1" x14ac:dyDescent="0.3"/>
    <row r="8256" hidden="1" x14ac:dyDescent="0.3"/>
    <row r="8257" hidden="1" x14ac:dyDescent="0.3"/>
    <row r="8258" hidden="1" x14ac:dyDescent="0.3"/>
    <row r="8259" hidden="1" x14ac:dyDescent="0.3"/>
    <row r="8260" hidden="1" x14ac:dyDescent="0.3"/>
    <row r="8261" hidden="1" x14ac:dyDescent="0.3"/>
    <row r="8262" hidden="1" x14ac:dyDescent="0.3"/>
    <row r="8263" hidden="1" x14ac:dyDescent="0.3"/>
    <row r="8264" hidden="1" x14ac:dyDescent="0.3"/>
    <row r="8265" hidden="1" x14ac:dyDescent="0.3"/>
    <row r="8266" hidden="1" x14ac:dyDescent="0.3"/>
    <row r="8267" hidden="1" x14ac:dyDescent="0.3"/>
    <row r="8268" hidden="1" x14ac:dyDescent="0.3"/>
    <row r="8269" hidden="1" x14ac:dyDescent="0.3"/>
    <row r="8270" hidden="1" x14ac:dyDescent="0.3"/>
    <row r="8271" hidden="1" x14ac:dyDescent="0.3"/>
    <row r="8272" hidden="1" x14ac:dyDescent="0.3"/>
    <row r="8273" hidden="1" x14ac:dyDescent="0.3"/>
    <row r="8274" hidden="1" x14ac:dyDescent="0.3"/>
    <row r="8275" hidden="1" x14ac:dyDescent="0.3"/>
    <row r="8276" hidden="1" x14ac:dyDescent="0.3"/>
    <row r="8277" hidden="1" x14ac:dyDescent="0.3"/>
    <row r="8278" hidden="1" x14ac:dyDescent="0.3"/>
    <row r="8279" hidden="1" x14ac:dyDescent="0.3"/>
    <row r="8280" hidden="1" x14ac:dyDescent="0.3"/>
    <row r="8281" hidden="1" x14ac:dyDescent="0.3"/>
    <row r="8282" hidden="1" x14ac:dyDescent="0.3"/>
    <row r="8283" hidden="1" x14ac:dyDescent="0.3"/>
    <row r="8284" hidden="1" x14ac:dyDescent="0.3"/>
    <row r="8285" hidden="1" x14ac:dyDescent="0.3"/>
    <row r="8286" hidden="1" x14ac:dyDescent="0.3"/>
    <row r="8287" hidden="1" x14ac:dyDescent="0.3"/>
    <row r="8288" hidden="1" x14ac:dyDescent="0.3"/>
    <row r="8289" hidden="1" x14ac:dyDescent="0.3"/>
    <row r="8290" hidden="1" x14ac:dyDescent="0.3"/>
    <row r="8291" hidden="1" x14ac:dyDescent="0.3"/>
    <row r="8292" hidden="1" x14ac:dyDescent="0.3"/>
    <row r="8293" hidden="1" x14ac:dyDescent="0.3"/>
    <row r="8294" hidden="1" x14ac:dyDescent="0.3"/>
    <row r="8295" hidden="1" x14ac:dyDescent="0.3"/>
    <row r="8296" hidden="1" x14ac:dyDescent="0.3"/>
    <row r="8297" hidden="1" x14ac:dyDescent="0.3"/>
    <row r="8298" hidden="1" x14ac:dyDescent="0.3"/>
    <row r="8299" hidden="1" x14ac:dyDescent="0.3"/>
    <row r="8300" hidden="1" x14ac:dyDescent="0.3"/>
    <row r="8301" hidden="1" x14ac:dyDescent="0.3"/>
    <row r="8302" hidden="1" x14ac:dyDescent="0.3"/>
    <row r="8303" hidden="1" x14ac:dyDescent="0.3"/>
    <row r="8304" hidden="1" x14ac:dyDescent="0.3"/>
    <row r="8305" hidden="1" x14ac:dyDescent="0.3"/>
    <row r="8306" hidden="1" x14ac:dyDescent="0.3"/>
    <row r="8307" hidden="1" x14ac:dyDescent="0.3"/>
    <row r="8308" hidden="1" x14ac:dyDescent="0.3"/>
    <row r="8309" hidden="1" x14ac:dyDescent="0.3"/>
    <row r="8310" hidden="1" x14ac:dyDescent="0.3"/>
    <row r="8311" hidden="1" x14ac:dyDescent="0.3"/>
    <row r="8312" hidden="1" x14ac:dyDescent="0.3"/>
    <row r="8313" hidden="1" x14ac:dyDescent="0.3"/>
    <row r="8314" hidden="1" x14ac:dyDescent="0.3"/>
    <row r="8315" hidden="1" x14ac:dyDescent="0.3"/>
    <row r="8316" hidden="1" x14ac:dyDescent="0.3"/>
    <row r="8317" hidden="1" x14ac:dyDescent="0.3"/>
    <row r="8318" hidden="1" x14ac:dyDescent="0.3"/>
    <row r="8319" hidden="1" x14ac:dyDescent="0.3"/>
    <row r="8320" hidden="1" x14ac:dyDescent="0.3"/>
    <row r="8321" hidden="1" x14ac:dyDescent="0.3"/>
    <row r="8322" hidden="1" x14ac:dyDescent="0.3"/>
    <row r="8323" hidden="1" x14ac:dyDescent="0.3"/>
    <row r="8324" hidden="1" x14ac:dyDescent="0.3"/>
    <row r="8325" hidden="1" x14ac:dyDescent="0.3"/>
    <row r="8326" hidden="1" x14ac:dyDescent="0.3"/>
    <row r="8327" hidden="1" x14ac:dyDescent="0.3"/>
    <row r="8328" hidden="1" x14ac:dyDescent="0.3"/>
    <row r="8329" hidden="1" x14ac:dyDescent="0.3"/>
    <row r="8330" hidden="1" x14ac:dyDescent="0.3"/>
    <row r="8331" hidden="1" x14ac:dyDescent="0.3"/>
    <row r="8332" hidden="1" x14ac:dyDescent="0.3"/>
    <row r="8333" hidden="1" x14ac:dyDescent="0.3"/>
    <row r="8334" hidden="1" x14ac:dyDescent="0.3"/>
    <row r="8335" hidden="1" x14ac:dyDescent="0.3"/>
    <row r="8336" hidden="1" x14ac:dyDescent="0.3"/>
    <row r="8337" hidden="1" x14ac:dyDescent="0.3"/>
    <row r="8338" hidden="1" x14ac:dyDescent="0.3"/>
    <row r="8339" hidden="1" x14ac:dyDescent="0.3"/>
    <row r="8340" hidden="1" x14ac:dyDescent="0.3"/>
    <row r="8341" hidden="1" x14ac:dyDescent="0.3"/>
    <row r="8342" hidden="1" x14ac:dyDescent="0.3"/>
    <row r="8343" hidden="1" x14ac:dyDescent="0.3"/>
    <row r="8344" hidden="1" x14ac:dyDescent="0.3"/>
    <row r="8345" hidden="1" x14ac:dyDescent="0.3"/>
    <row r="8346" hidden="1" x14ac:dyDescent="0.3"/>
    <row r="8347" hidden="1" x14ac:dyDescent="0.3"/>
    <row r="8348" hidden="1" x14ac:dyDescent="0.3"/>
    <row r="8349" hidden="1" x14ac:dyDescent="0.3"/>
    <row r="8350" hidden="1" x14ac:dyDescent="0.3"/>
    <row r="8351" hidden="1" x14ac:dyDescent="0.3"/>
    <row r="8352" hidden="1" x14ac:dyDescent="0.3"/>
    <row r="8353" hidden="1" x14ac:dyDescent="0.3"/>
    <row r="8354" hidden="1" x14ac:dyDescent="0.3"/>
    <row r="8355" hidden="1" x14ac:dyDescent="0.3"/>
    <row r="8356" hidden="1" x14ac:dyDescent="0.3"/>
    <row r="8357" hidden="1" x14ac:dyDescent="0.3"/>
    <row r="8358" hidden="1" x14ac:dyDescent="0.3"/>
    <row r="8359" hidden="1" x14ac:dyDescent="0.3"/>
    <row r="8360" hidden="1" x14ac:dyDescent="0.3"/>
    <row r="8361" hidden="1" x14ac:dyDescent="0.3"/>
    <row r="8362" hidden="1" x14ac:dyDescent="0.3"/>
    <row r="8363" hidden="1" x14ac:dyDescent="0.3"/>
    <row r="8364" hidden="1" x14ac:dyDescent="0.3"/>
    <row r="8365" hidden="1" x14ac:dyDescent="0.3"/>
    <row r="8366" hidden="1" x14ac:dyDescent="0.3"/>
    <row r="8367" hidden="1" x14ac:dyDescent="0.3"/>
    <row r="8368" hidden="1" x14ac:dyDescent="0.3"/>
    <row r="8369" hidden="1" x14ac:dyDescent="0.3"/>
    <row r="8370" hidden="1" x14ac:dyDescent="0.3"/>
    <row r="8371" hidden="1" x14ac:dyDescent="0.3"/>
    <row r="8372" hidden="1" x14ac:dyDescent="0.3"/>
    <row r="8373" hidden="1" x14ac:dyDescent="0.3"/>
    <row r="8374" hidden="1" x14ac:dyDescent="0.3"/>
    <row r="8375" hidden="1" x14ac:dyDescent="0.3"/>
    <row r="8376" hidden="1" x14ac:dyDescent="0.3"/>
    <row r="8377" hidden="1" x14ac:dyDescent="0.3"/>
    <row r="8378" hidden="1" x14ac:dyDescent="0.3"/>
    <row r="8379" hidden="1" x14ac:dyDescent="0.3"/>
    <row r="8380" hidden="1" x14ac:dyDescent="0.3"/>
    <row r="8381" hidden="1" x14ac:dyDescent="0.3"/>
    <row r="8382" hidden="1" x14ac:dyDescent="0.3"/>
    <row r="8383" hidden="1" x14ac:dyDescent="0.3"/>
    <row r="8384" hidden="1" x14ac:dyDescent="0.3"/>
    <row r="8385" hidden="1" x14ac:dyDescent="0.3"/>
    <row r="8386" hidden="1" x14ac:dyDescent="0.3"/>
    <row r="8387" hidden="1" x14ac:dyDescent="0.3"/>
    <row r="8388" hidden="1" x14ac:dyDescent="0.3"/>
    <row r="8389" hidden="1" x14ac:dyDescent="0.3"/>
    <row r="8390" hidden="1" x14ac:dyDescent="0.3"/>
    <row r="8391" hidden="1" x14ac:dyDescent="0.3"/>
    <row r="8392" hidden="1" x14ac:dyDescent="0.3"/>
    <row r="8393" hidden="1" x14ac:dyDescent="0.3"/>
    <row r="8394" hidden="1" x14ac:dyDescent="0.3"/>
    <row r="8395" hidden="1" x14ac:dyDescent="0.3"/>
    <row r="8396" hidden="1" x14ac:dyDescent="0.3"/>
    <row r="8397" hidden="1" x14ac:dyDescent="0.3"/>
    <row r="8398" hidden="1" x14ac:dyDescent="0.3"/>
    <row r="8399" hidden="1" x14ac:dyDescent="0.3"/>
    <row r="8400" hidden="1" x14ac:dyDescent="0.3"/>
    <row r="8401" hidden="1" x14ac:dyDescent="0.3"/>
    <row r="8402" hidden="1" x14ac:dyDescent="0.3"/>
    <row r="8403" hidden="1" x14ac:dyDescent="0.3"/>
    <row r="8404" hidden="1" x14ac:dyDescent="0.3"/>
    <row r="8405" hidden="1" x14ac:dyDescent="0.3"/>
    <row r="8406" hidden="1" x14ac:dyDescent="0.3"/>
    <row r="8407" hidden="1" x14ac:dyDescent="0.3"/>
    <row r="8408" hidden="1" x14ac:dyDescent="0.3"/>
    <row r="8409" hidden="1" x14ac:dyDescent="0.3"/>
    <row r="8410" hidden="1" x14ac:dyDescent="0.3"/>
    <row r="8411" hidden="1" x14ac:dyDescent="0.3"/>
    <row r="8412" hidden="1" x14ac:dyDescent="0.3"/>
    <row r="8413" hidden="1" x14ac:dyDescent="0.3"/>
    <row r="8414" hidden="1" x14ac:dyDescent="0.3"/>
    <row r="8415" hidden="1" x14ac:dyDescent="0.3"/>
    <row r="8416" hidden="1" x14ac:dyDescent="0.3"/>
    <row r="8417" hidden="1" x14ac:dyDescent="0.3"/>
    <row r="8418" hidden="1" x14ac:dyDescent="0.3"/>
    <row r="8419" hidden="1" x14ac:dyDescent="0.3"/>
    <row r="8420" hidden="1" x14ac:dyDescent="0.3"/>
    <row r="8421" hidden="1" x14ac:dyDescent="0.3"/>
    <row r="8422" hidden="1" x14ac:dyDescent="0.3"/>
    <row r="8423" hidden="1" x14ac:dyDescent="0.3"/>
    <row r="8424" hidden="1" x14ac:dyDescent="0.3"/>
    <row r="8425" hidden="1" x14ac:dyDescent="0.3"/>
    <row r="8426" hidden="1" x14ac:dyDescent="0.3"/>
    <row r="8427" hidden="1" x14ac:dyDescent="0.3"/>
    <row r="8428" hidden="1" x14ac:dyDescent="0.3"/>
    <row r="8429" hidden="1" x14ac:dyDescent="0.3"/>
    <row r="8430" hidden="1" x14ac:dyDescent="0.3"/>
    <row r="8431" hidden="1" x14ac:dyDescent="0.3"/>
    <row r="8432" hidden="1" x14ac:dyDescent="0.3"/>
    <row r="8433" hidden="1" x14ac:dyDescent="0.3"/>
    <row r="8434" hidden="1" x14ac:dyDescent="0.3"/>
    <row r="8435" hidden="1" x14ac:dyDescent="0.3"/>
    <row r="8436" hidden="1" x14ac:dyDescent="0.3"/>
    <row r="8437" hidden="1" x14ac:dyDescent="0.3"/>
    <row r="8438" hidden="1" x14ac:dyDescent="0.3"/>
    <row r="8439" hidden="1" x14ac:dyDescent="0.3"/>
    <row r="8440" hidden="1" x14ac:dyDescent="0.3"/>
    <row r="8441" hidden="1" x14ac:dyDescent="0.3"/>
    <row r="8442" hidden="1" x14ac:dyDescent="0.3"/>
    <row r="8443" hidden="1" x14ac:dyDescent="0.3"/>
    <row r="8444" hidden="1" x14ac:dyDescent="0.3"/>
    <row r="8445" hidden="1" x14ac:dyDescent="0.3"/>
    <row r="8446" hidden="1" x14ac:dyDescent="0.3"/>
    <row r="8447" hidden="1" x14ac:dyDescent="0.3"/>
    <row r="8448" hidden="1" x14ac:dyDescent="0.3"/>
    <row r="8449" hidden="1" x14ac:dyDescent="0.3"/>
    <row r="8450" hidden="1" x14ac:dyDescent="0.3"/>
    <row r="8451" hidden="1" x14ac:dyDescent="0.3"/>
    <row r="8452" hidden="1" x14ac:dyDescent="0.3"/>
    <row r="8453" hidden="1" x14ac:dyDescent="0.3"/>
    <row r="8454" hidden="1" x14ac:dyDescent="0.3"/>
    <row r="8455" hidden="1" x14ac:dyDescent="0.3"/>
    <row r="8456" hidden="1" x14ac:dyDescent="0.3"/>
    <row r="8457" hidden="1" x14ac:dyDescent="0.3"/>
    <row r="8458" hidden="1" x14ac:dyDescent="0.3"/>
    <row r="8459" hidden="1" x14ac:dyDescent="0.3"/>
    <row r="8460" hidden="1" x14ac:dyDescent="0.3"/>
    <row r="8461" hidden="1" x14ac:dyDescent="0.3"/>
    <row r="8462" hidden="1" x14ac:dyDescent="0.3"/>
    <row r="8463" hidden="1" x14ac:dyDescent="0.3"/>
    <row r="8464" hidden="1" x14ac:dyDescent="0.3"/>
    <row r="8465" hidden="1" x14ac:dyDescent="0.3"/>
    <row r="8466" hidden="1" x14ac:dyDescent="0.3"/>
    <row r="8467" hidden="1" x14ac:dyDescent="0.3"/>
    <row r="8468" hidden="1" x14ac:dyDescent="0.3"/>
    <row r="8469" hidden="1" x14ac:dyDescent="0.3"/>
    <row r="8470" hidden="1" x14ac:dyDescent="0.3"/>
    <row r="8471" hidden="1" x14ac:dyDescent="0.3"/>
    <row r="8472" hidden="1" x14ac:dyDescent="0.3"/>
    <row r="8473" hidden="1" x14ac:dyDescent="0.3"/>
    <row r="8474" hidden="1" x14ac:dyDescent="0.3"/>
    <row r="8475" hidden="1" x14ac:dyDescent="0.3"/>
    <row r="8476" hidden="1" x14ac:dyDescent="0.3"/>
    <row r="8477" hidden="1" x14ac:dyDescent="0.3"/>
    <row r="8478" hidden="1" x14ac:dyDescent="0.3"/>
    <row r="8479" hidden="1" x14ac:dyDescent="0.3"/>
    <row r="8480" hidden="1" x14ac:dyDescent="0.3"/>
    <row r="8481" hidden="1" x14ac:dyDescent="0.3"/>
    <row r="8482" hidden="1" x14ac:dyDescent="0.3"/>
    <row r="8483" hidden="1" x14ac:dyDescent="0.3"/>
    <row r="8484" hidden="1" x14ac:dyDescent="0.3"/>
    <row r="8485" hidden="1" x14ac:dyDescent="0.3"/>
    <row r="8486" hidden="1" x14ac:dyDescent="0.3"/>
    <row r="8487" hidden="1" x14ac:dyDescent="0.3"/>
    <row r="8488" hidden="1" x14ac:dyDescent="0.3"/>
    <row r="8489" hidden="1" x14ac:dyDescent="0.3"/>
    <row r="8490" hidden="1" x14ac:dyDescent="0.3"/>
    <row r="8491" hidden="1" x14ac:dyDescent="0.3"/>
    <row r="8492" hidden="1" x14ac:dyDescent="0.3"/>
    <row r="8493" hidden="1" x14ac:dyDescent="0.3"/>
    <row r="8494" hidden="1" x14ac:dyDescent="0.3"/>
    <row r="8495" hidden="1" x14ac:dyDescent="0.3"/>
    <row r="8496" hidden="1" x14ac:dyDescent="0.3"/>
    <row r="8497" hidden="1" x14ac:dyDescent="0.3"/>
    <row r="8498" hidden="1" x14ac:dyDescent="0.3"/>
    <row r="8499" hidden="1" x14ac:dyDescent="0.3"/>
    <row r="8500" hidden="1" x14ac:dyDescent="0.3"/>
    <row r="8501" hidden="1" x14ac:dyDescent="0.3"/>
    <row r="8502" hidden="1" x14ac:dyDescent="0.3"/>
    <row r="8503" hidden="1" x14ac:dyDescent="0.3"/>
    <row r="8504" hidden="1" x14ac:dyDescent="0.3"/>
    <row r="8505" hidden="1" x14ac:dyDescent="0.3"/>
    <row r="8506" hidden="1" x14ac:dyDescent="0.3"/>
    <row r="8507" hidden="1" x14ac:dyDescent="0.3"/>
    <row r="8508" hidden="1" x14ac:dyDescent="0.3"/>
    <row r="8509" hidden="1" x14ac:dyDescent="0.3"/>
    <row r="8510" hidden="1" x14ac:dyDescent="0.3"/>
    <row r="8511" hidden="1" x14ac:dyDescent="0.3"/>
    <row r="8512" hidden="1" x14ac:dyDescent="0.3"/>
    <row r="8513" hidden="1" x14ac:dyDescent="0.3"/>
    <row r="8514" hidden="1" x14ac:dyDescent="0.3"/>
    <row r="8515" hidden="1" x14ac:dyDescent="0.3"/>
    <row r="8516" hidden="1" x14ac:dyDescent="0.3"/>
    <row r="8517" hidden="1" x14ac:dyDescent="0.3"/>
    <row r="8518" hidden="1" x14ac:dyDescent="0.3"/>
    <row r="8519" hidden="1" x14ac:dyDescent="0.3"/>
    <row r="8520" hidden="1" x14ac:dyDescent="0.3"/>
    <row r="8521" hidden="1" x14ac:dyDescent="0.3"/>
    <row r="8522" hidden="1" x14ac:dyDescent="0.3"/>
    <row r="8523" hidden="1" x14ac:dyDescent="0.3"/>
    <row r="8524" hidden="1" x14ac:dyDescent="0.3"/>
    <row r="8525" hidden="1" x14ac:dyDescent="0.3"/>
    <row r="8526" hidden="1" x14ac:dyDescent="0.3"/>
    <row r="8527" hidden="1" x14ac:dyDescent="0.3"/>
    <row r="8528" hidden="1" x14ac:dyDescent="0.3"/>
    <row r="8529" hidden="1" x14ac:dyDescent="0.3"/>
    <row r="8530" hidden="1" x14ac:dyDescent="0.3"/>
    <row r="8531" hidden="1" x14ac:dyDescent="0.3"/>
    <row r="8532" hidden="1" x14ac:dyDescent="0.3"/>
    <row r="8533" hidden="1" x14ac:dyDescent="0.3"/>
    <row r="8534" hidden="1" x14ac:dyDescent="0.3"/>
    <row r="8535" hidden="1" x14ac:dyDescent="0.3"/>
    <row r="8536" hidden="1" x14ac:dyDescent="0.3"/>
    <row r="8537" hidden="1" x14ac:dyDescent="0.3"/>
    <row r="8538" hidden="1" x14ac:dyDescent="0.3"/>
    <row r="8539" hidden="1" x14ac:dyDescent="0.3"/>
    <row r="8540" hidden="1" x14ac:dyDescent="0.3"/>
    <row r="8541" hidden="1" x14ac:dyDescent="0.3"/>
    <row r="8542" hidden="1" x14ac:dyDescent="0.3"/>
    <row r="8543" hidden="1" x14ac:dyDescent="0.3"/>
    <row r="8544" hidden="1" x14ac:dyDescent="0.3"/>
    <row r="8545" hidden="1" x14ac:dyDescent="0.3"/>
    <row r="8546" hidden="1" x14ac:dyDescent="0.3"/>
    <row r="8547" hidden="1" x14ac:dyDescent="0.3"/>
    <row r="8548" hidden="1" x14ac:dyDescent="0.3"/>
    <row r="8549" hidden="1" x14ac:dyDescent="0.3"/>
    <row r="8550" hidden="1" x14ac:dyDescent="0.3"/>
    <row r="8551" hidden="1" x14ac:dyDescent="0.3"/>
    <row r="8552" hidden="1" x14ac:dyDescent="0.3"/>
    <row r="8553" hidden="1" x14ac:dyDescent="0.3"/>
    <row r="8554" hidden="1" x14ac:dyDescent="0.3"/>
    <row r="8555" hidden="1" x14ac:dyDescent="0.3"/>
    <row r="8556" hidden="1" x14ac:dyDescent="0.3"/>
    <row r="8557" hidden="1" x14ac:dyDescent="0.3"/>
    <row r="8558" hidden="1" x14ac:dyDescent="0.3"/>
    <row r="8559" hidden="1" x14ac:dyDescent="0.3"/>
    <row r="8560" hidden="1" x14ac:dyDescent="0.3"/>
    <row r="8561" hidden="1" x14ac:dyDescent="0.3"/>
    <row r="8562" hidden="1" x14ac:dyDescent="0.3"/>
    <row r="8563" hidden="1" x14ac:dyDescent="0.3"/>
    <row r="8564" hidden="1" x14ac:dyDescent="0.3"/>
    <row r="8565" hidden="1" x14ac:dyDescent="0.3"/>
    <row r="8566" hidden="1" x14ac:dyDescent="0.3"/>
    <row r="8567" hidden="1" x14ac:dyDescent="0.3"/>
    <row r="8568" hidden="1" x14ac:dyDescent="0.3"/>
    <row r="8569" hidden="1" x14ac:dyDescent="0.3"/>
    <row r="8570" hidden="1" x14ac:dyDescent="0.3"/>
    <row r="8571" hidden="1" x14ac:dyDescent="0.3"/>
    <row r="8572" hidden="1" x14ac:dyDescent="0.3"/>
    <row r="8573" hidden="1" x14ac:dyDescent="0.3"/>
    <row r="8574" hidden="1" x14ac:dyDescent="0.3"/>
    <row r="8575" hidden="1" x14ac:dyDescent="0.3"/>
    <row r="8576" hidden="1" x14ac:dyDescent="0.3"/>
    <row r="8577" hidden="1" x14ac:dyDescent="0.3"/>
    <row r="8578" hidden="1" x14ac:dyDescent="0.3"/>
    <row r="8579" hidden="1" x14ac:dyDescent="0.3"/>
    <row r="8580" hidden="1" x14ac:dyDescent="0.3"/>
    <row r="8581" hidden="1" x14ac:dyDescent="0.3"/>
    <row r="8582" hidden="1" x14ac:dyDescent="0.3"/>
    <row r="8583" hidden="1" x14ac:dyDescent="0.3"/>
    <row r="8584" hidden="1" x14ac:dyDescent="0.3"/>
    <row r="8585" hidden="1" x14ac:dyDescent="0.3"/>
    <row r="8586" hidden="1" x14ac:dyDescent="0.3"/>
    <row r="8587" hidden="1" x14ac:dyDescent="0.3"/>
    <row r="8588" hidden="1" x14ac:dyDescent="0.3"/>
    <row r="8589" hidden="1" x14ac:dyDescent="0.3"/>
    <row r="8590" hidden="1" x14ac:dyDescent="0.3"/>
    <row r="8591" hidden="1" x14ac:dyDescent="0.3"/>
    <row r="8592" hidden="1" x14ac:dyDescent="0.3"/>
    <row r="8593" hidden="1" x14ac:dyDescent="0.3"/>
    <row r="8594" hidden="1" x14ac:dyDescent="0.3"/>
    <row r="8595" hidden="1" x14ac:dyDescent="0.3"/>
    <row r="8596" hidden="1" x14ac:dyDescent="0.3"/>
    <row r="8597" hidden="1" x14ac:dyDescent="0.3"/>
    <row r="8598" hidden="1" x14ac:dyDescent="0.3"/>
    <row r="8599" hidden="1" x14ac:dyDescent="0.3"/>
    <row r="8600" hidden="1" x14ac:dyDescent="0.3"/>
    <row r="8601" hidden="1" x14ac:dyDescent="0.3"/>
    <row r="8602" hidden="1" x14ac:dyDescent="0.3"/>
    <row r="8603" hidden="1" x14ac:dyDescent="0.3"/>
    <row r="8604" hidden="1" x14ac:dyDescent="0.3"/>
    <row r="8605" hidden="1" x14ac:dyDescent="0.3"/>
    <row r="8606" hidden="1" x14ac:dyDescent="0.3"/>
    <row r="8607" hidden="1" x14ac:dyDescent="0.3"/>
    <row r="8608" hidden="1" x14ac:dyDescent="0.3"/>
    <row r="8609" hidden="1" x14ac:dyDescent="0.3"/>
    <row r="8610" hidden="1" x14ac:dyDescent="0.3"/>
    <row r="8611" hidden="1" x14ac:dyDescent="0.3"/>
    <row r="8612" hidden="1" x14ac:dyDescent="0.3"/>
    <row r="8613" hidden="1" x14ac:dyDescent="0.3"/>
    <row r="8614" hidden="1" x14ac:dyDescent="0.3"/>
    <row r="8615" hidden="1" x14ac:dyDescent="0.3"/>
    <row r="8616" hidden="1" x14ac:dyDescent="0.3"/>
    <row r="8617" hidden="1" x14ac:dyDescent="0.3"/>
    <row r="8618" hidden="1" x14ac:dyDescent="0.3"/>
    <row r="8619" hidden="1" x14ac:dyDescent="0.3"/>
    <row r="8620" hidden="1" x14ac:dyDescent="0.3"/>
    <row r="8621" hidden="1" x14ac:dyDescent="0.3"/>
    <row r="8622" hidden="1" x14ac:dyDescent="0.3"/>
    <row r="8623" hidden="1" x14ac:dyDescent="0.3"/>
    <row r="8624" hidden="1" x14ac:dyDescent="0.3"/>
    <row r="8625" hidden="1" x14ac:dyDescent="0.3"/>
    <row r="8626" hidden="1" x14ac:dyDescent="0.3"/>
    <row r="8627" hidden="1" x14ac:dyDescent="0.3"/>
    <row r="8628" hidden="1" x14ac:dyDescent="0.3"/>
    <row r="8629" hidden="1" x14ac:dyDescent="0.3"/>
    <row r="8630" hidden="1" x14ac:dyDescent="0.3"/>
    <row r="8631" hidden="1" x14ac:dyDescent="0.3"/>
    <row r="8632" hidden="1" x14ac:dyDescent="0.3"/>
    <row r="8633" hidden="1" x14ac:dyDescent="0.3"/>
    <row r="8634" hidden="1" x14ac:dyDescent="0.3"/>
    <row r="8635" hidden="1" x14ac:dyDescent="0.3"/>
    <row r="8636" hidden="1" x14ac:dyDescent="0.3"/>
    <row r="8637" hidden="1" x14ac:dyDescent="0.3"/>
    <row r="8638" hidden="1" x14ac:dyDescent="0.3"/>
    <row r="8639" hidden="1" x14ac:dyDescent="0.3"/>
    <row r="8640" hidden="1" x14ac:dyDescent="0.3"/>
    <row r="8641" hidden="1" x14ac:dyDescent="0.3"/>
    <row r="8642" hidden="1" x14ac:dyDescent="0.3"/>
    <row r="8643" hidden="1" x14ac:dyDescent="0.3"/>
    <row r="8644" hidden="1" x14ac:dyDescent="0.3"/>
    <row r="8645" hidden="1" x14ac:dyDescent="0.3"/>
    <row r="8646" hidden="1" x14ac:dyDescent="0.3"/>
    <row r="8647" hidden="1" x14ac:dyDescent="0.3"/>
    <row r="8648" hidden="1" x14ac:dyDescent="0.3"/>
    <row r="8649" hidden="1" x14ac:dyDescent="0.3"/>
    <row r="8650" hidden="1" x14ac:dyDescent="0.3"/>
    <row r="8651" hidden="1" x14ac:dyDescent="0.3"/>
    <row r="8652" hidden="1" x14ac:dyDescent="0.3"/>
    <row r="8653" hidden="1" x14ac:dyDescent="0.3"/>
    <row r="8654" hidden="1" x14ac:dyDescent="0.3"/>
    <row r="8655" hidden="1" x14ac:dyDescent="0.3"/>
    <row r="8656" hidden="1" x14ac:dyDescent="0.3"/>
    <row r="8657" hidden="1" x14ac:dyDescent="0.3"/>
    <row r="8658" hidden="1" x14ac:dyDescent="0.3"/>
    <row r="8659" hidden="1" x14ac:dyDescent="0.3"/>
    <row r="8660" hidden="1" x14ac:dyDescent="0.3"/>
    <row r="8661" hidden="1" x14ac:dyDescent="0.3"/>
    <row r="8662" hidden="1" x14ac:dyDescent="0.3"/>
    <row r="8663" hidden="1" x14ac:dyDescent="0.3"/>
    <row r="8664" hidden="1" x14ac:dyDescent="0.3"/>
    <row r="8665" hidden="1" x14ac:dyDescent="0.3"/>
    <row r="8666" hidden="1" x14ac:dyDescent="0.3"/>
    <row r="8667" hidden="1" x14ac:dyDescent="0.3"/>
    <row r="8668" hidden="1" x14ac:dyDescent="0.3"/>
    <row r="8669" hidden="1" x14ac:dyDescent="0.3"/>
    <row r="8670" hidden="1" x14ac:dyDescent="0.3"/>
    <row r="8671" hidden="1" x14ac:dyDescent="0.3"/>
    <row r="8672" hidden="1" x14ac:dyDescent="0.3"/>
    <row r="8673" hidden="1" x14ac:dyDescent="0.3"/>
    <row r="8674" hidden="1" x14ac:dyDescent="0.3"/>
    <row r="8675" hidden="1" x14ac:dyDescent="0.3"/>
    <row r="8676" hidden="1" x14ac:dyDescent="0.3"/>
    <row r="8677" hidden="1" x14ac:dyDescent="0.3"/>
    <row r="8678" hidden="1" x14ac:dyDescent="0.3"/>
    <row r="8679" hidden="1" x14ac:dyDescent="0.3"/>
    <row r="8680" hidden="1" x14ac:dyDescent="0.3"/>
    <row r="8681" hidden="1" x14ac:dyDescent="0.3"/>
    <row r="8682" hidden="1" x14ac:dyDescent="0.3"/>
    <row r="8683" hidden="1" x14ac:dyDescent="0.3"/>
    <row r="8684" hidden="1" x14ac:dyDescent="0.3"/>
    <row r="8685" hidden="1" x14ac:dyDescent="0.3"/>
    <row r="8686" hidden="1" x14ac:dyDescent="0.3"/>
    <row r="8687" hidden="1" x14ac:dyDescent="0.3"/>
    <row r="8688" hidden="1" x14ac:dyDescent="0.3"/>
    <row r="8689" hidden="1" x14ac:dyDescent="0.3"/>
    <row r="8690" hidden="1" x14ac:dyDescent="0.3"/>
    <row r="8691" hidden="1" x14ac:dyDescent="0.3"/>
    <row r="8692" hidden="1" x14ac:dyDescent="0.3"/>
    <row r="8693" hidden="1" x14ac:dyDescent="0.3"/>
    <row r="8694" hidden="1" x14ac:dyDescent="0.3"/>
    <row r="8695" hidden="1" x14ac:dyDescent="0.3"/>
    <row r="8696" hidden="1" x14ac:dyDescent="0.3"/>
    <row r="8697" hidden="1" x14ac:dyDescent="0.3"/>
    <row r="8698" hidden="1" x14ac:dyDescent="0.3"/>
    <row r="8699" hidden="1" x14ac:dyDescent="0.3"/>
    <row r="8700" hidden="1" x14ac:dyDescent="0.3"/>
    <row r="8701" hidden="1" x14ac:dyDescent="0.3"/>
    <row r="8702" hidden="1" x14ac:dyDescent="0.3"/>
    <row r="8703" hidden="1" x14ac:dyDescent="0.3"/>
    <row r="8704" hidden="1" x14ac:dyDescent="0.3"/>
    <row r="8705" hidden="1" x14ac:dyDescent="0.3"/>
    <row r="8706" hidden="1" x14ac:dyDescent="0.3"/>
    <row r="8707" hidden="1" x14ac:dyDescent="0.3"/>
    <row r="8708" hidden="1" x14ac:dyDescent="0.3"/>
    <row r="8709" hidden="1" x14ac:dyDescent="0.3"/>
    <row r="8710" hidden="1" x14ac:dyDescent="0.3"/>
    <row r="8711" hidden="1" x14ac:dyDescent="0.3"/>
    <row r="8712" hidden="1" x14ac:dyDescent="0.3"/>
    <row r="8713" hidden="1" x14ac:dyDescent="0.3"/>
    <row r="8714" hidden="1" x14ac:dyDescent="0.3"/>
    <row r="8715" hidden="1" x14ac:dyDescent="0.3"/>
    <row r="8716" hidden="1" x14ac:dyDescent="0.3"/>
    <row r="8717" hidden="1" x14ac:dyDescent="0.3"/>
    <row r="8718" hidden="1" x14ac:dyDescent="0.3"/>
    <row r="8719" hidden="1" x14ac:dyDescent="0.3"/>
    <row r="8720" hidden="1" x14ac:dyDescent="0.3"/>
    <row r="8721" hidden="1" x14ac:dyDescent="0.3"/>
    <row r="8722" hidden="1" x14ac:dyDescent="0.3"/>
    <row r="8723" hidden="1" x14ac:dyDescent="0.3"/>
    <row r="8724" hidden="1" x14ac:dyDescent="0.3"/>
    <row r="8725" hidden="1" x14ac:dyDescent="0.3"/>
    <row r="8726" hidden="1" x14ac:dyDescent="0.3"/>
    <row r="8727" hidden="1" x14ac:dyDescent="0.3"/>
    <row r="8728" hidden="1" x14ac:dyDescent="0.3"/>
    <row r="8729" hidden="1" x14ac:dyDescent="0.3"/>
    <row r="8730" hidden="1" x14ac:dyDescent="0.3"/>
    <row r="8731" hidden="1" x14ac:dyDescent="0.3"/>
    <row r="8732" hidden="1" x14ac:dyDescent="0.3"/>
    <row r="8733" hidden="1" x14ac:dyDescent="0.3"/>
    <row r="8734" hidden="1" x14ac:dyDescent="0.3"/>
    <row r="8735" hidden="1" x14ac:dyDescent="0.3"/>
    <row r="8736" hidden="1" x14ac:dyDescent="0.3"/>
    <row r="8737" hidden="1" x14ac:dyDescent="0.3"/>
    <row r="8738" hidden="1" x14ac:dyDescent="0.3"/>
    <row r="8739" hidden="1" x14ac:dyDescent="0.3"/>
    <row r="8740" hidden="1" x14ac:dyDescent="0.3"/>
    <row r="8741" hidden="1" x14ac:dyDescent="0.3"/>
    <row r="8742" hidden="1" x14ac:dyDescent="0.3"/>
    <row r="8743" hidden="1" x14ac:dyDescent="0.3"/>
    <row r="8744" hidden="1" x14ac:dyDescent="0.3"/>
    <row r="8745" hidden="1" x14ac:dyDescent="0.3"/>
    <row r="8746" hidden="1" x14ac:dyDescent="0.3"/>
    <row r="8747" hidden="1" x14ac:dyDescent="0.3"/>
    <row r="8748" hidden="1" x14ac:dyDescent="0.3"/>
    <row r="8749" hidden="1" x14ac:dyDescent="0.3"/>
    <row r="8750" hidden="1" x14ac:dyDescent="0.3"/>
    <row r="8751" hidden="1" x14ac:dyDescent="0.3"/>
    <row r="8752" hidden="1" x14ac:dyDescent="0.3"/>
    <row r="8753" hidden="1" x14ac:dyDescent="0.3"/>
    <row r="8754" hidden="1" x14ac:dyDescent="0.3"/>
    <row r="8755" hidden="1" x14ac:dyDescent="0.3"/>
    <row r="8756" hidden="1" x14ac:dyDescent="0.3"/>
    <row r="8757" hidden="1" x14ac:dyDescent="0.3"/>
    <row r="8758" hidden="1" x14ac:dyDescent="0.3"/>
    <row r="8759" hidden="1" x14ac:dyDescent="0.3"/>
    <row r="8760" hidden="1" x14ac:dyDescent="0.3"/>
    <row r="8761" hidden="1" x14ac:dyDescent="0.3"/>
    <row r="8762" hidden="1" x14ac:dyDescent="0.3"/>
    <row r="8763" hidden="1" x14ac:dyDescent="0.3"/>
    <row r="8764" hidden="1" x14ac:dyDescent="0.3"/>
    <row r="8765" hidden="1" x14ac:dyDescent="0.3"/>
    <row r="8766" hidden="1" x14ac:dyDescent="0.3"/>
    <row r="8767" hidden="1" x14ac:dyDescent="0.3"/>
    <row r="8768" hidden="1" x14ac:dyDescent="0.3"/>
    <row r="8769" hidden="1" x14ac:dyDescent="0.3"/>
    <row r="8770" hidden="1" x14ac:dyDescent="0.3"/>
    <row r="8771" hidden="1" x14ac:dyDescent="0.3"/>
    <row r="8772" hidden="1" x14ac:dyDescent="0.3"/>
    <row r="8773" hidden="1" x14ac:dyDescent="0.3"/>
    <row r="8774" hidden="1" x14ac:dyDescent="0.3"/>
    <row r="8775" hidden="1" x14ac:dyDescent="0.3"/>
    <row r="8776" hidden="1" x14ac:dyDescent="0.3"/>
    <row r="8777" hidden="1" x14ac:dyDescent="0.3"/>
    <row r="8778" hidden="1" x14ac:dyDescent="0.3"/>
    <row r="8779" hidden="1" x14ac:dyDescent="0.3"/>
    <row r="8780" hidden="1" x14ac:dyDescent="0.3"/>
    <row r="8781" hidden="1" x14ac:dyDescent="0.3"/>
    <row r="8782" hidden="1" x14ac:dyDescent="0.3"/>
    <row r="8783" hidden="1" x14ac:dyDescent="0.3"/>
    <row r="8784" hidden="1" x14ac:dyDescent="0.3"/>
    <row r="8785" hidden="1" x14ac:dyDescent="0.3"/>
    <row r="8786" hidden="1" x14ac:dyDescent="0.3"/>
    <row r="8787" hidden="1" x14ac:dyDescent="0.3"/>
    <row r="8788" hidden="1" x14ac:dyDescent="0.3"/>
    <row r="8789" hidden="1" x14ac:dyDescent="0.3"/>
    <row r="8790" hidden="1" x14ac:dyDescent="0.3"/>
    <row r="8791" hidden="1" x14ac:dyDescent="0.3"/>
    <row r="8792" hidden="1" x14ac:dyDescent="0.3"/>
    <row r="8793" hidden="1" x14ac:dyDescent="0.3"/>
    <row r="8794" hidden="1" x14ac:dyDescent="0.3"/>
    <row r="8795" hidden="1" x14ac:dyDescent="0.3"/>
    <row r="8796" hidden="1" x14ac:dyDescent="0.3"/>
    <row r="8797" hidden="1" x14ac:dyDescent="0.3"/>
    <row r="8798" hidden="1" x14ac:dyDescent="0.3"/>
    <row r="8799" hidden="1" x14ac:dyDescent="0.3"/>
    <row r="8800" hidden="1" x14ac:dyDescent="0.3"/>
    <row r="8801" hidden="1" x14ac:dyDescent="0.3"/>
    <row r="8802" hidden="1" x14ac:dyDescent="0.3"/>
    <row r="8803" hidden="1" x14ac:dyDescent="0.3"/>
    <row r="8804" hidden="1" x14ac:dyDescent="0.3"/>
    <row r="8805" hidden="1" x14ac:dyDescent="0.3"/>
    <row r="8806" hidden="1" x14ac:dyDescent="0.3"/>
    <row r="8807" hidden="1" x14ac:dyDescent="0.3"/>
    <row r="8808" hidden="1" x14ac:dyDescent="0.3"/>
    <row r="8809" hidden="1" x14ac:dyDescent="0.3"/>
    <row r="8810" hidden="1" x14ac:dyDescent="0.3"/>
    <row r="8811" hidden="1" x14ac:dyDescent="0.3"/>
    <row r="8812" hidden="1" x14ac:dyDescent="0.3"/>
    <row r="8813" hidden="1" x14ac:dyDescent="0.3"/>
    <row r="8814" hidden="1" x14ac:dyDescent="0.3"/>
    <row r="8815" hidden="1" x14ac:dyDescent="0.3"/>
    <row r="8816" hidden="1" x14ac:dyDescent="0.3"/>
    <row r="8817" hidden="1" x14ac:dyDescent="0.3"/>
    <row r="8818" hidden="1" x14ac:dyDescent="0.3"/>
    <row r="8819" hidden="1" x14ac:dyDescent="0.3"/>
    <row r="8820" hidden="1" x14ac:dyDescent="0.3"/>
    <row r="8821" hidden="1" x14ac:dyDescent="0.3"/>
    <row r="8822" hidden="1" x14ac:dyDescent="0.3"/>
    <row r="8823" hidden="1" x14ac:dyDescent="0.3"/>
    <row r="8824" hidden="1" x14ac:dyDescent="0.3"/>
    <row r="8825" hidden="1" x14ac:dyDescent="0.3"/>
    <row r="8826" hidden="1" x14ac:dyDescent="0.3"/>
    <row r="8827" hidden="1" x14ac:dyDescent="0.3"/>
    <row r="8828" hidden="1" x14ac:dyDescent="0.3"/>
    <row r="8829" hidden="1" x14ac:dyDescent="0.3"/>
    <row r="8830" hidden="1" x14ac:dyDescent="0.3"/>
    <row r="8831" hidden="1" x14ac:dyDescent="0.3"/>
    <row r="8832" hidden="1" x14ac:dyDescent="0.3"/>
    <row r="8833" hidden="1" x14ac:dyDescent="0.3"/>
    <row r="8834" hidden="1" x14ac:dyDescent="0.3"/>
    <row r="8835" hidden="1" x14ac:dyDescent="0.3"/>
    <row r="8836" hidden="1" x14ac:dyDescent="0.3"/>
    <row r="8837" hidden="1" x14ac:dyDescent="0.3"/>
    <row r="8838" hidden="1" x14ac:dyDescent="0.3"/>
    <row r="8839" hidden="1" x14ac:dyDescent="0.3"/>
    <row r="8840" hidden="1" x14ac:dyDescent="0.3"/>
    <row r="8841" hidden="1" x14ac:dyDescent="0.3"/>
    <row r="8842" hidden="1" x14ac:dyDescent="0.3"/>
    <row r="8843" hidden="1" x14ac:dyDescent="0.3"/>
    <row r="8844" hidden="1" x14ac:dyDescent="0.3"/>
    <row r="8845" hidden="1" x14ac:dyDescent="0.3"/>
    <row r="8846" hidden="1" x14ac:dyDescent="0.3"/>
    <row r="8847" hidden="1" x14ac:dyDescent="0.3"/>
    <row r="8848" hidden="1" x14ac:dyDescent="0.3"/>
    <row r="8849" hidden="1" x14ac:dyDescent="0.3"/>
    <row r="8850" hidden="1" x14ac:dyDescent="0.3"/>
    <row r="8851" hidden="1" x14ac:dyDescent="0.3"/>
    <row r="8852" hidden="1" x14ac:dyDescent="0.3"/>
    <row r="8853" hidden="1" x14ac:dyDescent="0.3"/>
    <row r="8854" hidden="1" x14ac:dyDescent="0.3"/>
    <row r="8855" hidden="1" x14ac:dyDescent="0.3"/>
    <row r="8856" hidden="1" x14ac:dyDescent="0.3"/>
    <row r="8857" hidden="1" x14ac:dyDescent="0.3"/>
    <row r="8858" hidden="1" x14ac:dyDescent="0.3"/>
    <row r="8859" hidden="1" x14ac:dyDescent="0.3"/>
    <row r="8860" hidden="1" x14ac:dyDescent="0.3"/>
    <row r="8861" hidden="1" x14ac:dyDescent="0.3"/>
    <row r="8862" hidden="1" x14ac:dyDescent="0.3"/>
    <row r="8863" hidden="1" x14ac:dyDescent="0.3"/>
    <row r="8864" hidden="1" x14ac:dyDescent="0.3"/>
    <row r="8865" hidden="1" x14ac:dyDescent="0.3"/>
    <row r="8866" hidden="1" x14ac:dyDescent="0.3"/>
    <row r="8867" hidden="1" x14ac:dyDescent="0.3"/>
    <row r="8868" hidden="1" x14ac:dyDescent="0.3"/>
    <row r="8869" hidden="1" x14ac:dyDescent="0.3"/>
    <row r="8870" hidden="1" x14ac:dyDescent="0.3"/>
    <row r="8871" hidden="1" x14ac:dyDescent="0.3"/>
    <row r="8872" hidden="1" x14ac:dyDescent="0.3"/>
    <row r="8873" hidden="1" x14ac:dyDescent="0.3"/>
    <row r="8874" hidden="1" x14ac:dyDescent="0.3"/>
    <row r="8875" hidden="1" x14ac:dyDescent="0.3"/>
    <row r="8876" hidden="1" x14ac:dyDescent="0.3"/>
    <row r="8877" hidden="1" x14ac:dyDescent="0.3"/>
    <row r="8878" hidden="1" x14ac:dyDescent="0.3"/>
    <row r="8879" hidden="1" x14ac:dyDescent="0.3"/>
    <row r="8880" hidden="1" x14ac:dyDescent="0.3"/>
    <row r="8881" hidden="1" x14ac:dyDescent="0.3"/>
    <row r="8882" hidden="1" x14ac:dyDescent="0.3"/>
    <row r="8883" hidden="1" x14ac:dyDescent="0.3"/>
    <row r="8884" hidden="1" x14ac:dyDescent="0.3"/>
    <row r="8885" hidden="1" x14ac:dyDescent="0.3"/>
    <row r="8886" hidden="1" x14ac:dyDescent="0.3"/>
    <row r="8887" hidden="1" x14ac:dyDescent="0.3"/>
    <row r="8888" hidden="1" x14ac:dyDescent="0.3"/>
    <row r="8889" hidden="1" x14ac:dyDescent="0.3"/>
    <row r="8890" hidden="1" x14ac:dyDescent="0.3"/>
    <row r="8891" hidden="1" x14ac:dyDescent="0.3"/>
    <row r="8892" hidden="1" x14ac:dyDescent="0.3"/>
    <row r="8893" hidden="1" x14ac:dyDescent="0.3"/>
    <row r="8894" hidden="1" x14ac:dyDescent="0.3"/>
    <row r="8895" hidden="1" x14ac:dyDescent="0.3"/>
    <row r="8896" hidden="1" x14ac:dyDescent="0.3"/>
    <row r="8897" hidden="1" x14ac:dyDescent="0.3"/>
    <row r="8898" hidden="1" x14ac:dyDescent="0.3"/>
    <row r="8899" hidden="1" x14ac:dyDescent="0.3"/>
    <row r="8900" hidden="1" x14ac:dyDescent="0.3"/>
    <row r="8901" hidden="1" x14ac:dyDescent="0.3"/>
    <row r="8902" hidden="1" x14ac:dyDescent="0.3"/>
    <row r="8903" hidden="1" x14ac:dyDescent="0.3"/>
    <row r="8904" hidden="1" x14ac:dyDescent="0.3"/>
    <row r="8905" hidden="1" x14ac:dyDescent="0.3"/>
    <row r="8906" hidden="1" x14ac:dyDescent="0.3"/>
    <row r="8907" hidden="1" x14ac:dyDescent="0.3"/>
    <row r="8908" hidden="1" x14ac:dyDescent="0.3"/>
    <row r="8909" hidden="1" x14ac:dyDescent="0.3"/>
    <row r="8910" hidden="1" x14ac:dyDescent="0.3"/>
    <row r="8911" hidden="1" x14ac:dyDescent="0.3"/>
    <row r="8912" hidden="1" x14ac:dyDescent="0.3"/>
    <row r="8913" hidden="1" x14ac:dyDescent="0.3"/>
    <row r="8914" hidden="1" x14ac:dyDescent="0.3"/>
    <row r="8915" hidden="1" x14ac:dyDescent="0.3"/>
    <row r="8916" hidden="1" x14ac:dyDescent="0.3"/>
    <row r="8917" hidden="1" x14ac:dyDescent="0.3"/>
    <row r="8918" hidden="1" x14ac:dyDescent="0.3"/>
    <row r="8919" hidden="1" x14ac:dyDescent="0.3"/>
    <row r="8920" hidden="1" x14ac:dyDescent="0.3"/>
    <row r="8921" hidden="1" x14ac:dyDescent="0.3"/>
    <row r="8922" hidden="1" x14ac:dyDescent="0.3"/>
    <row r="8923" hidden="1" x14ac:dyDescent="0.3"/>
    <row r="8924" hidden="1" x14ac:dyDescent="0.3"/>
    <row r="8925" hidden="1" x14ac:dyDescent="0.3"/>
    <row r="8926" hidden="1" x14ac:dyDescent="0.3"/>
    <row r="8927" hidden="1" x14ac:dyDescent="0.3"/>
    <row r="8928" hidden="1" x14ac:dyDescent="0.3"/>
    <row r="8929" hidden="1" x14ac:dyDescent="0.3"/>
    <row r="8930" hidden="1" x14ac:dyDescent="0.3"/>
    <row r="8931" hidden="1" x14ac:dyDescent="0.3"/>
    <row r="8932" hidden="1" x14ac:dyDescent="0.3"/>
    <row r="8933" hidden="1" x14ac:dyDescent="0.3"/>
    <row r="8934" hidden="1" x14ac:dyDescent="0.3"/>
    <row r="8935" hidden="1" x14ac:dyDescent="0.3"/>
    <row r="8936" hidden="1" x14ac:dyDescent="0.3"/>
    <row r="8937" hidden="1" x14ac:dyDescent="0.3"/>
    <row r="8938" hidden="1" x14ac:dyDescent="0.3"/>
    <row r="8939" hidden="1" x14ac:dyDescent="0.3"/>
    <row r="8940" hidden="1" x14ac:dyDescent="0.3"/>
    <row r="8941" hidden="1" x14ac:dyDescent="0.3"/>
    <row r="8942" hidden="1" x14ac:dyDescent="0.3"/>
    <row r="8943" hidden="1" x14ac:dyDescent="0.3"/>
    <row r="8944" hidden="1" x14ac:dyDescent="0.3"/>
    <row r="8945" hidden="1" x14ac:dyDescent="0.3"/>
    <row r="8946" hidden="1" x14ac:dyDescent="0.3"/>
    <row r="8947" hidden="1" x14ac:dyDescent="0.3"/>
    <row r="8948" hidden="1" x14ac:dyDescent="0.3"/>
    <row r="8949" hidden="1" x14ac:dyDescent="0.3"/>
    <row r="8950" hidden="1" x14ac:dyDescent="0.3"/>
    <row r="8951" hidden="1" x14ac:dyDescent="0.3"/>
    <row r="8952" hidden="1" x14ac:dyDescent="0.3"/>
    <row r="8953" hidden="1" x14ac:dyDescent="0.3"/>
    <row r="8954" hidden="1" x14ac:dyDescent="0.3"/>
    <row r="8955" hidden="1" x14ac:dyDescent="0.3"/>
    <row r="8956" hidden="1" x14ac:dyDescent="0.3"/>
    <row r="8957" hidden="1" x14ac:dyDescent="0.3"/>
    <row r="8958" hidden="1" x14ac:dyDescent="0.3"/>
    <row r="8959" hidden="1" x14ac:dyDescent="0.3"/>
    <row r="8960" hidden="1" x14ac:dyDescent="0.3"/>
    <row r="8961" hidden="1" x14ac:dyDescent="0.3"/>
    <row r="8962" hidden="1" x14ac:dyDescent="0.3"/>
    <row r="8963" hidden="1" x14ac:dyDescent="0.3"/>
    <row r="8964" hidden="1" x14ac:dyDescent="0.3"/>
    <row r="8965" hidden="1" x14ac:dyDescent="0.3"/>
    <row r="8966" hidden="1" x14ac:dyDescent="0.3"/>
    <row r="8967" hidden="1" x14ac:dyDescent="0.3"/>
    <row r="8968" hidden="1" x14ac:dyDescent="0.3"/>
    <row r="8969" hidden="1" x14ac:dyDescent="0.3"/>
    <row r="8970" hidden="1" x14ac:dyDescent="0.3"/>
    <row r="8971" hidden="1" x14ac:dyDescent="0.3"/>
    <row r="8972" hidden="1" x14ac:dyDescent="0.3"/>
    <row r="8973" hidden="1" x14ac:dyDescent="0.3"/>
    <row r="8974" hidden="1" x14ac:dyDescent="0.3"/>
    <row r="8975" hidden="1" x14ac:dyDescent="0.3"/>
    <row r="8976" hidden="1" x14ac:dyDescent="0.3"/>
    <row r="8977" hidden="1" x14ac:dyDescent="0.3"/>
    <row r="8978" hidden="1" x14ac:dyDescent="0.3"/>
    <row r="8979" hidden="1" x14ac:dyDescent="0.3"/>
    <row r="8980" hidden="1" x14ac:dyDescent="0.3"/>
    <row r="8981" hidden="1" x14ac:dyDescent="0.3"/>
    <row r="8982" hidden="1" x14ac:dyDescent="0.3"/>
    <row r="8983" hidden="1" x14ac:dyDescent="0.3"/>
    <row r="8984" hidden="1" x14ac:dyDescent="0.3"/>
    <row r="8985" hidden="1" x14ac:dyDescent="0.3"/>
    <row r="8986" hidden="1" x14ac:dyDescent="0.3"/>
    <row r="8987" hidden="1" x14ac:dyDescent="0.3"/>
    <row r="8988" hidden="1" x14ac:dyDescent="0.3"/>
    <row r="8989" hidden="1" x14ac:dyDescent="0.3"/>
    <row r="8990" hidden="1" x14ac:dyDescent="0.3"/>
    <row r="8991" hidden="1" x14ac:dyDescent="0.3"/>
    <row r="8992" hidden="1" x14ac:dyDescent="0.3"/>
    <row r="8993" hidden="1" x14ac:dyDescent="0.3"/>
    <row r="8994" hidden="1" x14ac:dyDescent="0.3"/>
    <row r="8995" hidden="1" x14ac:dyDescent="0.3"/>
    <row r="8996" hidden="1" x14ac:dyDescent="0.3"/>
    <row r="8997" hidden="1" x14ac:dyDescent="0.3"/>
    <row r="8998" hidden="1" x14ac:dyDescent="0.3"/>
    <row r="8999" hidden="1" x14ac:dyDescent="0.3"/>
    <row r="9000" hidden="1" x14ac:dyDescent="0.3"/>
    <row r="9001" hidden="1" x14ac:dyDescent="0.3"/>
    <row r="9002" hidden="1" x14ac:dyDescent="0.3"/>
    <row r="9003" hidden="1" x14ac:dyDescent="0.3"/>
    <row r="9004" hidden="1" x14ac:dyDescent="0.3"/>
    <row r="9005" hidden="1" x14ac:dyDescent="0.3"/>
    <row r="9006" hidden="1" x14ac:dyDescent="0.3"/>
    <row r="9007" hidden="1" x14ac:dyDescent="0.3"/>
    <row r="9008" hidden="1" x14ac:dyDescent="0.3"/>
    <row r="9009" hidden="1" x14ac:dyDescent="0.3"/>
    <row r="9010" hidden="1" x14ac:dyDescent="0.3"/>
    <row r="9011" hidden="1" x14ac:dyDescent="0.3"/>
    <row r="9012" hidden="1" x14ac:dyDescent="0.3"/>
    <row r="9013" hidden="1" x14ac:dyDescent="0.3"/>
    <row r="9014" hidden="1" x14ac:dyDescent="0.3"/>
    <row r="9015" hidden="1" x14ac:dyDescent="0.3"/>
    <row r="9016" hidden="1" x14ac:dyDescent="0.3"/>
    <row r="9017" hidden="1" x14ac:dyDescent="0.3"/>
    <row r="9018" hidden="1" x14ac:dyDescent="0.3"/>
    <row r="9019" hidden="1" x14ac:dyDescent="0.3"/>
    <row r="9020" hidden="1" x14ac:dyDescent="0.3"/>
    <row r="9021" hidden="1" x14ac:dyDescent="0.3"/>
    <row r="9022" hidden="1" x14ac:dyDescent="0.3"/>
    <row r="9023" hidden="1" x14ac:dyDescent="0.3"/>
    <row r="9024" hidden="1" x14ac:dyDescent="0.3"/>
    <row r="9025" hidden="1" x14ac:dyDescent="0.3"/>
    <row r="9026" hidden="1" x14ac:dyDescent="0.3"/>
    <row r="9027" hidden="1" x14ac:dyDescent="0.3"/>
    <row r="9028" hidden="1" x14ac:dyDescent="0.3"/>
    <row r="9029" hidden="1" x14ac:dyDescent="0.3"/>
    <row r="9030" hidden="1" x14ac:dyDescent="0.3"/>
    <row r="9031" hidden="1" x14ac:dyDescent="0.3"/>
    <row r="9032" hidden="1" x14ac:dyDescent="0.3"/>
    <row r="9033" hidden="1" x14ac:dyDescent="0.3"/>
    <row r="9034" hidden="1" x14ac:dyDescent="0.3"/>
    <row r="9035" hidden="1" x14ac:dyDescent="0.3"/>
    <row r="9036" hidden="1" x14ac:dyDescent="0.3"/>
    <row r="9037" hidden="1" x14ac:dyDescent="0.3"/>
    <row r="9038" hidden="1" x14ac:dyDescent="0.3"/>
    <row r="9039" hidden="1" x14ac:dyDescent="0.3"/>
    <row r="9040" hidden="1" x14ac:dyDescent="0.3"/>
    <row r="9041" hidden="1" x14ac:dyDescent="0.3"/>
    <row r="9042" hidden="1" x14ac:dyDescent="0.3"/>
    <row r="9043" hidden="1" x14ac:dyDescent="0.3"/>
    <row r="9044" hidden="1" x14ac:dyDescent="0.3"/>
    <row r="9045" hidden="1" x14ac:dyDescent="0.3"/>
    <row r="9046" hidden="1" x14ac:dyDescent="0.3"/>
    <row r="9047" hidden="1" x14ac:dyDescent="0.3"/>
    <row r="9048" hidden="1" x14ac:dyDescent="0.3"/>
    <row r="9049" hidden="1" x14ac:dyDescent="0.3"/>
    <row r="9050" hidden="1" x14ac:dyDescent="0.3"/>
    <row r="9051" hidden="1" x14ac:dyDescent="0.3"/>
    <row r="9052" hidden="1" x14ac:dyDescent="0.3"/>
    <row r="9053" hidden="1" x14ac:dyDescent="0.3"/>
    <row r="9054" hidden="1" x14ac:dyDescent="0.3"/>
    <row r="9055" hidden="1" x14ac:dyDescent="0.3"/>
    <row r="9056" hidden="1" x14ac:dyDescent="0.3"/>
    <row r="9057" hidden="1" x14ac:dyDescent="0.3"/>
    <row r="9058" hidden="1" x14ac:dyDescent="0.3"/>
    <row r="9059" hidden="1" x14ac:dyDescent="0.3"/>
    <row r="9060" hidden="1" x14ac:dyDescent="0.3"/>
    <row r="9061" hidden="1" x14ac:dyDescent="0.3"/>
    <row r="9062" hidden="1" x14ac:dyDescent="0.3"/>
    <row r="9063" hidden="1" x14ac:dyDescent="0.3"/>
    <row r="9064" hidden="1" x14ac:dyDescent="0.3"/>
    <row r="9065" hidden="1" x14ac:dyDescent="0.3"/>
    <row r="9066" hidden="1" x14ac:dyDescent="0.3"/>
    <row r="9067" hidden="1" x14ac:dyDescent="0.3"/>
    <row r="9068" hidden="1" x14ac:dyDescent="0.3"/>
    <row r="9069" hidden="1" x14ac:dyDescent="0.3"/>
    <row r="9070" hidden="1" x14ac:dyDescent="0.3"/>
    <row r="9071" hidden="1" x14ac:dyDescent="0.3"/>
    <row r="9072" hidden="1" x14ac:dyDescent="0.3"/>
    <row r="9073" hidden="1" x14ac:dyDescent="0.3"/>
    <row r="9074" hidden="1" x14ac:dyDescent="0.3"/>
    <row r="9075" hidden="1" x14ac:dyDescent="0.3"/>
    <row r="9076" hidden="1" x14ac:dyDescent="0.3"/>
    <row r="9077" hidden="1" x14ac:dyDescent="0.3"/>
    <row r="9078" hidden="1" x14ac:dyDescent="0.3"/>
    <row r="9079" hidden="1" x14ac:dyDescent="0.3"/>
    <row r="9080" hidden="1" x14ac:dyDescent="0.3"/>
    <row r="9081" hidden="1" x14ac:dyDescent="0.3"/>
    <row r="9082" hidden="1" x14ac:dyDescent="0.3"/>
    <row r="9083" hidden="1" x14ac:dyDescent="0.3"/>
    <row r="9084" hidden="1" x14ac:dyDescent="0.3"/>
    <row r="9085" hidden="1" x14ac:dyDescent="0.3"/>
    <row r="9086" hidden="1" x14ac:dyDescent="0.3"/>
    <row r="9087" hidden="1" x14ac:dyDescent="0.3"/>
    <row r="9088" hidden="1" x14ac:dyDescent="0.3"/>
    <row r="9089" hidden="1" x14ac:dyDescent="0.3"/>
    <row r="9090" hidden="1" x14ac:dyDescent="0.3"/>
    <row r="9091" hidden="1" x14ac:dyDescent="0.3"/>
    <row r="9092" hidden="1" x14ac:dyDescent="0.3"/>
    <row r="9093" hidden="1" x14ac:dyDescent="0.3"/>
    <row r="9094" hidden="1" x14ac:dyDescent="0.3"/>
    <row r="9095" hidden="1" x14ac:dyDescent="0.3"/>
    <row r="9096" hidden="1" x14ac:dyDescent="0.3"/>
    <row r="9097" hidden="1" x14ac:dyDescent="0.3"/>
    <row r="9098" hidden="1" x14ac:dyDescent="0.3"/>
    <row r="9099" hidden="1" x14ac:dyDescent="0.3"/>
    <row r="9100" hidden="1" x14ac:dyDescent="0.3"/>
    <row r="9101" hidden="1" x14ac:dyDescent="0.3"/>
    <row r="9102" hidden="1" x14ac:dyDescent="0.3"/>
    <row r="9103" hidden="1" x14ac:dyDescent="0.3"/>
    <row r="9104" hidden="1" x14ac:dyDescent="0.3"/>
    <row r="9105" hidden="1" x14ac:dyDescent="0.3"/>
    <row r="9106" hidden="1" x14ac:dyDescent="0.3"/>
    <row r="9107" hidden="1" x14ac:dyDescent="0.3"/>
    <row r="9108" hidden="1" x14ac:dyDescent="0.3"/>
    <row r="9109" hidden="1" x14ac:dyDescent="0.3"/>
    <row r="9110" hidden="1" x14ac:dyDescent="0.3"/>
    <row r="9111" hidden="1" x14ac:dyDescent="0.3"/>
    <row r="9112" hidden="1" x14ac:dyDescent="0.3"/>
    <row r="9113" hidden="1" x14ac:dyDescent="0.3"/>
    <row r="9114" hidden="1" x14ac:dyDescent="0.3"/>
    <row r="9115" hidden="1" x14ac:dyDescent="0.3"/>
    <row r="9116" hidden="1" x14ac:dyDescent="0.3"/>
    <row r="9117" hidden="1" x14ac:dyDescent="0.3"/>
    <row r="9118" hidden="1" x14ac:dyDescent="0.3"/>
    <row r="9119" hidden="1" x14ac:dyDescent="0.3"/>
    <row r="9120" hidden="1" x14ac:dyDescent="0.3"/>
    <row r="9121" hidden="1" x14ac:dyDescent="0.3"/>
    <row r="9122" hidden="1" x14ac:dyDescent="0.3"/>
    <row r="9123" hidden="1" x14ac:dyDescent="0.3"/>
    <row r="9124" hidden="1" x14ac:dyDescent="0.3"/>
    <row r="9125" hidden="1" x14ac:dyDescent="0.3"/>
    <row r="9126" hidden="1" x14ac:dyDescent="0.3"/>
    <row r="9127" hidden="1" x14ac:dyDescent="0.3"/>
    <row r="9128" hidden="1" x14ac:dyDescent="0.3"/>
    <row r="9129" hidden="1" x14ac:dyDescent="0.3"/>
    <row r="9130" hidden="1" x14ac:dyDescent="0.3"/>
    <row r="9131" hidden="1" x14ac:dyDescent="0.3"/>
    <row r="9132" hidden="1" x14ac:dyDescent="0.3"/>
    <row r="9133" hidden="1" x14ac:dyDescent="0.3"/>
    <row r="9134" hidden="1" x14ac:dyDescent="0.3"/>
    <row r="9135" hidden="1" x14ac:dyDescent="0.3"/>
    <row r="9136" hidden="1" x14ac:dyDescent="0.3"/>
    <row r="9137" hidden="1" x14ac:dyDescent="0.3"/>
    <row r="9138" hidden="1" x14ac:dyDescent="0.3"/>
    <row r="9139" hidden="1" x14ac:dyDescent="0.3"/>
    <row r="9140" hidden="1" x14ac:dyDescent="0.3"/>
    <row r="9141" hidden="1" x14ac:dyDescent="0.3"/>
    <row r="9142" hidden="1" x14ac:dyDescent="0.3"/>
    <row r="9143" hidden="1" x14ac:dyDescent="0.3"/>
    <row r="9144" hidden="1" x14ac:dyDescent="0.3"/>
    <row r="9145" hidden="1" x14ac:dyDescent="0.3"/>
    <row r="9146" hidden="1" x14ac:dyDescent="0.3"/>
    <row r="9147" hidden="1" x14ac:dyDescent="0.3"/>
    <row r="9148" hidden="1" x14ac:dyDescent="0.3"/>
    <row r="9149" hidden="1" x14ac:dyDescent="0.3"/>
    <row r="9150" hidden="1" x14ac:dyDescent="0.3"/>
    <row r="9151" hidden="1" x14ac:dyDescent="0.3"/>
    <row r="9152" hidden="1" x14ac:dyDescent="0.3"/>
    <row r="9153" hidden="1" x14ac:dyDescent="0.3"/>
    <row r="9154" hidden="1" x14ac:dyDescent="0.3"/>
    <row r="9155" hidden="1" x14ac:dyDescent="0.3"/>
    <row r="9156" hidden="1" x14ac:dyDescent="0.3"/>
    <row r="9157" hidden="1" x14ac:dyDescent="0.3"/>
    <row r="9158" hidden="1" x14ac:dyDescent="0.3"/>
    <row r="9159" hidden="1" x14ac:dyDescent="0.3"/>
    <row r="9160" hidden="1" x14ac:dyDescent="0.3"/>
    <row r="9161" hidden="1" x14ac:dyDescent="0.3"/>
    <row r="9162" hidden="1" x14ac:dyDescent="0.3"/>
    <row r="9163" hidden="1" x14ac:dyDescent="0.3"/>
    <row r="9164" hidden="1" x14ac:dyDescent="0.3"/>
    <row r="9165" hidden="1" x14ac:dyDescent="0.3"/>
    <row r="9166" hidden="1" x14ac:dyDescent="0.3"/>
    <row r="9167" hidden="1" x14ac:dyDescent="0.3"/>
    <row r="9168" hidden="1" x14ac:dyDescent="0.3"/>
    <row r="9169" hidden="1" x14ac:dyDescent="0.3"/>
    <row r="9170" hidden="1" x14ac:dyDescent="0.3"/>
    <row r="9171" hidden="1" x14ac:dyDescent="0.3"/>
    <row r="9172" hidden="1" x14ac:dyDescent="0.3"/>
    <row r="9173" hidden="1" x14ac:dyDescent="0.3"/>
    <row r="9174" hidden="1" x14ac:dyDescent="0.3"/>
    <row r="9175" hidden="1" x14ac:dyDescent="0.3"/>
    <row r="9176" hidden="1" x14ac:dyDescent="0.3"/>
    <row r="9177" hidden="1" x14ac:dyDescent="0.3"/>
    <row r="9178" hidden="1" x14ac:dyDescent="0.3"/>
    <row r="9179" hidden="1" x14ac:dyDescent="0.3"/>
    <row r="9180" hidden="1" x14ac:dyDescent="0.3"/>
    <row r="9181" hidden="1" x14ac:dyDescent="0.3"/>
    <row r="9182" hidden="1" x14ac:dyDescent="0.3"/>
    <row r="9183" hidden="1" x14ac:dyDescent="0.3"/>
    <row r="9184" hidden="1" x14ac:dyDescent="0.3"/>
    <row r="9185" hidden="1" x14ac:dyDescent="0.3"/>
    <row r="9186" hidden="1" x14ac:dyDescent="0.3"/>
    <row r="9187" hidden="1" x14ac:dyDescent="0.3"/>
    <row r="9188" hidden="1" x14ac:dyDescent="0.3"/>
    <row r="9189" hidden="1" x14ac:dyDescent="0.3"/>
    <row r="9190" hidden="1" x14ac:dyDescent="0.3"/>
    <row r="9191" hidden="1" x14ac:dyDescent="0.3"/>
    <row r="9192" hidden="1" x14ac:dyDescent="0.3"/>
    <row r="9193" hidden="1" x14ac:dyDescent="0.3"/>
    <row r="9194" hidden="1" x14ac:dyDescent="0.3"/>
    <row r="9195" hidden="1" x14ac:dyDescent="0.3"/>
    <row r="9196" hidden="1" x14ac:dyDescent="0.3"/>
    <row r="9197" hidden="1" x14ac:dyDescent="0.3"/>
    <row r="9198" hidden="1" x14ac:dyDescent="0.3"/>
    <row r="9199" hidden="1" x14ac:dyDescent="0.3"/>
    <row r="9200" hidden="1" x14ac:dyDescent="0.3"/>
    <row r="9201" hidden="1" x14ac:dyDescent="0.3"/>
    <row r="9202" hidden="1" x14ac:dyDescent="0.3"/>
    <row r="9203" hidden="1" x14ac:dyDescent="0.3"/>
    <row r="9204" hidden="1" x14ac:dyDescent="0.3"/>
    <row r="9205" hidden="1" x14ac:dyDescent="0.3"/>
    <row r="9206" hidden="1" x14ac:dyDescent="0.3"/>
    <row r="9207" hidden="1" x14ac:dyDescent="0.3"/>
    <row r="9208" hidden="1" x14ac:dyDescent="0.3"/>
    <row r="9209" hidden="1" x14ac:dyDescent="0.3"/>
    <row r="9210" hidden="1" x14ac:dyDescent="0.3"/>
    <row r="9211" hidden="1" x14ac:dyDescent="0.3"/>
    <row r="9212" hidden="1" x14ac:dyDescent="0.3"/>
    <row r="9213" hidden="1" x14ac:dyDescent="0.3"/>
    <row r="9214" hidden="1" x14ac:dyDescent="0.3"/>
    <row r="9215" hidden="1" x14ac:dyDescent="0.3"/>
    <row r="9216" hidden="1" x14ac:dyDescent="0.3"/>
    <row r="9217" hidden="1" x14ac:dyDescent="0.3"/>
    <row r="9218" hidden="1" x14ac:dyDescent="0.3"/>
    <row r="9219" hidden="1" x14ac:dyDescent="0.3"/>
    <row r="9220" hidden="1" x14ac:dyDescent="0.3"/>
    <row r="9221" hidden="1" x14ac:dyDescent="0.3"/>
    <row r="9222" hidden="1" x14ac:dyDescent="0.3"/>
    <row r="9223" hidden="1" x14ac:dyDescent="0.3"/>
    <row r="9224" hidden="1" x14ac:dyDescent="0.3"/>
    <row r="9225" hidden="1" x14ac:dyDescent="0.3"/>
    <row r="9226" hidden="1" x14ac:dyDescent="0.3"/>
    <row r="9227" hidden="1" x14ac:dyDescent="0.3"/>
    <row r="9228" hidden="1" x14ac:dyDescent="0.3"/>
    <row r="9229" hidden="1" x14ac:dyDescent="0.3"/>
    <row r="9230" hidden="1" x14ac:dyDescent="0.3"/>
    <row r="9231" hidden="1" x14ac:dyDescent="0.3"/>
    <row r="9232" hidden="1" x14ac:dyDescent="0.3"/>
    <row r="9233" hidden="1" x14ac:dyDescent="0.3"/>
    <row r="9234" hidden="1" x14ac:dyDescent="0.3"/>
    <row r="9235" hidden="1" x14ac:dyDescent="0.3"/>
    <row r="9236" hidden="1" x14ac:dyDescent="0.3"/>
    <row r="9237" hidden="1" x14ac:dyDescent="0.3"/>
    <row r="9238" hidden="1" x14ac:dyDescent="0.3"/>
    <row r="9239" hidden="1" x14ac:dyDescent="0.3"/>
    <row r="9240" hidden="1" x14ac:dyDescent="0.3"/>
    <row r="9241" hidden="1" x14ac:dyDescent="0.3"/>
    <row r="9242" hidden="1" x14ac:dyDescent="0.3"/>
    <row r="9243" hidden="1" x14ac:dyDescent="0.3"/>
    <row r="9244" hidden="1" x14ac:dyDescent="0.3"/>
    <row r="9245" hidden="1" x14ac:dyDescent="0.3"/>
    <row r="9246" hidden="1" x14ac:dyDescent="0.3"/>
    <row r="9247" hidden="1" x14ac:dyDescent="0.3"/>
    <row r="9248" hidden="1" x14ac:dyDescent="0.3"/>
    <row r="9249" hidden="1" x14ac:dyDescent="0.3"/>
    <row r="9250" hidden="1" x14ac:dyDescent="0.3"/>
    <row r="9251" hidden="1" x14ac:dyDescent="0.3"/>
    <row r="9252" hidden="1" x14ac:dyDescent="0.3"/>
    <row r="9253" hidden="1" x14ac:dyDescent="0.3"/>
    <row r="9254" hidden="1" x14ac:dyDescent="0.3"/>
    <row r="9255" hidden="1" x14ac:dyDescent="0.3"/>
    <row r="9256" hidden="1" x14ac:dyDescent="0.3"/>
    <row r="9257" hidden="1" x14ac:dyDescent="0.3"/>
    <row r="9258" hidden="1" x14ac:dyDescent="0.3"/>
    <row r="9259" hidden="1" x14ac:dyDescent="0.3"/>
    <row r="9260" hidden="1" x14ac:dyDescent="0.3"/>
    <row r="9261" hidden="1" x14ac:dyDescent="0.3"/>
    <row r="9262" hidden="1" x14ac:dyDescent="0.3"/>
    <row r="9263" hidden="1" x14ac:dyDescent="0.3"/>
    <row r="9264" hidden="1" x14ac:dyDescent="0.3"/>
    <row r="9265" hidden="1" x14ac:dyDescent="0.3"/>
    <row r="9266" hidden="1" x14ac:dyDescent="0.3"/>
    <row r="9267" hidden="1" x14ac:dyDescent="0.3"/>
    <row r="9268" hidden="1" x14ac:dyDescent="0.3"/>
    <row r="9269" hidden="1" x14ac:dyDescent="0.3"/>
    <row r="9270" hidden="1" x14ac:dyDescent="0.3"/>
    <row r="9271" hidden="1" x14ac:dyDescent="0.3"/>
    <row r="9272" hidden="1" x14ac:dyDescent="0.3"/>
    <row r="9273" hidden="1" x14ac:dyDescent="0.3"/>
    <row r="9274" hidden="1" x14ac:dyDescent="0.3"/>
    <row r="9275" hidden="1" x14ac:dyDescent="0.3"/>
    <row r="9276" hidden="1" x14ac:dyDescent="0.3"/>
    <row r="9277" hidden="1" x14ac:dyDescent="0.3"/>
    <row r="9278" hidden="1" x14ac:dyDescent="0.3"/>
    <row r="9279" hidden="1" x14ac:dyDescent="0.3"/>
    <row r="9280" hidden="1" x14ac:dyDescent="0.3"/>
    <row r="9281" hidden="1" x14ac:dyDescent="0.3"/>
    <row r="9282" hidden="1" x14ac:dyDescent="0.3"/>
    <row r="9283" hidden="1" x14ac:dyDescent="0.3"/>
    <row r="9284" hidden="1" x14ac:dyDescent="0.3"/>
    <row r="9285" hidden="1" x14ac:dyDescent="0.3"/>
    <row r="9286" hidden="1" x14ac:dyDescent="0.3"/>
    <row r="9287" hidden="1" x14ac:dyDescent="0.3"/>
    <row r="9288" hidden="1" x14ac:dyDescent="0.3"/>
    <row r="9289" hidden="1" x14ac:dyDescent="0.3"/>
    <row r="9290" hidden="1" x14ac:dyDescent="0.3"/>
    <row r="9291" hidden="1" x14ac:dyDescent="0.3"/>
    <row r="9292" hidden="1" x14ac:dyDescent="0.3"/>
    <row r="9293" hidden="1" x14ac:dyDescent="0.3"/>
    <row r="9294" hidden="1" x14ac:dyDescent="0.3"/>
    <row r="9295" hidden="1" x14ac:dyDescent="0.3"/>
    <row r="9296" hidden="1" x14ac:dyDescent="0.3"/>
    <row r="9297" hidden="1" x14ac:dyDescent="0.3"/>
    <row r="9298" hidden="1" x14ac:dyDescent="0.3"/>
    <row r="9299" hidden="1" x14ac:dyDescent="0.3"/>
    <row r="9300" hidden="1" x14ac:dyDescent="0.3"/>
    <row r="9301" hidden="1" x14ac:dyDescent="0.3"/>
    <row r="9302" hidden="1" x14ac:dyDescent="0.3"/>
    <row r="9303" hidden="1" x14ac:dyDescent="0.3"/>
    <row r="9304" hidden="1" x14ac:dyDescent="0.3"/>
    <row r="9305" hidden="1" x14ac:dyDescent="0.3"/>
    <row r="9306" hidden="1" x14ac:dyDescent="0.3"/>
    <row r="9307" hidden="1" x14ac:dyDescent="0.3"/>
    <row r="9308" hidden="1" x14ac:dyDescent="0.3"/>
    <row r="9309" hidden="1" x14ac:dyDescent="0.3"/>
    <row r="9310" hidden="1" x14ac:dyDescent="0.3"/>
    <row r="9311" hidden="1" x14ac:dyDescent="0.3"/>
    <row r="9312" hidden="1" x14ac:dyDescent="0.3"/>
    <row r="9313" hidden="1" x14ac:dyDescent="0.3"/>
    <row r="9314" hidden="1" x14ac:dyDescent="0.3"/>
    <row r="9315" hidden="1" x14ac:dyDescent="0.3"/>
    <row r="9316" hidden="1" x14ac:dyDescent="0.3"/>
    <row r="9317" hidden="1" x14ac:dyDescent="0.3"/>
    <row r="9318" hidden="1" x14ac:dyDescent="0.3"/>
    <row r="9319" hidden="1" x14ac:dyDescent="0.3"/>
    <row r="9320" hidden="1" x14ac:dyDescent="0.3"/>
    <row r="9321" hidden="1" x14ac:dyDescent="0.3"/>
    <row r="9322" hidden="1" x14ac:dyDescent="0.3"/>
    <row r="9323" hidden="1" x14ac:dyDescent="0.3"/>
    <row r="9324" hidden="1" x14ac:dyDescent="0.3"/>
    <row r="9325" hidden="1" x14ac:dyDescent="0.3"/>
    <row r="9326" hidden="1" x14ac:dyDescent="0.3"/>
    <row r="9327" hidden="1" x14ac:dyDescent="0.3"/>
    <row r="9328" hidden="1" x14ac:dyDescent="0.3"/>
    <row r="9329" hidden="1" x14ac:dyDescent="0.3"/>
    <row r="9330" hidden="1" x14ac:dyDescent="0.3"/>
    <row r="9331" hidden="1" x14ac:dyDescent="0.3"/>
    <row r="9332" hidden="1" x14ac:dyDescent="0.3"/>
    <row r="9333" hidden="1" x14ac:dyDescent="0.3"/>
    <row r="9334" hidden="1" x14ac:dyDescent="0.3"/>
    <row r="9335" hidden="1" x14ac:dyDescent="0.3"/>
    <row r="9336" hidden="1" x14ac:dyDescent="0.3"/>
    <row r="9337" hidden="1" x14ac:dyDescent="0.3"/>
    <row r="9338" hidden="1" x14ac:dyDescent="0.3"/>
    <row r="9339" hidden="1" x14ac:dyDescent="0.3"/>
    <row r="9340" hidden="1" x14ac:dyDescent="0.3"/>
    <row r="9341" hidden="1" x14ac:dyDescent="0.3"/>
    <row r="9342" hidden="1" x14ac:dyDescent="0.3"/>
    <row r="9343" hidden="1" x14ac:dyDescent="0.3"/>
    <row r="9344" hidden="1" x14ac:dyDescent="0.3"/>
    <row r="9345" hidden="1" x14ac:dyDescent="0.3"/>
    <row r="9346" hidden="1" x14ac:dyDescent="0.3"/>
    <row r="9347" hidden="1" x14ac:dyDescent="0.3"/>
    <row r="9348" hidden="1" x14ac:dyDescent="0.3"/>
    <row r="9349" hidden="1" x14ac:dyDescent="0.3"/>
    <row r="9350" hidden="1" x14ac:dyDescent="0.3"/>
    <row r="9351" hidden="1" x14ac:dyDescent="0.3"/>
    <row r="9352" hidden="1" x14ac:dyDescent="0.3"/>
    <row r="9353" hidden="1" x14ac:dyDescent="0.3"/>
    <row r="9354" hidden="1" x14ac:dyDescent="0.3"/>
    <row r="9355" hidden="1" x14ac:dyDescent="0.3"/>
    <row r="9356" hidden="1" x14ac:dyDescent="0.3"/>
    <row r="9357" hidden="1" x14ac:dyDescent="0.3"/>
    <row r="9358" hidden="1" x14ac:dyDescent="0.3"/>
    <row r="9359" hidden="1" x14ac:dyDescent="0.3"/>
    <row r="9360" hidden="1" x14ac:dyDescent="0.3"/>
    <row r="9361" hidden="1" x14ac:dyDescent="0.3"/>
    <row r="9362" hidden="1" x14ac:dyDescent="0.3"/>
    <row r="9363" hidden="1" x14ac:dyDescent="0.3"/>
    <row r="9364" hidden="1" x14ac:dyDescent="0.3"/>
    <row r="9365" hidden="1" x14ac:dyDescent="0.3"/>
    <row r="9366" hidden="1" x14ac:dyDescent="0.3"/>
    <row r="9367" hidden="1" x14ac:dyDescent="0.3"/>
    <row r="9368" hidden="1" x14ac:dyDescent="0.3"/>
    <row r="9369" hidden="1" x14ac:dyDescent="0.3"/>
    <row r="9370" hidden="1" x14ac:dyDescent="0.3"/>
    <row r="9371" hidden="1" x14ac:dyDescent="0.3"/>
    <row r="9372" hidden="1" x14ac:dyDescent="0.3"/>
    <row r="9373" hidden="1" x14ac:dyDescent="0.3"/>
    <row r="9374" hidden="1" x14ac:dyDescent="0.3"/>
    <row r="9375" hidden="1" x14ac:dyDescent="0.3"/>
    <row r="9376" hidden="1" x14ac:dyDescent="0.3"/>
    <row r="9377" hidden="1" x14ac:dyDescent="0.3"/>
    <row r="9378" hidden="1" x14ac:dyDescent="0.3"/>
    <row r="9379" hidden="1" x14ac:dyDescent="0.3"/>
    <row r="9380" hidden="1" x14ac:dyDescent="0.3"/>
    <row r="9381" hidden="1" x14ac:dyDescent="0.3"/>
    <row r="9382" hidden="1" x14ac:dyDescent="0.3"/>
    <row r="9383" hidden="1" x14ac:dyDescent="0.3"/>
    <row r="9384" hidden="1" x14ac:dyDescent="0.3"/>
    <row r="9385" hidden="1" x14ac:dyDescent="0.3"/>
    <row r="9386" hidden="1" x14ac:dyDescent="0.3"/>
    <row r="9387" hidden="1" x14ac:dyDescent="0.3"/>
    <row r="9388" hidden="1" x14ac:dyDescent="0.3"/>
    <row r="9389" hidden="1" x14ac:dyDescent="0.3"/>
    <row r="9390" hidden="1" x14ac:dyDescent="0.3"/>
    <row r="9391" hidden="1" x14ac:dyDescent="0.3"/>
    <row r="9392" hidden="1" x14ac:dyDescent="0.3"/>
    <row r="9393" hidden="1" x14ac:dyDescent="0.3"/>
    <row r="9394" hidden="1" x14ac:dyDescent="0.3"/>
    <row r="9395" hidden="1" x14ac:dyDescent="0.3"/>
    <row r="9396" hidden="1" x14ac:dyDescent="0.3"/>
    <row r="9397" hidden="1" x14ac:dyDescent="0.3"/>
    <row r="9398" hidden="1" x14ac:dyDescent="0.3"/>
    <row r="9399" hidden="1" x14ac:dyDescent="0.3"/>
    <row r="9400" hidden="1" x14ac:dyDescent="0.3"/>
    <row r="9401" hidden="1" x14ac:dyDescent="0.3"/>
    <row r="9402" hidden="1" x14ac:dyDescent="0.3"/>
    <row r="9403" hidden="1" x14ac:dyDescent="0.3"/>
    <row r="9404" hidden="1" x14ac:dyDescent="0.3"/>
    <row r="9405" hidden="1" x14ac:dyDescent="0.3"/>
    <row r="9406" hidden="1" x14ac:dyDescent="0.3"/>
    <row r="9407" hidden="1" x14ac:dyDescent="0.3"/>
    <row r="9408" hidden="1" x14ac:dyDescent="0.3"/>
    <row r="9409" hidden="1" x14ac:dyDescent="0.3"/>
    <row r="9410" hidden="1" x14ac:dyDescent="0.3"/>
    <row r="9411" hidden="1" x14ac:dyDescent="0.3"/>
    <row r="9412" hidden="1" x14ac:dyDescent="0.3"/>
    <row r="9413" hidden="1" x14ac:dyDescent="0.3"/>
    <row r="9414" hidden="1" x14ac:dyDescent="0.3"/>
    <row r="9415" hidden="1" x14ac:dyDescent="0.3"/>
    <row r="9416" hidden="1" x14ac:dyDescent="0.3"/>
    <row r="9417" hidden="1" x14ac:dyDescent="0.3"/>
    <row r="9418" hidden="1" x14ac:dyDescent="0.3"/>
    <row r="9419" hidden="1" x14ac:dyDescent="0.3"/>
    <row r="9420" hidden="1" x14ac:dyDescent="0.3"/>
    <row r="9421" hidden="1" x14ac:dyDescent="0.3"/>
    <row r="9422" hidden="1" x14ac:dyDescent="0.3"/>
    <row r="9423" hidden="1" x14ac:dyDescent="0.3"/>
    <row r="9424" hidden="1" x14ac:dyDescent="0.3"/>
    <row r="9425" hidden="1" x14ac:dyDescent="0.3"/>
    <row r="9426" hidden="1" x14ac:dyDescent="0.3"/>
    <row r="9427" hidden="1" x14ac:dyDescent="0.3"/>
    <row r="9428" hidden="1" x14ac:dyDescent="0.3"/>
    <row r="9429" hidden="1" x14ac:dyDescent="0.3"/>
    <row r="9430" hidden="1" x14ac:dyDescent="0.3"/>
    <row r="9431" hidden="1" x14ac:dyDescent="0.3"/>
    <row r="9432" hidden="1" x14ac:dyDescent="0.3"/>
    <row r="9433" hidden="1" x14ac:dyDescent="0.3"/>
    <row r="9434" hidden="1" x14ac:dyDescent="0.3"/>
    <row r="9435" hidden="1" x14ac:dyDescent="0.3"/>
    <row r="9436" hidden="1" x14ac:dyDescent="0.3"/>
    <row r="9437" hidden="1" x14ac:dyDescent="0.3"/>
    <row r="9438" hidden="1" x14ac:dyDescent="0.3"/>
    <row r="9439" hidden="1" x14ac:dyDescent="0.3"/>
    <row r="9440" hidden="1" x14ac:dyDescent="0.3"/>
    <row r="9441" hidden="1" x14ac:dyDescent="0.3"/>
    <row r="9442" hidden="1" x14ac:dyDescent="0.3"/>
    <row r="9443" hidden="1" x14ac:dyDescent="0.3"/>
    <row r="9444" hidden="1" x14ac:dyDescent="0.3"/>
    <row r="9445" hidden="1" x14ac:dyDescent="0.3"/>
    <row r="9446" hidden="1" x14ac:dyDescent="0.3"/>
    <row r="9447" hidden="1" x14ac:dyDescent="0.3"/>
    <row r="9448" hidden="1" x14ac:dyDescent="0.3"/>
    <row r="9449" hidden="1" x14ac:dyDescent="0.3"/>
    <row r="9450" hidden="1" x14ac:dyDescent="0.3"/>
    <row r="9451" hidden="1" x14ac:dyDescent="0.3"/>
    <row r="9452" hidden="1" x14ac:dyDescent="0.3"/>
    <row r="9453" hidden="1" x14ac:dyDescent="0.3"/>
    <row r="9454" hidden="1" x14ac:dyDescent="0.3"/>
    <row r="9455" hidden="1" x14ac:dyDescent="0.3"/>
    <row r="9456" hidden="1" x14ac:dyDescent="0.3"/>
    <row r="9457" hidden="1" x14ac:dyDescent="0.3"/>
    <row r="9458" hidden="1" x14ac:dyDescent="0.3"/>
    <row r="9459" hidden="1" x14ac:dyDescent="0.3"/>
    <row r="9460" hidden="1" x14ac:dyDescent="0.3"/>
    <row r="9461" hidden="1" x14ac:dyDescent="0.3"/>
    <row r="9462" hidden="1" x14ac:dyDescent="0.3"/>
    <row r="9463" hidden="1" x14ac:dyDescent="0.3"/>
    <row r="9464" hidden="1" x14ac:dyDescent="0.3"/>
    <row r="9465" hidden="1" x14ac:dyDescent="0.3"/>
    <row r="9466" hidden="1" x14ac:dyDescent="0.3"/>
    <row r="9467" hidden="1" x14ac:dyDescent="0.3"/>
    <row r="9468" hidden="1" x14ac:dyDescent="0.3"/>
    <row r="9469" hidden="1" x14ac:dyDescent="0.3"/>
    <row r="9470" hidden="1" x14ac:dyDescent="0.3"/>
    <row r="9471" hidden="1" x14ac:dyDescent="0.3"/>
    <row r="9472" hidden="1" x14ac:dyDescent="0.3"/>
    <row r="9473" hidden="1" x14ac:dyDescent="0.3"/>
    <row r="9474" hidden="1" x14ac:dyDescent="0.3"/>
    <row r="9475" hidden="1" x14ac:dyDescent="0.3"/>
    <row r="9476" hidden="1" x14ac:dyDescent="0.3"/>
    <row r="9477" hidden="1" x14ac:dyDescent="0.3"/>
    <row r="9478" hidden="1" x14ac:dyDescent="0.3"/>
    <row r="9479" hidden="1" x14ac:dyDescent="0.3"/>
    <row r="9480" hidden="1" x14ac:dyDescent="0.3"/>
    <row r="9481" hidden="1" x14ac:dyDescent="0.3"/>
    <row r="9482" hidden="1" x14ac:dyDescent="0.3"/>
    <row r="9483" hidden="1" x14ac:dyDescent="0.3"/>
    <row r="9484" hidden="1" x14ac:dyDescent="0.3"/>
    <row r="9485" hidden="1" x14ac:dyDescent="0.3"/>
    <row r="9486" hidden="1" x14ac:dyDescent="0.3"/>
    <row r="9487" hidden="1" x14ac:dyDescent="0.3"/>
    <row r="9488" hidden="1" x14ac:dyDescent="0.3"/>
    <row r="9489" hidden="1" x14ac:dyDescent="0.3"/>
    <row r="9490" hidden="1" x14ac:dyDescent="0.3"/>
    <row r="9491" hidden="1" x14ac:dyDescent="0.3"/>
    <row r="9492" hidden="1" x14ac:dyDescent="0.3"/>
    <row r="9493" hidden="1" x14ac:dyDescent="0.3"/>
    <row r="9494" hidden="1" x14ac:dyDescent="0.3"/>
    <row r="9495" hidden="1" x14ac:dyDescent="0.3"/>
    <row r="9496" hidden="1" x14ac:dyDescent="0.3"/>
    <row r="9497" hidden="1" x14ac:dyDescent="0.3"/>
    <row r="9498" hidden="1" x14ac:dyDescent="0.3"/>
    <row r="9499" hidden="1" x14ac:dyDescent="0.3"/>
    <row r="9500" hidden="1" x14ac:dyDescent="0.3"/>
    <row r="9501" hidden="1" x14ac:dyDescent="0.3"/>
    <row r="9502" hidden="1" x14ac:dyDescent="0.3"/>
    <row r="9503" hidden="1" x14ac:dyDescent="0.3"/>
    <row r="9504" hidden="1" x14ac:dyDescent="0.3"/>
    <row r="9505" hidden="1" x14ac:dyDescent="0.3"/>
    <row r="9506" hidden="1" x14ac:dyDescent="0.3"/>
    <row r="9507" hidden="1" x14ac:dyDescent="0.3"/>
    <row r="9508" hidden="1" x14ac:dyDescent="0.3"/>
    <row r="9509" hidden="1" x14ac:dyDescent="0.3"/>
    <row r="9510" hidden="1" x14ac:dyDescent="0.3"/>
    <row r="9511" hidden="1" x14ac:dyDescent="0.3"/>
    <row r="9512" hidden="1" x14ac:dyDescent="0.3"/>
    <row r="9513" hidden="1" x14ac:dyDescent="0.3"/>
    <row r="9514" hidden="1" x14ac:dyDescent="0.3"/>
    <row r="9515" hidden="1" x14ac:dyDescent="0.3"/>
    <row r="9516" hidden="1" x14ac:dyDescent="0.3"/>
    <row r="9517" hidden="1" x14ac:dyDescent="0.3"/>
    <row r="9518" hidden="1" x14ac:dyDescent="0.3"/>
    <row r="9519" hidden="1" x14ac:dyDescent="0.3"/>
    <row r="9520" hidden="1" x14ac:dyDescent="0.3"/>
    <row r="9521" hidden="1" x14ac:dyDescent="0.3"/>
    <row r="9522" hidden="1" x14ac:dyDescent="0.3"/>
    <row r="9523" hidden="1" x14ac:dyDescent="0.3"/>
    <row r="9524" hidden="1" x14ac:dyDescent="0.3"/>
    <row r="9525" hidden="1" x14ac:dyDescent="0.3"/>
    <row r="9526" hidden="1" x14ac:dyDescent="0.3"/>
    <row r="9527" hidden="1" x14ac:dyDescent="0.3"/>
    <row r="9528" hidden="1" x14ac:dyDescent="0.3"/>
    <row r="9529" hidden="1" x14ac:dyDescent="0.3"/>
    <row r="9530" hidden="1" x14ac:dyDescent="0.3"/>
    <row r="9531" hidden="1" x14ac:dyDescent="0.3"/>
    <row r="9532" hidden="1" x14ac:dyDescent="0.3"/>
    <row r="9533" hidden="1" x14ac:dyDescent="0.3"/>
    <row r="9534" hidden="1" x14ac:dyDescent="0.3"/>
    <row r="9535" hidden="1" x14ac:dyDescent="0.3"/>
    <row r="9536" hidden="1" x14ac:dyDescent="0.3"/>
    <row r="9537" hidden="1" x14ac:dyDescent="0.3"/>
    <row r="9538" hidden="1" x14ac:dyDescent="0.3"/>
    <row r="9539" hidden="1" x14ac:dyDescent="0.3"/>
    <row r="9540" hidden="1" x14ac:dyDescent="0.3"/>
    <row r="9541" hidden="1" x14ac:dyDescent="0.3"/>
    <row r="9542" hidden="1" x14ac:dyDescent="0.3"/>
    <row r="9543" hidden="1" x14ac:dyDescent="0.3"/>
    <row r="9544" hidden="1" x14ac:dyDescent="0.3"/>
    <row r="9545" hidden="1" x14ac:dyDescent="0.3"/>
    <row r="9546" hidden="1" x14ac:dyDescent="0.3"/>
    <row r="9547" hidden="1" x14ac:dyDescent="0.3"/>
    <row r="9548" hidden="1" x14ac:dyDescent="0.3"/>
    <row r="9549" hidden="1" x14ac:dyDescent="0.3"/>
    <row r="9550" hidden="1" x14ac:dyDescent="0.3"/>
    <row r="9551" hidden="1" x14ac:dyDescent="0.3"/>
    <row r="9552" hidden="1" x14ac:dyDescent="0.3"/>
    <row r="9553" hidden="1" x14ac:dyDescent="0.3"/>
    <row r="9554" hidden="1" x14ac:dyDescent="0.3"/>
    <row r="9555" hidden="1" x14ac:dyDescent="0.3"/>
    <row r="9556" hidden="1" x14ac:dyDescent="0.3"/>
    <row r="9557" hidden="1" x14ac:dyDescent="0.3"/>
    <row r="9558" hidden="1" x14ac:dyDescent="0.3"/>
    <row r="9559" hidden="1" x14ac:dyDescent="0.3"/>
    <row r="9560" hidden="1" x14ac:dyDescent="0.3"/>
    <row r="9561" hidden="1" x14ac:dyDescent="0.3"/>
    <row r="9562" hidden="1" x14ac:dyDescent="0.3"/>
    <row r="9563" hidden="1" x14ac:dyDescent="0.3"/>
    <row r="9564" hidden="1" x14ac:dyDescent="0.3"/>
    <row r="9565" hidden="1" x14ac:dyDescent="0.3"/>
    <row r="9566" hidden="1" x14ac:dyDescent="0.3"/>
    <row r="9567" hidden="1" x14ac:dyDescent="0.3"/>
    <row r="9568" hidden="1" x14ac:dyDescent="0.3"/>
    <row r="9569" hidden="1" x14ac:dyDescent="0.3"/>
    <row r="9570" hidden="1" x14ac:dyDescent="0.3"/>
    <row r="9571" hidden="1" x14ac:dyDescent="0.3"/>
    <row r="9572" hidden="1" x14ac:dyDescent="0.3"/>
    <row r="9573" hidden="1" x14ac:dyDescent="0.3"/>
    <row r="9574" hidden="1" x14ac:dyDescent="0.3"/>
    <row r="9575" hidden="1" x14ac:dyDescent="0.3"/>
    <row r="9576" hidden="1" x14ac:dyDescent="0.3"/>
    <row r="9577" hidden="1" x14ac:dyDescent="0.3"/>
    <row r="9578" hidden="1" x14ac:dyDescent="0.3"/>
    <row r="9579" hidden="1" x14ac:dyDescent="0.3"/>
    <row r="9580" hidden="1" x14ac:dyDescent="0.3"/>
    <row r="9581" hidden="1" x14ac:dyDescent="0.3"/>
    <row r="9582" hidden="1" x14ac:dyDescent="0.3"/>
    <row r="9583" hidden="1" x14ac:dyDescent="0.3"/>
    <row r="9584" hidden="1" x14ac:dyDescent="0.3"/>
    <row r="9585" hidden="1" x14ac:dyDescent="0.3"/>
    <row r="9586" hidden="1" x14ac:dyDescent="0.3"/>
    <row r="9587" hidden="1" x14ac:dyDescent="0.3"/>
    <row r="9588" hidden="1" x14ac:dyDescent="0.3"/>
    <row r="9589" hidden="1" x14ac:dyDescent="0.3"/>
    <row r="9590" hidden="1" x14ac:dyDescent="0.3"/>
    <row r="9591" hidden="1" x14ac:dyDescent="0.3"/>
    <row r="9592" hidden="1" x14ac:dyDescent="0.3"/>
    <row r="9593" hidden="1" x14ac:dyDescent="0.3"/>
    <row r="9594" hidden="1" x14ac:dyDescent="0.3"/>
    <row r="9595" hidden="1" x14ac:dyDescent="0.3"/>
    <row r="9596" hidden="1" x14ac:dyDescent="0.3"/>
    <row r="9597" hidden="1" x14ac:dyDescent="0.3"/>
    <row r="9598" hidden="1" x14ac:dyDescent="0.3"/>
    <row r="9599" hidden="1" x14ac:dyDescent="0.3"/>
    <row r="9600" hidden="1" x14ac:dyDescent="0.3"/>
    <row r="9601" hidden="1" x14ac:dyDescent="0.3"/>
    <row r="9602" hidden="1" x14ac:dyDescent="0.3"/>
    <row r="9603" hidden="1" x14ac:dyDescent="0.3"/>
    <row r="9604" hidden="1" x14ac:dyDescent="0.3"/>
    <row r="9605" hidden="1" x14ac:dyDescent="0.3"/>
    <row r="9606" hidden="1" x14ac:dyDescent="0.3"/>
    <row r="9607" hidden="1" x14ac:dyDescent="0.3"/>
    <row r="9608" hidden="1" x14ac:dyDescent="0.3"/>
    <row r="9609" hidden="1" x14ac:dyDescent="0.3"/>
    <row r="9610" hidden="1" x14ac:dyDescent="0.3"/>
    <row r="9611" hidden="1" x14ac:dyDescent="0.3"/>
    <row r="9612" hidden="1" x14ac:dyDescent="0.3"/>
    <row r="9613" hidden="1" x14ac:dyDescent="0.3"/>
    <row r="9614" hidden="1" x14ac:dyDescent="0.3"/>
    <row r="9615" hidden="1" x14ac:dyDescent="0.3"/>
    <row r="9616" hidden="1" x14ac:dyDescent="0.3"/>
    <row r="9617" hidden="1" x14ac:dyDescent="0.3"/>
    <row r="9618" hidden="1" x14ac:dyDescent="0.3"/>
    <row r="9619" hidden="1" x14ac:dyDescent="0.3"/>
    <row r="9620" hidden="1" x14ac:dyDescent="0.3"/>
    <row r="9621" hidden="1" x14ac:dyDescent="0.3"/>
    <row r="9622" hidden="1" x14ac:dyDescent="0.3"/>
    <row r="9623" hidden="1" x14ac:dyDescent="0.3"/>
    <row r="9624" hidden="1" x14ac:dyDescent="0.3"/>
    <row r="9625" hidden="1" x14ac:dyDescent="0.3"/>
    <row r="9626" hidden="1" x14ac:dyDescent="0.3"/>
    <row r="9627" hidden="1" x14ac:dyDescent="0.3"/>
    <row r="9628" hidden="1" x14ac:dyDescent="0.3"/>
    <row r="9629" hidden="1" x14ac:dyDescent="0.3"/>
    <row r="9630" hidden="1" x14ac:dyDescent="0.3"/>
    <row r="9631" hidden="1" x14ac:dyDescent="0.3"/>
    <row r="9632" hidden="1" x14ac:dyDescent="0.3"/>
    <row r="9633" hidden="1" x14ac:dyDescent="0.3"/>
    <row r="9634" hidden="1" x14ac:dyDescent="0.3"/>
    <row r="9635" hidden="1" x14ac:dyDescent="0.3"/>
    <row r="9636" hidden="1" x14ac:dyDescent="0.3"/>
    <row r="9637" hidden="1" x14ac:dyDescent="0.3"/>
    <row r="9638" hidden="1" x14ac:dyDescent="0.3"/>
    <row r="9639" hidden="1" x14ac:dyDescent="0.3"/>
    <row r="9640" hidden="1" x14ac:dyDescent="0.3"/>
    <row r="9641" hidden="1" x14ac:dyDescent="0.3"/>
    <row r="9642" hidden="1" x14ac:dyDescent="0.3"/>
    <row r="9643" hidden="1" x14ac:dyDescent="0.3"/>
    <row r="9644" hidden="1" x14ac:dyDescent="0.3"/>
    <row r="9645" hidden="1" x14ac:dyDescent="0.3"/>
    <row r="9646" hidden="1" x14ac:dyDescent="0.3"/>
    <row r="9647" hidden="1" x14ac:dyDescent="0.3"/>
    <row r="9648" hidden="1" x14ac:dyDescent="0.3"/>
    <row r="9649" hidden="1" x14ac:dyDescent="0.3"/>
    <row r="9650" hidden="1" x14ac:dyDescent="0.3"/>
    <row r="9651" hidden="1" x14ac:dyDescent="0.3"/>
    <row r="9652" hidden="1" x14ac:dyDescent="0.3"/>
    <row r="9653" hidden="1" x14ac:dyDescent="0.3"/>
    <row r="9654" hidden="1" x14ac:dyDescent="0.3"/>
    <row r="9655" hidden="1" x14ac:dyDescent="0.3"/>
    <row r="9656" hidden="1" x14ac:dyDescent="0.3"/>
    <row r="9657" hidden="1" x14ac:dyDescent="0.3"/>
    <row r="9658" hidden="1" x14ac:dyDescent="0.3"/>
    <row r="9659" hidden="1" x14ac:dyDescent="0.3"/>
    <row r="9660" hidden="1" x14ac:dyDescent="0.3"/>
    <row r="9661" hidden="1" x14ac:dyDescent="0.3"/>
    <row r="9662" hidden="1" x14ac:dyDescent="0.3"/>
    <row r="9663" hidden="1" x14ac:dyDescent="0.3"/>
    <row r="9664" hidden="1" x14ac:dyDescent="0.3"/>
    <row r="9665" hidden="1" x14ac:dyDescent="0.3"/>
    <row r="9666" hidden="1" x14ac:dyDescent="0.3"/>
    <row r="9667" hidden="1" x14ac:dyDescent="0.3"/>
    <row r="9668" hidden="1" x14ac:dyDescent="0.3"/>
    <row r="9669" hidden="1" x14ac:dyDescent="0.3"/>
    <row r="9670" hidden="1" x14ac:dyDescent="0.3"/>
    <row r="9671" hidden="1" x14ac:dyDescent="0.3"/>
    <row r="9672" hidden="1" x14ac:dyDescent="0.3"/>
    <row r="9673" hidden="1" x14ac:dyDescent="0.3"/>
    <row r="9674" hidden="1" x14ac:dyDescent="0.3"/>
    <row r="9675" hidden="1" x14ac:dyDescent="0.3"/>
    <row r="9676" hidden="1" x14ac:dyDescent="0.3"/>
    <row r="9677" hidden="1" x14ac:dyDescent="0.3"/>
    <row r="9678" hidden="1" x14ac:dyDescent="0.3"/>
    <row r="9679" hidden="1" x14ac:dyDescent="0.3"/>
    <row r="9680" hidden="1" x14ac:dyDescent="0.3"/>
    <row r="9681" hidden="1" x14ac:dyDescent="0.3"/>
    <row r="9682" hidden="1" x14ac:dyDescent="0.3"/>
    <row r="9683" hidden="1" x14ac:dyDescent="0.3"/>
    <row r="9684" hidden="1" x14ac:dyDescent="0.3"/>
    <row r="9685" hidden="1" x14ac:dyDescent="0.3"/>
    <row r="9686" hidden="1" x14ac:dyDescent="0.3"/>
    <row r="9687" hidden="1" x14ac:dyDescent="0.3"/>
    <row r="9688" hidden="1" x14ac:dyDescent="0.3"/>
    <row r="9689" hidden="1" x14ac:dyDescent="0.3"/>
    <row r="9690" hidden="1" x14ac:dyDescent="0.3"/>
    <row r="9691" hidden="1" x14ac:dyDescent="0.3"/>
    <row r="9692" hidden="1" x14ac:dyDescent="0.3"/>
    <row r="9693" hidden="1" x14ac:dyDescent="0.3"/>
    <row r="9694" hidden="1" x14ac:dyDescent="0.3"/>
    <row r="9695" hidden="1" x14ac:dyDescent="0.3"/>
    <row r="9696" hidden="1" x14ac:dyDescent="0.3"/>
    <row r="9697" hidden="1" x14ac:dyDescent="0.3"/>
    <row r="9698" hidden="1" x14ac:dyDescent="0.3"/>
    <row r="9699" hidden="1" x14ac:dyDescent="0.3"/>
    <row r="9700" hidden="1" x14ac:dyDescent="0.3"/>
    <row r="9701" hidden="1" x14ac:dyDescent="0.3"/>
    <row r="9702" hidden="1" x14ac:dyDescent="0.3"/>
    <row r="9703" hidden="1" x14ac:dyDescent="0.3"/>
    <row r="9704" hidden="1" x14ac:dyDescent="0.3"/>
    <row r="9705" hidden="1" x14ac:dyDescent="0.3"/>
    <row r="9706" hidden="1" x14ac:dyDescent="0.3"/>
    <row r="9707" hidden="1" x14ac:dyDescent="0.3"/>
    <row r="9708" hidden="1" x14ac:dyDescent="0.3"/>
    <row r="9709" hidden="1" x14ac:dyDescent="0.3"/>
    <row r="9710" hidden="1" x14ac:dyDescent="0.3"/>
    <row r="9711" hidden="1" x14ac:dyDescent="0.3"/>
    <row r="9712" hidden="1" x14ac:dyDescent="0.3"/>
    <row r="9713" hidden="1" x14ac:dyDescent="0.3"/>
    <row r="9714" hidden="1" x14ac:dyDescent="0.3"/>
    <row r="9715" hidden="1" x14ac:dyDescent="0.3"/>
    <row r="9716" hidden="1" x14ac:dyDescent="0.3"/>
    <row r="9717" hidden="1" x14ac:dyDescent="0.3"/>
    <row r="9718" hidden="1" x14ac:dyDescent="0.3"/>
    <row r="9719" hidden="1" x14ac:dyDescent="0.3"/>
    <row r="9720" hidden="1" x14ac:dyDescent="0.3"/>
    <row r="9721" hidden="1" x14ac:dyDescent="0.3"/>
    <row r="9722" hidden="1" x14ac:dyDescent="0.3"/>
    <row r="9723" hidden="1" x14ac:dyDescent="0.3"/>
    <row r="9724" hidden="1" x14ac:dyDescent="0.3"/>
    <row r="9725" hidden="1" x14ac:dyDescent="0.3"/>
    <row r="9726" hidden="1" x14ac:dyDescent="0.3"/>
    <row r="9727" hidden="1" x14ac:dyDescent="0.3"/>
    <row r="9728" hidden="1" x14ac:dyDescent="0.3"/>
    <row r="9729" hidden="1" x14ac:dyDescent="0.3"/>
    <row r="9730" hidden="1" x14ac:dyDescent="0.3"/>
    <row r="9731" hidden="1" x14ac:dyDescent="0.3"/>
    <row r="9732" hidden="1" x14ac:dyDescent="0.3"/>
    <row r="9733" hidden="1" x14ac:dyDescent="0.3"/>
    <row r="9734" hidden="1" x14ac:dyDescent="0.3"/>
    <row r="9735" hidden="1" x14ac:dyDescent="0.3"/>
    <row r="9736" hidden="1" x14ac:dyDescent="0.3"/>
    <row r="9737" hidden="1" x14ac:dyDescent="0.3"/>
    <row r="9738" hidden="1" x14ac:dyDescent="0.3"/>
    <row r="9739" hidden="1" x14ac:dyDescent="0.3"/>
    <row r="9740" hidden="1" x14ac:dyDescent="0.3"/>
    <row r="9741" hidden="1" x14ac:dyDescent="0.3"/>
    <row r="9742" hidden="1" x14ac:dyDescent="0.3"/>
    <row r="9743" hidden="1" x14ac:dyDescent="0.3"/>
    <row r="9744" hidden="1" x14ac:dyDescent="0.3"/>
    <row r="9745" hidden="1" x14ac:dyDescent="0.3"/>
    <row r="9746" hidden="1" x14ac:dyDescent="0.3"/>
    <row r="9747" hidden="1" x14ac:dyDescent="0.3"/>
    <row r="9748" hidden="1" x14ac:dyDescent="0.3"/>
    <row r="9749" hidden="1" x14ac:dyDescent="0.3"/>
    <row r="9750" hidden="1" x14ac:dyDescent="0.3"/>
    <row r="9751" hidden="1" x14ac:dyDescent="0.3"/>
    <row r="9752" hidden="1" x14ac:dyDescent="0.3"/>
    <row r="9753" hidden="1" x14ac:dyDescent="0.3"/>
    <row r="9754" hidden="1" x14ac:dyDescent="0.3"/>
    <row r="9755" hidden="1" x14ac:dyDescent="0.3"/>
    <row r="9756" hidden="1" x14ac:dyDescent="0.3"/>
    <row r="9757" hidden="1" x14ac:dyDescent="0.3"/>
    <row r="9758" hidden="1" x14ac:dyDescent="0.3"/>
    <row r="9759" hidden="1" x14ac:dyDescent="0.3"/>
    <row r="9760" hidden="1" x14ac:dyDescent="0.3"/>
    <row r="9761" hidden="1" x14ac:dyDescent="0.3"/>
    <row r="9762" hidden="1" x14ac:dyDescent="0.3"/>
    <row r="9763" hidden="1" x14ac:dyDescent="0.3"/>
    <row r="9764" hidden="1" x14ac:dyDescent="0.3"/>
    <row r="9765" hidden="1" x14ac:dyDescent="0.3"/>
    <row r="9766" hidden="1" x14ac:dyDescent="0.3"/>
    <row r="9767" hidden="1" x14ac:dyDescent="0.3"/>
    <row r="9768" hidden="1" x14ac:dyDescent="0.3"/>
    <row r="9769" hidden="1" x14ac:dyDescent="0.3"/>
    <row r="9770" hidden="1" x14ac:dyDescent="0.3"/>
    <row r="9771" hidden="1" x14ac:dyDescent="0.3"/>
    <row r="9772" hidden="1" x14ac:dyDescent="0.3"/>
    <row r="9773" hidden="1" x14ac:dyDescent="0.3"/>
    <row r="9774" hidden="1" x14ac:dyDescent="0.3"/>
    <row r="9775" hidden="1" x14ac:dyDescent="0.3"/>
    <row r="9776" hidden="1" x14ac:dyDescent="0.3"/>
    <row r="9777" hidden="1" x14ac:dyDescent="0.3"/>
    <row r="9778" hidden="1" x14ac:dyDescent="0.3"/>
    <row r="9779" hidden="1" x14ac:dyDescent="0.3"/>
    <row r="9780" hidden="1" x14ac:dyDescent="0.3"/>
    <row r="9781" hidden="1" x14ac:dyDescent="0.3"/>
    <row r="9782" hidden="1" x14ac:dyDescent="0.3"/>
    <row r="9783" hidden="1" x14ac:dyDescent="0.3"/>
    <row r="9784" hidden="1" x14ac:dyDescent="0.3"/>
    <row r="9785" hidden="1" x14ac:dyDescent="0.3"/>
    <row r="9786" hidden="1" x14ac:dyDescent="0.3"/>
    <row r="9787" hidden="1" x14ac:dyDescent="0.3"/>
    <row r="9788" hidden="1" x14ac:dyDescent="0.3"/>
    <row r="9789" hidden="1" x14ac:dyDescent="0.3"/>
    <row r="9790" hidden="1" x14ac:dyDescent="0.3"/>
    <row r="9791" hidden="1" x14ac:dyDescent="0.3"/>
    <row r="9792" hidden="1" x14ac:dyDescent="0.3"/>
    <row r="9793" hidden="1" x14ac:dyDescent="0.3"/>
    <row r="9794" hidden="1" x14ac:dyDescent="0.3"/>
    <row r="9795" hidden="1" x14ac:dyDescent="0.3"/>
    <row r="9796" hidden="1" x14ac:dyDescent="0.3"/>
    <row r="9797" hidden="1" x14ac:dyDescent="0.3"/>
    <row r="9798" hidden="1" x14ac:dyDescent="0.3"/>
    <row r="9799" hidden="1" x14ac:dyDescent="0.3"/>
    <row r="9800" hidden="1" x14ac:dyDescent="0.3"/>
    <row r="9801" hidden="1" x14ac:dyDescent="0.3"/>
    <row r="9802" hidden="1" x14ac:dyDescent="0.3"/>
    <row r="9803" hidden="1" x14ac:dyDescent="0.3"/>
    <row r="9804" hidden="1" x14ac:dyDescent="0.3"/>
    <row r="9805" hidden="1" x14ac:dyDescent="0.3"/>
    <row r="9806" hidden="1" x14ac:dyDescent="0.3"/>
    <row r="9807" hidden="1" x14ac:dyDescent="0.3"/>
    <row r="9808" hidden="1" x14ac:dyDescent="0.3"/>
    <row r="9809" hidden="1" x14ac:dyDescent="0.3"/>
    <row r="9810" hidden="1" x14ac:dyDescent="0.3"/>
    <row r="9811" hidden="1" x14ac:dyDescent="0.3"/>
    <row r="9812" hidden="1" x14ac:dyDescent="0.3"/>
    <row r="9813" hidden="1" x14ac:dyDescent="0.3"/>
    <row r="9814" hidden="1" x14ac:dyDescent="0.3"/>
    <row r="9815" hidden="1" x14ac:dyDescent="0.3"/>
    <row r="9816" hidden="1" x14ac:dyDescent="0.3"/>
    <row r="9817" hidden="1" x14ac:dyDescent="0.3"/>
    <row r="9818" hidden="1" x14ac:dyDescent="0.3"/>
    <row r="9819" hidden="1" x14ac:dyDescent="0.3"/>
    <row r="9820" hidden="1" x14ac:dyDescent="0.3"/>
    <row r="9821" hidden="1" x14ac:dyDescent="0.3"/>
    <row r="9822" hidden="1" x14ac:dyDescent="0.3"/>
    <row r="9823" hidden="1" x14ac:dyDescent="0.3"/>
    <row r="9824" hidden="1" x14ac:dyDescent="0.3"/>
    <row r="9825" hidden="1" x14ac:dyDescent="0.3"/>
    <row r="9826" hidden="1" x14ac:dyDescent="0.3"/>
    <row r="9827" hidden="1" x14ac:dyDescent="0.3"/>
    <row r="9828" hidden="1" x14ac:dyDescent="0.3"/>
    <row r="9829" hidden="1" x14ac:dyDescent="0.3"/>
    <row r="9830" hidden="1" x14ac:dyDescent="0.3"/>
    <row r="9831" hidden="1" x14ac:dyDescent="0.3"/>
    <row r="9832" hidden="1" x14ac:dyDescent="0.3"/>
    <row r="9833" hidden="1" x14ac:dyDescent="0.3"/>
    <row r="9834" hidden="1" x14ac:dyDescent="0.3"/>
    <row r="9835" hidden="1" x14ac:dyDescent="0.3"/>
    <row r="9836" hidden="1" x14ac:dyDescent="0.3"/>
    <row r="9837" hidden="1" x14ac:dyDescent="0.3"/>
    <row r="9838" hidden="1" x14ac:dyDescent="0.3"/>
    <row r="9839" hidden="1" x14ac:dyDescent="0.3"/>
    <row r="9840" hidden="1" x14ac:dyDescent="0.3"/>
    <row r="9841" hidden="1" x14ac:dyDescent="0.3"/>
    <row r="9842" hidden="1" x14ac:dyDescent="0.3"/>
    <row r="9843" hidden="1" x14ac:dyDescent="0.3"/>
    <row r="9844" hidden="1" x14ac:dyDescent="0.3"/>
    <row r="9845" hidden="1" x14ac:dyDescent="0.3"/>
    <row r="9846" hidden="1" x14ac:dyDescent="0.3"/>
    <row r="9847" hidden="1" x14ac:dyDescent="0.3"/>
    <row r="9848" hidden="1" x14ac:dyDescent="0.3"/>
    <row r="9849" hidden="1" x14ac:dyDescent="0.3"/>
    <row r="9850" hidden="1" x14ac:dyDescent="0.3"/>
    <row r="9851" hidden="1" x14ac:dyDescent="0.3"/>
    <row r="9852" hidden="1" x14ac:dyDescent="0.3"/>
    <row r="9853" hidden="1" x14ac:dyDescent="0.3"/>
    <row r="9854" hidden="1" x14ac:dyDescent="0.3"/>
    <row r="9855" hidden="1" x14ac:dyDescent="0.3"/>
    <row r="9856" hidden="1" x14ac:dyDescent="0.3"/>
    <row r="9857" hidden="1" x14ac:dyDescent="0.3"/>
    <row r="9858" hidden="1" x14ac:dyDescent="0.3"/>
    <row r="9859" hidden="1" x14ac:dyDescent="0.3"/>
    <row r="9860" hidden="1" x14ac:dyDescent="0.3"/>
    <row r="9861" hidden="1" x14ac:dyDescent="0.3"/>
    <row r="9862" hidden="1" x14ac:dyDescent="0.3"/>
    <row r="9863" hidden="1" x14ac:dyDescent="0.3"/>
    <row r="9864" hidden="1" x14ac:dyDescent="0.3"/>
    <row r="9865" hidden="1" x14ac:dyDescent="0.3"/>
    <row r="9866" hidden="1" x14ac:dyDescent="0.3"/>
    <row r="9867" hidden="1" x14ac:dyDescent="0.3"/>
    <row r="9868" hidden="1" x14ac:dyDescent="0.3"/>
    <row r="9869" hidden="1" x14ac:dyDescent="0.3"/>
    <row r="9870" hidden="1" x14ac:dyDescent="0.3"/>
    <row r="9871" hidden="1" x14ac:dyDescent="0.3"/>
    <row r="9872" hidden="1" x14ac:dyDescent="0.3"/>
    <row r="9873" hidden="1" x14ac:dyDescent="0.3"/>
    <row r="9874" hidden="1" x14ac:dyDescent="0.3"/>
    <row r="9875" hidden="1" x14ac:dyDescent="0.3"/>
    <row r="9876" hidden="1" x14ac:dyDescent="0.3"/>
    <row r="9877" hidden="1" x14ac:dyDescent="0.3"/>
    <row r="9878" hidden="1" x14ac:dyDescent="0.3"/>
    <row r="9879" hidden="1" x14ac:dyDescent="0.3"/>
    <row r="9880" hidden="1" x14ac:dyDescent="0.3"/>
    <row r="9881" hidden="1" x14ac:dyDescent="0.3"/>
    <row r="9882" hidden="1" x14ac:dyDescent="0.3"/>
    <row r="9883" hidden="1" x14ac:dyDescent="0.3"/>
    <row r="9884" hidden="1" x14ac:dyDescent="0.3"/>
    <row r="9885" hidden="1" x14ac:dyDescent="0.3"/>
    <row r="9886" hidden="1" x14ac:dyDescent="0.3"/>
    <row r="9887" hidden="1" x14ac:dyDescent="0.3"/>
    <row r="9888" hidden="1" x14ac:dyDescent="0.3"/>
    <row r="9889" hidden="1" x14ac:dyDescent="0.3"/>
    <row r="9890" hidden="1" x14ac:dyDescent="0.3"/>
    <row r="9891" hidden="1" x14ac:dyDescent="0.3"/>
    <row r="9892" hidden="1" x14ac:dyDescent="0.3"/>
    <row r="9893" hidden="1" x14ac:dyDescent="0.3"/>
    <row r="9894" hidden="1" x14ac:dyDescent="0.3"/>
    <row r="9895" hidden="1" x14ac:dyDescent="0.3"/>
    <row r="9896" hidden="1" x14ac:dyDescent="0.3"/>
    <row r="9897" hidden="1" x14ac:dyDescent="0.3"/>
    <row r="9898" hidden="1" x14ac:dyDescent="0.3"/>
    <row r="9899" hidden="1" x14ac:dyDescent="0.3"/>
    <row r="9900" hidden="1" x14ac:dyDescent="0.3"/>
    <row r="9901" hidden="1" x14ac:dyDescent="0.3"/>
    <row r="9902" hidden="1" x14ac:dyDescent="0.3"/>
    <row r="9903" hidden="1" x14ac:dyDescent="0.3"/>
    <row r="9904" hidden="1" x14ac:dyDescent="0.3"/>
    <row r="9905" hidden="1" x14ac:dyDescent="0.3"/>
    <row r="9906" hidden="1" x14ac:dyDescent="0.3"/>
    <row r="9907" hidden="1" x14ac:dyDescent="0.3"/>
    <row r="9908" hidden="1" x14ac:dyDescent="0.3"/>
    <row r="9909" hidden="1" x14ac:dyDescent="0.3"/>
    <row r="9910" hidden="1" x14ac:dyDescent="0.3"/>
    <row r="9911" hidden="1" x14ac:dyDescent="0.3"/>
    <row r="9912" hidden="1" x14ac:dyDescent="0.3"/>
    <row r="9913" hidden="1" x14ac:dyDescent="0.3"/>
    <row r="9914" hidden="1" x14ac:dyDescent="0.3"/>
    <row r="9915" hidden="1" x14ac:dyDescent="0.3"/>
    <row r="9916" hidden="1" x14ac:dyDescent="0.3"/>
    <row r="9917" hidden="1" x14ac:dyDescent="0.3"/>
    <row r="9918" hidden="1" x14ac:dyDescent="0.3"/>
    <row r="9919" hidden="1" x14ac:dyDescent="0.3"/>
    <row r="9920" hidden="1" x14ac:dyDescent="0.3"/>
    <row r="9921" hidden="1" x14ac:dyDescent="0.3"/>
    <row r="9922" hidden="1" x14ac:dyDescent="0.3"/>
    <row r="9923" hidden="1" x14ac:dyDescent="0.3"/>
    <row r="9924" hidden="1" x14ac:dyDescent="0.3"/>
    <row r="9925" hidden="1" x14ac:dyDescent="0.3"/>
    <row r="9926" hidden="1" x14ac:dyDescent="0.3"/>
    <row r="9927" hidden="1" x14ac:dyDescent="0.3"/>
    <row r="9928" hidden="1" x14ac:dyDescent="0.3"/>
    <row r="9929" hidden="1" x14ac:dyDescent="0.3"/>
    <row r="9930" hidden="1" x14ac:dyDescent="0.3"/>
    <row r="9931" hidden="1" x14ac:dyDescent="0.3"/>
    <row r="9932" hidden="1" x14ac:dyDescent="0.3"/>
    <row r="9933" hidden="1" x14ac:dyDescent="0.3"/>
    <row r="9934" hidden="1" x14ac:dyDescent="0.3"/>
    <row r="9935" hidden="1" x14ac:dyDescent="0.3"/>
    <row r="9936" hidden="1" x14ac:dyDescent="0.3"/>
    <row r="9937" hidden="1" x14ac:dyDescent="0.3"/>
    <row r="9938" hidden="1" x14ac:dyDescent="0.3"/>
    <row r="9939" hidden="1" x14ac:dyDescent="0.3"/>
    <row r="9940" hidden="1" x14ac:dyDescent="0.3"/>
    <row r="9941" hidden="1" x14ac:dyDescent="0.3"/>
    <row r="9942" hidden="1" x14ac:dyDescent="0.3"/>
    <row r="9943" hidden="1" x14ac:dyDescent="0.3"/>
    <row r="9944" hidden="1" x14ac:dyDescent="0.3"/>
    <row r="9945" hidden="1" x14ac:dyDescent="0.3"/>
    <row r="9946" hidden="1" x14ac:dyDescent="0.3"/>
    <row r="9947" hidden="1" x14ac:dyDescent="0.3"/>
    <row r="9948" hidden="1" x14ac:dyDescent="0.3"/>
    <row r="9949" hidden="1" x14ac:dyDescent="0.3"/>
    <row r="9950" hidden="1" x14ac:dyDescent="0.3"/>
    <row r="9951" hidden="1" x14ac:dyDescent="0.3"/>
    <row r="9952" hidden="1" x14ac:dyDescent="0.3"/>
    <row r="9953" hidden="1" x14ac:dyDescent="0.3"/>
    <row r="9954" hidden="1" x14ac:dyDescent="0.3"/>
    <row r="9955" hidden="1" x14ac:dyDescent="0.3"/>
    <row r="9956" hidden="1" x14ac:dyDescent="0.3"/>
    <row r="9957" hidden="1" x14ac:dyDescent="0.3"/>
    <row r="9958" hidden="1" x14ac:dyDescent="0.3"/>
    <row r="9959" hidden="1" x14ac:dyDescent="0.3"/>
    <row r="9960" hidden="1" x14ac:dyDescent="0.3"/>
    <row r="9961" hidden="1" x14ac:dyDescent="0.3"/>
    <row r="9962" hidden="1" x14ac:dyDescent="0.3"/>
    <row r="9963" hidden="1" x14ac:dyDescent="0.3"/>
    <row r="9964" hidden="1" x14ac:dyDescent="0.3"/>
    <row r="9965" hidden="1" x14ac:dyDescent="0.3"/>
    <row r="9966" hidden="1" x14ac:dyDescent="0.3"/>
    <row r="9967" hidden="1" x14ac:dyDescent="0.3"/>
    <row r="9968" hidden="1" x14ac:dyDescent="0.3"/>
    <row r="9969" hidden="1" x14ac:dyDescent="0.3"/>
    <row r="9970" hidden="1" x14ac:dyDescent="0.3"/>
    <row r="9971" hidden="1" x14ac:dyDescent="0.3"/>
    <row r="9972" hidden="1" x14ac:dyDescent="0.3"/>
    <row r="9973" hidden="1" x14ac:dyDescent="0.3"/>
    <row r="9974" hidden="1" x14ac:dyDescent="0.3"/>
    <row r="9975" hidden="1" x14ac:dyDescent="0.3"/>
    <row r="9976" hidden="1" x14ac:dyDescent="0.3"/>
    <row r="9977" hidden="1" x14ac:dyDescent="0.3"/>
    <row r="9978" hidden="1" x14ac:dyDescent="0.3"/>
    <row r="9979" hidden="1" x14ac:dyDescent="0.3"/>
    <row r="9980" hidden="1" x14ac:dyDescent="0.3"/>
    <row r="9981" hidden="1" x14ac:dyDescent="0.3"/>
    <row r="9982" hidden="1" x14ac:dyDescent="0.3"/>
    <row r="9983" hidden="1" x14ac:dyDescent="0.3"/>
    <row r="9984" hidden="1" x14ac:dyDescent="0.3"/>
    <row r="9985" hidden="1" x14ac:dyDescent="0.3"/>
    <row r="9986" hidden="1" x14ac:dyDescent="0.3"/>
    <row r="9987" hidden="1" x14ac:dyDescent="0.3"/>
    <row r="9988" hidden="1" x14ac:dyDescent="0.3"/>
    <row r="9989" hidden="1" x14ac:dyDescent="0.3"/>
    <row r="9990" hidden="1" x14ac:dyDescent="0.3"/>
    <row r="9991" hidden="1" x14ac:dyDescent="0.3"/>
    <row r="9992" hidden="1" x14ac:dyDescent="0.3"/>
    <row r="9993" hidden="1" x14ac:dyDescent="0.3"/>
    <row r="9994" hidden="1" x14ac:dyDescent="0.3"/>
    <row r="9995" hidden="1" x14ac:dyDescent="0.3"/>
    <row r="9996" hidden="1" x14ac:dyDescent="0.3"/>
    <row r="9997" hidden="1" x14ac:dyDescent="0.3"/>
    <row r="9998" hidden="1" x14ac:dyDescent="0.3"/>
    <row r="9999" hidden="1" x14ac:dyDescent="0.3"/>
    <row r="10000" hidden="1" x14ac:dyDescent="0.3"/>
    <row r="10001" hidden="1" x14ac:dyDescent="0.3"/>
    <row r="10002" hidden="1" x14ac:dyDescent="0.3"/>
    <row r="10003" hidden="1" x14ac:dyDescent="0.3"/>
    <row r="10004" hidden="1" x14ac:dyDescent="0.3"/>
    <row r="10005" hidden="1" x14ac:dyDescent="0.3"/>
    <row r="10006" hidden="1" x14ac:dyDescent="0.3"/>
    <row r="10007" hidden="1" x14ac:dyDescent="0.3"/>
    <row r="10008" hidden="1" x14ac:dyDescent="0.3"/>
    <row r="10009" hidden="1" x14ac:dyDescent="0.3"/>
    <row r="10010" hidden="1" x14ac:dyDescent="0.3"/>
    <row r="10011" hidden="1" x14ac:dyDescent="0.3"/>
    <row r="10012" hidden="1" x14ac:dyDescent="0.3"/>
    <row r="10013" hidden="1" x14ac:dyDescent="0.3"/>
    <row r="10014" hidden="1" x14ac:dyDescent="0.3"/>
    <row r="10015" hidden="1" x14ac:dyDescent="0.3"/>
    <row r="10016" hidden="1" x14ac:dyDescent="0.3"/>
    <row r="10017" hidden="1" x14ac:dyDescent="0.3"/>
    <row r="10018" hidden="1" x14ac:dyDescent="0.3"/>
    <row r="10019" hidden="1" x14ac:dyDescent="0.3"/>
    <row r="10020" hidden="1" x14ac:dyDescent="0.3"/>
    <row r="10021" hidden="1" x14ac:dyDescent="0.3"/>
    <row r="10022" hidden="1" x14ac:dyDescent="0.3"/>
    <row r="10023" hidden="1" x14ac:dyDescent="0.3"/>
    <row r="10024" hidden="1" x14ac:dyDescent="0.3"/>
    <row r="10025" hidden="1" x14ac:dyDescent="0.3"/>
    <row r="10026" hidden="1" x14ac:dyDescent="0.3"/>
    <row r="10027" hidden="1" x14ac:dyDescent="0.3"/>
    <row r="10028" hidden="1" x14ac:dyDescent="0.3"/>
    <row r="10029" hidden="1" x14ac:dyDescent="0.3"/>
    <row r="10030" hidden="1" x14ac:dyDescent="0.3"/>
    <row r="10031" hidden="1" x14ac:dyDescent="0.3"/>
    <row r="10032" hidden="1" x14ac:dyDescent="0.3"/>
    <row r="10033" hidden="1" x14ac:dyDescent="0.3"/>
    <row r="10034" hidden="1" x14ac:dyDescent="0.3"/>
    <row r="10035" hidden="1" x14ac:dyDescent="0.3"/>
    <row r="10036" hidden="1" x14ac:dyDescent="0.3"/>
    <row r="10037" hidden="1" x14ac:dyDescent="0.3"/>
    <row r="10038" hidden="1" x14ac:dyDescent="0.3"/>
    <row r="10039" hidden="1" x14ac:dyDescent="0.3"/>
    <row r="10040" hidden="1" x14ac:dyDescent="0.3"/>
    <row r="10041" hidden="1" x14ac:dyDescent="0.3"/>
    <row r="10042" hidden="1" x14ac:dyDescent="0.3"/>
    <row r="10043" hidden="1" x14ac:dyDescent="0.3"/>
    <row r="10044" hidden="1" x14ac:dyDescent="0.3"/>
    <row r="10045" hidden="1" x14ac:dyDescent="0.3"/>
    <row r="10046" hidden="1" x14ac:dyDescent="0.3"/>
    <row r="10047" hidden="1" x14ac:dyDescent="0.3"/>
    <row r="10048" hidden="1" x14ac:dyDescent="0.3"/>
    <row r="10049" hidden="1" x14ac:dyDescent="0.3"/>
    <row r="10050" hidden="1" x14ac:dyDescent="0.3"/>
    <row r="10051" hidden="1" x14ac:dyDescent="0.3"/>
    <row r="10052" hidden="1" x14ac:dyDescent="0.3"/>
    <row r="10053" hidden="1" x14ac:dyDescent="0.3"/>
    <row r="10054" hidden="1" x14ac:dyDescent="0.3"/>
    <row r="10055" hidden="1" x14ac:dyDescent="0.3"/>
    <row r="10056" hidden="1" x14ac:dyDescent="0.3"/>
    <row r="10057" hidden="1" x14ac:dyDescent="0.3"/>
    <row r="10058" hidden="1" x14ac:dyDescent="0.3"/>
    <row r="10059" hidden="1" x14ac:dyDescent="0.3"/>
    <row r="10060" hidden="1" x14ac:dyDescent="0.3"/>
    <row r="10061" hidden="1" x14ac:dyDescent="0.3"/>
    <row r="10062" hidden="1" x14ac:dyDescent="0.3"/>
    <row r="10063" hidden="1" x14ac:dyDescent="0.3"/>
    <row r="10064" hidden="1" x14ac:dyDescent="0.3"/>
    <row r="10065" hidden="1" x14ac:dyDescent="0.3"/>
    <row r="10066" hidden="1" x14ac:dyDescent="0.3"/>
    <row r="10067" hidden="1" x14ac:dyDescent="0.3"/>
    <row r="10068" hidden="1" x14ac:dyDescent="0.3"/>
    <row r="10069" hidden="1" x14ac:dyDescent="0.3"/>
    <row r="10070" hidden="1" x14ac:dyDescent="0.3"/>
    <row r="10071" hidden="1" x14ac:dyDescent="0.3"/>
    <row r="10072" hidden="1" x14ac:dyDescent="0.3"/>
    <row r="10073" hidden="1" x14ac:dyDescent="0.3"/>
    <row r="10074" hidden="1" x14ac:dyDescent="0.3"/>
    <row r="10075" hidden="1" x14ac:dyDescent="0.3"/>
    <row r="10076" hidden="1" x14ac:dyDescent="0.3"/>
    <row r="10077" hidden="1" x14ac:dyDescent="0.3"/>
    <row r="10078" hidden="1" x14ac:dyDescent="0.3"/>
    <row r="10079" hidden="1" x14ac:dyDescent="0.3"/>
    <row r="10080" hidden="1" x14ac:dyDescent="0.3"/>
    <row r="10081" hidden="1" x14ac:dyDescent="0.3"/>
    <row r="10082" hidden="1" x14ac:dyDescent="0.3"/>
    <row r="10083" hidden="1" x14ac:dyDescent="0.3"/>
    <row r="10084" hidden="1" x14ac:dyDescent="0.3"/>
    <row r="10085" hidden="1" x14ac:dyDescent="0.3"/>
    <row r="10086" hidden="1" x14ac:dyDescent="0.3"/>
    <row r="10087" hidden="1" x14ac:dyDescent="0.3"/>
    <row r="10088" hidden="1" x14ac:dyDescent="0.3"/>
    <row r="10089" hidden="1" x14ac:dyDescent="0.3"/>
    <row r="10090" hidden="1" x14ac:dyDescent="0.3"/>
    <row r="10091" hidden="1" x14ac:dyDescent="0.3"/>
    <row r="10092" hidden="1" x14ac:dyDescent="0.3"/>
    <row r="10093" hidden="1" x14ac:dyDescent="0.3"/>
    <row r="10094" hidden="1" x14ac:dyDescent="0.3"/>
    <row r="10095" hidden="1" x14ac:dyDescent="0.3"/>
    <row r="10096" hidden="1" x14ac:dyDescent="0.3"/>
    <row r="10097" hidden="1" x14ac:dyDescent="0.3"/>
    <row r="10098" hidden="1" x14ac:dyDescent="0.3"/>
    <row r="10099" hidden="1" x14ac:dyDescent="0.3"/>
    <row r="10100" hidden="1" x14ac:dyDescent="0.3"/>
    <row r="10101" hidden="1" x14ac:dyDescent="0.3"/>
    <row r="10102" hidden="1" x14ac:dyDescent="0.3"/>
    <row r="10103" hidden="1" x14ac:dyDescent="0.3"/>
    <row r="10104" hidden="1" x14ac:dyDescent="0.3"/>
    <row r="10105" hidden="1" x14ac:dyDescent="0.3"/>
    <row r="10106" hidden="1" x14ac:dyDescent="0.3"/>
    <row r="10107" hidden="1" x14ac:dyDescent="0.3"/>
    <row r="10108" hidden="1" x14ac:dyDescent="0.3"/>
    <row r="10109" hidden="1" x14ac:dyDescent="0.3"/>
    <row r="10110" hidden="1" x14ac:dyDescent="0.3"/>
    <row r="10111" hidden="1" x14ac:dyDescent="0.3"/>
    <row r="10112" hidden="1" x14ac:dyDescent="0.3"/>
    <row r="10113" hidden="1" x14ac:dyDescent="0.3"/>
    <row r="10114" hidden="1" x14ac:dyDescent="0.3"/>
    <row r="10115" hidden="1" x14ac:dyDescent="0.3"/>
    <row r="10116" hidden="1" x14ac:dyDescent="0.3"/>
    <row r="10117" hidden="1" x14ac:dyDescent="0.3"/>
    <row r="10118" hidden="1" x14ac:dyDescent="0.3"/>
    <row r="10119" hidden="1" x14ac:dyDescent="0.3"/>
    <row r="10120" hidden="1" x14ac:dyDescent="0.3"/>
    <row r="10121" hidden="1" x14ac:dyDescent="0.3"/>
    <row r="10122" hidden="1" x14ac:dyDescent="0.3"/>
    <row r="10123" hidden="1" x14ac:dyDescent="0.3"/>
    <row r="10124" hidden="1" x14ac:dyDescent="0.3"/>
    <row r="10125" hidden="1" x14ac:dyDescent="0.3"/>
    <row r="10126" hidden="1" x14ac:dyDescent="0.3"/>
    <row r="10127" hidden="1" x14ac:dyDescent="0.3"/>
    <row r="10128" hidden="1" x14ac:dyDescent="0.3"/>
    <row r="10129" hidden="1" x14ac:dyDescent="0.3"/>
    <row r="10130" hidden="1" x14ac:dyDescent="0.3"/>
    <row r="10131" hidden="1" x14ac:dyDescent="0.3"/>
    <row r="10132" hidden="1" x14ac:dyDescent="0.3"/>
    <row r="10133" hidden="1" x14ac:dyDescent="0.3"/>
    <row r="10134" hidden="1" x14ac:dyDescent="0.3"/>
    <row r="10135" hidden="1" x14ac:dyDescent="0.3"/>
    <row r="10136" hidden="1" x14ac:dyDescent="0.3"/>
    <row r="10137" hidden="1" x14ac:dyDescent="0.3"/>
    <row r="10138" hidden="1" x14ac:dyDescent="0.3"/>
    <row r="10139" hidden="1" x14ac:dyDescent="0.3"/>
    <row r="10140" hidden="1" x14ac:dyDescent="0.3"/>
    <row r="10141" hidden="1" x14ac:dyDescent="0.3"/>
    <row r="10142" hidden="1" x14ac:dyDescent="0.3"/>
    <row r="10143" hidden="1" x14ac:dyDescent="0.3"/>
    <row r="10144" hidden="1" x14ac:dyDescent="0.3"/>
    <row r="10145" hidden="1" x14ac:dyDescent="0.3"/>
    <row r="10146" hidden="1" x14ac:dyDescent="0.3"/>
    <row r="10147" hidden="1" x14ac:dyDescent="0.3"/>
    <row r="10148" hidden="1" x14ac:dyDescent="0.3"/>
    <row r="10149" hidden="1" x14ac:dyDescent="0.3"/>
    <row r="10150" hidden="1" x14ac:dyDescent="0.3"/>
    <row r="10151" hidden="1" x14ac:dyDescent="0.3"/>
    <row r="10152" hidden="1" x14ac:dyDescent="0.3"/>
    <row r="10153" hidden="1" x14ac:dyDescent="0.3"/>
    <row r="10154" hidden="1" x14ac:dyDescent="0.3"/>
    <row r="10155" hidden="1" x14ac:dyDescent="0.3"/>
    <row r="10156" hidden="1" x14ac:dyDescent="0.3"/>
    <row r="10157" hidden="1" x14ac:dyDescent="0.3"/>
    <row r="10158" hidden="1" x14ac:dyDescent="0.3"/>
    <row r="10159" hidden="1" x14ac:dyDescent="0.3"/>
    <row r="10160" hidden="1" x14ac:dyDescent="0.3"/>
    <row r="10161" hidden="1" x14ac:dyDescent="0.3"/>
    <row r="10162" hidden="1" x14ac:dyDescent="0.3"/>
    <row r="10163" hidden="1" x14ac:dyDescent="0.3"/>
    <row r="10164" hidden="1" x14ac:dyDescent="0.3"/>
    <row r="10165" hidden="1" x14ac:dyDescent="0.3"/>
    <row r="10166" hidden="1" x14ac:dyDescent="0.3"/>
    <row r="10167" hidden="1" x14ac:dyDescent="0.3"/>
    <row r="10168" hidden="1" x14ac:dyDescent="0.3"/>
    <row r="10169" hidden="1" x14ac:dyDescent="0.3"/>
    <row r="10170" hidden="1" x14ac:dyDescent="0.3"/>
    <row r="10171" hidden="1" x14ac:dyDescent="0.3"/>
    <row r="10172" hidden="1" x14ac:dyDescent="0.3"/>
    <row r="10173" hidden="1" x14ac:dyDescent="0.3"/>
    <row r="10174" hidden="1" x14ac:dyDescent="0.3"/>
    <row r="10175" hidden="1" x14ac:dyDescent="0.3"/>
    <row r="10176" hidden="1" x14ac:dyDescent="0.3"/>
    <row r="10177" hidden="1" x14ac:dyDescent="0.3"/>
    <row r="10178" hidden="1" x14ac:dyDescent="0.3"/>
    <row r="10179" hidden="1" x14ac:dyDescent="0.3"/>
    <row r="10180" hidden="1" x14ac:dyDescent="0.3"/>
    <row r="10181" hidden="1" x14ac:dyDescent="0.3"/>
    <row r="10182" hidden="1" x14ac:dyDescent="0.3"/>
    <row r="10183" hidden="1" x14ac:dyDescent="0.3"/>
    <row r="10184" hidden="1" x14ac:dyDescent="0.3"/>
    <row r="10185" hidden="1" x14ac:dyDescent="0.3"/>
    <row r="10186" hidden="1" x14ac:dyDescent="0.3"/>
    <row r="10187" hidden="1" x14ac:dyDescent="0.3"/>
    <row r="10188" hidden="1" x14ac:dyDescent="0.3"/>
    <row r="10189" hidden="1" x14ac:dyDescent="0.3"/>
    <row r="10190" hidden="1" x14ac:dyDescent="0.3"/>
    <row r="10191" hidden="1" x14ac:dyDescent="0.3"/>
    <row r="10192" hidden="1" x14ac:dyDescent="0.3"/>
    <row r="10193" hidden="1" x14ac:dyDescent="0.3"/>
    <row r="10194" hidden="1" x14ac:dyDescent="0.3"/>
    <row r="10195" hidden="1" x14ac:dyDescent="0.3"/>
    <row r="10196" hidden="1" x14ac:dyDescent="0.3"/>
    <row r="10197" hidden="1" x14ac:dyDescent="0.3"/>
    <row r="10198" hidden="1" x14ac:dyDescent="0.3"/>
    <row r="10199" hidden="1" x14ac:dyDescent="0.3"/>
    <row r="10200" hidden="1" x14ac:dyDescent="0.3"/>
    <row r="10201" hidden="1" x14ac:dyDescent="0.3"/>
    <row r="10202" hidden="1" x14ac:dyDescent="0.3"/>
    <row r="10203" hidden="1" x14ac:dyDescent="0.3"/>
    <row r="10204" hidden="1" x14ac:dyDescent="0.3"/>
    <row r="10205" hidden="1" x14ac:dyDescent="0.3"/>
    <row r="10206" hidden="1" x14ac:dyDescent="0.3"/>
    <row r="10207" hidden="1" x14ac:dyDescent="0.3"/>
    <row r="10208" hidden="1" x14ac:dyDescent="0.3"/>
    <row r="10209" hidden="1" x14ac:dyDescent="0.3"/>
    <row r="10210" hidden="1" x14ac:dyDescent="0.3"/>
    <row r="10211" hidden="1" x14ac:dyDescent="0.3"/>
    <row r="10212" hidden="1" x14ac:dyDescent="0.3"/>
    <row r="10213" hidden="1" x14ac:dyDescent="0.3"/>
    <row r="10214" hidden="1" x14ac:dyDescent="0.3"/>
    <row r="10215" hidden="1" x14ac:dyDescent="0.3"/>
    <row r="10216" hidden="1" x14ac:dyDescent="0.3"/>
    <row r="10217" hidden="1" x14ac:dyDescent="0.3"/>
    <row r="10218" hidden="1" x14ac:dyDescent="0.3"/>
    <row r="10219" hidden="1" x14ac:dyDescent="0.3"/>
    <row r="10220" hidden="1" x14ac:dyDescent="0.3"/>
    <row r="10221" hidden="1" x14ac:dyDescent="0.3"/>
    <row r="10222" hidden="1" x14ac:dyDescent="0.3"/>
    <row r="10223" hidden="1" x14ac:dyDescent="0.3"/>
    <row r="10224" hidden="1" x14ac:dyDescent="0.3"/>
    <row r="10225" hidden="1" x14ac:dyDescent="0.3"/>
    <row r="10226" hidden="1" x14ac:dyDescent="0.3"/>
    <row r="10227" hidden="1" x14ac:dyDescent="0.3"/>
    <row r="10228" hidden="1" x14ac:dyDescent="0.3"/>
    <row r="10229" hidden="1" x14ac:dyDescent="0.3"/>
    <row r="10230" hidden="1" x14ac:dyDescent="0.3"/>
    <row r="10231" hidden="1" x14ac:dyDescent="0.3"/>
    <row r="10232" hidden="1" x14ac:dyDescent="0.3"/>
    <row r="10233" hidden="1" x14ac:dyDescent="0.3"/>
    <row r="10234" hidden="1" x14ac:dyDescent="0.3"/>
    <row r="10235" hidden="1" x14ac:dyDescent="0.3"/>
    <row r="10236" hidden="1" x14ac:dyDescent="0.3"/>
    <row r="10237" hidden="1" x14ac:dyDescent="0.3"/>
    <row r="10238" hidden="1" x14ac:dyDescent="0.3"/>
    <row r="10239" hidden="1" x14ac:dyDescent="0.3"/>
    <row r="10240" hidden="1" x14ac:dyDescent="0.3"/>
    <row r="10241" hidden="1" x14ac:dyDescent="0.3"/>
    <row r="10242" hidden="1" x14ac:dyDescent="0.3"/>
    <row r="10243" hidden="1" x14ac:dyDescent="0.3"/>
    <row r="10244" hidden="1" x14ac:dyDescent="0.3"/>
    <row r="10245" hidden="1" x14ac:dyDescent="0.3"/>
    <row r="10246" hidden="1" x14ac:dyDescent="0.3"/>
    <row r="10247" hidden="1" x14ac:dyDescent="0.3"/>
    <row r="10248" hidden="1" x14ac:dyDescent="0.3"/>
    <row r="10249" hidden="1" x14ac:dyDescent="0.3"/>
    <row r="10250" hidden="1" x14ac:dyDescent="0.3"/>
    <row r="10251" hidden="1" x14ac:dyDescent="0.3"/>
    <row r="10252" hidden="1" x14ac:dyDescent="0.3"/>
    <row r="10253" hidden="1" x14ac:dyDescent="0.3"/>
    <row r="10254" hidden="1" x14ac:dyDescent="0.3"/>
    <row r="10255" hidden="1" x14ac:dyDescent="0.3"/>
    <row r="10256" hidden="1" x14ac:dyDescent="0.3"/>
    <row r="10257" hidden="1" x14ac:dyDescent="0.3"/>
    <row r="10258" hidden="1" x14ac:dyDescent="0.3"/>
    <row r="10259" hidden="1" x14ac:dyDescent="0.3"/>
    <row r="10260" hidden="1" x14ac:dyDescent="0.3"/>
    <row r="10261" hidden="1" x14ac:dyDescent="0.3"/>
    <row r="10262" hidden="1" x14ac:dyDescent="0.3"/>
    <row r="10263" hidden="1" x14ac:dyDescent="0.3"/>
    <row r="10264" hidden="1" x14ac:dyDescent="0.3"/>
    <row r="10265" hidden="1" x14ac:dyDescent="0.3"/>
    <row r="10266" hidden="1" x14ac:dyDescent="0.3"/>
    <row r="10267" hidden="1" x14ac:dyDescent="0.3"/>
    <row r="10268" hidden="1" x14ac:dyDescent="0.3"/>
    <row r="10269" hidden="1" x14ac:dyDescent="0.3"/>
    <row r="10270" hidden="1" x14ac:dyDescent="0.3"/>
    <row r="10271" hidden="1" x14ac:dyDescent="0.3"/>
    <row r="10272" hidden="1" x14ac:dyDescent="0.3"/>
    <row r="10273" hidden="1" x14ac:dyDescent="0.3"/>
    <row r="10274" hidden="1" x14ac:dyDescent="0.3"/>
    <row r="10275" hidden="1" x14ac:dyDescent="0.3"/>
    <row r="10276" hidden="1" x14ac:dyDescent="0.3"/>
    <row r="10277" hidden="1" x14ac:dyDescent="0.3"/>
    <row r="10278" hidden="1" x14ac:dyDescent="0.3"/>
    <row r="10279" hidden="1" x14ac:dyDescent="0.3"/>
    <row r="10280" hidden="1" x14ac:dyDescent="0.3"/>
    <row r="10281" hidden="1" x14ac:dyDescent="0.3"/>
    <row r="10282" hidden="1" x14ac:dyDescent="0.3"/>
    <row r="10283" hidden="1" x14ac:dyDescent="0.3"/>
    <row r="10284" hidden="1" x14ac:dyDescent="0.3"/>
    <row r="10285" hidden="1" x14ac:dyDescent="0.3"/>
    <row r="10286" hidden="1" x14ac:dyDescent="0.3"/>
    <row r="10287" hidden="1" x14ac:dyDescent="0.3"/>
    <row r="10288" hidden="1" x14ac:dyDescent="0.3"/>
    <row r="10289" hidden="1" x14ac:dyDescent="0.3"/>
    <row r="10290" hidden="1" x14ac:dyDescent="0.3"/>
    <row r="10291" hidden="1" x14ac:dyDescent="0.3"/>
    <row r="10292" hidden="1" x14ac:dyDescent="0.3"/>
    <row r="10293" hidden="1" x14ac:dyDescent="0.3"/>
    <row r="10294" hidden="1" x14ac:dyDescent="0.3"/>
    <row r="10295" hidden="1" x14ac:dyDescent="0.3"/>
    <row r="10296" hidden="1" x14ac:dyDescent="0.3"/>
    <row r="10297" hidden="1" x14ac:dyDescent="0.3"/>
    <row r="10298" hidden="1" x14ac:dyDescent="0.3"/>
    <row r="10299" hidden="1" x14ac:dyDescent="0.3"/>
    <row r="10300" hidden="1" x14ac:dyDescent="0.3"/>
    <row r="10301" hidden="1" x14ac:dyDescent="0.3"/>
    <row r="10302" hidden="1" x14ac:dyDescent="0.3"/>
    <row r="10303" hidden="1" x14ac:dyDescent="0.3"/>
    <row r="10304" hidden="1" x14ac:dyDescent="0.3"/>
    <row r="10305" hidden="1" x14ac:dyDescent="0.3"/>
    <row r="10306" hidden="1" x14ac:dyDescent="0.3"/>
    <row r="10307" hidden="1" x14ac:dyDescent="0.3"/>
    <row r="10308" hidden="1" x14ac:dyDescent="0.3"/>
    <row r="10309" hidden="1" x14ac:dyDescent="0.3"/>
    <row r="10310" hidden="1" x14ac:dyDescent="0.3"/>
    <row r="10311" hidden="1" x14ac:dyDescent="0.3"/>
    <row r="10312" hidden="1" x14ac:dyDescent="0.3"/>
    <row r="10313" hidden="1" x14ac:dyDescent="0.3"/>
    <row r="10314" hidden="1" x14ac:dyDescent="0.3"/>
    <row r="10315" hidden="1" x14ac:dyDescent="0.3"/>
    <row r="10316" hidden="1" x14ac:dyDescent="0.3"/>
    <row r="10317" hidden="1" x14ac:dyDescent="0.3"/>
    <row r="10318" hidden="1" x14ac:dyDescent="0.3"/>
    <row r="10319" hidden="1" x14ac:dyDescent="0.3"/>
    <row r="10320" hidden="1" x14ac:dyDescent="0.3"/>
    <row r="10321" hidden="1" x14ac:dyDescent="0.3"/>
    <row r="10322" hidden="1" x14ac:dyDescent="0.3"/>
    <row r="10323" hidden="1" x14ac:dyDescent="0.3"/>
    <row r="10324" hidden="1" x14ac:dyDescent="0.3"/>
    <row r="10325" hidden="1" x14ac:dyDescent="0.3"/>
    <row r="10326" hidden="1" x14ac:dyDescent="0.3"/>
    <row r="10327" hidden="1" x14ac:dyDescent="0.3"/>
    <row r="10328" hidden="1" x14ac:dyDescent="0.3"/>
    <row r="10329" hidden="1" x14ac:dyDescent="0.3"/>
    <row r="10330" hidden="1" x14ac:dyDescent="0.3"/>
    <row r="10331" hidden="1" x14ac:dyDescent="0.3"/>
    <row r="10332" hidden="1" x14ac:dyDescent="0.3"/>
    <row r="10333" hidden="1" x14ac:dyDescent="0.3"/>
    <row r="10334" hidden="1" x14ac:dyDescent="0.3"/>
    <row r="10335" hidden="1" x14ac:dyDescent="0.3"/>
    <row r="10336" hidden="1" x14ac:dyDescent="0.3"/>
    <row r="10337" hidden="1" x14ac:dyDescent="0.3"/>
    <row r="10338" hidden="1" x14ac:dyDescent="0.3"/>
    <row r="10339" hidden="1" x14ac:dyDescent="0.3"/>
    <row r="10340" hidden="1" x14ac:dyDescent="0.3"/>
    <row r="10341" hidden="1" x14ac:dyDescent="0.3"/>
    <row r="10342" hidden="1" x14ac:dyDescent="0.3"/>
    <row r="10343" hidden="1" x14ac:dyDescent="0.3"/>
    <row r="10344" hidden="1" x14ac:dyDescent="0.3"/>
    <row r="10345" hidden="1" x14ac:dyDescent="0.3"/>
    <row r="10346" hidden="1" x14ac:dyDescent="0.3"/>
    <row r="10347" hidden="1" x14ac:dyDescent="0.3"/>
    <row r="10348" hidden="1" x14ac:dyDescent="0.3"/>
    <row r="10349" hidden="1" x14ac:dyDescent="0.3"/>
    <row r="10350" hidden="1" x14ac:dyDescent="0.3"/>
    <row r="10351" hidden="1" x14ac:dyDescent="0.3"/>
    <row r="10352" hidden="1" x14ac:dyDescent="0.3"/>
    <row r="10353" hidden="1" x14ac:dyDescent="0.3"/>
    <row r="10354" hidden="1" x14ac:dyDescent="0.3"/>
    <row r="10355" hidden="1" x14ac:dyDescent="0.3"/>
    <row r="10356" hidden="1" x14ac:dyDescent="0.3"/>
    <row r="10357" hidden="1" x14ac:dyDescent="0.3"/>
    <row r="10358" hidden="1" x14ac:dyDescent="0.3"/>
    <row r="10359" hidden="1" x14ac:dyDescent="0.3"/>
    <row r="10360" hidden="1" x14ac:dyDescent="0.3"/>
    <row r="10361" hidden="1" x14ac:dyDescent="0.3"/>
    <row r="10362" hidden="1" x14ac:dyDescent="0.3"/>
    <row r="10363" hidden="1" x14ac:dyDescent="0.3"/>
    <row r="10364" hidden="1" x14ac:dyDescent="0.3"/>
    <row r="10365" hidden="1" x14ac:dyDescent="0.3"/>
    <row r="10366" hidden="1" x14ac:dyDescent="0.3"/>
    <row r="10367" hidden="1" x14ac:dyDescent="0.3"/>
    <row r="10368" hidden="1" x14ac:dyDescent="0.3"/>
    <row r="10369" hidden="1" x14ac:dyDescent="0.3"/>
    <row r="10370" hidden="1" x14ac:dyDescent="0.3"/>
    <row r="10371" hidden="1" x14ac:dyDescent="0.3"/>
    <row r="10372" hidden="1" x14ac:dyDescent="0.3"/>
    <row r="10373" hidden="1" x14ac:dyDescent="0.3"/>
    <row r="10374" hidden="1" x14ac:dyDescent="0.3"/>
    <row r="10375" hidden="1" x14ac:dyDescent="0.3"/>
    <row r="10376" hidden="1" x14ac:dyDescent="0.3"/>
    <row r="10377" hidden="1" x14ac:dyDescent="0.3"/>
    <row r="10378" hidden="1" x14ac:dyDescent="0.3"/>
    <row r="10379" hidden="1" x14ac:dyDescent="0.3"/>
    <row r="10380" hidden="1" x14ac:dyDescent="0.3"/>
    <row r="10381" hidden="1" x14ac:dyDescent="0.3"/>
    <row r="10382" hidden="1" x14ac:dyDescent="0.3"/>
    <row r="10383" hidden="1" x14ac:dyDescent="0.3"/>
    <row r="10384" hidden="1" x14ac:dyDescent="0.3"/>
    <row r="10385" hidden="1" x14ac:dyDescent="0.3"/>
    <row r="10386" hidden="1" x14ac:dyDescent="0.3"/>
    <row r="10387" hidden="1" x14ac:dyDescent="0.3"/>
    <row r="10388" hidden="1" x14ac:dyDescent="0.3"/>
    <row r="10389" hidden="1" x14ac:dyDescent="0.3"/>
    <row r="10390" hidden="1" x14ac:dyDescent="0.3"/>
    <row r="10391" hidden="1" x14ac:dyDescent="0.3"/>
    <row r="10392" hidden="1" x14ac:dyDescent="0.3"/>
    <row r="10393" hidden="1" x14ac:dyDescent="0.3"/>
    <row r="10394" hidden="1" x14ac:dyDescent="0.3"/>
    <row r="10395" hidden="1" x14ac:dyDescent="0.3"/>
    <row r="10396" hidden="1" x14ac:dyDescent="0.3"/>
    <row r="10397" hidden="1" x14ac:dyDescent="0.3"/>
    <row r="10398" hidden="1" x14ac:dyDescent="0.3"/>
    <row r="10399" hidden="1" x14ac:dyDescent="0.3"/>
    <row r="10400" hidden="1" x14ac:dyDescent="0.3"/>
    <row r="10401" hidden="1" x14ac:dyDescent="0.3"/>
    <row r="10402" hidden="1" x14ac:dyDescent="0.3"/>
    <row r="10403" hidden="1" x14ac:dyDescent="0.3"/>
    <row r="10404" hidden="1" x14ac:dyDescent="0.3"/>
    <row r="10405" hidden="1" x14ac:dyDescent="0.3"/>
    <row r="10406" hidden="1" x14ac:dyDescent="0.3"/>
    <row r="10407" hidden="1" x14ac:dyDescent="0.3"/>
    <row r="10408" hidden="1" x14ac:dyDescent="0.3"/>
    <row r="10409" hidden="1" x14ac:dyDescent="0.3"/>
    <row r="10410" hidden="1" x14ac:dyDescent="0.3"/>
    <row r="10411" hidden="1" x14ac:dyDescent="0.3"/>
    <row r="10412" hidden="1" x14ac:dyDescent="0.3"/>
    <row r="10413" hidden="1" x14ac:dyDescent="0.3"/>
    <row r="10414" hidden="1" x14ac:dyDescent="0.3"/>
    <row r="10415" hidden="1" x14ac:dyDescent="0.3"/>
    <row r="10416" hidden="1" x14ac:dyDescent="0.3"/>
    <row r="10417" hidden="1" x14ac:dyDescent="0.3"/>
    <row r="10418" hidden="1" x14ac:dyDescent="0.3"/>
    <row r="10419" hidden="1" x14ac:dyDescent="0.3"/>
    <row r="10420" hidden="1" x14ac:dyDescent="0.3"/>
    <row r="10421" hidden="1" x14ac:dyDescent="0.3"/>
    <row r="10422" hidden="1" x14ac:dyDescent="0.3"/>
    <row r="10423" hidden="1" x14ac:dyDescent="0.3"/>
    <row r="10424" hidden="1" x14ac:dyDescent="0.3"/>
    <row r="10425" hidden="1" x14ac:dyDescent="0.3"/>
    <row r="10426" hidden="1" x14ac:dyDescent="0.3"/>
    <row r="10427" hidden="1" x14ac:dyDescent="0.3"/>
    <row r="10428" hidden="1" x14ac:dyDescent="0.3"/>
    <row r="10429" hidden="1" x14ac:dyDescent="0.3"/>
    <row r="10430" hidden="1" x14ac:dyDescent="0.3"/>
    <row r="10431" hidden="1" x14ac:dyDescent="0.3"/>
    <row r="10432" hidden="1" x14ac:dyDescent="0.3"/>
    <row r="10433" hidden="1" x14ac:dyDescent="0.3"/>
    <row r="10434" hidden="1" x14ac:dyDescent="0.3"/>
    <row r="10435" hidden="1" x14ac:dyDescent="0.3"/>
    <row r="10436" hidden="1" x14ac:dyDescent="0.3"/>
    <row r="10437" hidden="1" x14ac:dyDescent="0.3"/>
    <row r="10438" hidden="1" x14ac:dyDescent="0.3"/>
    <row r="10439" hidden="1" x14ac:dyDescent="0.3"/>
    <row r="10440" hidden="1" x14ac:dyDescent="0.3"/>
    <row r="10441" hidden="1" x14ac:dyDescent="0.3"/>
    <row r="10442" hidden="1" x14ac:dyDescent="0.3"/>
    <row r="10443" hidden="1" x14ac:dyDescent="0.3"/>
    <row r="10444" hidden="1" x14ac:dyDescent="0.3"/>
    <row r="10445" hidden="1" x14ac:dyDescent="0.3"/>
    <row r="10446" hidden="1" x14ac:dyDescent="0.3"/>
    <row r="10447" hidden="1" x14ac:dyDescent="0.3"/>
    <row r="10448" hidden="1" x14ac:dyDescent="0.3"/>
    <row r="10449" hidden="1" x14ac:dyDescent="0.3"/>
    <row r="10450" hidden="1" x14ac:dyDescent="0.3"/>
    <row r="10451" hidden="1" x14ac:dyDescent="0.3"/>
    <row r="10452" hidden="1" x14ac:dyDescent="0.3"/>
    <row r="10453" hidden="1" x14ac:dyDescent="0.3"/>
    <row r="10454" hidden="1" x14ac:dyDescent="0.3"/>
    <row r="10455" hidden="1" x14ac:dyDescent="0.3"/>
    <row r="10456" hidden="1" x14ac:dyDescent="0.3"/>
    <row r="10457" hidden="1" x14ac:dyDescent="0.3"/>
    <row r="10458" hidden="1" x14ac:dyDescent="0.3"/>
    <row r="10459" hidden="1" x14ac:dyDescent="0.3"/>
    <row r="10460" hidden="1" x14ac:dyDescent="0.3"/>
    <row r="10461" hidden="1" x14ac:dyDescent="0.3"/>
    <row r="10462" hidden="1" x14ac:dyDescent="0.3"/>
    <row r="10463" hidden="1" x14ac:dyDescent="0.3"/>
    <row r="10464" hidden="1" x14ac:dyDescent="0.3"/>
    <row r="10465" hidden="1" x14ac:dyDescent="0.3"/>
    <row r="10466" hidden="1" x14ac:dyDescent="0.3"/>
    <row r="10467" hidden="1" x14ac:dyDescent="0.3"/>
    <row r="10468" hidden="1" x14ac:dyDescent="0.3"/>
    <row r="10469" hidden="1" x14ac:dyDescent="0.3"/>
    <row r="10470" hidden="1" x14ac:dyDescent="0.3"/>
    <row r="10471" hidden="1" x14ac:dyDescent="0.3"/>
    <row r="10472" hidden="1" x14ac:dyDescent="0.3"/>
    <row r="10473" hidden="1" x14ac:dyDescent="0.3"/>
    <row r="10474" hidden="1" x14ac:dyDescent="0.3"/>
    <row r="10475" hidden="1" x14ac:dyDescent="0.3"/>
    <row r="10476" hidden="1" x14ac:dyDescent="0.3"/>
    <row r="10477" hidden="1" x14ac:dyDescent="0.3"/>
    <row r="10478" hidden="1" x14ac:dyDescent="0.3"/>
    <row r="10479" hidden="1" x14ac:dyDescent="0.3"/>
    <row r="10480" hidden="1" x14ac:dyDescent="0.3"/>
    <row r="10481" hidden="1" x14ac:dyDescent="0.3"/>
    <row r="10482" hidden="1" x14ac:dyDescent="0.3"/>
    <row r="10483" hidden="1" x14ac:dyDescent="0.3"/>
    <row r="10484" hidden="1" x14ac:dyDescent="0.3"/>
    <row r="10485" hidden="1" x14ac:dyDescent="0.3"/>
    <row r="10486" hidden="1" x14ac:dyDescent="0.3"/>
    <row r="10487" hidden="1" x14ac:dyDescent="0.3"/>
    <row r="10488" hidden="1" x14ac:dyDescent="0.3"/>
    <row r="10489" hidden="1" x14ac:dyDescent="0.3"/>
    <row r="10490" hidden="1" x14ac:dyDescent="0.3"/>
    <row r="10491" hidden="1" x14ac:dyDescent="0.3"/>
    <row r="10492" hidden="1" x14ac:dyDescent="0.3"/>
    <row r="10493" hidden="1" x14ac:dyDescent="0.3"/>
    <row r="10494" hidden="1" x14ac:dyDescent="0.3"/>
    <row r="10495" hidden="1" x14ac:dyDescent="0.3"/>
    <row r="10496" hidden="1" x14ac:dyDescent="0.3"/>
    <row r="10497" hidden="1" x14ac:dyDescent="0.3"/>
    <row r="10498" hidden="1" x14ac:dyDescent="0.3"/>
    <row r="10499" hidden="1" x14ac:dyDescent="0.3"/>
    <row r="10500" hidden="1" x14ac:dyDescent="0.3"/>
    <row r="10501" hidden="1" x14ac:dyDescent="0.3"/>
    <row r="10502" hidden="1" x14ac:dyDescent="0.3"/>
    <row r="10503" hidden="1" x14ac:dyDescent="0.3"/>
    <row r="10504" hidden="1" x14ac:dyDescent="0.3"/>
    <row r="10505" hidden="1" x14ac:dyDescent="0.3"/>
    <row r="10506" hidden="1" x14ac:dyDescent="0.3"/>
    <row r="10507" hidden="1" x14ac:dyDescent="0.3"/>
    <row r="10508" hidden="1" x14ac:dyDescent="0.3"/>
    <row r="10509" hidden="1" x14ac:dyDescent="0.3"/>
    <row r="10510" hidden="1" x14ac:dyDescent="0.3"/>
    <row r="10511" hidden="1" x14ac:dyDescent="0.3"/>
    <row r="10512" hidden="1" x14ac:dyDescent="0.3"/>
    <row r="10513" hidden="1" x14ac:dyDescent="0.3"/>
    <row r="10514" hidden="1" x14ac:dyDescent="0.3"/>
    <row r="10515" hidden="1" x14ac:dyDescent="0.3"/>
    <row r="10516" hidden="1" x14ac:dyDescent="0.3"/>
    <row r="10517" hidden="1" x14ac:dyDescent="0.3"/>
    <row r="10518" hidden="1" x14ac:dyDescent="0.3"/>
    <row r="10519" hidden="1" x14ac:dyDescent="0.3"/>
    <row r="10520" hidden="1" x14ac:dyDescent="0.3"/>
    <row r="10521" hidden="1" x14ac:dyDescent="0.3"/>
    <row r="10522" hidden="1" x14ac:dyDescent="0.3"/>
    <row r="10523" hidden="1" x14ac:dyDescent="0.3"/>
    <row r="10524" hidden="1" x14ac:dyDescent="0.3"/>
    <row r="10525" hidden="1" x14ac:dyDescent="0.3"/>
    <row r="10526" hidden="1" x14ac:dyDescent="0.3"/>
    <row r="10527" hidden="1" x14ac:dyDescent="0.3"/>
    <row r="10528" hidden="1" x14ac:dyDescent="0.3"/>
    <row r="10529" hidden="1" x14ac:dyDescent="0.3"/>
    <row r="10530" hidden="1" x14ac:dyDescent="0.3"/>
    <row r="10531" hidden="1" x14ac:dyDescent="0.3"/>
    <row r="10532" hidden="1" x14ac:dyDescent="0.3"/>
    <row r="10533" hidden="1" x14ac:dyDescent="0.3"/>
    <row r="10534" hidden="1" x14ac:dyDescent="0.3"/>
    <row r="10535" hidden="1" x14ac:dyDescent="0.3"/>
    <row r="10536" hidden="1" x14ac:dyDescent="0.3"/>
    <row r="10537" hidden="1" x14ac:dyDescent="0.3"/>
    <row r="10538" hidden="1" x14ac:dyDescent="0.3"/>
    <row r="10539" hidden="1" x14ac:dyDescent="0.3"/>
    <row r="10540" hidden="1" x14ac:dyDescent="0.3"/>
    <row r="10541" hidden="1" x14ac:dyDescent="0.3"/>
    <row r="10542" hidden="1" x14ac:dyDescent="0.3"/>
    <row r="10543" hidden="1" x14ac:dyDescent="0.3"/>
    <row r="10544" hidden="1" x14ac:dyDescent="0.3"/>
    <row r="10545" hidden="1" x14ac:dyDescent="0.3"/>
    <row r="10546" hidden="1" x14ac:dyDescent="0.3"/>
    <row r="10547" hidden="1" x14ac:dyDescent="0.3"/>
    <row r="10548" hidden="1" x14ac:dyDescent="0.3"/>
    <row r="10549" hidden="1" x14ac:dyDescent="0.3"/>
    <row r="10550" hidden="1" x14ac:dyDescent="0.3"/>
    <row r="10551" hidden="1" x14ac:dyDescent="0.3"/>
    <row r="10552" hidden="1" x14ac:dyDescent="0.3"/>
    <row r="10553" hidden="1" x14ac:dyDescent="0.3"/>
    <row r="10554" hidden="1" x14ac:dyDescent="0.3"/>
    <row r="10555" hidden="1" x14ac:dyDescent="0.3"/>
    <row r="10556" hidden="1" x14ac:dyDescent="0.3"/>
    <row r="10557" hidden="1" x14ac:dyDescent="0.3"/>
    <row r="10558" hidden="1" x14ac:dyDescent="0.3"/>
    <row r="10559" hidden="1" x14ac:dyDescent="0.3"/>
    <row r="10560" hidden="1" x14ac:dyDescent="0.3"/>
    <row r="10561" hidden="1" x14ac:dyDescent="0.3"/>
    <row r="10562" hidden="1" x14ac:dyDescent="0.3"/>
    <row r="10563" hidden="1" x14ac:dyDescent="0.3"/>
    <row r="10564" hidden="1" x14ac:dyDescent="0.3"/>
    <row r="10565" hidden="1" x14ac:dyDescent="0.3"/>
    <row r="10566" hidden="1" x14ac:dyDescent="0.3"/>
    <row r="10567" hidden="1" x14ac:dyDescent="0.3"/>
    <row r="10568" hidden="1" x14ac:dyDescent="0.3"/>
    <row r="10569" hidden="1" x14ac:dyDescent="0.3"/>
    <row r="10570" hidden="1" x14ac:dyDescent="0.3"/>
    <row r="10571" hidden="1" x14ac:dyDescent="0.3"/>
    <row r="10572" hidden="1" x14ac:dyDescent="0.3"/>
    <row r="10573" hidden="1" x14ac:dyDescent="0.3"/>
    <row r="10574" hidden="1" x14ac:dyDescent="0.3"/>
    <row r="10575" hidden="1" x14ac:dyDescent="0.3"/>
    <row r="10576" hidden="1" x14ac:dyDescent="0.3"/>
    <row r="10577" hidden="1" x14ac:dyDescent="0.3"/>
    <row r="10578" hidden="1" x14ac:dyDescent="0.3"/>
    <row r="10579" hidden="1" x14ac:dyDescent="0.3"/>
    <row r="10580" hidden="1" x14ac:dyDescent="0.3"/>
    <row r="10581" hidden="1" x14ac:dyDescent="0.3"/>
    <row r="10582" hidden="1" x14ac:dyDescent="0.3"/>
    <row r="10583" hidden="1" x14ac:dyDescent="0.3"/>
    <row r="10584" hidden="1" x14ac:dyDescent="0.3"/>
    <row r="10585" hidden="1" x14ac:dyDescent="0.3"/>
    <row r="10586" hidden="1" x14ac:dyDescent="0.3"/>
    <row r="10587" hidden="1" x14ac:dyDescent="0.3"/>
    <row r="10588" hidden="1" x14ac:dyDescent="0.3"/>
    <row r="10589" hidden="1" x14ac:dyDescent="0.3"/>
    <row r="10590" hidden="1" x14ac:dyDescent="0.3"/>
    <row r="10591" hidden="1" x14ac:dyDescent="0.3"/>
    <row r="10592" hidden="1" x14ac:dyDescent="0.3"/>
    <row r="10593" hidden="1" x14ac:dyDescent="0.3"/>
    <row r="10594" hidden="1" x14ac:dyDescent="0.3"/>
    <row r="10595" hidden="1" x14ac:dyDescent="0.3"/>
    <row r="10596" hidden="1" x14ac:dyDescent="0.3"/>
    <row r="10597" hidden="1" x14ac:dyDescent="0.3"/>
    <row r="10598" hidden="1" x14ac:dyDescent="0.3"/>
    <row r="10599" hidden="1" x14ac:dyDescent="0.3"/>
    <row r="10600" hidden="1" x14ac:dyDescent="0.3"/>
    <row r="10601" hidden="1" x14ac:dyDescent="0.3"/>
    <row r="10602" hidden="1" x14ac:dyDescent="0.3"/>
    <row r="10603" hidden="1" x14ac:dyDescent="0.3"/>
    <row r="10604" hidden="1" x14ac:dyDescent="0.3"/>
    <row r="10605" hidden="1" x14ac:dyDescent="0.3"/>
    <row r="10606" hidden="1" x14ac:dyDescent="0.3"/>
    <row r="10607" hidden="1" x14ac:dyDescent="0.3"/>
    <row r="10608" hidden="1" x14ac:dyDescent="0.3"/>
    <row r="10609" hidden="1" x14ac:dyDescent="0.3"/>
    <row r="10610" hidden="1" x14ac:dyDescent="0.3"/>
    <row r="10611" hidden="1" x14ac:dyDescent="0.3"/>
    <row r="10612" hidden="1" x14ac:dyDescent="0.3"/>
    <row r="10613" hidden="1" x14ac:dyDescent="0.3"/>
    <row r="10614" hidden="1" x14ac:dyDescent="0.3"/>
    <row r="10615" hidden="1" x14ac:dyDescent="0.3"/>
    <row r="10616" hidden="1" x14ac:dyDescent="0.3"/>
    <row r="10617" hidden="1" x14ac:dyDescent="0.3"/>
    <row r="10618" hidden="1" x14ac:dyDescent="0.3"/>
    <row r="10619" hidden="1" x14ac:dyDescent="0.3"/>
    <row r="10620" hidden="1" x14ac:dyDescent="0.3"/>
    <row r="10621" hidden="1" x14ac:dyDescent="0.3"/>
    <row r="10622" hidden="1" x14ac:dyDescent="0.3"/>
    <row r="10623" hidden="1" x14ac:dyDescent="0.3"/>
    <row r="10624" hidden="1" x14ac:dyDescent="0.3"/>
    <row r="10625" hidden="1" x14ac:dyDescent="0.3"/>
    <row r="10626" hidden="1" x14ac:dyDescent="0.3"/>
    <row r="10627" hidden="1" x14ac:dyDescent="0.3"/>
    <row r="10628" hidden="1" x14ac:dyDescent="0.3"/>
    <row r="10629" hidden="1" x14ac:dyDescent="0.3"/>
    <row r="10630" hidden="1" x14ac:dyDescent="0.3"/>
    <row r="10631" hidden="1" x14ac:dyDescent="0.3"/>
    <row r="10632" hidden="1" x14ac:dyDescent="0.3"/>
    <row r="10633" hidden="1" x14ac:dyDescent="0.3"/>
    <row r="10634" hidden="1" x14ac:dyDescent="0.3"/>
    <row r="10635" hidden="1" x14ac:dyDescent="0.3"/>
    <row r="10636" hidden="1" x14ac:dyDescent="0.3"/>
    <row r="10637" hidden="1" x14ac:dyDescent="0.3"/>
    <row r="10638" hidden="1" x14ac:dyDescent="0.3"/>
    <row r="10639" hidden="1" x14ac:dyDescent="0.3"/>
    <row r="10640" hidden="1" x14ac:dyDescent="0.3"/>
    <row r="10641" hidden="1" x14ac:dyDescent="0.3"/>
    <row r="10642" hidden="1" x14ac:dyDescent="0.3"/>
    <row r="10643" hidden="1" x14ac:dyDescent="0.3"/>
    <row r="10644" hidden="1" x14ac:dyDescent="0.3"/>
    <row r="10645" hidden="1" x14ac:dyDescent="0.3"/>
    <row r="10646" hidden="1" x14ac:dyDescent="0.3"/>
    <row r="10647" hidden="1" x14ac:dyDescent="0.3"/>
    <row r="10648" hidden="1" x14ac:dyDescent="0.3"/>
    <row r="10649" hidden="1" x14ac:dyDescent="0.3"/>
    <row r="10650" hidden="1" x14ac:dyDescent="0.3"/>
    <row r="10651" hidden="1" x14ac:dyDescent="0.3"/>
    <row r="10652" hidden="1" x14ac:dyDescent="0.3"/>
    <row r="10653" hidden="1" x14ac:dyDescent="0.3"/>
    <row r="10654" hidden="1" x14ac:dyDescent="0.3"/>
    <row r="10655" hidden="1" x14ac:dyDescent="0.3"/>
    <row r="10656" hidden="1" x14ac:dyDescent="0.3"/>
    <row r="10657" hidden="1" x14ac:dyDescent="0.3"/>
    <row r="10658" hidden="1" x14ac:dyDescent="0.3"/>
    <row r="10659" hidden="1" x14ac:dyDescent="0.3"/>
    <row r="10660" hidden="1" x14ac:dyDescent="0.3"/>
    <row r="10661" hidden="1" x14ac:dyDescent="0.3"/>
    <row r="10662" hidden="1" x14ac:dyDescent="0.3"/>
    <row r="10663" hidden="1" x14ac:dyDescent="0.3"/>
    <row r="10664" hidden="1" x14ac:dyDescent="0.3"/>
    <row r="10665" hidden="1" x14ac:dyDescent="0.3"/>
    <row r="10666" hidden="1" x14ac:dyDescent="0.3"/>
    <row r="10667" hidden="1" x14ac:dyDescent="0.3"/>
    <row r="10668" hidden="1" x14ac:dyDescent="0.3"/>
    <row r="10669" hidden="1" x14ac:dyDescent="0.3"/>
    <row r="10670" hidden="1" x14ac:dyDescent="0.3"/>
    <row r="10671" hidden="1" x14ac:dyDescent="0.3"/>
    <row r="10672" hidden="1" x14ac:dyDescent="0.3"/>
    <row r="10673" hidden="1" x14ac:dyDescent="0.3"/>
    <row r="10674" hidden="1" x14ac:dyDescent="0.3"/>
    <row r="10675" hidden="1" x14ac:dyDescent="0.3"/>
    <row r="10676" hidden="1" x14ac:dyDescent="0.3"/>
    <row r="10677" hidden="1" x14ac:dyDescent="0.3"/>
    <row r="10678" hidden="1" x14ac:dyDescent="0.3"/>
    <row r="10679" hidden="1" x14ac:dyDescent="0.3"/>
    <row r="10680" hidden="1" x14ac:dyDescent="0.3"/>
    <row r="10681" hidden="1" x14ac:dyDescent="0.3"/>
    <row r="10682" hidden="1" x14ac:dyDescent="0.3"/>
    <row r="10683" hidden="1" x14ac:dyDescent="0.3"/>
    <row r="10684" hidden="1" x14ac:dyDescent="0.3"/>
    <row r="10685" hidden="1" x14ac:dyDescent="0.3"/>
    <row r="10686" hidden="1" x14ac:dyDescent="0.3"/>
    <row r="10687" hidden="1" x14ac:dyDescent="0.3"/>
    <row r="10688" hidden="1" x14ac:dyDescent="0.3"/>
    <row r="10689" hidden="1" x14ac:dyDescent="0.3"/>
    <row r="10690" hidden="1" x14ac:dyDescent="0.3"/>
    <row r="10691" hidden="1" x14ac:dyDescent="0.3"/>
    <row r="10692" hidden="1" x14ac:dyDescent="0.3"/>
    <row r="10693" hidden="1" x14ac:dyDescent="0.3"/>
    <row r="10694" hidden="1" x14ac:dyDescent="0.3"/>
    <row r="10695" hidden="1" x14ac:dyDescent="0.3"/>
    <row r="10696" hidden="1" x14ac:dyDescent="0.3"/>
    <row r="10697" hidden="1" x14ac:dyDescent="0.3"/>
    <row r="10698" hidden="1" x14ac:dyDescent="0.3"/>
    <row r="10699" hidden="1" x14ac:dyDescent="0.3"/>
    <row r="10700" hidden="1" x14ac:dyDescent="0.3"/>
    <row r="10701" hidden="1" x14ac:dyDescent="0.3"/>
    <row r="10702" hidden="1" x14ac:dyDescent="0.3"/>
    <row r="10703" hidden="1" x14ac:dyDescent="0.3"/>
    <row r="10704" hidden="1" x14ac:dyDescent="0.3"/>
    <row r="10705" hidden="1" x14ac:dyDescent="0.3"/>
    <row r="10706" hidden="1" x14ac:dyDescent="0.3"/>
    <row r="10707" hidden="1" x14ac:dyDescent="0.3"/>
    <row r="10708" hidden="1" x14ac:dyDescent="0.3"/>
    <row r="10709" hidden="1" x14ac:dyDescent="0.3"/>
    <row r="10710" hidden="1" x14ac:dyDescent="0.3"/>
    <row r="10711" hidden="1" x14ac:dyDescent="0.3"/>
    <row r="10712" hidden="1" x14ac:dyDescent="0.3"/>
    <row r="10713" hidden="1" x14ac:dyDescent="0.3"/>
    <row r="10714" hidden="1" x14ac:dyDescent="0.3"/>
    <row r="10715" hidden="1" x14ac:dyDescent="0.3"/>
    <row r="10716" hidden="1" x14ac:dyDescent="0.3"/>
    <row r="10717" hidden="1" x14ac:dyDescent="0.3"/>
    <row r="10718" hidden="1" x14ac:dyDescent="0.3"/>
    <row r="10719" hidden="1" x14ac:dyDescent="0.3"/>
    <row r="10720" hidden="1" x14ac:dyDescent="0.3"/>
    <row r="10721" hidden="1" x14ac:dyDescent="0.3"/>
    <row r="10722" hidden="1" x14ac:dyDescent="0.3"/>
    <row r="10723" hidden="1" x14ac:dyDescent="0.3"/>
    <row r="10724" hidden="1" x14ac:dyDescent="0.3"/>
    <row r="10725" hidden="1" x14ac:dyDescent="0.3"/>
    <row r="10726" hidden="1" x14ac:dyDescent="0.3"/>
    <row r="10727" hidden="1" x14ac:dyDescent="0.3"/>
    <row r="10728" hidden="1" x14ac:dyDescent="0.3"/>
    <row r="10729" hidden="1" x14ac:dyDescent="0.3"/>
    <row r="10730" hidden="1" x14ac:dyDescent="0.3"/>
    <row r="10731" hidden="1" x14ac:dyDescent="0.3"/>
    <row r="10732" hidden="1" x14ac:dyDescent="0.3"/>
    <row r="10733" hidden="1" x14ac:dyDescent="0.3"/>
    <row r="10734" hidden="1" x14ac:dyDescent="0.3"/>
    <row r="10735" hidden="1" x14ac:dyDescent="0.3"/>
    <row r="10736" hidden="1" x14ac:dyDescent="0.3"/>
    <row r="10737" hidden="1" x14ac:dyDescent="0.3"/>
    <row r="10738" hidden="1" x14ac:dyDescent="0.3"/>
    <row r="10739" hidden="1" x14ac:dyDescent="0.3"/>
    <row r="10740" hidden="1" x14ac:dyDescent="0.3"/>
    <row r="10741" hidden="1" x14ac:dyDescent="0.3"/>
    <row r="10742" hidden="1" x14ac:dyDescent="0.3"/>
    <row r="10743" hidden="1" x14ac:dyDescent="0.3"/>
    <row r="10744" hidden="1" x14ac:dyDescent="0.3"/>
    <row r="10745" hidden="1" x14ac:dyDescent="0.3"/>
    <row r="10746" hidden="1" x14ac:dyDescent="0.3"/>
    <row r="10747" hidden="1" x14ac:dyDescent="0.3"/>
    <row r="10748" hidden="1" x14ac:dyDescent="0.3"/>
    <row r="10749" hidden="1" x14ac:dyDescent="0.3"/>
    <row r="10750" hidden="1" x14ac:dyDescent="0.3"/>
    <row r="10751" hidden="1" x14ac:dyDescent="0.3"/>
    <row r="10752" hidden="1" x14ac:dyDescent="0.3"/>
    <row r="10753" hidden="1" x14ac:dyDescent="0.3"/>
    <row r="10754" hidden="1" x14ac:dyDescent="0.3"/>
    <row r="10755" hidden="1" x14ac:dyDescent="0.3"/>
    <row r="10756" hidden="1" x14ac:dyDescent="0.3"/>
    <row r="10757" hidden="1" x14ac:dyDescent="0.3"/>
    <row r="10758" hidden="1" x14ac:dyDescent="0.3"/>
    <row r="10759" hidden="1" x14ac:dyDescent="0.3"/>
    <row r="10760" hidden="1" x14ac:dyDescent="0.3"/>
    <row r="10761" hidden="1" x14ac:dyDescent="0.3"/>
    <row r="10762" hidden="1" x14ac:dyDescent="0.3"/>
    <row r="10763" hidden="1" x14ac:dyDescent="0.3"/>
    <row r="10764" hidden="1" x14ac:dyDescent="0.3"/>
    <row r="10765" hidden="1" x14ac:dyDescent="0.3"/>
    <row r="10766" hidden="1" x14ac:dyDescent="0.3"/>
    <row r="10767" hidden="1" x14ac:dyDescent="0.3"/>
    <row r="10768" hidden="1" x14ac:dyDescent="0.3"/>
    <row r="10769" hidden="1" x14ac:dyDescent="0.3"/>
    <row r="10770" hidden="1" x14ac:dyDescent="0.3"/>
    <row r="10771" hidden="1" x14ac:dyDescent="0.3"/>
    <row r="10772" hidden="1" x14ac:dyDescent="0.3"/>
    <row r="10773" hidden="1" x14ac:dyDescent="0.3"/>
    <row r="10774" hidden="1" x14ac:dyDescent="0.3"/>
    <row r="10775" hidden="1" x14ac:dyDescent="0.3"/>
    <row r="10776" hidden="1" x14ac:dyDescent="0.3"/>
    <row r="10777" hidden="1" x14ac:dyDescent="0.3"/>
    <row r="10778" hidden="1" x14ac:dyDescent="0.3"/>
    <row r="10779" hidden="1" x14ac:dyDescent="0.3"/>
    <row r="10780" hidden="1" x14ac:dyDescent="0.3"/>
    <row r="10781" hidden="1" x14ac:dyDescent="0.3"/>
    <row r="10782" hidden="1" x14ac:dyDescent="0.3"/>
    <row r="10783" hidden="1" x14ac:dyDescent="0.3"/>
    <row r="10784" hidden="1" x14ac:dyDescent="0.3"/>
    <row r="10785" hidden="1" x14ac:dyDescent="0.3"/>
    <row r="10786" hidden="1" x14ac:dyDescent="0.3"/>
    <row r="10787" hidden="1" x14ac:dyDescent="0.3"/>
    <row r="10788" hidden="1" x14ac:dyDescent="0.3"/>
    <row r="10789" hidden="1" x14ac:dyDescent="0.3"/>
    <row r="10790" hidden="1" x14ac:dyDescent="0.3"/>
    <row r="10791" hidden="1" x14ac:dyDescent="0.3"/>
    <row r="10792" hidden="1" x14ac:dyDescent="0.3"/>
    <row r="10793" hidden="1" x14ac:dyDescent="0.3"/>
    <row r="10794" hidden="1" x14ac:dyDescent="0.3"/>
    <row r="10795" hidden="1" x14ac:dyDescent="0.3"/>
    <row r="10796" hidden="1" x14ac:dyDescent="0.3"/>
    <row r="10797" hidden="1" x14ac:dyDescent="0.3"/>
    <row r="10798" hidden="1" x14ac:dyDescent="0.3"/>
    <row r="10799" hidden="1" x14ac:dyDescent="0.3"/>
    <row r="10800" hidden="1" x14ac:dyDescent="0.3"/>
    <row r="10801" hidden="1" x14ac:dyDescent="0.3"/>
    <row r="10802" hidden="1" x14ac:dyDescent="0.3"/>
    <row r="10803" hidden="1" x14ac:dyDescent="0.3"/>
    <row r="10804" hidden="1" x14ac:dyDescent="0.3"/>
    <row r="10805" hidden="1" x14ac:dyDescent="0.3"/>
    <row r="10806" hidden="1" x14ac:dyDescent="0.3"/>
    <row r="10807" hidden="1" x14ac:dyDescent="0.3"/>
    <row r="10808" hidden="1" x14ac:dyDescent="0.3"/>
    <row r="10809" hidden="1" x14ac:dyDescent="0.3"/>
    <row r="10810" hidden="1" x14ac:dyDescent="0.3"/>
    <row r="10811" hidden="1" x14ac:dyDescent="0.3"/>
    <row r="10812" hidden="1" x14ac:dyDescent="0.3"/>
    <row r="10813" hidden="1" x14ac:dyDescent="0.3"/>
    <row r="10814" hidden="1" x14ac:dyDescent="0.3"/>
    <row r="10815" hidden="1" x14ac:dyDescent="0.3"/>
    <row r="10816" hidden="1" x14ac:dyDescent="0.3"/>
    <row r="10817" hidden="1" x14ac:dyDescent="0.3"/>
    <row r="10818" hidden="1" x14ac:dyDescent="0.3"/>
    <row r="10819" hidden="1" x14ac:dyDescent="0.3"/>
    <row r="10820" hidden="1" x14ac:dyDescent="0.3"/>
    <row r="10821" hidden="1" x14ac:dyDescent="0.3"/>
    <row r="10822" hidden="1" x14ac:dyDescent="0.3"/>
    <row r="10823" hidden="1" x14ac:dyDescent="0.3"/>
    <row r="10824" hidden="1" x14ac:dyDescent="0.3"/>
    <row r="10825" hidden="1" x14ac:dyDescent="0.3"/>
    <row r="10826" hidden="1" x14ac:dyDescent="0.3"/>
    <row r="10827" hidden="1" x14ac:dyDescent="0.3"/>
    <row r="10828" hidden="1" x14ac:dyDescent="0.3"/>
    <row r="10829" hidden="1" x14ac:dyDescent="0.3"/>
    <row r="10830" hidden="1" x14ac:dyDescent="0.3"/>
    <row r="10831" hidden="1" x14ac:dyDescent="0.3"/>
    <row r="10832" hidden="1" x14ac:dyDescent="0.3"/>
    <row r="10833" hidden="1" x14ac:dyDescent="0.3"/>
    <row r="10834" hidden="1" x14ac:dyDescent="0.3"/>
    <row r="10835" hidden="1" x14ac:dyDescent="0.3"/>
    <row r="10836" hidden="1" x14ac:dyDescent="0.3"/>
    <row r="10837" hidden="1" x14ac:dyDescent="0.3"/>
    <row r="10838" hidden="1" x14ac:dyDescent="0.3"/>
    <row r="10839" hidden="1" x14ac:dyDescent="0.3"/>
    <row r="10840" hidden="1" x14ac:dyDescent="0.3"/>
    <row r="10841" hidden="1" x14ac:dyDescent="0.3"/>
    <row r="10842" hidden="1" x14ac:dyDescent="0.3"/>
    <row r="10843" hidden="1" x14ac:dyDescent="0.3"/>
    <row r="10844" hidden="1" x14ac:dyDescent="0.3"/>
    <row r="10845" hidden="1" x14ac:dyDescent="0.3"/>
    <row r="10846" hidden="1" x14ac:dyDescent="0.3"/>
    <row r="10847" hidden="1" x14ac:dyDescent="0.3"/>
    <row r="10848" hidden="1" x14ac:dyDescent="0.3"/>
    <row r="10849" hidden="1" x14ac:dyDescent="0.3"/>
    <row r="10850" hidden="1" x14ac:dyDescent="0.3"/>
    <row r="10851" hidden="1" x14ac:dyDescent="0.3"/>
    <row r="10852" hidden="1" x14ac:dyDescent="0.3"/>
    <row r="10853" hidden="1" x14ac:dyDescent="0.3"/>
    <row r="10854" hidden="1" x14ac:dyDescent="0.3"/>
    <row r="10855" hidden="1" x14ac:dyDescent="0.3"/>
    <row r="10856" hidden="1" x14ac:dyDescent="0.3"/>
    <row r="10857" hidden="1" x14ac:dyDescent="0.3"/>
    <row r="10858" hidden="1" x14ac:dyDescent="0.3"/>
    <row r="10859" hidden="1" x14ac:dyDescent="0.3"/>
    <row r="10860" hidden="1" x14ac:dyDescent="0.3"/>
    <row r="10861" hidden="1" x14ac:dyDescent="0.3"/>
    <row r="10862" hidden="1" x14ac:dyDescent="0.3"/>
    <row r="10863" hidden="1" x14ac:dyDescent="0.3"/>
    <row r="10864" hidden="1" x14ac:dyDescent="0.3"/>
    <row r="10865" hidden="1" x14ac:dyDescent="0.3"/>
    <row r="10866" hidden="1" x14ac:dyDescent="0.3"/>
    <row r="10867" hidden="1" x14ac:dyDescent="0.3"/>
    <row r="10868" hidden="1" x14ac:dyDescent="0.3"/>
    <row r="10869" hidden="1" x14ac:dyDescent="0.3"/>
    <row r="10870" hidden="1" x14ac:dyDescent="0.3"/>
    <row r="10871" hidden="1" x14ac:dyDescent="0.3"/>
    <row r="10872" hidden="1" x14ac:dyDescent="0.3"/>
    <row r="10873" hidden="1" x14ac:dyDescent="0.3"/>
    <row r="10874" hidden="1" x14ac:dyDescent="0.3"/>
    <row r="10875" hidden="1" x14ac:dyDescent="0.3"/>
    <row r="10876" hidden="1" x14ac:dyDescent="0.3"/>
    <row r="10877" hidden="1" x14ac:dyDescent="0.3"/>
    <row r="10878" hidden="1" x14ac:dyDescent="0.3"/>
    <row r="10879" hidden="1" x14ac:dyDescent="0.3"/>
    <row r="10880" hidden="1" x14ac:dyDescent="0.3"/>
    <row r="10881" hidden="1" x14ac:dyDescent="0.3"/>
    <row r="10882" hidden="1" x14ac:dyDescent="0.3"/>
    <row r="10883" hidden="1" x14ac:dyDescent="0.3"/>
    <row r="10884" hidden="1" x14ac:dyDescent="0.3"/>
    <row r="10885" hidden="1" x14ac:dyDescent="0.3"/>
    <row r="10886" hidden="1" x14ac:dyDescent="0.3"/>
    <row r="10887" hidden="1" x14ac:dyDescent="0.3"/>
    <row r="10888" hidden="1" x14ac:dyDescent="0.3"/>
    <row r="10889" hidden="1" x14ac:dyDescent="0.3"/>
    <row r="10890" hidden="1" x14ac:dyDescent="0.3"/>
    <row r="10891" hidden="1" x14ac:dyDescent="0.3"/>
    <row r="10892" hidden="1" x14ac:dyDescent="0.3"/>
    <row r="10893" hidden="1" x14ac:dyDescent="0.3"/>
    <row r="10894" hidden="1" x14ac:dyDescent="0.3"/>
    <row r="10895" hidden="1" x14ac:dyDescent="0.3"/>
    <row r="10896" hidden="1" x14ac:dyDescent="0.3"/>
    <row r="10897" hidden="1" x14ac:dyDescent="0.3"/>
    <row r="10898" hidden="1" x14ac:dyDescent="0.3"/>
    <row r="10899" hidden="1" x14ac:dyDescent="0.3"/>
    <row r="10900" hidden="1" x14ac:dyDescent="0.3"/>
    <row r="10901" hidden="1" x14ac:dyDescent="0.3"/>
    <row r="10902" hidden="1" x14ac:dyDescent="0.3"/>
    <row r="10903" hidden="1" x14ac:dyDescent="0.3"/>
    <row r="10904" hidden="1" x14ac:dyDescent="0.3"/>
    <row r="10905" hidden="1" x14ac:dyDescent="0.3"/>
    <row r="10906" hidden="1" x14ac:dyDescent="0.3"/>
    <row r="10907" hidden="1" x14ac:dyDescent="0.3"/>
    <row r="10908" hidden="1" x14ac:dyDescent="0.3"/>
    <row r="10909" hidden="1" x14ac:dyDescent="0.3"/>
    <row r="10910" hidden="1" x14ac:dyDescent="0.3"/>
    <row r="10911" hidden="1" x14ac:dyDescent="0.3"/>
    <row r="10912" hidden="1" x14ac:dyDescent="0.3"/>
    <row r="10913" hidden="1" x14ac:dyDescent="0.3"/>
    <row r="10914" hidden="1" x14ac:dyDescent="0.3"/>
    <row r="10915" hidden="1" x14ac:dyDescent="0.3"/>
    <row r="10916" hidden="1" x14ac:dyDescent="0.3"/>
    <row r="10917" hidden="1" x14ac:dyDescent="0.3"/>
    <row r="10918" hidden="1" x14ac:dyDescent="0.3"/>
    <row r="10919" hidden="1" x14ac:dyDescent="0.3"/>
    <row r="10920" hidden="1" x14ac:dyDescent="0.3"/>
    <row r="10921" hidden="1" x14ac:dyDescent="0.3"/>
    <row r="10922" hidden="1" x14ac:dyDescent="0.3"/>
    <row r="10923" hidden="1" x14ac:dyDescent="0.3"/>
    <row r="10924" hidden="1" x14ac:dyDescent="0.3"/>
    <row r="10925" hidden="1" x14ac:dyDescent="0.3"/>
    <row r="10926" hidden="1" x14ac:dyDescent="0.3"/>
    <row r="10927" hidden="1" x14ac:dyDescent="0.3"/>
    <row r="10928" hidden="1" x14ac:dyDescent="0.3"/>
    <row r="10929" hidden="1" x14ac:dyDescent="0.3"/>
    <row r="10930" hidden="1" x14ac:dyDescent="0.3"/>
    <row r="10931" hidden="1" x14ac:dyDescent="0.3"/>
    <row r="10932" hidden="1" x14ac:dyDescent="0.3"/>
    <row r="10933" hidden="1" x14ac:dyDescent="0.3"/>
    <row r="10934" hidden="1" x14ac:dyDescent="0.3"/>
    <row r="10935" hidden="1" x14ac:dyDescent="0.3"/>
    <row r="10936" hidden="1" x14ac:dyDescent="0.3"/>
    <row r="10937" hidden="1" x14ac:dyDescent="0.3"/>
    <row r="10938" hidden="1" x14ac:dyDescent="0.3"/>
    <row r="10939" hidden="1" x14ac:dyDescent="0.3"/>
    <row r="10940" hidden="1" x14ac:dyDescent="0.3"/>
    <row r="10941" hidden="1" x14ac:dyDescent="0.3"/>
    <row r="10942" hidden="1" x14ac:dyDescent="0.3"/>
    <row r="10943" hidden="1" x14ac:dyDescent="0.3"/>
    <row r="10944" hidden="1" x14ac:dyDescent="0.3"/>
    <row r="10945" hidden="1" x14ac:dyDescent="0.3"/>
    <row r="10946" hidden="1" x14ac:dyDescent="0.3"/>
    <row r="10947" hidden="1" x14ac:dyDescent="0.3"/>
    <row r="10948" hidden="1" x14ac:dyDescent="0.3"/>
    <row r="10949" hidden="1" x14ac:dyDescent="0.3"/>
    <row r="10950" hidden="1" x14ac:dyDescent="0.3"/>
    <row r="10951" hidden="1" x14ac:dyDescent="0.3"/>
    <row r="10952" hidden="1" x14ac:dyDescent="0.3"/>
    <row r="10953" hidden="1" x14ac:dyDescent="0.3"/>
    <row r="10954" hidden="1" x14ac:dyDescent="0.3"/>
    <row r="10955" hidden="1" x14ac:dyDescent="0.3"/>
    <row r="10956" hidden="1" x14ac:dyDescent="0.3"/>
    <row r="10957" hidden="1" x14ac:dyDescent="0.3"/>
    <row r="10958" hidden="1" x14ac:dyDescent="0.3"/>
    <row r="10959" hidden="1" x14ac:dyDescent="0.3"/>
    <row r="10960" hidden="1" x14ac:dyDescent="0.3"/>
    <row r="10961" hidden="1" x14ac:dyDescent="0.3"/>
    <row r="10962" hidden="1" x14ac:dyDescent="0.3"/>
    <row r="10963" hidden="1" x14ac:dyDescent="0.3"/>
    <row r="10964" hidden="1" x14ac:dyDescent="0.3"/>
    <row r="10965" hidden="1" x14ac:dyDescent="0.3"/>
    <row r="10966" hidden="1" x14ac:dyDescent="0.3"/>
    <row r="10967" hidden="1" x14ac:dyDescent="0.3"/>
    <row r="10968" hidden="1" x14ac:dyDescent="0.3"/>
    <row r="10969" hidden="1" x14ac:dyDescent="0.3"/>
    <row r="10970" hidden="1" x14ac:dyDescent="0.3"/>
    <row r="10971" hidden="1" x14ac:dyDescent="0.3"/>
    <row r="10972" hidden="1" x14ac:dyDescent="0.3"/>
    <row r="10973" hidden="1" x14ac:dyDescent="0.3"/>
    <row r="10974" hidden="1" x14ac:dyDescent="0.3"/>
    <row r="10975" hidden="1" x14ac:dyDescent="0.3"/>
    <row r="10976" hidden="1" x14ac:dyDescent="0.3"/>
    <row r="10977" hidden="1" x14ac:dyDescent="0.3"/>
    <row r="10978" hidden="1" x14ac:dyDescent="0.3"/>
    <row r="10979" hidden="1" x14ac:dyDescent="0.3"/>
    <row r="10980" hidden="1" x14ac:dyDescent="0.3"/>
    <row r="10981" hidden="1" x14ac:dyDescent="0.3"/>
    <row r="10982" hidden="1" x14ac:dyDescent="0.3"/>
    <row r="10983" hidden="1" x14ac:dyDescent="0.3"/>
    <row r="10984" hidden="1" x14ac:dyDescent="0.3"/>
    <row r="10985" hidden="1" x14ac:dyDescent="0.3"/>
    <row r="10986" hidden="1" x14ac:dyDescent="0.3"/>
    <row r="10987" hidden="1" x14ac:dyDescent="0.3"/>
    <row r="10988" hidden="1" x14ac:dyDescent="0.3"/>
    <row r="10989" hidden="1" x14ac:dyDescent="0.3"/>
    <row r="10990" hidden="1" x14ac:dyDescent="0.3"/>
    <row r="10991" hidden="1" x14ac:dyDescent="0.3"/>
    <row r="10992" hidden="1" x14ac:dyDescent="0.3"/>
    <row r="10993" hidden="1" x14ac:dyDescent="0.3"/>
    <row r="10994" hidden="1" x14ac:dyDescent="0.3"/>
    <row r="10995" hidden="1" x14ac:dyDescent="0.3"/>
    <row r="10996" hidden="1" x14ac:dyDescent="0.3"/>
    <row r="10997" hidden="1" x14ac:dyDescent="0.3"/>
    <row r="10998" hidden="1" x14ac:dyDescent="0.3"/>
    <row r="10999" hidden="1" x14ac:dyDescent="0.3"/>
    <row r="11000" hidden="1" x14ac:dyDescent="0.3"/>
    <row r="11001" hidden="1" x14ac:dyDescent="0.3"/>
    <row r="11002" hidden="1" x14ac:dyDescent="0.3"/>
    <row r="11003" hidden="1" x14ac:dyDescent="0.3"/>
    <row r="11004" hidden="1" x14ac:dyDescent="0.3"/>
    <row r="11005" hidden="1" x14ac:dyDescent="0.3"/>
    <row r="11006" hidden="1" x14ac:dyDescent="0.3"/>
    <row r="11007" hidden="1" x14ac:dyDescent="0.3"/>
    <row r="11008" hidden="1" x14ac:dyDescent="0.3"/>
    <row r="11009" hidden="1" x14ac:dyDescent="0.3"/>
    <row r="11010" hidden="1" x14ac:dyDescent="0.3"/>
    <row r="11011" hidden="1" x14ac:dyDescent="0.3"/>
    <row r="11012" hidden="1" x14ac:dyDescent="0.3"/>
    <row r="11013" hidden="1" x14ac:dyDescent="0.3"/>
    <row r="11014" hidden="1" x14ac:dyDescent="0.3"/>
    <row r="11015" hidden="1" x14ac:dyDescent="0.3"/>
    <row r="11016" hidden="1" x14ac:dyDescent="0.3"/>
    <row r="11017" hidden="1" x14ac:dyDescent="0.3"/>
    <row r="11018" hidden="1" x14ac:dyDescent="0.3"/>
    <row r="11019" hidden="1" x14ac:dyDescent="0.3"/>
    <row r="11020" hidden="1" x14ac:dyDescent="0.3"/>
    <row r="11021" hidden="1" x14ac:dyDescent="0.3"/>
    <row r="11022" hidden="1" x14ac:dyDescent="0.3"/>
    <row r="11023" hidden="1" x14ac:dyDescent="0.3"/>
    <row r="11024" hidden="1" x14ac:dyDescent="0.3"/>
    <row r="11025" hidden="1" x14ac:dyDescent="0.3"/>
    <row r="11026" hidden="1" x14ac:dyDescent="0.3"/>
    <row r="11027" hidden="1" x14ac:dyDescent="0.3"/>
    <row r="11028" hidden="1" x14ac:dyDescent="0.3"/>
    <row r="11029" hidden="1" x14ac:dyDescent="0.3"/>
    <row r="11030" hidden="1" x14ac:dyDescent="0.3"/>
    <row r="11031" hidden="1" x14ac:dyDescent="0.3"/>
    <row r="11032" hidden="1" x14ac:dyDescent="0.3"/>
    <row r="11033" hidden="1" x14ac:dyDescent="0.3"/>
    <row r="11034" hidden="1" x14ac:dyDescent="0.3"/>
    <row r="11035" hidden="1" x14ac:dyDescent="0.3"/>
    <row r="11036" hidden="1" x14ac:dyDescent="0.3"/>
    <row r="11037" hidden="1" x14ac:dyDescent="0.3"/>
    <row r="11038" hidden="1" x14ac:dyDescent="0.3"/>
    <row r="11039" hidden="1" x14ac:dyDescent="0.3"/>
    <row r="11040" hidden="1" x14ac:dyDescent="0.3"/>
    <row r="11041" hidden="1" x14ac:dyDescent="0.3"/>
    <row r="11042" hidden="1" x14ac:dyDescent="0.3"/>
    <row r="11043" hidden="1" x14ac:dyDescent="0.3"/>
    <row r="11044" hidden="1" x14ac:dyDescent="0.3"/>
    <row r="11045" hidden="1" x14ac:dyDescent="0.3"/>
    <row r="11046" hidden="1" x14ac:dyDescent="0.3"/>
    <row r="11047" hidden="1" x14ac:dyDescent="0.3"/>
    <row r="11048" hidden="1" x14ac:dyDescent="0.3"/>
    <row r="11049" hidden="1" x14ac:dyDescent="0.3"/>
    <row r="11050" hidden="1" x14ac:dyDescent="0.3"/>
    <row r="11051" hidden="1" x14ac:dyDescent="0.3"/>
    <row r="11052" hidden="1" x14ac:dyDescent="0.3"/>
    <row r="11053" hidden="1" x14ac:dyDescent="0.3"/>
    <row r="11054" hidden="1" x14ac:dyDescent="0.3"/>
    <row r="11055" hidden="1" x14ac:dyDescent="0.3"/>
    <row r="11056" hidden="1" x14ac:dyDescent="0.3"/>
    <row r="11057" hidden="1" x14ac:dyDescent="0.3"/>
    <row r="11058" hidden="1" x14ac:dyDescent="0.3"/>
    <row r="11059" hidden="1" x14ac:dyDescent="0.3"/>
    <row r="11060" hidden="1" x14ac:dyDescent="0.3"/>
    <row r="11061" hidden="1" x14ac:dyDescent="0.3"/>
    <row r="11062" hidden="1" x14ac:dyDescent="0.3"/>
    <row r="11063" hidden="1" x14ac:dyDescent="0.3"/>
    <row r="11064" hidden="1" x14ac:dyDescent="0.3"/>
    <row r="11065" hidden="1" x14ac:dyDescent="0.3"/>
    <row r="11066" hidden="1" x14ac:dyDescent="0.3"/>
    <row r="11067" hidden="1" x14ac:dyDescent="0.3"/>
    <row r="11068" hidden="1" x14ac:dyDescent="0.3"/>
    <row r="11069" hidden="1" x14ac:dyDescent="0.3"/>
    <row r="11070" hidden="1" x14ac:dyDescent="0.3"/>
    <row r="11071" hidden="1" x14ac:dyDescent="0.3"/>
    <row r="11072" hidden="1" x14ac:dyDescent="0.3"/>
    <row r="11073" hidden="1" x14ac:dyDescent="0.3"/>
    <row r="11074" hidden="1" x14ac:dyDescent="0.3"/>
    <row r="11075" hidden="1" x14ac:dyDescent="0.3"/>
    <row r="11076" hidden="1" x14ac:dyDescent="0.3"/>
    <row r="11077" hidden="1" x14ac:dyDescent="0.3"/>
    <row r="11078" hidden="1" x14ac:dyDescent="0.3"/>
    <row r="11079" hidden="1" x14ac:dyDescent="0.3"/>
    <row r="11080" hidden="1" x14ac:dyDescent="0.3"/>
    <row r="11081" hidden="1" x14ac:dyDescent="0.3"/>
    <row r="11082" hidden="1" x14ac:dyDescent="0.3"/>
    <row r="11083" hidden="1" x14ac:dyDescent="0.3"/>
    <row r="11084" hidden="1" x14ac:dyDescent="0.3"/>
    <row r="11085" hidden="1" x14ac:dyDescent="0.3"/>
    <row r="11086" hidden="1" x14ac:dyDescent="0.3"/>
    <row r="11087" hidden="1" x14ac:dyDescent="0.3"/>
    <row r="11088" hidden="1" x14ac:dyDescent="0.3"/>
    <row r="11089" hidden="1" x14ac:dyDescent="0.3"/>
    <row r="11090" hidden="1" x14ac:dyDescent="0.3"/>
    <row r="11091" hidden="1" x14ac:dyDescent="0.3"/>
    <row r="11092" hidden="1" x14ac:dyDescent="0.3"/>
    <row r="11093" hidden="1" x14ac:dyDescent="0.3"/>
    <row r="11094" hidden="1" x14ac:dyDescent="0.3"/>
    <row r="11095" hidden="1" x14ac:dyDescent="0.3"/>
    <row r="11096" hidden="1" x14ac:dyDescent="0.3"/>
    <row r="11097" hidden="1" x14ac:dyDescent="0.3"/>
    <row r="11098" hidden="1" x14ac:dyDescent="0.3"/>
    <row r="11099" hidden="1" x14ac:dyDescent="0.3"/>
    <row r="11100" hidden="1" x14ac:dyDescent="0.3"/>
    <row r="11101" hidden="1" x14ac:dyDescent="0.3"/>
    <row r="11102" hidden="1" x14ac:dyDescent="0.3"/>
    <row r="11103" hidden="1" x14ac:dyDescent="0.3"/>
    <row r="11104" hidden="1" x14ac:dyDescent="0.3"/>
    <row r="11105" hidden="1" x14ac:dyDescent="0.3"/>
    <row r="11106" hidden="1" x14ac:dyDescent="0.3"/>
    <row r="11107" hidden="1" x14ac:dyDescent="0.3"/>
    <row r="11108" hidden="1" x14ac:dyDescent="0.3"/>
    <row r="11109" hidden="1" x14ac:dyDescent="0.3"/>
    <row r="11110" hidden="1" x14ac:dyDescent="0.3"/>
    <row r="11111" hidden="1" x14ac:dyDescent="0.3"/>
    <row r="11112" hidden="1" x14ac:dyDescent="0.3"/>
    <row r="11113" hidden="1" x14ac:dyDescent="0.3"/>
    <row r="11114" hidden="1" x14ac:dyDescent="0.3"/>
    <row r="11115" hidden="1" x14ac:dyDescent="0.3"/>
    <row r="11116" hidden="1" x14ac:dyDescent="0.3"/>
    <row r="11117" hidden="1" x14ac:dyDescent="0.3"/>
    <row r="11118" hidden="1" x14ac:dyDescent="0.3"/>
    <row r="11119" hidden="1" x14ac:dyDescent="0.3"/>
    <row r="11120" hidden="1" x14ac:dyDescent="0.3"/>
    <row r="11121" hidden="1" x14ac:dyDescent="0.3"/>
    <row r="11122" hidden="1" x14ac:dyDescent="0.3"/>
    <row r="11123" hidden="1" x14ac:dyDescent="0.3"/>
    <row r="11124" hidden="1" x14ac:dyDescent="0.3"/>
    <row r="11125" hidden="1" x14ac:dyDescent="0.3"/>
    <row r="11126" hidden="1" x14ac:dyDescent="0.3"/>
    <row r="11127" hidden="1" x14ac:dyDescent="0.3"/>
    <row r="11128" hidden="1" x14ac:dyDescent="0.3"/>
    <row r="11129" hidden="1" x14ac:dyDescent="0.3"/>
    <row r="11130" hidden="1" x14ac:dyDescent="0.3"/>
    <row r="11131" hidden="1" x14ac:dyDescent="0.3"/>
    <row r="11132" hidden="1" x14ac:dyDescent="0.3"/>
    <row r="11133" hidden="1" x14ac:dyDescent="0.3"/>
    <row r="11134" hidden="1" x14ac:dyDescent="0.3"/>
    <row r="11135" hidden="1" x14ac:dyDescent="0.3"/>
    <row r="11136" hidden="1" x14ac:dyDescent="0.3"/>
    <row r="11137" hidden="1" x14ac:dyDescent="0.3"/>
    <row r="11138" hidden="1" x14ac:dyDescent="0.3"/>
    <row r="11139" hidden="1" x14ac:dyDescent="0.3"/>
    <row r="11140" hidden="1" x14ac:dyDescent="0.3"/>
    <row r="11141" hidden="1" x14ac:dyDescent="0.3"/>
    <row r="11142" hidden="1" x14ac:dyDescent="0.3"/>
    <row r="11143" hidden="1" x14ac:dyDescent="0.3"/>
    <row r="11144" hidden="1" x14ac:dyDescent="0.3"/>
    <row r="11145" hidden="1" x14ac:dyDescent="0.3"/>
    <row r="11146" hidden="1" x14ac:dyDescent="0.3"/>
    <row r="11147" hidden="1" x14ac:dyDescent="0.3"/>
    <row r="11148" hidden="1" x14ac:dyDescent="0.3"/>
    <row r="11149" hidden="1" x14ac:dyDescent="0.3"/>
    <row r="11150" hidden="1" x14ac:dyDescent="0.3"/>
    <row r="11151" hidden="1" x14ac:dyDescent="0.3"/>
    <row r="11152" hidden="1" x14ac:dyDescent="0.3"/>
    <row r="11153" hidden="1" x14ac:dyDescent="0.3"/>
    <row r="11154" hidden="1" x14ac:dyDescent="0.3"/>
    <row r="11155" hidden="1" x14ac:dyDescent="0.3"/>
    <row r="11156" hidden="1" x14ac:dyDescent="0.3"/>
    <row r="11157" hidden="1" x14ac:dyDescent="0.3"/>
    <row r="11158" hidden="1" x14ac:dyDescent="0.3"/>
    <row r="11159" hidden="1" x14ac:dyDescent="0.3"/>
    <row r="11160" hidden="1" x14ac:dyDescent="0.3"/>
    <row r="11161" hidden="1" x14ac:dyDescent="0.3"/>
    <row r="11162" hidden="1" x14ac:dyDescent="0.3"/>
    <row r="11163" hidden="1" x14ac:dyDescent="0.3"/>
    <row r="11164" hidden="1" x14ac:dyDescent="0.3"/>
    <row r="11165" hidden="1" x14ac:dyDescent="0.3"/>
    <row r="11166" hidden="1" x14ac:dyDescent="0.3"/>
    <row r="11167" hidden="1" x14ac:dyDescent="0.3"/>
    <row r="11168" hidden="1" x14ac:dyDescent="0.3"/>
    <row r="11169" hidden="1" x14ac:dyDescent="0.3"/>
    <row r="11170" hidden="1" x14ac:dyDescent="0.3"/>
    <row r="11171" hidden="1" x14ac:dyDescent="0.3"/>
    <row r="11172" hidden="1" x14ac:dyDescent="0.3"/>
    <row r="11173" hidden="1" x14ac:dyDescent="0.3"/>
    <row r="11174" hidden="1" x14ac:dyDescent="0.3"/>
    <row r="11175" hidden="1" x14ac:dyDescent="0.3"/>
    <row r="11176" hidden="1" x14ac:dyDescent="0.3"/>
    <row r="11177" hidden="1" x14ac:dyDescent="0.3"/>
    <row r="11178" hidden="1" x14ac:dyDescent="0.3"/>
    <row r="11179" hidden="1" x14ac:dyDescent="0.3"/>
    <row r="11180" hidden="1" x14ac:dyDescent="0.3"/>
    <row r="11181" hidden="1" x14ac:dyDescent="0.3"/>
    <row r="11182" hidden="1" x14ac:dyDescent="0.3"/>
    <row r="11183" hidden="1" x14ac:dyDescent="0.3"/>
    <row r="11184" hidden="1" x14ac:dyDescent="0.3"/>
    <row r="11185" hidden="1" x14ac:dyDescent="0.3"/>
    <row r="11186" hidden="1" x14ac:dyDescent="0.3"/>
    <row r="11187" hidden="1" x14ac:dyDescent="0.3"/>
    <row r="11188" hidden="1" x14ac:dyDescent="0.3"/>
    <row r="11189" hidden="1" x14ac:dyDescent="0.3"/>
    <row r="11190" hidden="1" x14ac:dyDescent="0.3"/>
    <row r="11191" hidden="1" x14ac:dyDescent="0.3"/>
    <row r="11192" hidden="1" x14ac:dyDescent="0.3"/>
    <row r="11193" hidden="1" x14ac:dyDescent="0.3"/>
    <row r="11194" hidden="1" x14ac:dyDescent="0.3"/>
    <row r="11195" hidden="1" x14ac:dyDescent="0.3"/>
    <row r="11196" hidden="1" x14ac:dyDescent="0.3"/>
    <row r="11197" hidden="1" x14ac:dyDescent="0.3"/>
    <row r="11198" hidden="1" x14ac:dyDescent="0.3"/>
    <row r="11199" hidden="1" x14ac:dyDescent="0.3"/>
    <row r="11200" hidden="1" x14ac:dyDescent="0.3"/>
    <row r="11201" hidden="1" x14ac:dyDescent="0.3"/>
    <row r="11202" hidden="1" x14ac:dyDescent="0.3"/>
    <row r="11203" hidden="1" x14ac:dyDescent="0.3"/>
    <row r="11204" hidden="1" x14ac:dyDescent="0.3"/>
    <row r="11205" hidden="1" x14ac:dyDescent="0.3"/>
    <row r="11206" hidden="1" x14ac:dyDescent="0.3"/>
    <row r="11207" hidden="1" x14ac:dyDescent="0.3"/>
    <row r="11208" hidden="1" x14ac:dyDescent="0.3"/>
    <row r="11209" hidden="1" x14ac:dyDescent="0.3"/>
    <row r="11210" hidden="1" x14ac:dyDescent="0.3"/>
    <row r="11211" hidden="1" x14ac:dyDescent="0.3"/>
    <row r="11212" hidden="1" x14ac:dyDescent="0.3"/>
    <row r="11213" hidden="1" x14ac:dyDescent="0.3"/>
    <row r="11214" hidden="1" x14ac:dyDescent="0.3"/>
    <row r="11215" hidden="1" x14ac:dyDescent="0.3"/>
    <row r="11216" hidden="1" x14ac:dyDescent="0.3"/>
    <row r="11217" hidden="1" x14ac:dyDescent="0.3"/>
    <row r="11218" hidden="1" x14ac:dyDescent="0.3"/>
    <row r="11219" hidden="1" x14ac:dyDescent="0.3"/>
    <row r="11220" hidden="1" x14ac:dyDescent="0.3"/>
    <row r="11221" hidden="1" x14ac:dyDescent="0.3"/>
    <row r="11222" hidden="1" x14ac:dyDescent="0.3"/>
    <row r="11223" hidden="1" x14ac:dyDescent="0.3"/>
    <row r="11224" hidden="1" x14ac:dyDescent="0.3"/>
    <row r="11225" hidden="1" x14ac:dyDescent="0.3"/>
    <row r="11226" hidden="1" x14ac:dyDescent="0.3"/>
    <row r="11227" hidden="1" x14ac:dyDescent="0.3"/>
    <row r="11228" hidden="1" x14ac:dyDescent="0.3"/>
    <row r="11229" hidden="1" x14ac:dyDescent="0.3"/>
    <row r="11230" hidden="1" x14ac:dyDescent="0.3"/>
    <row r="11231" hidden="1" x14ac:dyDescent="0.3"/>
    <row r="11232" hidden="1" x14ac:dyDescent="0.3"/>
    <row r="11233" hidden="1" x14ac:dyDescent="0.3"/>
    <row r="11234" hidden="1" x14ac:dyDescent="0.3"/>
    <row r="11235" hidden="1" x14ac:dyDescent="0.3"/>
    <row r="11236" hidden="1" x14ac:dyDescent="0.3"/>
    <row r="11237" hidden="1" x14ac:dyDescent="0.3"/>
    <row r="11238" hidden="1" x14ac:dyDescent="0.3"/>
    <row r="11239" hidden="1" x14ac:dyDescent="0.3"/>
    <row r="11240" hidden="1" x14ac:dyDescent="0.3"/>
    <row r="11241" hidden="1" x14ac:dyDescent="0.3"/>
    <row r="11242" hidden="1" x14ac:dyDescent="0.3"/>
    <row r="11243" hidden="1" x14ac:dyDescent="0.3"/>
    <row r="11244" hidden="1" x14ac:dyDescent="0.3"/>
    <row r="11245" hidden="1" x14ac:dyDescent="0.3"/>
    <row r="11246" hidden="1" x14ac:dyDescent="0.3"/>
    <row r="11247" hidden="1" x14ac:dyDescent="0.3"/>
    <row r="11248" hidden="1" x14ac:dyDescent="0.3"/>
    <row r="11249" hidden="1" x14ac:dyDescent="0.3"/>
    <row r="11250" hidden="1" x14ac:dyDescent="0.3"/>
    <row r="11251" hidden="1" x14ac:dyDescent="0.3"/>
    <row r="11252" hidden="1" x14ac:dyDescent="0.3"/>
    <row r="11253" hidden="1" x14ac:dyDescent="0.3"/>
    <row r="11254" hidden="1" x14ac:dyDescent="0.3"/>
    <row r="11255" hidden="1" x14ac:dyDescent="0.3"/>
    <row r="11256" hidden="1" x14ac:dyDescent="0.3"/>
    <row r="11257" hidden="1" x14ac:dyDescent="0.3"/>
    <row r="11258" hidden="1" x14ac:dyDescent="0.3"/>
    <row r="11259" hidden="1" x14ac:dyDescent="0.3"/>
    <row r="11260" hidden="1" x14ac:dyDescent="0.3"/>
    <row r="11261" hidden="1" x14ac:dyDescent="0.3"/>
    <row r="11262" hidden="1" x14ac:dyDescent="0.3"/>
    <row r="11263" hidden="1" x14ac:dyDescent="0.3"/>
    <row r="11264" hidden="1" x14ac:dyDescent="0.3"/>
    <row r="11265" hidden="1" x14ac:dyDescent="0.3"/>
    <row r="11266" hidden="1" x14ac:dyDescent="0.3"/>
    <row r="11267" hidden="1" x14ac:dyDescent="0.3"/>
    <row r="11268" hidden="1" x14ac:dyDescent="0.3"/>
    <row r="11269" hidden="1" x14ac:dyDescent="0.3"/>
    <row r="11270" hidden="1" x14ac:dyDescent="0.3"/>
    <row r="11271" hidden="1" x14ac:dyDescent="0.3"/>
    <row r="11272" hidden="1" x14ac:dyDescent="0.3"/>
    <row r="11273" hidden="1" x14ac:dyDescent="0.3"/>
    <row r="11274" hidden="1" x14ac:dyDescent="0.3"/>
    <row r="11275" hidden="1" x14ac:dyDescent="0.3"/>
    <row r="11276" hidden="1" x14ac:dyDescent="0.3"/>
    <row r="11277" hidden="1" x14ac:dyDescent="0.3"/>
    <row r="11278" hidden="1" x14ac:dyDescent="0.3"/>
    <row r="11279" hidden="1" x14ac:dyDescent="0.3"/>
    <row r="11280" hidden="1" x14ac:dyDescent="0.3"/>
    <row r="11281" hidden="1" x14ac:dyDescent="0.3"/>
    <row r="11282" hidden="1" x14ac:dyDescent="0.3"/>
    <row r="11283" hidden="1" x14ac:dyDescent="0.3"/>
    <row r="11284" hidden="1" x14ac:dyDescent="0.3"/>
    <row r="11285" hidden="1" x14ac:dyDescent="0.3"/>
    <row r="11286" hidden="1" x14ac:dyDescent="0.3"/>
    <row r="11287" hidden="1" x14ac:dyDescent="0.3"/>
    <row r="11288" hidden="1" x14ac:dyDescent="0.3"/>
    <row r="11289" hidden="1" x14ac:dyDescent="0.3"/>
    <row r="11290" hidden="1" x14ac:dyDescent="0.3"/>
    <row r="11291" hidden="1" x14ac:dyDescent="0.3"/>
    <row r="11292" hidden="1" x14ac:dyDescent="0.3"/>
    <row r="11293" hidden="1" x14ac:dyDescent="0.3"/>
    <row r="11294" hidden="1" x14ac:dyDescent="0.3"/>
    <row r="11295" hidden="1" x14ac:dyDescent="0.3"/>
    <row r="11296" hidden="1" x14ac:dyDescent="0.3"/>
    <row r="11297" hidden="1" x14ac:dyDescent="0.3"/>
    <row r="11298" hidden="1" x14ac:dyDescent="0.3"/>
    <row r="11299" hidden="1" x14ac:dyDescent="0.3"/>
    <row r="11300" hidden="1" x14ac:dyDescent="0.3"/>
    <row r="11301" hidden="1" x14ac:dyDescent="0.3"/>
    <row r="11302" hidden="1" x14ac:dyDescent="0.3"/>
    <row r="11303" hidden="1" x14ac:dyDescent="0.3"/>
    <row r="11304" hidden="1" x14ac:dyDescent="0.3"/>
    <row r="11305" hidden="1" x14ac:dyDescent="0.3"/>
    <row r="11306" hidden="1" x14ac:dyDescent="0.3"/>
    <row r="11307" hidden="1" x14ac:dyDescent="0.3"/>
    <row r="11308" hidden="1" x14ac:dyDescent="0.3"/>
    <row r="11309" hidden="1" x14ac:dyDescent="0.3"/>
    <row r="11310" hidden="1" x14ac:dyDescent="0.3"/>
    <row r="11311" hidden="1" x14ac:dyDescent="0.3"/>
    <row r="11312" hidden="1" x14ac:dyDescent="0.3"/>
    <row r="11313" hidden="1" x14ac:dyDescent="0.3"/>
    <row r="11314" hidden="1" x14ac:dyDescent="0.3"/>
    <row r="11315" hidden="1" x14ac:dyDescent="0.3"/>
    <row r="11316" hidden="1" x14ac:dyDescent="0.3"/>
    <row r="11317" hidden="1" x14ac:dyDescent="0.3"/>
    <row r="11318" hidden="1" x14ac:dyDescent="0.3"/>
    <row r="11319" hidden="1" x14ac:dyDescent="0.3"/>
    <row r="11320" hidden="1" x14ac:dyDescent="0.3"/>
    <row r="11321" hidden="1" x14ac:dyDescent="0.3"/>
    <row r="11322" hidden="1" x14ac:dyDescent="0.3"/>
    <row r="11323" hidden="1" x14ac:dyDescent="0.3"/>
    <row r="11324" hidden="1" x14ac:dyDescent="0.3"/>
    <row r="11325" hidden="1" x14ac:dyDescent="0.3"/>
    <row r="11326" hidden="1" x14ac:dyDescent="0.3"/>
    <row r="11327" hidden="1" x14ac:dyDescent="0.3"/>
    <row r="11328" hidden="1" x14ac:dyDescent="0.3"/>
    <row r="11329" hidden="1" x14ac:dyDescent="0.3"/>
    <row r="11330" hidden="1" x14ac:dyDescent="0.3"/>
    <row r="11331" hidden="1" x14ac:dyDescent="0.3"/>
    <row r="11332" hidden="1" x14ac:dyDescent="0.3"/>
    <row r="11333" hidden="1" x14ac:dyDescent="0.3"/>
    <row r="11334" hidden="1" x14ac:dyDescent="0.3"/>
    <row r="11335" hidden="1" x14ac:dyDescent="0.3"/>
    <row r="11336" hidden="1" x14ac:dyDescent="0.3"/>
    <row r="11337" hidden="1" x14ac:dyDescent="0.3"/>
    <row r="11338" hidden="1" x14ac:dyDescent="0.3"/>
    <row r="11339" hidden="1" x14ac:dyDescent="0.3"/>
    <row r="11340" hidden="1" x14ac:dyDescent="0.3"/>
    <row r="11341" hidden="1" x14ac:dyDescent="0.3"/>
    <row r="11342" hidden="1" x14ac:dyDescent="0.3"/>
    <row r="11343" hidden="1" x14ac:dyDescent="0.3"/>
    <row r="11344" hidden="1" x14ac:dyDescent="0.3"/>
    <row r="11345" hidden="1" x14ac:dyDescent="0.3"/>
    <row r="11346" hidden="1" x14ac:dyDescent="0.3"/>
    <row r="11347" hidden="1" x14ac:dyDescent="0.3"/>
    <row r="11348" hidden="1" x14ac:dyDescent="0.3"/>
    <row r="11349" hidden="1" x14ac:dyDescent="0.3"/>
    <row r="11350" hidden="1" x14ac:dyDescent="0.3"/>
    <row r="11351" hidden="1" x14ac:dyDescent="0.3"/>
    <row r="11352" hidden="1" x14ac:dyDescent="0.3"/>
    <row r="11353" hidden="1" x14ac:dyDescent="0.3"/>
    <row r="11354" hidden="1" x14ac:dyDescent="0.3"/>
    <row r="11355" hidden="1" x14ac:dyDescent="0.3"/>
    <row r="11356" hidden="1" x14ac:dyDescent="0.3"/>
    <row r="11357" hidden="1" x14ac:dyDescent="0.3"/>
    <row r="11358" hidden="1" x14ac:dyDescent="0.3"/>
    <row r="11359" hidden="1" x14ac:dyDescent="0.3"/>
    <row r="11360" hidden="1" x14ac:dyDescent="0.3"/>
    <row r="11361" hidden="1" x14ac:dyDescent="0.3"/>
    <row r="11362" hidden="1" x14ac:dyDescent="0.3"/>
    <row r="11363" hidden="1" x14ac:dyDescent="0.3"/>
    <row r="11364" hidden="1" x14ac:dyDescent="0.3"/>
    <row r="11365" hidden="1" x14ac:dyDescent="0.3"/>
    <row r="11366" hidden="1" x14ac:dyDescent="0.3"/>
    <row r="11367" hidden="1" x14ac:dyDescent="0.3"/>
    <row r="11368" hidden="1" x14ac:dyDescent="0.3"/>
    <row r="11369" hidden="1" x14ac:dyDescent="0.3"/>
    <row r="11370" hidden="1" x14ac:dyDescent="0.3"/>
    <row r="11371" hidden="1" x14ac:dyDescent="0.3"/>
    <row r="11372" hidden="1" x14ac:dyDescent="0.3"/>
    <row r="11373" hidden="1" x14ac:dyDescent="0.3"/>
    <row r="11374" hidden="1" x14ac:dyDescent="0.3"/>
    <row r="11375" hidden="1" x14ac:dyDescent="0.3"/>
    <row r="11376" hidden="1" x14ac:dyDescent="0.3"/>
    <row r="11377" hidden="1" x14ac:dyDescent="0.3"/>
    <row r="11378" hidden="1" x14ac:dyDescent="0.3"/>
    <row r="11379" hidden="1" x14ac:dyDescent="0.3"/>
    <row r="11380" hidden="1" x14ac:dyDescent="0.3"/>
    <row r="11381" hidden="1" x14ac:dyDescent="0.3"/>
    <row r="11382" hidden="1" x14ac:dyDescent="0.3"/>
    <row r="11383" hidden="1" x14ac:dyDescent="0.3"/>
    <row r="11384" hidden="1" x14ac:dyDescent="0.3"/>
    <row r="11385" hidden="1" x14ac:dyDescent="0.3"/>
    <row r="11386" hidden="1" x14ac:dyDescent="0.3"/>
    <row r="11387" hidden="1" x14ac:dyDescent="0.3"/>
    <row r="11388" hidden="1" x14ac:dyDescent="0.3"/>
    <row r="11389" hidden="1" x14ac:dyDescent="0.3"/>
    <row r="11390" hidden="1" x14ac:dyDescent="0.3"/>
    <row r="11391" hidden="1" x14ac:dyDescent="0.3"/>
    <row r="11392" hidden="1" x14ac:dyDescent="0.3"/>
    <row r="11393" hidden="1" x14ac:dyDescent="0.3"/>
    <row r="11394" hidden="1" x14ac:dyDescent="0.3"/>
    <row r="11395" hidden="1" x14ac:dyDescent="0.3"/>
    <row r="11396" hidden="1" x14ac:dyDescent="0.3"/>
    <row r="11397" hidden="1" x14ac:dyDescent="0.3"/>
    <row r="11398" hidden="1" x14ac:dyDescent="0.3"/>
    <row r="11399" hidden="1" x14ac:dyDescent="0.3"/>
    <row r="11400" hidden="1" x14ac:dyDescent="0.3"/>
    <row r="11401" hidden="1" x14ac:dyDescent="0.3"/>
    <row r="11402" hidden="1" x14ac:dyDescent="0.3"/>
    <row r="11403" hidden="1" x14ac:dyDescent="0.3"/>
    <row r="11404" hidden="1" x14ac:dyDescent="0.3"/>
    <row r="11405" hidden="1" x14ac:dyDescent="0.3"/>
    <row r="11406" hidden="1" x14ac:dyDescent="0.3"/>
    <row r="11407" hidden="1" x14ac:dyDescent="0.3"/>
    <row r="11408" hidden="1" x14ac:dyDescent="0.3"/>
    <row r="11409" hidden="1" x14ac:dyDescent="0.3"/>
    <row r="11410" hidden="1" x14ac:dyDescent="0.3"/>
    <row r="11411" hidden="1" x14ac:dyDescent="0.3"/>
    <row r="11412" hidden="1" x14ac:dyDescent="0.3"/>
    <row r="11413" hidden="1" x14ac:dyDescent="0.3"/>
    <row r="11414" hidden="1" x14ac:dyDescent="0.3"/>
    <row r="11415" hidden="1" x14ac:dyDescent="0.3"/>
    <row r="11416" hidden="1" x14ac:dyDescent="0.3"/>
    <row r="11417" hidden="1" x14ac:dyDescent="0.3"/>
    <row r="11418" hidden="1" x14ac:dyDescent="0.3"/>
    <row r="11419" hidden="1" x14ac:dyDescent="0.3"/>
    <row r="11420" hidden="1" x14ac:dyDescent="0.3"/>
    <row r="11421" hidden="1" x14ac:dyDescent="0.3"/>
    <row r="11422" hidden="1" x14ac:dyDescent="0.3"/>
    <row r="11423" hidden="1" x14ac:dyDescent="0.3"/>
    <row r="11424" hidden="1" x14ac:dyDescent="0.3"/>
    <row r="11425" hidden="1" x14ac:dyDescent="0.3"/>
    <row r="11426" hidden="1" x14ac:dyDescent="0.3"/>
    <row r="11427" hidden="1" x14ac:dyDescent="0.3"/>
    <row r="11428" hidden="1" x14ac:dyDescent="0.3"/>
    <row r="11429" hidden="1" x14ac:dyDescent="0.3"/>
    <row r="11430" hidden="1" x14ac:dyDescent="0.3"/>
    <row r="11431" hidden="1" x14ac:dyDescent="0.3"/>
    <row r="11432" hidden="1" x14ac:dyDescent="0.3"/>
    <row r="11433" hidden="1" x14ac:dyDescent="0.3"/>
    <row r="11434" hidden="1" x14ac:dyDescent="0.3"/>
    <row r="11435" hidden="1" x14ac:dyDescent="0.3"/>
    <row r="11436" hidden="1" x14ac:dyDescent="0.3"/>
    <row r="11437" hidden="1" x14ac:dyDescent="0.3"/>
    <row r="11438" hidden="1" x14ac:dyDescent="0.3"/>
    <row r="11439" hidden="1" x14ac:dyDescent="0.3"/>
    <row r="11440" hidden="1" x14ac:dyDescent="0.3"/>
    <row r="11441" hidden="1" x14ac:dyDescent="0.3"/>
    <row r="11442" hidden="1" x14ac:dyDescent="0.3"/>
    <row r="11443" hidden="1" x14ac:dyDescent="0.3"/>
    <row r="11444" hidden="1" x14ac:dyDescent="0.3"/>
    <row r="11445" hidden="1" x14ac:dyDescent="0.3"/>
    <row r="11446" hidden="1" x14ac:dyDescent="0.3"/>
    <row r="11447" hidden="1" x14ac:dyDescent="0.3"/>
    <row r="11448" hidden="1" x14ac:dyDescent="0.3"/>
    <row r="11449" hidden="1" x14ac:dyDescent="0.3"/>
    <row r="11450" hidden="1" x14ac:dyDescent="0.3"/>
    <row r="11451" hidden="1" x14ac:dyDescent="0.3"/>
    <row r="11452" hidden="1" x14ac:dyDescent="0.3"/>
    <row r="11453" hidden="1" x14ac:dyDescent="0.3"/>
    <row r="11454" hidden="1" x14ac:dyDescent="0.3"/>
    <row r="11455" hidden="1" x14ac:dyDescent="0.3"/>
    <row r="11456" hidden="1" x14ac:dyDescent="0.3"/>
    <row r="11457" hidden="1" x14ac:dyDescent="0.3"/>
    <row r="11458" hidden="1" x14ac:dyDescent="0.3"/>
    <row r="11459" hidden="1" x14ac:dyDescent="0.3"/>
    <row r="11460" hidden="1" x14ac:dyDescent="0.3"/>
    <row r="11461" hidden="1" x14ac:dyDescent="0.3"/>
    <row r="11462" hidden="1" x14ac:dyDescent="0.3"/>
    <row r="11463" hidden="1" x14ac:dyDescent="0.3"/>
    <row r="11464" hidden="1" x14ac:dyDescent="0.3"/>
    <row r="11465" hidden="1" x14ac:dyDescent="0.3"/>
    <row r="11466" hidden="1" x14ac:dyDescent="0.3"/>
    <row r="11467" hidden="1" x14ac:dyDescent="0.3"/>
    <row r="11468" hidden="1" x14ac:dyDescent="0.3"/>
    <row r="11469" hidden="1" x14ac:dyDescent="0.3"/>
    <row r="11470" hidden="1" x14ac:dyDescent="0.3"/>
    <row r="11471" hidden="1" x14ac:dyDescent="0.3"/>
    <row r="11472" hidden="1" x14ac:dyDescent="0.3"/>
    <row r="11473" hidden="1" x14ac:dyDescent="0.3"/>
    <row r="11474" hidden="1" x14ac:dyDescent="0.3"/>
    <row r="11475" hidden="1" x14ac:dyDescent="0.3"/>
    <row r="11476" hidden="1" x14ac:dyDescent="0.3"/>
    <row r="11477" hidden="1" x14ac:dyDescent="0.3"/>
    <row r="11478" hidden="1" x14ac:dyDescent="0.3"/>
    <row r="11479" hidden="1" x14ac:dyDescent="0.3"/>
    <row r="11480" hidden="1" x14ac:dyDescent="0.3"/>
    <row r="11481" hidden="1" x14ac:dyDescent="0.3"/>
    <row r="11482" hidden="1" x14ac:dyDescent="0.3"/>
    <row r="11483" hidden="1" x14ac:dyDescent="0.3"/>
    <row r="11484" hidden="1" x14ac:dyDescent="0.3"/>
    <row r="11485" hidden="1" x14ac:dyDescent="0.3"/>
    <row r="11486" hidden="1" x14ac:dyDescent="0.3"/>
    <row r="11487" hidden="1" x14ac:dyDescent="0.3"/>
    <row r="11488" hidden="1" x14ac:dyDescent="0.3"/>
    <row r="11489" hidden="1" x14ac:dyDescent="0.3"/>
    <row r="11490" hidden="1" x14ac:dyDescent="0.3"/>
    <row r="11491" hidden="1" x14ac:dyDescent="0.3"/>
    <row r="11492" hidden="1" x14ac:dyDescent="0.3"/>
    <row r="11493" hidden="1" x14ac:dyDescent="0.3"/>
    <row r="11494" hidden="1" x14ac:dyDescent="0.3"/>
    <row r="11495" hidden="1" x14ac:dyDescent="0.3"/>
    <row r="11496" hidden="1" x14ac:dyDescent="0.3"/>
    <row r="11497" hidden="1" x14ac:dyDescent="0.3"/>
    <row r="11498" hidden="1" x14ac:dyDescent="0.3"/>
    <row r="11499" hidden="1" x14ac:dyDescent="0.3"/>
    <row r="11500" hidden="1" x14ac:dyDescent="0.3"/>
    <row r="11501" hidden="1" x14ac:dyDescent="0.3"/>
    <row r="11502" hidden="1" x14ac:dyDescent="0.3"/>
    <row r="11503" hidden="1" x14ac:dyDescent="0.3"/>
    <row r="11504" hidden="1" x14ac:dyDescent="0.3"/>
    <row r="11505" hidden="1" x14ac:dyDescent="0.3"/>
    <row r="11506" hidden="1" x14ac:dyDescent="0.3"/>
    <row r="11507" hidden="1" x14ac:dyDescent="0.3"/>
    <row r="11508" hidden="1" x14ac:dyDescent="0.3"/>
    <row r="11509" hidden="1" x14ac:dyDescent="0.3"/>
    <row r="11510" hidden="1" x14ac:dyDescent="0.3"/>
    <row r="11511" hidden="1" x14ac:dyDescent="0.3"/>
    <row r="11512" hidden="1" x14ac:dyDescent="0.3"/>
    <row r="11513" hidden="1" x14ac:dyDescent="0.3"/>
    <row r="11514" hidden="1" x14ac:dyDescent="0.3"/>
    <row r="11515" hidden="1" x14ac:dyDescent="0.3"/>
    <row r="11516" hidden="1" x14ac:dyDescent="0.3"/>
    <row r="11517" hidden="1" x14ac:dyDescent="0.3"/>
    <row r="11518" hidden="1" x14ac:dyDescent="0.3"/>
    <row r="11519" hidden="1" x14ac:dyDescent="0.3"/>
    <row r="11520" hidden="1" x14ac:dyDescent="0.3"/>
    <row r="11521" hidden="1" x14ac:dyDescent="0.3"/>
    <row r="11522" hidden="1" x14ac:dyDescent="0.3"/>
    <row r="11523" hidden="1" x14ac:dyDescent="0.3"/>
    <row r="11524" hidden="1" x14ac:dyDescent="0.3"/>
    <row r="11525" hidden="1" x14ac:dyDescent="0.3"/>
    <row r="11526" hidden="1" x14ac:dyDescent="0.3"/>
    <row r="11527" hidden="1" x14ac:dyDescent="0.3"/>
    <row r="11528" hidden="1" x14ac:dyDescent="0.3"/>
    <row r="11529" hidden="1" x14ac:dyDescent="0.3"/>
    <row r="11530" hidden="1" x14ac:dyDescent="0.3"/>
    <row r="11531" hidden="1" x14ac:dyDescent="0.3"/>
    <row r="11532" hidden="1" x14ac:dyDescent="0.3"/>
    <row r="11533" hidden="1" x14ac:dyDescent="0.3"/>
    <row r="11534" hidden="1" x14ac:dyDescent="0.3"/>
    <row r="11535" hidden="1" x14ac:dyDescent="0.3"/>
    <row r="11536" hidden="1" x14ac:dyDescent="0.3"/>
    <row r="11537" hidden="1" x14ac:dyDescent="0.3"/>
    <row r="11538" hidden="1" x14ac:dyDescent="0.3"/>
    <row r="11539" hidden="1" x14ac:dyDescent="0.3"/>
    <row r="11540" hidden="1" x14ac:dyDescent="0.3"/>
    <row r="11541" hidden="1" x14ac:dyDescent="0.3"/>
    <row r="11542" hidden="1" x14ac:dyDescent="0.3"/>
    <row r="11543" hidden="1" x14ac:dyDescent="0.3"/>
    <row r="11544" hidden="1" x14ac:dyDescent="0.3"/>
    <row r="11545" hidden="1" x14ac:dyDescent="0.3"/>
    <row r="11546" hidden="1" x14ac:dyDescent="0.3"/>
    <row r="11547" hidden="1" x14ac:dyDescent="0.3"/>
    <row r="11548" hidden="1" x14ac:dyDescent="0.3"/>
    <row r="11549" hidden="1" x14ac:dyDescent="0.3"/>
    <row r="11550" hidden="1" x14ac:dyDescent="0.3"/>
    <row r="11551" hidden="1" x14ac:dyDescent="0.3"/>
    <row r="11552" hidden="1" x14ac:dyDescent="0.3"/>
    <row r="11553" hidden="1" x14ac:dyDescent="0.3"/>
    <row r="11554" hidden="1" x14ac:dyDescent="0.3"/>
    <row r="11555" hidden="1" x14ac:dyDescent="0.3"/>
    <row r="11556" hidden="1" x14ac:dyDescent="0.3"/>
    <row r="11557" hidden="1" x14ac:dyDescent="0.3"/>
    <row r="11558" hidden="1" x14ac:dyDescent="0.3"/>
    <row r="11559" hidden="1" x14ac:dyDescent="0.3"/>
    <row r="11560" hidden="1" x14ac:dyDescent="0.3"/>
    <row r="11561" hidden="1" x14ac:dyDescent="0.3"/>
    <row r="11562" hidden="1" x14ac:dyDescent="0.3"/>
    <row r="11563" hidden="1" x14ac:dyDescent="0.3"/>
    <row r="11564" hidden="1" x14ac:dyDescent="0.3"/>
    <row r="11565" hidden="1" x14ac:dyDescent="0.3"/>
    <row r="11566" hidden="1" x14ac:dyDescent="0.3"/>
    <row r="11567" hidden="1" x14ac:dyDescent="0.3"/>
    <row r="11568" hidden="1" x14ac:dyDescent="0.3"/>
    <row r="11569" hidden="1" x14ac:dyDescent="0.3"/>
    <row r="11570" hidden="1" x14ac:dyDescent="0.3"/>
    <row r="11571" hidden="1" x14ac:dyDescent="0.3"/>
    <row r="11572" hidden="1" x14ac:dyDescent="0.3"/>
    <row r="11573" hidden="1" x14ac:dyDescent="0.3"/>
    <row r="11574" hidden="1" x14ac:dyDescent="0.3"/>
    <row r="11575" hidden="1" x14ac:dyDescent="0.3"/>
    <row r="11576" hidden="1" x14ac:dyDescent="0.3"/>
    <row r="11577" hidden="1" x14ac:dyDescent="0.3"/>
    <row r="11578" hidden="1" x14ac:dyDescent="0.3"/>
    <row r="11579" hidden="1" x14ac:dyDescent="0.3"/>
    <row r="11580" hidden="1" x14ac:dyDescent="0.3"/>
    <row r="11581" hidden="1" x14ac:dyDescent="0.3"/>
    <row r="11582" hidden="1" x14ac:dyDescent="0.3"/>
    <row r="11583" hidden="1" x14ac:dyDescent="0.3"/>
    <row r="11584" hidden="1" x14ac:dyDescent="0.3"/>
    <row r="11585" hidden="1" x14ac:dyDescent="0.3"/>
    <row r="11586" hidden="1" x14ac:dyDescent="0.3"/>
    <row r="11587" hidden="1" x14ac:dyDescent="0.3"/>
    <row r="11588" hidden="1" x14ac:dyDescent="0.3"/>
    <row r="11589" hidden="1" x14ac:dyDescent="0.3"/>
    <row r="11590" hidden="1" x14ac:dyDescent="0.3"/>
    <row r="11591" hidden="1" x14ac:dyDescent="0.3"/>
    <row r="11592" hidden="1" x14ac:dyDescent="0.3"/>
    <row r="11593" hidden="1" x14ac:dyDescent="0.3"/>
    <row r="11594" hidden="1" x14ac:dyDescent="0.3"/>
    <row r="11595" hidden="1" x14ac:dyDescent="0.3"/>
    <row r="11596" hidden="1" x14ac:dyDescent="0.3"/>
    <row r="11597" hidden="1" x14ac:dyDescent="0.3"/>
    <row r="11598" hidden="1" x14ac:dyDescent="0.3"/>
    <row r="11599" hidden="1" x14ac:dyDescent="0.3"/>
    <row r="11600" hidden="1" x14ac:dyDescent="0.3"/>
    <row r="11601" hidden="1" x14ac:dyDescent="0.3"/>
    <row r="11602" hidden="1" x14ac:dyDescent="0.3"/>
    <row r="11603" hidden="1" x14ac:dyDescent="0.3"/>
    <row r="11604" hidden="1" x14ac:dyDescent="0.3"/>
    <row r="11605" hidden="1" x14ac:dyDescent="0.3"/>
    <row r="11606" hidden="1" x14ac:dyDescent="0.3"/>
    <row r="11607" hidden="1" x14ac:dyDescent="0.3"/>
    <row r="11608" hidden="1" x14ac:dyDescent="0.3"/>
    <row r="11609" hidden="1" x14ac:dyDescent="0.3"/>
    <row r="11610" hidden="1" x14ac:dyDescent="0.3"/>
    <row r="11611" hidden="1" x14ac:dyDescent="0.3"/>
    <row r="11612" hidden="1" x14ac:dyDescent="0.3"/>
    <row r="11613" hidden="1" x14ac:dyDescent="0.3"/>
    <row r="11614" hidden="1" x14ac:dyDescent="0.3"/>
    <row r="11615" hidden="1" x14ac:dyDescent="0.3"/>
    <row r="11616" hidden="1" x14ac:dyDescent="0.3"/>
    <row r="11617" hidden="1" x14ac:dyDescent="0.3"/>
    <row r="11618" hidden="1" x14ac:dyDescent="0.3"/>
    <row r="11619" hidden="1" x14ac:dyDescent="0.3"/>
    <row r="11620" hidden="1" x14ac:dyDescent="0.3"/>
    <row r="11621" hidden="1" x14ac:dyDescent="0.3"/>
    <row r="11622" hidden="1" x14ac:dyDescent="0.3"/>
    <row r="11623" hidden="1" x14ac:dyDescent="0.3"/>
    <row r="11624" hidden="1" x14ac:dyDescent="0.3"/>
    <row r="11625" hidden="1" x14ac:dyDescent="0.3"/>
    <row r="11626" hidden="1" x14ac:dyDescent="0.3"/>
    <row r="11627" hidden="1" x14ac:dyDescent="0.3"/>
    <row r="11628" hidden="1" x14ac:dyDescent="0.3"/>
    <row r="11629" hidden="1" x14ac:dyDescent="0.3"/>
    <row r="11630" hidden="1" x14ac:dyDescent="0.3"/>
    <row r="11631" hidden="1" x14ac:dyDescent="0.3"/>
    <row r="11632" hidden="1" x14ac:dyDescent="0.3"/>
    <row r="11633" hidden="1" x14ac:dyDescent="0.3"/>
    <row r="11634" hidden="1" x14ac:dyDescent="0.3"/>
    <row r="11635" hidden="1" x14ac:dyDescent="0.3"/>
    <row r="11636" hidden="1" x14ac:dyDescent="0.3"/>
    <row r="11637" hidden="1" x14ac:dyDescent="0.3"/>
    <row r="11638" hidden="1" x14ac:dyDescent="0.3"/>
    <row r="11639" hidden="1" x14ac:dyDescent="0.3"/>
    <row r="11640" hidden="1" x14ac:dyDescent="0.3"/>
    <row r="11641" hidden="1" x14ac:dyDescent="0.3"/>
    <row r="11642" hidden="1" x14ac:dyDescent="0.3"/>
    <row r="11643" hidden="1" x14ac:dyDescent="0.3"/>
    <row r="11644" hidden="1" x14ac:dyDescent="0.3"/>
    <row r="11645" hidden="1" x14ac:dyDescent="0.3"/>
    <row r="11646" hidden="1" x14ac:dyDescent="0.3"/>
    <row r="11647" hidden="1" x14ac:dyDescent="0.3"/>
    <row r="11648" hidden="1" x14ac:dyDescent="0.3"/>
    <row r="11649" hidden="1" x14ac:dyDescent="0.3"/>
    <row r="11650" hidden="1" x14ac:dyDescent="0.3"/>
    <row r="11651" hidden="1" x14ac:dyDescent="0.3"/>
    <row r="11652" hidden="1" x14ac:dyDescent="0.3"/>
    <row r="11653" hidden="1" x14ac:dyDescent="0.3"/>
    <row r="11654" hidden="1" x14ac:dyDescent="0.3"/>
    <row r="11655" hidden="1" x14ac:dyDescent="0.3"/>
    <row r="11656" hidden="1" x14ac:dyDescent="0.3"/>
    <row r="11657" hidden="1" x14ac:dyDescent="0.3"/>
    <row r="11658" hidden="1" x14ac:dyDescent="0.3"/>
    <row r="11659" hidden="1" x14ac:dyDescent="0.3"/>
    <row r="11660" hidden="1" x14ac:dyDescent="0.3"/>
    <row r="11661" hidden="1" x14ac:dyDescent="0.3"/>
    <row r="11662" hidden="1" x14ac:dyDescent="0.3"/>
    <row r="11663" hidden="1" x14ac:dyDescent="0.3"/>
    <row r="11664" hidden="1" x14ac:dyDescent="0.3"/>
    <row r="11665" hidden="1" x14ac:dyDescent="0.3"/>
    <row r="11666" hidden="1" x14ac:dyDescent="0.3"/>
    <row r="11667" hidden="1" x14ac:dyDescent="0.3"/>
    <row r="11668" hidden="1" x14ac:dyDescent="0.3"/>
    <row r="11669" hidden="1" x14ac:dyDescent="0.3"/>
    <row r="11670" hidden="1" x14ac:dyDescent="0.3"/>
    <row r="11671" hidden="1" x14ac:dyDescent="0.3"/>
    <row r="11672" hidden="1" x14ac:dyDescent="0.3"/>
    <row r="11673" hidden="1" x14ac:dyDescent="0.3"/>
    <row r="11674" hidden="1" x14ac:dyDescent="0.3"/>
    <row r="11675" hidden="1" x14ac:dyDescent="0.3"/>
    <row r="11676" hidden="1" x14ac:dyDescent="0.3"/>
    <row r="11677" hidden="1" x14ac:dyDescent="0.3"/>
    <row r="11678" hidden="1" x14ac:dyDescent="0.3"/>
    <row r="11679" hidden="1" x14ac:dyDescent="0.3"/>
    <row r="11680" hidden="1" x14ac:dyDescent="0.3"/>
    <row r="11681" hidden="1" x14ac:dyDescent="0.3"/>
    <row r="11682" hidden="1" x14ac:dyDescent="0.3"/>
    <row r="11683" hidden="1" x14ac:dyDescent="0.3"/>
    <row r="11684" hidden="1" x14ac:dyDescent="0.3"/>
    <row r="11685" hidden="1" x14ac:dyDescent="0.3"/>
    <row r="11686" hidden="1" x14ac:dyDescent="0.3"/>
    <row r="11687" hidden="1" x14ac:dyDescent="0.3"/>
    <row r="11688" hidden="1" x14ac:dyDescent="0.3"/>
    <row r="11689" hidden="1" x14ac:dyDescent="0.3"/>
    <row r="11690" hidden="1" x14ac:dyDescent="0.3"/>
    <row r="11691" hidden="1" x14ac:dyDescent="0.3"/>
    <row r="11692" hidden="1" x14ac:dyDescent="0.3"/>
    <row r="11693" hidden="1" x14ac:dyDescent="0.3"/>
    <row r="11694" hidden="1" x14ac:dyDescent="0.3"/>
    <row r="11695" hidden="1" x14ac:dyDescent="0.3"/>
    <row r="11696" hidden="1" x14ac:dyDescent="0.3"/>
    <row r="11697" hidden="1" x14ac:dyDescent="0.3"/>
    <row r="11698" hidden="1" x14ac:dyDescent="0.3"/>
    <row r="11699" hidden="1" x14ac:dyDescent="0.3"/>
    <row r="11700" hidden="1" x14ac:dyDescent="0.3"/>
    <row r="11701" hidden="1" x14ac:dyDescent="0.3"/>
    <row r="11702" hidden="1" x14ac:dyDescent="0.3"/>
    <row r="11703" hidden="1" x14ac:dyDescent="0.3"/>
    <row r="11704" hidden="1" x14ac:dyDescent="0.3"/>
    <row r="11705" hidden="1" x14ac:dyDescent="0.3"/>
    <row r="11706" hidden="1" x14ac:dyDescent="0.3"/>
    <row r="11707" hidden="1" x14ac:dyDescent="0.3"/>
    <row r="11708" hidden="1" x14ac:dyDescent="0.3"/>
    <row r="11709" hidden="1" x14ac:dyDescent="0.3"/>
    <row r="11710" hidden="1" x14ac:dyDescent="0.3"/>
    <row r="11711" hidden="1" x14ac:dyDescent="0.3"/>
    <row r="11712" hidden="1" x14ac:dyDescent="0.3"/>
    <row r="11713" hidden="1" x14ac:dyDescent="0.3"/>
    <row r="11714" hidden="1" x14ac:dyDescent="0.3"/>
    <row r="11715" hidden="1" x14ac:dyDescent="0.3"/>
    <row r="11716" hidden="1" x14ac:dyDescent="0.3"/>
    <row r="11717" hidden="1" x14ac:dyDescent="0.3"/>
    <row r="11718" hidden="1" x14ac:dyDescent="0.3"/>
    <row r="11719" hidden="1" x14ac:dyDescent="0.3"/>
    <row r="11720" hidden="1" x14ac:dyDescent="0.3"/>
    <row r="11721" hidden="1" x14ac:dyDescent="0.3"/>
    <row r="11722" hidden="1" x14ac:dyDescent="0.3"/>
    <row r="11723" hidden="1" x14ac:dyDescent="0.3"/>
    <row r="11724" hidden="1" x14ac:dyDescent="0.3"/>
    <row r="11725" hidden="1" x14ac:dyDescent="0.3"/>
    <row r="11726" hidden="1" x14ac:dyDescent="0.3"/>
    <row r="11727" hidden="1" x14ac:dyDescent="0.3"/>
    <row r="11728" hidden="1" x14ac:dyDescent="0.3"/>
    <row r="11729" hidden="1" x14ac:dyDescent="0.3"/>
    <row r="11730" hidden="1" x14ac:dyDescent="0.3"/>
    <row r="11731" hidden="1" x14ac:dyDescent="0.3"/>
    <row r="11732" hidden="1" x14ac:dyDescent="0.3"/>
    <row r="11733" hidden="1" x14ac:dyDescent="0.3"/>
    <row r="11734" hidden="1" x14ac:dyDescent="0.3"/>
    <row r="11735" hidden="1" x14ac:dyDescent="0.3"/>
    <row r="11736" hidden="1" x14ac:dyDescent="0.3"/>
    <row r="11737" hidden="1" x14ac:dyDescent="0.3"/>
    <row r="11738" hidden="1" x14ac:dyDescent="0.3"/>
    <row r="11739" hidden="1" x14ac:dyDescent="0.3"/>
    <row r="11740" hidden="1" x14ac:dyDescent="0.3"/>
    <row r="11741" hidden="1" x14ac:dyDescent="0.3"/>
    <row r="11742" hidden="1" x14ac:dyDescent="0.3"/>
    <row r="11743" hidden="1" x14ac:dyDescent="0.3"/>
    <row r="11744" hidden="1" x14ac:dyDescent="0.3"/>
    <row r="11745" hidden="1" x14ac:dyDescent="0.3"/>
    <row r="11746" hidden="1" x14ac:dyDescent="0.3"/>
    <row r="11747" hidden="1" x14ac:dyDescent="0.3"/>
    <row r="11748" hidden="1" x14ac:dyDescent="0.3"/>
    <row r="11749" hidden="1" x14ac:dyDescent="0.3"/>
    <row r="11750" hidden="1" x14ac:dyDescent="0.3"/>
    <row r="11751" hidden="1" x14ac:dyDescent="0.3"/>
    <row r="11752" hidden="1" x14ac:dyDescent="0.3"/>
    <row r="11753" hidden="1" x14ac:dyDescent="0.3"/>
    <row r="11754" hidden="1" x14ac:dyDescent="0.3"/>
    <row r="11755" hidden="1" x14ac:dyDescent="0.3"/>
    <row r="11756" hidden="1" x14ac:dyDescent="0.3"/>
    <row r="11757" hidden="1" x14ac:dyDescent="0.3"/>
    <row r="11758" hidden="1" x14ac:dyDescent="0.3"/>
    <row r="11759" hidden="1" x14ac:dyDescent="0.3"/>
    <row r="11760" hidden="1" x14ac:dyDescent="0.3"/>
    <row r="11761" hidden="1" x14ac:dyDescent="0.3"/>
    <row r="11762" hidden="1" x14ac:dyDescent="0.3"/>
    <row r="11763" hidden="1" x14ac:dyDescent="0.3"/>
    <row r="11764" hidden="1" x14ac:dyDescent="0.3"/>
    <row r="11765" hidden="1" x14ac:dyDescent="0.3"/>
    <row r="11766" hidden="1" x14ac:dyDescent="0.3"/>
    <row r="11767" hidden="1" x14ac:dyDescent="0.3"/>
    <row r="11768" hidden="1" x14ac:dyDescent="0.3"/>
    <row r="11769" hidden="1" x14ac:dyDescent="0.3"/>
    <row r="11770" hidden="1" x14ac:dyDescent="0.3"/>
    <row r="11771" hidden="1" x14ac:dyDescent="0.3"/>
    <row r="11772" hidden="1" x14ac:dyDescent="0.3"/>
    <row r="11773" hidden="1" x14ac:dyDescent="0.3"/>
    <row r="11774" hidden="1" x14ac:dyDescent="0.3"/>
    <row r="11775" hidden="1" x14ac:dyDescent="0.3"/>
    <row r="11776" hidden="1" x14ac:dyDescent="0.3"/>
    <row r="11777" hidden="1" x14ac:dyDescent="0.3"/>
    <row r="11778" hidden="1" x14ac:dyDescent="0.3"/>
    <row r="11779" hidden="1" x14ac:dyDescent="0.3"/>
    <row r="11780" hidden="1" x14ac:dyDescent="0.3"/>
    <row r="11781" hidden="1" x14ac:dyDescent="0.3"/>
    <row r="11782" hidden="1" x14ac:dyDescent="0.3"/>
    <row r="11783" hidden="1" x14ac:dyDescent="0.3"/>
    <row r="11784" hidden="1" x14ac:dyDescent="0.3"/>
    <row r="11785" hidden="1" x14ac:dyDescent="0.3"/>
    <row r="11786" hidden="1" x14ac:dyDescent="0.3"/>
    <row r="11787" hidden="1" x14ac:dyDescent="0.3"/>
    <row r="11788" hidden="1" x14ac:dyDescent="0.3"/>
    <row r="11789" hidden="1" x14ac:dyDescent="0.3"/>
    <row r="11790" hidden="1" x14ac:dyDescent="0.3"/>
    <row r="11791" hidden="1" x14ac:dyDescent="0.3"/>
    <row r="11792" hidden="1" x14ac:dyDescent="0.3"/>
    <row r="11793" hidden="1" x14ac:dyDescent="0.3"/>
    <row r="11794" hidden="1" x14ac:dyDescent="0.3"/>
    <row r="11795" hidden="1" x14ac:dyDescent="0.3"/>
    <row r="11796" hidden="1" x14ac:dyDescent="0.3"/>
    <row r="11797" hidden="1" x14ac:dyDescent="0.3"/>
    <row r="11798" hidden="1" x14ac:dyDescent="0.3"/>
    <row r="11799" hidden="1" x14ac:dyDescent="0.3"/>
    <row r="11800" hidden="1" x14ac:dyDescent="0.3"/>
    <row r="11801" hidden="1" x14ac:dyDescent="0.3"/>
    <row r="11802" hidden="1" x14ac:dyDescent="0.3"/>
    <row r="11803" hidden="1" x14ac:dyDescent="0.3"/>
    <row r="11804" hidden="1" x14ac:dyDescent="0.3"/>
    <row r="11805" hidden="1" x14ac:dyDescent="0.3"/>
    <row r="11806" hidden="1" x14ac:dyDescent="0.3"/>
    <row r="11807" hidden="1" x14ac:dyDescent="0.3"/>
    <row r="11808" hidden="1" x14ac:dyDescent="0.3"/>
    <row r="11809" hidden="1" x14ac:dyDescent="0.3"/>
    <row r="11810" hidden="1" x14ac:dyDescent="0.3"/>
    <row r="11811" hidden="1" x14ac:dyDescent="0.3"/>
    <row r="11812" hidden="1" x14ac:dyDescent="0.3"/>
    <row r="11813" hidden="1" x14ac:dyDescent="0.3"/>
    <row r="11814" hidden="1" x14ac:dyDescent="0.3"/>
    <row r="11815" hidden="1" x14ac:dyDescent="0.3"/>
    <row r="11816" hidden="1" x14ac:dyDescent="0.3"/>
    <row r="11817" hidden="1" x14ac:dyDescent="0.3"/>
    <row r="11818" hidden="1" x14ac:dyDescent="0.3"/>
    <row r="11819" hidden="1" x14ac:dyDescent="0.3"/>
    <row r="11820" hidden="1" x14ac:dyDescent="0.3"/>
    <row r="11821" hidden="1" x14ac:dyDescent="0.3"/>
    <row r="11822" hidden="1" x14ac:dyDescent="0.3"/>
    <row r="11823" hidden="1" x14ac:dyDescent="0.3"/>
    <row r="11824" hidden="1" x14ac:dyDescent="0.3"/>
    <row r="11825" hidden="1" x14ac:dyDescent="0.3"/>
    <row r="11826" hidden="1" x14ac:dyDescent="0.3"/>
    <row r="11827" hidden="1" x14ac:dyDescent="0.3"/>
    <row r="11828" hidden="1" x14ac:dyDescent="0.3"/>
    <row r="11829" hidden="1" x14ac:dyDescent="0.3"/>
    <row r="11830" hidden="1" x14ac:dyDescent="0.3"/>
    <row r="11831" hidden="1" x14ac:dyDescent="0.3"/>
    <row r="11832" hidden="1" x14ac:dyDescent="0.3"/>
    <row r="11833" hidden="1" x14ac:dyDescent="0.3"/>
    <row r="11834" hidden="1" x14ac:dyDescent="0.3"/>
    <row r="11835" hidden="1" x14ac:dyDescent="0.3"/>
    <row r="11836" hidden="1" x14ac:dyDescent="0.3"/>
    <row r="11837" hidden="1" x14ac:dyDescent="0.3"/>
    <row r="11838" hidden="1" x14ac:dyDescent="0.3"/>
    <row r="11839" hidden="1" x14ac:dyDescent="0.3"/>
    <row r="11840" hidden="1" x14ac:dyDescent="0.3"/>
    <row r="11841" hidden="1" x14ac:dyDescent="0.3"/>
    <row r="11842" hidden="1" x14ac:dyDescent="0.3"/>
    <row r="11843" hidden="1" x14ac:dyDescent="0.3"/>
    <row r="11844" hidden="1" x14ac:dyDescent="0.3"/>
    <row r="11845" hidden="1" x14ac:dyDescent="0.3"/>
    <row r="11846" hidden="1" x14ac:dyDescent="0.3"/>
    <row r="11847" hidden="1" x14ac:dyDescent="0.3"/>
    <row r="11848" hidden="1" x14ac:dyDescent="0.3"/>
    <row r="11849" hidden="1" x14ac:dyDescent="0.3"/>
    <row r="11850" hidden="1" x14ac:dyDescent="0.3"/>
    <row r="11851" hidden="1" x14ac:dyDescent="0.3"/>
    <row r="11852" hidden="1" x14ac:dyDescent="0.3"/>
    <row r="11853" hidden="1" x14ac:dyDescent="0.3"/>
    <row r="11854" hidden="1" x14ac:dyDescent="0.3"/>
    <row r="11855" hidden="1" x14ac:dyDescent="0.3"/>
    <row r="11856" hidden="1" x14ac:dyDescent="0.3"/>
    <row r="11857" hidden="1" x14ac:dyDescent="0.3"/>
    <row r="11858" hidden="1" x14ac:dyDescent="0.3"/>
    <row r="11859" hidden="1" x14ac:dyDescent="0.3"/>
    <row r="11860" hidden="1" x14ac:dyDescent="0.3"/>
    <row r="11861" hidden="1" x14ac:dyDescent="0.3"/>
    <row r="11862" hidden="1" x14ac:dyDescent="0.3"/>
    <row r="11863" hidden="1" x14ac:dyDescent="0.3"/>
    <row r="11864" hidden="1" x14ac:dyDescent="0.3"/>
    <row r="11865" hidden="1" x14ac:dyDescent="0.3"/>
    <row r="11866" hidden="1" x14ac:dyDescent="0.3"/>
    <row r="11867" hidden="1" x14ac:dyDescent="0.3"/>
    <row r="11868" hidden="1" x14ac:dyDescent="0.3"/>
    <row r="11869" hidden="1" x14ac:dyDescent="0.3"/>
    <row r="11870" hidden="1" x14ac:dyDescent="0.3"/>
    <row r="11871" hidden="1" x14ac:dyDescent="0.3"/>
    <row r="11872" hidden="1" x14ac:dyDescent="0.3"/>
    <row r="11873" hidden="1" x14ac:dyDescent="0.3"/>
    <row r="11874" hidden="1" x14ac:dyDescent="0.3"/>
    <row r="11875" hidden="1" x14ac:dyDescent="0.3"/>
    <row r="11876" hidden="1" x14ac:dyDescent="0.3"/>
    <row r="11877" hidden="1" x14ac:dyDescent="0.3"/>
    <row r="11878" hidden="1" x14ac:dyDescent="0.3"/>
    <row r="11879" hidden="1" x14ac:dyDescent="0.3"/>
    <row r="11880" hidden="1" x14ac:dyDescent="0.3"/>
    <row r="11881" hidden="1" x14ac:dyDescent="0.3"/>
    <row r="11882" hidden="1" x14ac:dyDescent="0.3"/>
    <row r="11883" hidden="1" x14ac:dyDescent="0.3"/>
    <row r="11884" hidden="1" x14ac:dyDescent="0.3"/>
    <row r="11885" hidden="1" x14ac:dyDescent="0.3"/>
    <row r="11886" hidden="1" x14ac:dyDescent="0.3"/>
    <row r="11887" hidden="1" x14ac:dyDescent="0.3"/>
    <row r="11888" hidden="1" x14ac:dyDescent="0.3"/>
    <row r="11889" hidden="1" x14ac:dyDescent="0.3"/>
    <row r="11890" hidden="1" x14ac:dyDescent="0.3"/>
    <row r="11891" hidden="1" x14ac:dyDescent="0.3"/>
    <row r="11892" hidden="1" x14ac:dyDescent="0.3"/>
    <row r="11893" hidden="1" x14ac:dyDescent="0.3"/>
    <row r="11894" hidden="1" x14ac:dyDescent="0.3"/>
    <row r="11895" hidden="1" x14ac:dyDescent="0.3"/>
    <row r="11896" hidden="1" x14ac:dyDescent="0.3"/>
    <row r="11897" hidden="1" x14ac:dyDescent="0.3"/>
    <row r="11898" hidden="1" x14ac:dyDescent="0.3"/>
    <row r="11899" hidden="1" x14ac:dyDescent="0.3"/>
    <row r="11900" hidden="1" x14ac:dyDescent="0.3"/>
    <row r="11901" hidden="1" x14ac:dyDescent="0.3"/>
    <row r="11902" hidden="1" x14ac:dyDescent="0.3"/>
    <row r="11903" hidden="1" x14ac:dyDescent="0.3"/>
    <row r="11904" hidden="1" x14ac:dyDescent="0.3"/>
    <row r="11905" hidden="1" x14ac:dyDescent="0.3"/>
    <row r="11906" hidden="1" x14ac:dyDescent="0.3"/>
    <row r="11907" hidden="1" x14ac:dyDescent="0.3"/>
    <row r="11908" hidden="1" x14ac:dyDescent="0.3"/>
    <row r="11909" hidden="1" x14ac:dyDescent="0.3"/>
    <row r="11910" hidden="1" x14ac:dyDescent="0.3"/>
    <row r="11911" hidden="1" x14ac:dyDescent="0.3"/>
    <row r="11912" hidden="1" x14ac:dyDescent="0.3"/>
    <row r="11913" hidden="1" x14ac:dyDescent="0.3"/>
    <row r="11914" hidden="1" x14ac:dyDescent="0.3"/>
    <row r="11915" hidden="1" x14ac:dyDescent="0.3"/>
    <row r="11916" hidden="1" x14ac:dyDescent="0.3"/>
    <row r="11917" hidden="1" x14ac:dyDescent="0.3"/>
    <row r="11918" hidden="1" x14ac:dyDescent="0.3"/>
    <row r="11919" hidden="1" x14ac:dyDescent="0.3"/>
    <row r="11920" hidden="1" x14ac:dyDescent="0.3"/>
    <row r="11921" hidden="1" x14ac:dyDescent="0.3"/>
    <row r="11922" hidden="1" x14ac:dyDescent="0.3"/>
    <row r="11923" hidden="1" x14ac:dyDescent="0.3"/>
    <row r="11924" hidden="1" x14ac:dyDescent="0.3"/>
    <row r="11925" hidden="1" x14ac:dyDescent="0.3"/>
    <row r="11926" hidden="1" x14ac:dyDescent="0.3"/>
    <row r="11927" hidden="1" x14ac:dyDescent="0.3"/>
    <row r="11928" hidden="1" x14ac:dyDescent="0.3"/>
    <row r="11929" hidden="1" x14ac:dyDescent="0.3"/>
    <row r="11930" hidden="1" x14ac:dyDescent="0.3"/>
    <row r="11931" hidden="1" x14ac:dyDescent="0.3"/>
    <row r="11932" hidden="1" x14ac:dyDescent="0.3"/>
    <row r="11933" hidden="1" x14ac:dyDescent="0.3"/>
    <row r="11934" hidden="1" x14ac:dyDescent="0.3"/>
    <row r="11935" hidden="1" x14ac:dyDescent="0.3"/>
    <row r="11936" hidden="1" x14ac:dyDescent="0.3"/>
    <row r="11937" hidden="1" x14ac:dyDescent="0.3"/>
    <row r="11938" hidden="1" x14ac:dyDescent="0.3"/>
    <row r="11939" hidden="1" x14ac:dyDescent="0.3"/>
    <row r="11940" hidden="1" x14ac:dyDescent="0.3"/>
    <row r="11941" hidden="1" x14ac:dyDescent="0.3"/>
    <row r="11942" hidden="1" x14ac:dyDescent="0.3"/>
    <row r="11943" hidden="1" x14ac:dyDescent="0.3"/>
    <row r="11944" hidden="1" x14ac:dyDescent="0.3"/>
    <row r="11945" hidden="1" x14ac:dyDescent="0.3"/>
    <row r="11946" hidden="1" x14ac:dyDescent="0.3"/>
    <row r="11947" hidden="1" x14ac:dyDescent="0.3"/>
    <row r="11948" hidden="1" x14ac:dyDescent="0.3"/>
    <row r="11949" hidden="1" x14ac:dyDescent="0.3"/>
    <row r="11950" hidden="1" x14ac:dyDescent="0.3"/>
    <row r="11951" hidden="1" x14ac:dyDescent="0.3"/>
    <row r="11952" hidden="1" x14ac:dyDescent="0.3"/>
    <row r="11953" hidden="1" x14ac:dyDescent="0.3"/>
    <row r="11954" hidden="1" x14ac:dyDescent="0.3"/>
    <row r="11955" hidden="1" x14ac:dyDescent="0.3"/>
    <row r="11956" hidden="1" x14ac:dyDescent="0.3"/>
    <row r="11957" hidden="1" x14ac:dyDescent="0.3"/>
    <row r="11958" hidden="1" x14ac:dyDescent="0.3"/>
    <row r="11959" hidden="1" x14ac:dyDescent="0.3"/>
    <row r="11960" hidden="1" x14ac:dyDescent="0.3"/>
    <row r="11961" hidden="1" x14ac:dyDescent="0.3"/>
    <row r="11962" hidden="1" x14ac:dyDescent="0.3"/>
    <row r="11963" hidden="1" x14ac:dyDescent="0.3"/>
    <row r="11964" hidden="1" x14ac:dyDescent="0.3"/>
    <row r="11965" hidden="1" x14ac:dyDescent="0.3"/>
    <row r="11966" hidden="1" x14ac:dyDescent="0.3"/>
    <row r="11967" hidden="1" x14ac:dyDescent="0.3"/>
    <row r="11968" hidden="1" x14ac:dyDescent="0.3"/>
    <row r="11969" hidden="1" x14ac:dyDescent="0.3"/>
    <row r="11970" hidden="1" x14ac:dyDescent="0.3"/>
    <row r="11971" hidden="1" x14ac:dyDescent="0.3"/>
    <row r="11972" hidden="1" x14ac:dyDescent="0.3"/>
    <row r="11973" hidden="1" x14ac:dyDescent="0.3"/>
    <row r="11974" hidden="1" x14ac:dyDescent="0.3"/>
    <row r="11975" hidden="1" x14ac:dyDescent="0.3"/>
    <row r="11976" hidden="1" x14ac:dyDescent="0.3"/>
    <row r="11977" hidden="1" x14ac:dyDescent="0.3"/>
    <row r="11978" hidden="1" x14ac:dyDescent="0.3"/>
    <row r="11979" hidden="1" x14ac:dyDescent="0.3"/>
    <row r="11980" hidden="1" x14ac:dyDescent="0.3"/>
    <row r="11981" hidden="1" x14ac:dyDescent="0.3"/>
    <row r="11982" hidden="1" x14ac:dyDescent="0.3"/>
    <row r="11983" hidden="1" x14ac:dyDescent="0.3"/>
    <row r="11984" hidden="1" x14ac:dyDescent="0.3"/>
    <row r="11985" hidden="1" x14ac:dyDescent="0.3"/>
    <row r="11986" hidden="1" x14ac:dyDescent="0.3"/>
    <row r="11987" hidden="1" x14ac:dyDescent="0.3"/>
    <row r="11988" hidden="1" x14ac:dyDescent="0.3"/>
    <row r="11989" hidden="1" x14ac:dyDescent="0.3"/>
    <row r="11990" hidden="1" x14ac:dyDescent="0.3"/>
    <row r="11991" hidden="1" x14ac:dyDescent="0.3"/>
    <row r="11992" hidden="1" x14ac:dyDescent="0.3"/>
    <row r="11993" hidden="1" x14ac:dyDescent="0.3"/>
    <row r="11994" hidden="1" x14ac:dyDescent="0.3"/>
    <row r="11995" hidden="1" x14ac:dyDescent="0.3"/>
    <row r="11996" hidden="1" x14ac:dyDescent="0.3"/>
    <row r="11997" hidden="1" x14ac:dyDescent="0.3"/>
    <row r="11998" hidden="1" x14ac:dyDescent="0.3"/>
    <row r="11999" hidden="1" x14ac:dyDescent="0.3"/>
    <row r="12000" hidden="1" x14ac:dyDescent="0.3"/>
    <row r="12001" hidden="1" x14ac:dyDescent="0.3"/>
    <row r="12002" hidden="1" x14ac:dyDescent="0.3"/>
    <row r="12003" hidden="1" x14ac:dyDescent="0.3"/>
    <row r="12004" hidden="1" x14ac:dyDescent="0.3"/>
    <row r="12005" hidden="1" x14ac:dyDescent="0.3"/>
    <row r="12006" hidden="1" x14ac:dyDescent="0.3"/>
    <row r="12007" hidden="1" x14ac:dyDescent="0.3"/>
    <row r="12008" hidden="1" x14ac:dyDescent="0.3"/>
    <row r="12009" hidden="1" x14ac:dyDescent="0.3"/>
    <row r="12010" hidden="1" x14ac:dyDescent="0.3"/>
    <row r="12011" hidden="1" x14ac:dyDescent="0.3"/>
    <row r="12012" hidden="1" x14ac:dyDescent="0.3"/>
    <row r="12013" hidden="1" x14ac:dyDescent="0.3"/>
    <row r="12014" hidden="1" x14ac:dyDescent="0.3"/>
    <row r="12015" hidden="1" x14ac:dyDescent="0.3"/>
    <row r="12016" hidden="1" x14ac:dyDescent="0.3"/>
    <row r="12017" hidden="1" x14ac:dyDescent="0.3"/>
    <row r="12018" hidden="1" x14ac:dyDescent="0.3"/>
    <row r="12019" hidden="1" x14ac:dyDescent="0.3"/>
    <row r="12020" hidden="1" x14ac:dyDescent="0.3"/>
    <row r="12021" hidden="1" x14ac:dyDescent="0.3"/>
    <row r="12022" hidden="1" x14ac:dyDescent="0.3"/>
    <row r="12023" hidden="1" x14ac:dyDescent="0.3"/>
    <row r="12024" hidden="1" x14ac:dyDescent="0.3"/>
    <row r="12025" hidden="1" x14ac:dyDescent="0.3"/>
    <row r="12026" hidden="1" x14ac:dyDescent="0.3"/>
    <row r="12027" hidden="1" x14ac:dyDescent="0.3"/>
    <row r="12028" hidden="1" x14ac:dyDescent="0.3"/>
    <row r="12029" hidden="1" x14ac:dyDescent="0.3"/>
    <row r="12030" hidden="1" x14ac:dyDescent="0.3"/>
    <row r="12031" hidden="1" x14ac:dyDescent="0.3"/>
    <row r="12032" hidden="1" x14ac:dyDescent="0.3"/>
    <row r="12033" hidden="1" x14ac:dyDescent="0.3"/>
    <row r="12034" hidden="1" x14ac:dyDescent="0.3"/>
    <row r="12035" hidden="1" x14ac:dyDescent="0.3"/>
    <row r="12036" hidden="1" x14ac:dyDescent="0.3"/>
    <row r="12037" hidden="1" x14ac:dyDescent="0.3"/>
    <row r="12038" hidden="1" x14ac:dyDescent="0.3"/>
    <row r="12039" hidden="1" x14ac:dyDescent="0.3"/>
    <row r="12040" hidden="1" x14ac:dyDescent="0.3"/>
    <row r="12041" hidden="1" x14ac:dyDescent="0.3"/>
    <row r="12042" hidden="1" x14ac:dyDescent="0.3"/>
    <row r="12043" hidden="1" x14ac:dyDescent="0.3"/>
    <row r="12044" hidden="1" x14ac:dyDescent="0.3"/>
    <row r="12045" hidden="1" x14ac:dyDescent="0.3"/>
    <row r="12046" hidden="1" x14ac:dyDescent="0.3"/>
    <row r="12047" hidden="1" x14ac:dyDescent="0.3"/>
    <row r="12048" hidden="1" x14ac:dyDescent="0.3"/>
    <row r="12049" hidden="1" x14ac:dyDescent="0.3"/>
    <row r="12050" hidden="1" x14ac:dyDescent="0.3"/>
    <row r="12051" hidden="1" x14ac:dyDescent="0.3"/>
    <row r="12052" hidden="1" x14ac:dyDescent="0.3"/>
    <row r="12053" hidden="1" x14ac:dyDescent="0.3"/>
    <row r="12054" hidden="1" x14ac:dyDescent="0.3"/>
    <row r="12055" hidden="1" x14ac:dyDescent="0.3"/>
    <row r="12056" hidden="1" x14ac:dyDescent="0.3"/>
    <row r="12057" hidden="1" x14ac:dyDescent="0.3"/>
    <row r="12058" hidden="1" x14ac:dyDescent="0.3"/>
    <row r="12059" hidden="1" x14ac:dyDescent="0.3"/>
    <row r="12060" hidden="1" x14ac:dyDescent="0.3"/>
    <row r="12061" hidden="1" x14ac:dyDescent="0.3"/>
    <row r="12062" hidden="1" x14ac:dyDescent="0.3"/>
    <row r="12063" hidden="1" x14ac:dyDescent="0.3"/>
    <row r="12064" hidden="1" x14ac:dyDescent="0.3"/>
    <row r="12065" hidden="1" x14ac:dyDescent="0.3"/>
    <row r="12066" hidden="1" x14ac:dyDescent="0.3"/>
    <row r="12067" hidden="1" x14ac:dyDescent="0.3"/>
    <row r="12068" hidden="1" x14ac:dyDescent="0.3"/>
    <row r="12069" hidden="1" x14ac:dyDescent="0.3"/>
    <row r="12070" hidden="1" x14ac:dyDescent="0.3"/>
    <row r="12071" hidden="1" x14ac:dyDescent="0.3"/>
    <row r="12072" hidden="1" x14ac:dyDescent="0.3"/>
    <row r="12073" hidden="1" x14ac:dyDescent="0.3"/>
    <row r="12074" hidden="1" x14ac:dyDescent="0.3"/>
    <row r="12075" hidden="1" x14ac:dyDescent="0.3"/>
    <row r="12076" hidden="1" x14ac:dyDescent="0.3"/>
    <row r="12077" hidden="1" x14ac:dyDescent="0.3"/>
    <row r="12078" hidden="1" x14ac:dyDescent="0.3"/>
    <row r="12079" hidden="1" x14ac:dyDescent="0.3"/>
    <row r="12080" hidden="1" x14ac:dyDescent="0.3"/>
    <row r="12081" hidden="1" x14ac:dyDescent="0.3"/>
    <row r="12082" hidden="1" x14ac:dyDescent="0.3"/>
    <row r="12083" hidden="1" x14ac:dyDescent="0.3"/>
    <row r="12084" hidden="1" x14ac:dyDescent="0.3"/>
    <row r="12085" hidden="1" x14ac:dyDescent="0.3"/>
    <row r="12086" hidden="1" x14ac:dyDescent="0.3"/>
    <row r="12087" hidden="1" x14ac:dyDescent="0.3"/>
    <row r="12088" hidden="1" x14ac:dyDescent="0.3"/>
    <row r="12089" hidden="1" x14ac:dyDescent="0.3"/>
    <row r="12090" hidden="1" x14ac:dyDescent="0.3"/>
    <row r="12091" hidden="1" x14ac:dyDescent="0.3"/>
    <row r="12092" hidden="1" x14ac:dyDescent="0.3"/>
    <row r="12093" hidden="1" x14ac:dyDescent="0.3"/>
    <row r="12094" hidden="1" x14ac:dyDescent="0.3"/>
    <row r="12095" hidden="1" x14ac:dyDescent="0.3"/>
    <row r="12096" hidden="1" x14ac:dyDescent="0.3"/>
    <row r="12097" hidden="1" x14ac:dyDescent="0.3"/>
    <row r="12098" hidden="1" x14ac:dyDescent="0.3"/>
    <row r="12099" hidden="1" x14ac:dyDescent="0.3"/>
    <row r="12100" hidden="1" x14ac:dyDescent="0.3"/>
    <row r="12101" hidden="1" x14ac:dyDescent="0.3"/>
    <row r="12102" hidden="1" x14ac:dyDescent="0.3"/>
    <row r="12103" hidden="1" x14ac:dyDescent="0.3"/>
    <row r="12104" hidden="1" x14ac:dyDescent="0.3"/>
    <row r="12105" hidden="1" x14ac:dyDescent="0.3"/>
    <row r="12106" hidden="1" x14ac:dyDescent="0.3"/>
    <row r="12107" hidden="1" x14ac:dyDescent="0.3"/>
    <row r="12108" hidden="1" x14ac:dyDescent="0.3"/>
    <row r="12109" hidden="1" x14ac:dyDescent="0.3"/>
    <row r="12110" hidden="1" x14ac:dyDescent="0.3"/>
    <row r="12111" hidden="1" x14ac:dyDescent="0.3"/>
    <row r="12112" hidden="1" x14ac:dyDescent="0.3"/>
    <row r="12113" hidden="1" x14ac:dyDescent="0.3"/>
    <row r="12114" hidden="1" x14ac:dyDescent="0.3"/>
    <row r="12115" hidden="1" x14ac:dyDescent="0.3"/>
    <row r="12116" hidden="1" x14ac:dyDescent="0.3"/>
    <row r="12117" hidden="1" x14ac:dyDescent="0.3"/>
    <row r="12118" hidden="1" x14ac:dyDescent="0.3"/>
    <row r="12119" hidden="1" x14ac:dyDescent="0.3"/>
    <row r="12120" hidden="1" x14ac:dyDescent="0.3"/>
    <row r="12121" hidden="1" x14ac:dyDescent="0.3"/>
    <row r="12122" hidden="1" x14ac:dyDescent="0.3"/>
    <row r="12123" hidden="1" x14ac:dyDescent="0.3"/>
    <row r="12124" hidden="1" x14ac:dyDescent="0.3"/>
    <row r="12125" hidden="1" x14ac:dyDescent="0.3"/>
    <row r="12126" hidden="1" x14ac:dyDescent="0.3"/>
    <row r="12127" hidden="1" x14ac:dyDescent="0.3"/>
    <row r="12128" hidden="1" x14ac:dyDescent="0.3"/>
    <row r="12129" hidden="1" x14ac:dyDescent="0.3"/>
    <row r="12130" hidden="1" x14ac:dyDescent="0.3"/>
    <row r="12131" hidden="1" x14ac:dyDescent="0.3"/>
    <row r="12132" hidden="1" x14ac:dyDescent="0.3"/>
    <row r="12133" hidden="1" x14ac:dyDescent="0.3"/>
    <row r="12134" hidden="1" x14ac:dyDescent="0.3"/>
    <row r="12135" hidden="1" x14ac:dyDescent="0.3"/>
    <row r="12136" hidden="1" x14ac:dyDescent="0.3"/>
    <row r="12137" hidden="1" x14ac:dyDescent="0.3"/>
    <row r="12138" hidden="1" x14ac:dyDescent="0.3"/>
    <row r="12139" hidden="1" x14ac:dyDescent="0.3"/>
    <row r="12140" hidden="1" x14ac:dyDescent="0.3"/>
    <row r="12141" hidden="1" x14ac:dyDescent="0.3"/>
    <row r="12142" hidden="1" x14ac:dyDescent="0.3"/>
    <row r="12143" hidden="1" x14ac:dyDescent="0.3"/>
    <row r="12144" hidden="1" x14ac:dyDescent="0.3"/>
    <row r="12145" hidden="1" x14ac:dyDescent="0.3"/>
    <row r="12146" hidden="1" x14ac:dyDescent="0.3"/>
    <row r="12147" hidden="1" x14ac:dyDescent="0.3"/>
    <row r="12148" hidden="1" x14ac:dyDescent="0.3"/>
    <row r="12149" hidden="1" x14ac:dyDescent="0.3"/>
    <row r="12150" hidden="1" x14ac:dyDescent="0.3"/>
    <row r="12151" hidden="1" x14ac:dyDescent="0.3"/>
    <row r="12152" hidden="1" x14ac:dyDescent="0.3"/>
    <row r="12153" hidden="1" x14ac:dyDescent="0.3"/>
    <row r="12154" hidden="1" x14ac:dyDescent="0.3"/>
    <row r="12155" hidden="1" x14ac:dyDescent="0.3"/>
    <row r="12156" hidden="1" x14ac:dyDescent="0.3"/>
    <row r="12157" hidden="1" x14ac:dyDescent="0.3"/>
    <row r="12158" hidden="1" x14ac:dyDescent="0.3"/>
    <row r="12159" hidden="1" x14ac:dyDescent="0.3"/>
    <row r="12160" hidden="1" x14ac:dyDescent="0.3"/>
    <row r="12161" hidden="1" x14ac:dyDescent="0.3"/>
    <row r="12162" hidden="1" x14ac:dyDescent="0.3"/>
    <row r="12163" hidden="1" x14ac:dyDescent="0.3"/>
    <row r="12164" hidden="1" x14ac:dyDescent="0.3"/>
    <row r="12165" hidden="1" x14ac:dyDescent="0.3"/>
    <row r="12166" hidden="1" x14ac:dyDescent="0.3"/>
    <row r="12167" hidden="1" x14ac:dyDescent="0.3"/>
    <row r="12168" hidden="1" x14ac:dyDescent="0.3"/>
    <row r="12169" hidden="1" x14ac:dyDescent="0.3"/>
    <row r="12170" hidden="1" x14ac:dyDescent="0.3"/>
    <row r="12171" hidden="1" x14ac:dyDescent="0.3"/>
    <row r="12172" hidden="1" x14ac:dyDescent="0.3"/>
    <row r="12173" hidden="1" x14ac:dyDescent="0.3"/>
    <row r="12174" hidden="1" x14ac:dyDescent="0.3"/>
    <row r="12175" hidden="1" x14ac:dyDescent="0.3"/>
    <row r="12176" hidden="1" x14ac:dyDescent="0.3"/>
    <row r="12177" hidden="1" x14ac:dyDescent="0.3"/>
    <row r="12178" hidden="1" x14ac:dyDescent="0.3"/>
    <row r="12179" hidden="1" x14ac:dyDescent="0.3"/>
    <row r="12180" hidden="1" x14ac:dyDescent="0.3"/>
    <row r="12181" hidden="1" x14ac:dyDescent="0.3"/>
    <row r="12182" hidden="1" x14ac:dyDescent="0.3"/>
    <row r="12183" hidden="1" x14ac:dyDescent="0.3"/>
    <row r="12184" hidden="1" x14ac:dyDescent="0.3"/>
    <row r="12185" hidden="1" x14ac:dyDescent="0.3"/>
    <row r="12186" hidden="1" x14ac:dyDescent="0.3"/>
    <row r="12187" hidden="1" x14ac:dyDescent="0.3"/>
    <row r="12188" hidden="1" x14ac:dyDescent="0.3"/>
    <row r="12189" hidden="1" x14ac:dyDescent="0.3"/>
    <row r="12190" hidden="1" x14ac:dyDescent="0.3"/>
    <row r="12191" hidden="1" x14ac:dyDescent="0.3"/>
    <row r="12192" hidden="1" x14ac:dyDescent="0.3"/>
    <row r="12193" hidden="1" x14ac:dyDescent="0.3"/>
    <row r="12194" hidden="1" x14ac:dyDescent="0.3"/>
    <row r="12195" hidden="1" x14ac:dyDescent="0.3"/>
    <row r="12196" hidden="1" x14ac:dyDescent="0.3"/>
    <row r="12197" hidden="1" x14ac:dyDescent="0.3"/>
    <row r="12198" hidden="1" x14ac:dyDescent="0.3"/>
    <row r="12199" hidden="1" x14ac:dyDescent="0.3"/>
    <row r="12200" hidden="1" x14ac:dyDescent="0.3"/>
    <row r="12201" hidden="1" x14ac:dyDescent="0.3"/>
    <row r="12202" hidden="1" x14ac:dyDescent="0.3"/>
    <row r="12203" hidden="1" x14ac:dyDescent="0.3"/>
    <row r="12204" hidden="1" x14ac:dyDescent="0.3"/>
    <row r="12205" hidden="1" x14ac:dyDescent="0.3"/>
    <row r="12206" hidden="1" x14ac:dyDescent="0.3"/>
    <row r="12207" hidden="1" x14ac:dyDescent="0.3"/>
    <row r="12208" hidden="1" x14ac:dyDescent="0.3"/>
    <row r="12209" hidden="1" x14ac:dyDescent="0.3"/>
    <row r="12210" hidden="1" x14ac:dyDescent="0.3"/>
    <row r="12211" hidden="1" x14ac:dyDescent="0.3"/>
    <row r="12212" hidden="1" x14ac:dyDescent="0.3"/>
    <row r="12213" hidden="1" x14ac:dyDescent="0.3"/>
    <row r="12214" hidden="1" x14ac:dyDescent="0.3"/>
    <row r="12215" hidden="1" x14ac:dyDescent="0.3"/>
    <row r="12216" hidden="1" x14ac:dyDescent="0.3"/>
    <row r="12217" hidden="1" x14ac:dyDescent="0.3"/>
    <row r="12218" hidden="1" x14ac:dyDescent="0.3"/>
    <row r="12219" hidden="1" x14ac:dyDescent="0.3"/>
    <row r="12220" hidden="1" x14ac:dyDescent="0.3"/>
    <row r="12221" hidden="1" x14ac:dyDescent="0.3"/>
    <row r="12222" hidden="1" x14ac:dyDescent="0.3"/>
    <row r="12223" hidden="1" x14ac:dyDescent="0.3"/>
    <row r="12224" hidden="1" x14ac:dyDescent="0.3"/>
    <row r="12225" hidden="1" x14ac:dyDescent="0.3"/>
    <row r="12226" hidden="1" x14ac:dyDescent="0.3"/>
    <row r="12227" hidden="1" x14ac:dyDescent="0.3"/>
    <row r="12228" hidden="1" x14ac:dyDescent="0.3"/>
    <row r="12229" hidden="1" x14ac:dyDescent="0.3"/>
    <row r="12230" hidden="1" x14ac:dyDescent="0.3"/>
    <row r="12231" hidden="1" x14ac:dyDescent="0.3"/>
    <row r="12232" hidden="1" x14ac:dyDescent="0.3"/>
    <row r="12233" hidden="1" x14ac:dyDescent="0.3"/>
    <row r="12234" hidden="1" x14ac:dyDescent="0.3"/>
    <row r="12235" hidden="1" x14ac:dyDescent="0.3"/>
    <row r="12236" hidden="1" x14ac:dyDescent="0.3"/>
    <row r="12237" hidden="1" x14ac:dyDescent="0.3"/>
    <row r="12238" hidden="1" x14ac:dyDescent="0.3"/>
    <row r="12239" hidden="1" x14ac:dyDescent="0.3"/>
    <row r="12240" hidden="1" x14ac:dyDescent="0.3"/>
    <row r="12241" hidden="1" x14ac:dyDescent="0.3"/>
    <row r="12242" hidden="1" x14ac:dyDescent="0.3"/>
    <row r="12243" hidden="1" x14ac:dyDescent="0.3"/>
    <row r="12244" hidden="1" x14ac:dyDescent="0.3"/>
    <row r="12245" hidden="1" x14ac:dyDescent="0.3"/>
    <row r="12246" hidden="1" x14ac:dyDescent="0.3"/>
    <row r="12247" hidden="1" x14ac:dyDescent="0.3"/>
    <row r="12248" hidden="1" x14ac:dyDescent="0.3"/>
    <row r="12249" hidden="1" x14ac:dyDescent="0.3"/>
    <row r="12250" hidden="1" x14ac:dyDescent="0.3"/>
    <row r="12251" hidden="1" x14ac:dyDescent="0.3"/>
    <row r="12252" hidden="1" x14ac:dyDescent="0.3"/>
    <row r="12253" hidden="1" x14ac:dyDescent="0.3"/>
    <row r="12254" hidden="1" x14ac:dyDescent="0.3"/>
    <row r="12255" hidden="1" x14ac:dyDescent="0.3"/>
    <row r="12256" hidden="1" x14ac:dyDescent="0.3"/>
    <row r="12257" hidden="1" x14ac:dyDescent="0.3"/>
    <row r="12258" hidden="1" x14ac:dyDescent="0.3"/>
    <row r="12259" hidden="1" x14ac:dyDescent="0.3"/>
    <row r="12260" hidden="1" x14ac:dyDescent="0.3"/>
    <row r="12261" hidden="1" x14ac:dyDescent="0.3"/>
    <row r="12262" hidden="1" x14ac:dyDescent="0.3"/>
    <row r="12263" hidden="1" x14ac:dyDescent="0.3"/>
    <row r="12264" hidden="1" x14ac:dyDescent="0.3"/>
    <row r="12265" hidden="1" x14ac:dyDescent="0.3"/>
    <row r="12266" hidden="1" x14ac:dyDescent="0.3"/>
    <row r="12267" hidden="1" x14ac:dyDescent="0.3"/>
    <row r="12268" hidden="1" x14ac:dyDescent="0.3"/>
    <row r="12269" hidden="1" x14ac:dyDescent="0.3"/>
    <row r="12270" hidden="1" x14ac:dyDescent="0.3"/>
    <row r="12271" hidden="1" x14ac:dyDescent="0.3"/>
    <row r="12272" hidden="1" x14ac:dyDescent="0.3"/>
    <row r="12273" hidden="1" x14ac:dyDescent="0.3"/>
    <row r="12274" hidden="1" x14ac:dyDescent="0.3"/>
    <row r="12275" hidden="1" x14ac:dyDescent="0.3"/>
    <row r="12276" hidden="1" x14ac:dyDescent="0.3"/>
    <row r="12277" hidden="1" x14ac:dyDescent="0.3"/>
    <row r="12278" hidden="1" x14ac:dyDescent="0.3"/>
    <row r="12279" hidden="1" x14ac:dyDescent="0.3"/>
    <row r="12280" hidden="1" x14ac:dyDescent="0.3"/>
    <row r="12281" hidden="1" x14ac:dyDescent="0.3"/>
    <row r="12282" hidden="1" x14ac:dyDescent="0.3"/>
    <row r="12283" hidden="1" x14ac:dyDescent="0.3"/>
    <row r="12284" hidden="1" x14ac:dyDescent="0.3"/>
    <row r="12285" hidden="1" x14ac:dyDescent="0.3"/>
    <row r="12286" hidden="1" x14ac:dyDescent="0.3"/>
    <row r="12287" hidden="1" x14ac:dyDescent="0.3"/>
    <row r="12288" hidden="1" x14ac:dyDescent="0.3"/>
    <row r="12289" hidden="1" x14ac:dyDescent="0.3"/>
    <row r="12290" hidden="1" x14ac:dyDescent="0.3"/>
    <row r="12291" hidden="1" x14ac:dyDescent="0.3"/>
    <row r="12292" hidden="1" x14ac:dyDescent="0.3"/>
    <row r="12293" hidden="1" x14ac:dyDescent="0.3"/>
    <row r="12294" hidden="1" x14ac:dyDescent="0.3"/>
    <row r="12295" hidden="1" x14ac:dyDescent="0.3"/>
    <row r="12296" hidden="1" x14ac:dyDescent="0.3"/>
    <row r="12297" hidden="1" x14ac:dyDescent="0.3"/>
    <row r="12298" hidden="1" x14ac:dyDescent="0.3"/>
    <row r="12299" hidden="1" x14ac:dyDescent="0.3"/>
    <row r="12300" hidden="1" x14ac:dyDescent="0.3"/>
    <row r="12301" hidden="1" x14ac:dyDescent="0.3"/>
    <row r="12302" hidden="1" x14ac:dyDescent="0.3"/>
    <row r="12303" hidden="1" x14ac:dyDescent="0.3"/>
    <row r="12304" hidden="1" x14ac:dyDescent="0.3"/>
    <row r="12305" hidden="1" x14ac:dyDescent="0.3"/>
    <row r="12306" hidden="1" x14ac:dyDescent="0.3"/>
    <row r="12307" hidden="1" x14ac:dyDescent="0.3"/>
    <row r="12308" hidden="1" x14ac:dyDescent="0.3"/>
    <row r="12309" hidden="1" x14ac:dyDescent="0.3"/>
    <row r="12310" hidden="1" x14ac:dyDescent="0.3"/>
    <row r="12311" hidden="1" x14ac:dyDescent="0.3"/>
    <row r="12312" hidden="1" x14ac:dyDescent="0.3"/>
    <row r="12313" hidden="1" x14ac:dyDescent="0.3"/>
    <row r="12314" hidden="1" x14ac:dyDescent="0.3"/>
    <row r="12315" hidden="1" x14ac:dyDescent="0.3"/>
    <row r="12316" hidden="1" x14ac:dyDescent="0.3"/>
    <row r="12317" hidden="1" x14ac:dyDescent="0.3"/>
    <row r="12318" hidden="1" x14ac:dyDescent="0.3"/>
    <row r="12319" hidden="1" x14ac:dyDescent="0.3"/>
    <row r="12320" hidden="1" x14ac:dyDescent="0.3"/>
    <row r="12321" hidden="1" x14ac:dyDescent="0.3"/>
    <row r="12322" hidden="1" x14ac:dyDescent="0.3"/>
    <row r="12323" hidden="1" x14ac:dyDescent="0.3"/>
    <row r="12324" hidden="1" x14ac:dyDescent="0.3"/>
    <row r="12325" hidden="1" x14ac:dyDescent="0.3"/>
    <row r="12326" hidden="1" x14ac:dyDescent="0.3"/>
    <row r="12327" hidden="1" x14ac:dyDescent="0.3"/>
    <row r="12328" hidden="1" x14ac:dyDescent="0.3"/>
    <row r="12329" hidden="1" x14ac:dyDescent="0.3"/>
    <row r="12330" hidden="1" x14ac:dyDescent="0.3"/>
    <row r="12331" hidden="1" x14ac:dyDescent="0.3"/>
    <row r="12332" hidden="1" x14ac:dyDescent="0.3"/>
    <row r="12333" hidden="1" x14ac:dyDescent="0.3"/>
    <row r="12334" hidden="1" x14ac:dyDescent="0.3"/>
    <row r="12335" hidden="1" x14ac:dyDescent="0.3"/>
    <row r="12336" hidden="1" x14ac:dyDescent="0.3"/>
    <row r="12337" hidden="1" x14ac:dyDescent="0.3"/>
    <row r="12338" hidden="1" x14ac:dyDescent="0.3"/>
    <row r="12339" hidden="1" x14ac:dyDescent="0.3"/>
    <row r="12340" hidden="1" x14ac:dyDescent="0.3"/>
    <row r="12341" hidden="1" x14ac:dyDescent="0.3"/>
    <row r="12342" hidden="1" x14ac:dyDescent="0.3"/>
    <row r="12343" hidden="1" x14ac:dyDescent="0.3"/>
    <row r="12344" hidden="1" x14ac:dyDescent="0.3"/>
    <row r="12345" hidden="1" x14ac:dyDescent="0.3"/>
    <row r="12346" hidden="1" x14ac:dyDescent="0.3"/>
    <row r="12347" hidden="1" x14ac:dyDescent="0.3"/>
    <row r="12348" hidden="1" x14ac:dyDescent="0.3"/>
    <row r="12349" hidden="1" x14ac:dyDescent="0.3"/>
    <row r="12350" hidden="1" x14ac:dyDescent="0.3"/>
    <row r="12351" hidden="1" x14ac:dyDescent="0.3"/>
    <row r="12352" hidden="1" x14ac:dyDescent="0.3"/>
    <row r="12353" hidden="1" x14ac:dyDescent="0.3"/>
    <row r="12354" hidden="1" x14ac:dyDescent="0.3"/>
    <row r="12355" hidden="1" x14ac:dyDescent="0.3"/>
    <row r="12356" hidden="1" x14ac:dyDescent="0.3"/>
    <row r="12357" hidden="1" x14ac:dyDescent="0.3"/>
    <row r="12358" hidden="1" x14ac:dyDescent="0.3"/>
    <row r="12359" hidden="1" x14ac:dyDescent="0.3"/>
    <row r="12360" hidden="1" x14ac:dyDescent="0.3"/>
    <row r="12361" hidden="1" x14ac:dyDescent="0.3"/>
    <row r="12362" hidden="1" x14ac:dyDescent="0.3"/>
    <row r="12363" hidden="1" x14ac:dyDescent="0.3"/>
    <row r="12364" hidden="1" x14ac:dyDescent="0.3"/>
    <row r="12365" hidden="1" x14ac:dyDescent="0.3"/>
    <row r="12366" hidden="1" x14ac:dyDescent="0.3"/>
    <row r="12367" hidden="1" x14ac:dyDescent="0.3"/>
    <row r="12368" hidden="1" x14ac:dyDescent="0.3"/>
    <row r="12369" hidden="1" x14ac:dyDescent="0.3"/>
    <row r="12370" hidden="1" x14ac:dyDescent="0.3"/>
    <row r="12371" hidden="1" x14ac:dyDescent="0.3"/>
    <row r="12372" hidden="1" x14ac:dyDescent="0.3"/>
    <row r="12373" hidden="1" x14ac:dyDescent="0.3"/>
    <row r="12374" hidden="1" x14ac:dyDescent="0.3"/>
    <row r="12375" hidden="1" x14ac:dyDescent="0.3"/>
    <row r="12376" hidden="1" x14ac:dyDescent="0.3"/>
    <row r="12377" hidden="1" x14ac:dyDescent="0.3"/>
    <row r="12378" hidden="1" x14ac:dyDescent="0.3"/>
    <row r="12379" hidden="1" x14ac:dyDescent="0.3"/>
    <row r="12380" hidden="1" x14ac:dyDescent="0.3"/>
    <row r="12381" hidden="1" x14ac:dyDescent="0.3"/>
    <row r="12382" hidden="1" x14ac:dyDescent="0.3"/>
    <row r="12383" hidden="1" x14ac:dyDescent="0.3"/>
    <row r="12384" hidden="1" x14ac:dyDescent="0.3"/>
    <row r="12385" hidden="1" x14ac:dyDescent="0.3"/>
    <row r="12386" hidden="1" x14ac:dyDescent="0.3"/>
    <row r="12387" hidden="1" x14ac:dyDescent="0.3"/>
    <row r="12388" hidden="1" x14ac:dyDescent="0.3"/>
    <row r="12389" hidden="1" x14ac:dyDescent="0.3"/>
    <row r="12390" hidden="1" x14ac:dyDescent="0.3"/>
    <row r="12391" hidden="1" x14ac:dyDescent="0.3"/>
    <row r="12392" hidden="1" x14ac:dyDescent="0.3"/>
    <row r="12393" hidden="1" x14ac:dyDescent="0.3"/>
    <row r="12394" hidden="1" x14ac:dyDescent="0.3"/>
    <row r="12395" hidden="1" x14ac:dyDescent="0.3"/>
    <row r="12396" hidden="1" x14ac:dyDescent="0.3"/>
    <row r="12397" hidden="1" x14ac:dyDescent="0.3"/>
    <row r="12398" hidden="1" x14ac:dyDescent="0.3"/>
    <row r="12399" hidden="1" x14ac:dyDescent="0.3"/>
    <row r="12400" hidden="1" x14ac:dyDescent="0.3"/>
    <row r="12401" hidden="1" x14ac:dyDescent="0.3"/>
    <row r="12402" hidden="1" x14ac:dyDescent="0.3"/>
    <row r="12403" hidden="1" x14ac:dyDescent="0.3"/>
    <row r="12404" hidden="1" x14ac:dyDescent="0.3"/>
    <row r="12405" hidden="1" x14ac:dyDescent="0.3"/>
    <row r="12406" hidden="1" x14ac:dyDescent="0.3"/>
    <row r="12407" hidden="1" x14ac:dyDescent="0.3"/>
    <row r="12408" hidden="1" x14ac:dyDescent="0.3"/>
    <row r="12409" hidden="1" x14ac:dyDescent="0.3"/>
    <row r="12410" hidden="1" x14ac:dyDescent="0.3"/>
    <row r="12411" hidden="1" x14ac:dyDescent="0.3"/>
    <row r="12412" hidden="1" x14ac:dyDescent="0.3"/>
    <row r="12413" hidden="1" x14ac:dyDescent="0.3"/>
    <row r="12414" hidden="1" x14ac:dyDescent="0.3"/>
    <row r="12415" hidden="1" x14ac:dyDescent="0.3"/>
    <row r="12416" hidden="1" x14ac:dyDescent="0.3"/>
    <row r="12417" hidden="1" x14ac:dyDescent="0.3"/>
    <row r="12418" hidden="1" x14ac:dyDescent="0.3"/>
    <row r="12419" hidden="1" x14ac:dyDescent="0.3"/>
    <row r="12420" hidden="1" x14ac:dyDescent="0.3"/>
    <row r="12421" hidden="1" x14ac:dyDescent="0.3"/>
    <row r="12422" hidden="1" x14ac:dyDescent="0.3"/>
    <row r="12423" hidden="1" x14ac:dyDescent="0.3"/>
    <row r="12424" hidden="1" x14ac:dyDescent="0.3"/>
    <row r="12425" hidden="1" x14ac:dyDescent="0.3"/>
    <row r="12426" hidden="1" x14ac:dyDescent="0.3"/>
    <row r="12427" hidden="1" x14ac:dyDescent="0.3"/>
    <row r="12428" hidden="1" x14ac:dyDescent="0.3"/>
    <row r="12429" hidden="1" x14ac:dyDescent="0.3"/>
    <row r="12430" hidden="1" x14ac:dyDescent="0.3"/>
    <row r="12431" hidden="1" x14ac:dyDescent="0.3"/>
    <row r="12432" hidden="1" x14ac:dyDescent="0.3"/>
    <row r="12433" hidden="1" x14ac:dyDescent="0.3"/>
    <row r="12434" hidden="1" x14ac:dyDescent="0.3"/>
    <row r="12435" hidden="1" x14ac:dyDescent="0.3"/>
    <row r="12436" hidden="1" x14ac:dyDescent="0.3"/>
    <row r="12437" hidden="1" x14ac:dyDescent="0.3"/>
    <row r="12438" hidden="1" x14ac:dyDescent="0.3"/>
    <row r="12439" hidden="1" x14ac:dyDescent="0.3"/>
    <row r="12440" hidden="1" x14ac:dyDescent="0.3"/>
    <row r="12441" hidden="1" x14ac:dyDescent="0.3"/>
    <row r="12442" hidden="1" x14ac:dyDescent="0.3"/>
    <row r="12443" hidden="1" x14ac:dyDescent="0.3"/>
    <row r="12444" hidden="1" x14ac:dyDescent="0.3"/>
    <row r="12445" hidden="1" x14ac:dyDescent="0.3"/>
    <row r="12446" hidden="1" x14ac:dyDescent="0.3"/>
    <row r="12447" hidden="1" x14ac:dyDescent="0.3"/>
    <row r="12448" hidden="1" x14ac:dyDescent="0.3"/>
    <row r="12449" hidden="1" x14ac:dyDescent="0.3"/>
    <row r="12450" hidden="1" x14ac:dyDescent="0.3"/>
    <row r="12451" hidden="1" x14ac:dyDescent="0.3"/>
    <row r="12452" hidden="1" x14ac:dyDescent="0.3"/>
    <row r="12453" hidden="1" x14ac:dyDescent="0.3"/>
    <row r="12454" hidden="1" x14ac:dyDescent="0.3"/>
    <row r="12455" hidden="1" x14ac:dyDescent="0.3"/>
    <row r="12456" hidden="1" x14ac:dyDescent="0.3"/>
    <row r="12457" hidden="1" x14ac:dyDescent="0.3"/>
    <row r="12458" hidden="1" x14ac:dyDescent="0.3"/>
    <row r="12459" hidden="1" x14ac:dyDescent="0.3"/>
    <row r="12460" hidden="1" x14ac:dyDescent="0.3"/>
    <row r="12461" hidden="1" x14ac:dyDescent="0.3"/>
    <row r="12462" hidden="1" x14ac:dyDescent="0.3"/>
    <row r="12463" hidden="1" x14ac:dyDescent="0.3"/>
    <row r="12464" hidden="1" x14ac:dyDescent="0.3"/>
    <row r="12465" hidden="1" x14ac:dyDescent="0.3"/>
    <row r="12466" hidden="1" x14ac:dyDescent="0.3"/>
    <row r="12467" hidden="1" x14ac:dyDescent="0.3"/>
    <row r="12468" hidden="1" x14ac:dyDescent="0.3"/>
    <row r="12469" hidden="1" x14ac:dyDescent="0.3"/>
    <row r="12470" hidden="1" x14ac:dyDescent="0.3"/>
    <row r="12471" hidden="1" x14ac:dyDescent="0.3"/>
    <row r="12472" hidden="1" x14ac:dyDescent="0.3"/>
    <row r="12473" hidden="1" x14ac:dyDescent="0.3"/>
    <row r="12474" hidden="1" x14ac:dyDescent="0.3"/>
    <row r="12475" hidden="1" x14ac:dyDescent="0.3"/>
    <row r="12476" hidden="1" x14ac:dyDescent="0.3"/>
    <row r="12477" hidden="1" x14ac:dyDescent="0.3"/>
    <row r="12478" hidden="1" x14ac:dyDescent="0.3"/>
    <row r="12479" hidden="1" x14ac:dyDescent="0.3"/>
    <row r="12480" hidden="1" x14ac:dyDescent="0.3"/>
    <row r="12481" hidden="1" x14ac:dyDescent="0.3"/>
    <row r="12482" hidden="1" x14ac:dyDescent="0.3"/>
    <row r="12483" hidden="1" x14ac:dyDescent="0.3"/>
    <row r="12484" hidden="1" x14ac:dyDescent="0.3"/>
    <row r="12485" hidden="1" x14ac:dyDescent="0.3"/>
    <row r="12486" hidden="1" x14ac:dyDescent="0.3"/>
    <row r="12487" hidden="1" x14ac:dyDescent="0.3"/>
    <row r="12488" hidden="1" x14ac:dyDescent="0.3"/>
    <row r="12489" hidden="1" x14ac:dyDescent="0.3"/>
    <row r="12490" hidden="1" x14ac:dyDescent="0.3"/>
    <row r="12491" hidden="1" x14ac:dyDescent="0.3"/>
    <row r="12492" hidden="1" x14ac:dyDescent="0.3"/>
    <row r="12493" hidden="1" x14ac:dyDescent="0.3"/>
    <row r="12494" hidden="1" x14ac:dyDescent="0.3"/>
    <row r="12495" hidden="1" x14ac:dyDescent="0.3"/>
    <row r="12496" hidden="1" x14ac:dyDescent="0.3"/>
    <row r="12497" hidden="1" x14ac:dyDescent="0.3"/>
    <row r="12498" hidden="1" x14ac:dyDescent="0.3"/>
    <row r="12499" hidden="1" x14ac:dyDescent="0.3"/>
    <row r="12500" hidden="1" x14ac:dyDescent="0.3"/>
    <row r="12501" hidden="1" x14ac:dyDescent="0.3"/>
    <row r="12502" hidden="1" x14ac:dyDescent="0.3"/>
    <row r="12503" hidden="1" x14ac:dyDescent="0.3"/>
    <row r="12504" hidden="1" x14ac:dyDescent="0.3"/>
    <row r="12505" hidden="1" x14ac:dyDescent="0.3"/>
    <row r="12506" hidden="1" x14ac:dyDescent="0.3"/>
    <row r="12507" hidden="1" x14ac:dyDescent="0.3"/>
    <row r="12508" hidden="1" x14ac:dyDescent="0.3"/>
    <row r="12509" hidden="1" x14ac:dyDescent="0.3"/>
    <row r="12510" hidden="1" x14ac:dyDescent="0.3"/>
    <row r="12511" hidden="1" x14ac:dyDescent="0.3"/>
    <row r="12512" hidden="1" x14ac:dyDescent="0.3"/>
    <row r="12513" hidden="1" x14ac:dyDescent="0.3"/>
    <row r="12514" hidden="1" x14ac:dyDescent="0.3"/>
    <row r="12515" hidden="1" x14ac:dyDescent="0.3"/>
    <row r="12516" hidden="1" x14ac:dyDescent="0.3"/>
    <row r="12517" hidden="1" x14ac:dyDescent="0.3"/>
    <row r="12518" hidden="1" x14ac:dyDescent="0.3"/>
    <row r="12519" hidden="1" x14ac:dyDescent="0.3"/>
    <row r="12520" hidden="1" x14ac:dyDescent="0.3"/>
    <row r="12521" hidden="1" x14ac:dyDescent="0.3"/>
    <row r="12522" hidden="1" x14ac:dyDescent="0.3"/>
    <row r="12523" hidden="1" x14ac:dyDescent="0.3"/>
    <row r="12524" hidden="1" x14ac:dyDescent="0.3"/>
    <row r="12525" hidden="1" x14ac:dyDescent="0.3"/>
    <row r="12526" hidden="1" x14ac:dyDescent="0.3"/>
    <row r="12527" hidden="1" x14ac:dyDescent="0.3"/>
    <row r="12528" hidden="1" x14ac:dyDescent="0.3"/>
    <row r="12529" hidden="1" x14ac:dyDescent="0.3"/>
    <row r="12530" hidden="1" x14ac:dyDescent="0.3"/>
    <row r="12531" hidden="1" x14ac:dyDescent="0.3"/>
    <row r="12532" hidden="1" x14ac:dyDescent="0.3"/>
    <row r="12533" hidden="1" x14ac:dyDescent="0.3"/>
    <row r="12534" hidden="1" x14ac:dyDescent="0.3"/>
    <row r="12535" hidden="1" x14ac:dyDescent="0.3"/>
    <row r="12536" hidden="1" x14ac:dyDescent="0.3"/>
    <row r="12537" hidden="1" x14ac:dyDescent="0.3"/>
    <row r="12538" hidden="1" x14ac:dyDescent="0.3"/>
    <row r="12539" hidden="1" x14ac:dyDescent="0.3"/>
    <row r="12540" hidden="1" x14ac:dyDescent="0.3"/>
    <row r="12541" hidden="1" x14ac:dyDescent="0.3"/>
    <row r="12542" hidden="1" x14ac:dyDescent="0.3"/>
    <row r="12543" hidden="1" x14ac:dyDescent="0.3"/>
    <row r="12544" hidden="1" x14ac:dyDescent="0.3"/>
    <row r="12545" hidden="1" x14ac:dyDescent="0.3"/>
    <row r="12546" hidden="1" x14ac:dyDescent="0.3"/>
    <row r="12547" hidden="1" x14ac:dyDescent="0.3"/>
    <row r="12548" hidden="1" x14ac:dyDescent="0.3"/>
    <row r="12549" hidden="1" x14ac:dyDescent="0.3"/>
    <row r="12550" hidden="1" x14ac:dyDescent="0.3"/>
    <row r="12551" hidden="1" x14ac:dyDescent="0.3"/>
    <row r="12552" hidden="1" x14ac:dyDescent="0.3"/>
    <row r="12553" hidden="1" x14ac:dyDescent="0.3"/>
    <row r="12554" hidden="1" x14ac:dyDescent="0.3"/>
    <row r="12555" hidden="1" x14ac:dyDescent="0.3"/>
    <row r="12556" hidden="1" x14ac:dyDescent="0.3"/>
    <row r="12557" hidden="1" x14ac:dyDescent="0.3"/>
    <row r="12558" hidden="1" x14ac:dyDescent="0.3"/>
    <row r="12559" hidden="1" x14ac:dyDescent="0.3"/>
    <row r="12560" hidden="1" x14ac:dyDescent="0.3"/>
    <row r="12561" hidden="1" x14ac:dyDescent="0.3"/>
    <row r="12562" hidden="1" x14ac:dyDescent="0.3"/>
    <row r="12563" hidden="1" x14ac:dyDescent="0.3"/>
    <row r="12564" hidden="1" x14ac:dyDescent="0.3"/>
    <row r="12565" hidden="1" x14ac:dyDescent="0.3"/>
    <row r="12566" hidden="1" x14ac:dyDescent="0.3"/>
    <row r="12567" hidden="1" x14ac:dyDescent="0.3"/>
    <row r="12568" hidden="1" x14ac:dyDescent="0.3"/>
    <row r="12569" hidden="1" x14ac:dyDescent="0.3"/>
    <row r="12570" hidden="1" x14ac:dyDescent="0.3"/>
    <row r="12571" hidden="1" x14ac:dyDescent="0.3"/>
    <row r="12572" hidden="1" x14ac:dyDescent="0.3"/>
    <row r="12573" hidden="1" x14ac:dyDescent="0.3"/>
    <row r="12574" hidden="1" x14ac:dyDescent="0.3"/>
    <row r="12575" hidden="1" x14ac:dyDescent="0.3"/>
    <row r="12576" hidden="1" x14ac:dyDescent="0.3"/>
    <row r="12577" hidden="1" x14ac:dyDescent="0.3"/>
    <row r="12578" hidden="1" x14ac:dyDescent="0.3"/>
    <row r="12579" hidden="1" x14ac:dyDescent="0.3"/>
    <row r="12580" hidden="1" x14ac:dyDescent="0.3"/>
    <row r="12581" hidden="1" x14ac:dyDescent="0.3"/>
    <row r="12582" hidden="1" x14ac:dyDescent="0.3"/>
    <row r="12583" hidden="1" x14ac:dyDescent="0.3"/>
    <row r="12584" hidden="1" x14ac:dyDescent="0.3"/>
    <row r="12585" hidden="1" x14ac:dyDescent="0.3"/>
    <row r="12586" hidden="1" x14ac:dyDescent="0.3"/>
    <row r="12587" hidden="1" x14ac:dyDescent="0.3"/>
    <row r="12588" hidden="1" x14ac:dyDescent="0.3"/>
    <row r="12589" hidden="1" x14ac:dyDescent="0.3"/>
    <row r="12590" hidden="1" x14ac:dyDescent="0.3"/>
    <row r="12591" hidden="1" x14ac:dyDescent="0.3"/>
    <row r="12592" hidden="1" x14ac:dyDescent="0.3"/>
    <row r="12593" hidden="1" x14ac:dyDescent="0.3"/>
    <row r="12594" hidden="1" x14ac:dyDescent="0.3"/>
    <row r="12595" hidden="1" x14ac:dyDescent="0.3"/>
    <row r="12596" hidden="1" x14ac:dyDescent="0.3"/>
    <row r="12597" hidden="1" x14ac:dyDescent="0.3"/>
    <row r="12598" hidden="1" x14ac:dyDescent="0.3"/>
    <row r="12599" hidden="1" x14ac:dyDescent="0.3"/>
    <row r="12600" hidden="1" x14ac:dyDescent="0.3"/>
    <row r="12601" hidden="1" x14ac:dyDescent="0.3"/>
    <row r="12602" hidden="1" x14ac:dyDescent="0.3"/>
    <row r="12603" hidden="1" x14ac:dyDescent="0.3"/>
    <row r="12604" hidden="1" x14ac:dyDescent="0.3"/>
    <row r="12605" hidden="1" x14ac:dyDescent="0.3"/>
    <row r="12606" hidden="1" x14ac:dyDescent="0.3"/>
    <row r="12607" hidden="1" x14ac:dyDescent="0.3"/>
    <row r="12608" hidden="1" x14ac:dyDescent="0.3"/>
    <row r="12609" hidden="1" x14ac:dyDescent="0.3"/>
    <row r="12610" hidden="1" x14ac:dyDescent="0.3"/>
    <row r="12611" hidden="1" x14ac:dyDescent="0.3"/>
    <row r="12612" hidden="1" x14ac:dyDescent="0.3"/>
    <row r="12613" hidden="1" x14ac:dyDescent="0.3"/>
    <row r="12614" hidden="1" x14ac:dyDescent="0.3"/>
    <row r="12615" hidden="1" x14ac:dyDescent="0.3"/>
    <row r="12616" hidden="1" x14ac:dyDescent="0.3"/>
    <row r="12617" hidden="1" x14ac:dyDescent="0.3"/>
    <row r="12618" hidden="1" x14ac:dyDescent="0.3"/>
    <row r="12619" hidden="1" x14ac:dyDescent="0.3"/>
    <row r="12620" hidden="1" x14ac:dyDescent="0.3"/>
    <row r="12621" hidden="1" x14ac:dyDescent="0.3"/>
    <row r="12622" hidden="1" x14ac:dyDescent="0.3"/>
    <row r="12623" hidden="1" x14ac:dyDescent="0.3"/>
    <row r="12624" hidden="1" x14ac:dyDescent="0.3"/>
    <row r="12625" hidden="1" x14ac:dyDescent="0.3"/>
    <row r="12626" hidden="1" x14ac:dyDescent="0.3"/>
    <row r="12627" hidden="1" x14ac:dyDescent="0.3"/>
    <row r="12628" hidden="1" x14ac:dyDescent="0.3"/>
    <row r="12629" hidden="1" x14ac:dyDescent="0.3"/>
    <row r="12630" hidden="1" x14ac:dyDescent="0.3"/>
    <row r="12631" hidden="1" x14ac:dyDescent="0.3"/>
    <row r="12632" hidden="1" x14ac:dyDescent="0.3"/>
    <row r="12633" hidden="1" x14ac:dyDescent="0.3"/>
    <row r="12634" hidden="1" x14ac:dyDescent="0.3"/>
    <row r="12635" hidden="1" x14ac:dyDescent="0.3"/>
    <row r="12636" hidden="1" x14ac:dyDescent="0.3"/>
    <row r="12637" hidden="1" x14ac:dyDescent="0.3"/>
    <row r="12638" hidden="1" x14ac:dyDescent="0.3"/>
    <row r="12639" hidden="1" x14ac:dyDescent="0.3"/>
    <row r="12640" hidden="1" x14ac:dyDescent="0.3"/>
    <row r="12641" hidden="1" x14ac:dyDescent="0.3"/>
    <row r="12642" hidden="1" x14ac:dyDescent="0.3"/>
    <row r="12643" hidden="1" x14ac:dyDescent="0.3"/>
    <row r="12644" hidden="1" x14ac:dyDescent="0.3"/>
    <row r="12645" hidden="1" x14ac:dyDescent="0.3"/>
    <row r="12646" hidden="1" x14ac:dyDescent="0.3"/>
    <row r="12647" hidden="1" x14ac:dyDescent="0.3"/>
    <row r="12648" hidden="1" x14ac:dyDescent="0.3"/>
    <row r="12649" hidden="1" x14ac:dyDescent="0.3"/>
    <row r="12650" hidden="1" x14ac:dyDescent="0.3"/>
    <row r="12651" hidden="1" x14ac:dyDescent="0.3"/>
    <row r="12652" hidden="1" x14ac:dyDescent="0.3"/>
    <row r="12653" hidden="1" x14ac:dyDescent="0.3"/>
    <row r="12654" hidden="1" x14ac:dyDescent="0.3"/>
    <row r="12655" hidden="1" x14ac:dyDescent="0.3"/>
    <row r="12656" hidden="1" x14ac:dyDescent="0.3"/>
    <row r="12657" hidden="1" x14ac:dyDescent="0.3"/>
    <row r="12658" hidden="1" x14ac:dyDescent="0.3"/>
    <row r="12659" hidden="1" x14ac:dyDescent="0.3"/>
    <row r="12660" hidden="1" x14ac:dyDescent="0.3"/>
    <row r="12661" hidden="1" x14ac:dyDescent="0.3"/>
    <row r="12662" hidden="1" x14ac:dyDescent="0.3"/>
    <row r="12663" hidden="1" x14ac:dyDescent="0.3"/>
    <row r="12664" hidden="1" x14ac:dyDescent="0.3"/>
    <row r="12665" hidden="1" x14ac:dyDescent="0.3"/>
    <row r="12666" hidden="1" x14ac:dyDescent="0.3"/>
    <row r="12667" hidden="1" x14ac:dyDescent="0.3"/>
    <row r="12668" hidden="1" x14ac:dyDescent="0.3"/>
    <row r="12669" hidden="1" x14ac:dyDescent="0.3"/>
    <row r="12670" hidden="1" x14ac:dyDescent="0.3"/>
    <row r="12671" hidden="1" x14ac:dyDescent="0.3"/>
    <row r="12672" hidden="1" x14ac:dyDescent="0.3"/>
    <row r="12673" hidden="1" x14ac:dyDescent="0.3"/>
    <row r="12674" hidden="1" x14ac:dyDescent="0.3"/>
    <row r="12675" hidden="1" x14ac:dyDescent="0.3"/>
    <row r="12676" hidden="1" x14ac:dyDescent="0.3"/>
    <row r="12677" hidden="1" x14ac:dyDescent="0.3"/>
    <row r="12678" hidden="1" x14ac:dyDescent="0.3"/>
    <row r="12679" hidden="1" x14ac:dyDescent="0.3"/>
    <row r="12680" hidden="1" x14ac:dyDescent="0.3"/>
    <row r="12681" hidden="1" x14ac:dyDescent="0.3"/>
    <row r="12682" hidden="1" x14ac:dyDescent="0.3"/>
    <row r="12683" hidden="1" x14ac:dyDescent="0.3"/>
    <row r="12684" hidden="1" x14ac:dyDescent="0.3"/>
    <row r="12685" hidden="1" x14ac:dyDescent="0.3"/>
    <row r="12686" hidden="1" x14ac:dyDescent="0.3"/>
    <row r="12687" hidden="1" x14ac:dyDescent="0.3"/>
    <row r="12688" hidden="1" x14ac:dyDescent="0.3"/>
    <row r="12689" hidden="1" x14ac:dyDescent="0.3"/>
    <row r="12690" hidden="1" x14ac:dyDescent="0.3"/>
    <row r="12691" hidden="1" x14ac:dyDescent="0.3"/>
    <row r="12692" hidden="1" x14ac:dyDescent="0.3"/>
    <row r="12693" hidden="1" x14ac:dyDescent="0.3"/>
    <row r="12694" hidden="1" x14ac:dyDescent="0.3"/>
    <row r="12695" hidden="1" x14ac:dyDescent="0.3"/>
    <row r="12696" hidden="1" x14ac:dyDescent="0.3"/>
    <row r="12697" hidden="1" x14ac:dyDescent="0.3"/>
    <row r="12698" hidden="1" x14ac:dyDescent="0.3"/>
    <row r="12699" hidden="1" x14ac:dyDescent="0.3"/>
    <row r="12700" hidden="1" x14ac:dyDescent="0.3"/>
    <row r="12701" hidden="1" x14ac:dyDescent="0.3"/>
    <row r="12702" hidden="1" x14ac:dyDescent="0.3"/>
    <row r="12703" hidden="1" x14ac:dyDescent="0.3"/>
    <row r="12704" hidden="1" x14ac:dyDescent="0.3"/>
    <row r="12705" hidden="1" x14ac:dyDescent="0.3"/>
    <row r="12706" hidden="1" x14ac:dyDescent="0.3"/>
    <row r="12707" hidden="1" x14ac:dyDescent="0.3"/>
    <row r="12708" hidden="1" x14ac:dyDescent="0.3"/>
    <row r="12709" hidden="1" x14ac:dyDescent="0.3"/>
    <row r="12710" hidden="1" x14ac:dyDescent="0.3"/>
    <row r="12711" hidden="1" x14ac:dyDescent="0.3"/>
    <row r="12712" hidden="1" x14ac:dyDescent="0.3"/>
    <row r="12713" hidden="1" x14ac:dyDescent="0.3"/>
    <row r="12714" hidden="1" x14ac:dyDescent="0.3"/>
    <row r="12715" hidden="1" x14ac:dyDescent="0.3"/>
    <row r="12716" hidden="1" x14ac:dyDescent="0.3"/>
    <row r="12717" hidden="1" x14ac:dyDescent="0.3"/>
    <row r="12718" hidden="1" x14ac:dyDescent="0.3"/>
    <row r="12719" hidden="1" x14ac:dyDescent="0.3"/>
    <row r="12720" hidden="1" x14ac:dyDescent="0.3"/>
    <row r="12721" hidden="1" x14ac:dyDescent="0.3"/>
    <row r="12722" hidden="1" x14ac:dyDescent="0.3"/>
    <row r="12723" hidden="1" x14ac:dyDescent="0.3"/>
    <row r="12724" hidden="1" x14ac:dyDescent="0.3"/>
    <row r="12725" hidden="1" x14ac:dyDescent="0.3"/>
    <row r="12726" hidden="1" x14ac:dyDescent="0.3"/>
    <row r="12727" hidden="1" x14ac:dyDescent="0.3"/>
    <row r="12728" hidden="1" x14ac:dyDescent="0.3"/>
    <row r="12729" hidden="1" x14ac:dyDescent="0.3"/>
    <row r="12730" hidden="1" x14ac:dyDescent="0.3"/>
    <row r="12731" hidden="1" x14ac:dyDescent="0.3"/>
    <row r="12732" hidden="1" x14ac:dyDescent="0.3"/>
    <row r="12733" hidden="1" x14ac:dyDescent="0.3"/>
    <row r="12734" hidden="1" x14ac:dyDescent="0.3"/>
    <row r="12735" hidden="1" x14ac:dyDescent="0.3"/>
    <row r="12736" hidden="1" x14ac:dyDescent="0.3"/>
    <row r="12737" hidden="1" x14ac:dyDescent="0.3"/>
    <row r="12738" hidden="1" x14ac:dyDescent="0.3"/>
    <row r="12739" hidden="1" x14ac:dyDescent="0.3"/>
    <row r="12740" hidden="1" x14ac:dyDescent="0.3"/>
    <row r="12741" hidden="1" x14ac:dyDescent="0.3"/>
    <row r="12742" hidden="1" x14ac:dyDescent="0.3"/>
    <row r="12743" hidden="1" x14ac:dyDescent="0.3"/>
    <row r="12744" hidden="1" x14ac:dyDescent="0.3"/>
    <row r="12745" hidden="1" x14ac:dyDescent="0.3"/>
    <row r="12746" hidden="1" x14ac:dyDescent="0.3"/>
    <row r="12747" hidden="1" x14ac:dyDescent="0.3"/>
    <row r="12748" hidden="1" x14ac:dyDescent="0.3"/>
    <row r="12749" hidden="1" x14ac:dyDescent="0.3"/>
    <row r="12750" hidden="1" x14ac:dyDescent="0.3"/>
    <row r="12751" hidden="1" x14ac:dyDescent="0.3"/>
    <row r="12752" hidden="1" x14ac:dyDescent="0.3"/>
    <row r="12753" hidden="1" x14ac:dyDescent="0.3"/>
    <row r="12754" hidden="1" x14ac:dyDescent="0.3"/>
    <row r="12755" hidden="1" x14ac:dyDescent="0.3"/>
    <row r="12756" hidden="1" x14ac:dyDescent="0.3"/>
    <row r="12757" hidden="1" x14ac:dyDescent="0.3"/>
    <row r="12758" hidden="1" x14ac:dyDescent="0.3"/>
    <row r="12759" hidden="1" x14ac:dyDescent="0.3"/>
    <row r="12760" hidden="1" x14ac:dyDescent="0.3"/>
    <row r="12761" hidden="1" x14ac:dyDescent="0.3"/>
    <row r="12762" hidden="1" x14ac:dyDescent="0.3"/>
    <row r="12763" hidden="1" x14ac:dyDescent="0.3"/>
    <row r="12764" hidden="1" x14ac:dyDescent="0.3"/>
    <row r="12765" hidden="1" x14ac:dyDescent="0.3"/>
    <row r="12766" hidden="1" x14ac:dyDescent="0.3"/>
    <row r="12767" hidden="1" x14ac:dyDescent="0.3"/>
    <row r="12768" hidden="1" x14ac:dyDescent="0.3"/>
    <row r="12769" hidden="1" x14ac:dyDescent="0.3"/>
    <row r="12770" hidden="1" x14ac:dyDescent="0.3"/>
    <row r="12771" hidden="1" x14ac:dyDescent="0.3"/>
    <row r="12772" hidden="1" x14ac:dyDescent="0.3"/>
    <row r="12773" hidden="1" x14ac:dyDescent="0.3"/>
    <row r="12774" hidden="1" x14ac:dyDescent="0.3"/>
    <row r="12775" hidden="1" x14ac:dyDescent="0.3"/>
    <row r="12776" hidden="1" x14ac:dyDescent="0.3"/>
    <row r="12777" hidden="1" x14ac:dyDescent="0.3"/>
    <row r="12778" hidden="1" x14ac:dyDescent="0.3"/>
    <row r="12779" hidden="1" x14ac:dyDescent="0.3"/>
    <row r="12780" hidden="1" x14ac:dyDescent="0.3"/>
    <row r="12781" hidden="1" x14ac:dyDescent="0.3"/>
    <row r="12782" hidden="1" x14ac:dyDescent="0.3"/>
    <row r="12783" hidden="1" x14ac:dyDescent="0.3"/>
    <row r="12784" hidden="1" x14ac:dyDescent="0.3"/>
    <row r="12785" hidden="1" x14ac:dyDescent="0.3"/>
    <row r="12786" hidden="1" x14ac:dyDescent="0.3"/>
    <row r="12787" hidden="1" x14ac:dyDescent="0.3"/>
    <row r="12788" hidden="1" x14ac:dyDescent="0.3"/>
    <row r="12789" hidden="1" x14ac:dyDescent="0.3"/>
    <row r="12790" hidden="1" x14ac:dyDescent="0.3"/>
    <row r="12791" hidden="1" x14ac:dyDescent="0.3"/>
    <row r="12792" hidden="1" x14ac:dyDescent="0.3"/>
    <row r="12793" hidden="1" x14ac:dyDescent="0.3"/>
    <row r="12794" hidden="1" x14ac:dyDescent="0.3"/>
    <row r="12795" hidden="1" x14ac:dyDescent="0.3"/>
    <row r="12796" hidden="1" x14ac:dyDescent="0.3"/>
    <row r="12797" hidden="1" x14ac:dyDescent="0.3"/>
    <row r="12798" hidden="1" x14ac:dyDescent="0.3"/>
    <row r="12799" hidden="1" x14ac:dyDescent="0.3"/>
    <row r="12800" hidden="1" x14ac:dyDescent="0.3"/>
    <row r="12801" hidden="1" x14ac:dyDescent="0.3"/>
    <row r="12802" hidden="1" x14ac:dyDescent="0.3"/>
    <row r="12803" hidden="1" x14ac:dyDescent="0.3"/>
    <row r="12804" hidden="1" x14ac:dyDescent="0.3"/>
    <row r="12805" hidden="1" x14ac:dyDescent="0.3"/>
    <row r="12806" hidden="1" x14ac:dyDescent="0.3"/>
    <row r="12807" hidden="1" x14ac:dyDescent="0.3"/>
    <row r="12808" hidden="1" x14ac:dyDescent="0.3"/>
    <row r="12809" hidden="1" x14ac:dyDescent="0.3"/>
    <row r="12810" hidden="1" x14ac:dyDescent="0.3"/>
    <row r="12811" hidden="1" x14ac:dyDescent="0.3"/>
    <row r="12812" hidden="1" x14ac:dyDescent="0.3"/>
    <row r="12813" hidden="1" x14ac:dyDescent="0.3"/>
    <row r="12814" hidden="1" x14ac:dyDescent="0.3"/>
    <row r="12815" hidden="1" x14ac:dyDescent="0.3"/>
    <row r="12816" hidden="1" x14ac:dyDescent="0.3"/>
    <row r="12817" hidden="1" x14ac:dyDescent="0.3"/>
    <row r="12818" hidden="1" x14ac:dyDescent="0.3"/>
    <row r="12819" hidden="1" x14ac:dyDescent="0.3"/>
    <row r="12820" hidden="1" x14ac:dyDescent="0.3"/>
    <row r="12821" hidden="1" x14ac:dyDescent="0.3"/>
    <row r="12822" hidden="1" x14ac:dyDescent="0.3"/>
    <row r="12823" hidden="1" x14ac:dyDescent="0.3"/>
    <row r="12824" hidden="1" x14ac:dyDescent="0.3"/>
    <row r="12825" hidden="1" x14ac:dyDescent="0.3"/>
    <row r="12826" hidden="1" x14ac:dyDescent="0.3"/>
    <row r="12827" hidden="1" x14ac:dyDescent="0.3"/>
    <row r="12828" hidden="1" x14ac:dyDescent="0.3"/>
    <row r="12829" hidden="1" x14ac:dyDescent="0.3"/>
    <row r="12830" hidden="1" x14ac:dyDescent="0.3"/>
    <row r="12831" hidden="1" x14ac:dyDescent="0.3"/>
    <row r="12832" hidden="1" x14ac:dyDescent="0.3"/>
    <row r="12833" hidden="1" x14ac:dyDescent="0.3"/>
    <row r="12834" hidden="1" x14ac:dyDescent="0.3"/>
    <row r="12835" hidden="1" x14ac:dyDescent="0.3"/>
    <row r="12836" hidden="1" x14ac:dyDescent="0.3"/>
    <row r="12837" hidden="1" x14ac:dyDescent="0.3"/>
    <row r="12838" hidden="1" x14ac:dyDescent="0.3"/>
    <row r="12839" hidden="1" x14ac:dyDescent="0.3"/>
    <row r="12840" hidden="1" x14ac:dyDescent="0.3"/>
    <row r="12841" hidden="1" x14ac:dyDescent="0.3"/>
    <row r="12842" hidden="1" x14ac:dyDescent="0.3"/>
    <row r="12843" hidden="1" x14ac:dyDescent="0.3"/>
    <row r="12844" hidden="1" x14ac:dyDescent="0.3"/>
    <row r="12845" hidden="1" x14ac:dyDescent="0.3"/>
    <row r="12846" hidden="1" x14ac:dyDescent="0.3"/>
    <row r="12847" hidden="1" x14ac:dyDescent="0.3"/>
    <row r="12848" hidden="1" x14ac:dyDescent="0.3"/>
    <row r="12849" hidden="1" x14ac:dyDescent="0.3"/>
    <row r="12850" hidden="1" x14ac:dyDescent="0.3"/>
    <row r="12851" hidden="1" x14ac:dyDescent="0.3"/>
    <row r="12852" hidden="1" x14ac:dyDescent="0.3"/>
    <row r="12853" hidden="1" x14ac:dyDescent="0.3"/>
    <row r="12854" hidden="1" x14ac:dyDescent="0.3"/>
    <row r="12855" hidden="1" x14ac:dyDescent="0.3"/>
    <row r="12856" hidden="1" x14ac:dyDescent="0.3"/>
    <row r="12857" hidden="1" x14ac:dyDescent="0.3"/>
    <row r="12858" hidden="1" x14ac:dyDescent="0.3"/>
    <row r="12859" hidden="1" x14ac:dyDescent="0.3"/>
    <row r="12860" hidden="1" x14ac:dyDescent="0.3"/>
    <row r="12861" hidden="1" x14ac:dyDescent="0.3"/>
    <row r="12862" hidden="1" x14ac:dyDescent="0.3"/>
    <row r="12863" hidden="1" x14ac:dyDescent="0.3"/>
    <row r="12864" hidden="1" x14ac:dyDescent="0.3"/>
    <row r="12865" hidden="1" x14ac:dyDescent="0.3"/>
    <row r="12866" hidden="1" x14ac:dyDescent="0.3"/>
    <row r="12867" hidden="1" x14ac:dyDescent="0.3"/>
    <row r="12868" hidden="1" x14ac:dyDescent="0.3"/>
    <row r="12869" hidden="1" x14ac:dyDescent="0.3"/>
    <row r="12870" hidden="1" x14ac:dyDescent="0.3"/>
    <row r="12871" hidden="1" x14ac:dyDescent="0.3"/>
    <row r="12872" hidden="1" x14ac:dyDescent="0.3"/>
    <row r="12873" hidden="1" x14ac:dyDescent="0.3"/>
    <row r="12874" hidden="1" x14ac:dyDescent="0.3"/>
    <row r="12875" hidden="1" x14ac:dyDescent="0.3"/>
    <row r="12876" hidden="1" x14ac:dyDescent="0.3"/>
    <row r="12877" hidden="1" x14ac:dyDescent="0.3"/>
    <row r="12878" hidden="1" x14ac:dyDescent="0.3"/>
    <row r="12879" hidden="1" x14ac:dyDescent="0.3"/>
    <row r="12880" hidden="1" x14ac:dyDescent="0.3"/>
    <row r="12881" hidden="1" x14ac:dyDescent="0.3"/>
    <row r="12882" hidden="1" x14ac:dyDescent="0.3"/>
    <row r="12883" hidden="1" x14ac:dyDescent="0.3"/>
    <row r="12884" hidden="1" x14ac:dyDescent="0.3"/>
    <row r="12885" hidden="1" x14ac:dyDescent="0.3"/>
    <row r="12886" hidden="1" x14ac:dyDescent="0.3"/>
    <row r="12887" hidden="1" x14ac:dyDescent="0.3"/>
    <row r="12888" hidden="1" x14ac:dyDescent="0.3"/>
    <row r="12889" hidden="1" x14ac:dyDescent="0.3"/>
    <row r="12890" hidden="1" x14ac:dyDescent="0.3"/>
    <row r="12891" hidden="1" x14ac:dyDescent="0.3"/>
    <row r="12892" hidden="1" x14ac:dyDescent="0.3"/>
    <row r="12893" hidden="1" x14ac:dyDescent="0.3"/>
    <row r="12894" hidden="1" x14ac:dyDescent="0.3"/>
    <row r="12895" hidden="1" x14ac:dyDescent="0.3"/>
    <row r="12896" hidden="1" x14ac:dyDescent="0.3"/>
    <row r="12897" hidden="1" x14ac:dyDescent="0.3"/>
    <row r="12898" hidden="1" x14ac:dyDescent="0.3"/>
    <row r="12899" hidden="1" x14ac:dyDescent="0.3"/>
    <row r="12900" hidden="1" x14ac:dyDescent="0.3"/>
    <row r="12901" hidden="1" x14ac:dyDescent="0.3"/>
    <row r="12902" hidden="1" x14ac:dyDescent="0.3"/>
    <row r="12903" hidden="1" x14ac:dyDescent="0.3"/>
    <row r="12904" hidden="1" x14ac:dyDescent="0.3"/>
    <row r="12905" hidden="1" x14ac:dyDescent="0.3"/>
    <row r="12906" hidden="1" x14ac:dyDescent="0.3"/>
    <row r="12907" hidden="1" x14ac:dyDescent="0.3"/>
    <row r="12908" hidden="1" x14ac:dyDescent="0.3"/>
    <row r="12909" hidden="1" x14ac:dyDescent="0.3"/>
    <row r="12910" hidden="1" x14ac:dyDescent="0.3"/>
    <row r="12911" hidden="1" x14ac:dyDescent="0.3"/>
    <row r="12912" hidden="1" x14ac:dyDescent="0.3"/>
    <row r="12913" hidden="1" x14ac:dyDescent="0.3"/>
    <row r="12914" hidden="1" x14ac:dyDescent="0.3"/>
    <row r="12915" hidden="1" x14ac:dyDescent="0.3"/>
    <row r="12916" hidden="1" x14ac:dyDescent="0.3"/>
    <row r="12917" hidden="1" x14ac:dyDescent="0.3"/>
    <row r="12918" hidden="1" x14ac:dyDescent="0.3"/>
    <row r="12919" hidden="1" x14ac:dyDescent="0.3"/>
    <row r="12920" hidden="1" x14ac:dyDescent="0.3"/>
    <row r="12921" hidden="1" x14ac:dyDescent="0.3"/>
    <row r="12922" hidden="1" x14ac:dyDescent="0.3"/>
    <row r="12923" hidden="1" x14ac:dyDescent="0.3"/>
    <row r="12924" hidden="1" x14ac:dyDescent="0.3"/>
    <row r="12925" hidden="1" x14ac:dyDescent="0.3"/>
    <row r="12926" hidden="1" x14ac:dyDescent="0.3"/>
    <row r="12927" hidden="1" x14ac:dyDescent="0.3"/>
    <row r="12928" hidden="1" x14ac:dyDescent="0.3"/>
    <row r="12929" hidden="1" x14ac:dyDescent="0.3"/>
    <row r="12930" hidden="1" x14ac:dyDescent="0.3"/>
    <row r="12931" hidden="1" x14ac:dyDescent="0.3"/>
    <row r="12932" hidden="1" x14ac:dyDescent="0.3"/>
    <row r="12933" hidden="1" x14ac:dyDescent="0.3"/>
    <row r="12934" hidden="1" x14ac:dyDescent="0.3"/>
    <row r="12935" hidden="1" x14ac:dyDescent="0.3"/>
    <row r="12936" hidden="1" x14ac:dyDescent="0.3"/>
    <row r="12937" hidden="1" x14ac:dyDescent="0.3"/>
    <row r="12938" hidden="1" x14ac:dyDescent="0.3"/>
    <row r="12939" hidden="1" x14ac:dyDescent="0.3"/>
    <row r="12940" hidden="1" x14ac:dyDescent="0.3"/>
    <row r="12941" hidden="1" x14ac:dyDescent="0.3"/>
    <row r="12942" hidden="1" x14ac:dyDescent="0.3"/>
    <row r="12943" hidden="1" x14ac:dyDescent="0.3"/>
    <row r="12944" hidden="1" x14ac:dyDescent="0.3"/>
    <row r="12945" hidden="1" x14ac:dyDescent="0.3"/>
    <row r="12946" hidden="1" x14ac:dyDescent="0.3"/>
    <row r="12947" hidden="1" x14ac:dyDescent="0.3"/>
    <row r="12948" hidden="1" x14ac:dyDescent="0.3"/>
    <row r="12949" hidden="1" x14ac:dyDescent="0.3"/>
    <row r="12950" hidden="1" x14ac:dyDescent="0.3"/>
    <row r="12951" hidden="1" x14ac:dyDescent="0.3"/>
    <row r="12952" hidden="1" x14ac:dyDescent="0.3"/>
    <row r="12953" hidden="1" x14ac:dyDescent="0.3"/>
    <row r="12954" hidden="1" x14ac:dyDescent="0.3"/>
    <row r="12955" hidden="1" x14ac:dyDescent="0.3"/>
    <row r="12956" hidden="1" x14ac:dyDescent="0.3"/>
    <row r="12957" hidden="1" x14ac:dyDescent="0.3"/>
    <row r="12958" hidden="1" x14ac:dyDescent="0.3"/>
    <row r="12959" hidden="1" x14ac:dyDescent="0.3"/>
    <row r="12960" hidden="1" x14ac:dyDescent="0.3"/>
    <row r="12961" hidden="1" x14ac:dyDescent="0.3"/>
    <row r="12962" hidden="1" x14ac:dyDescent="0.3"/>
    <row r="12963" hidden="1" x14ac:dyDescent="0.3"/>
    <row r="12964" hidden="1" x14ac:dyDescent="0.3"/>
    <row r="12965" hidden="1" x14ac:dyDescent="0.3"/>
    <row r="12966" hidden="1" x14ac:dyDescent="0.3"/>
    <row r="12967" hidden="1" x14ac:dyDescent="0.3"/>
    <row r="12968" hidden="1" x14ac:dyDescent="0.3"/>
    <row r="12969" hidden="1" x14ac:dyDescent="0.3"/>
    <row r="12970" hidden="1" x14ac:dyDescent="0.3"/>
    <row r="12971" hidden="1" x14ac:dyDescent="0.3"/>
    <row r="12972" hidden="1" x14ac:dyDescent="0.3"/>
    <row r="12973" hidden="1" x14ac:dyDescent="0.3"/>
    <row r="12974" hidden="1" x14ac:dyDescent="0.3"/>
    <row r="12975" hidden="1" x14ac:dyDescent="0.3"/>
    <row r="12976" hidden="1" x14ac:dyDescent="0.3"/>
    <row r="12977" hidden="1" x14ac:dyDescent="0.3"/>
    <row r="12978" hidden="1" x14ac:dyDescent="0.3"/>
    <row r="12979" hidden="1" x14ac:dyDescent="0.3"/>
    <row r="12980" hidden="1" x14ac:dyDescent="0.3"/>
    <row r="12981" hidden="1" x14ac:dyDescent="0.3"/>
    <row r="12982" hidden="1" x14ac:dyDescent="0.3"/>
    <row r="12983" hidden="1" x14ac:dyDescent="0.3"/>
    <row r="12984" hidden="1" x14ac:dyDescent="0.3"/>
    <row r="12985" hidden="1" x14ac:dyDescent="0.3"/>
    <row r="12986" hidden="1" x14ac:dyDescent="0.3"/>
    <row r="12987" hidden="1" x14ac:dyDescent="0.3"/>
    <row r="12988" hidden="1" x14ac:dyDescent="0.3"/>
    <row r="12989" hidden="1" x14ac:dyDescent="0.3"/>
    <row r="12990" hidden="1" x14ac:dyDescent="0.3"/>
    <row r="12991" hidden="1" x14ac:dyDescent="0.3"/>
    <row r="12992" hidden="1" x14ac:dyDescent="0.3"/>
    <row r="12993" hidden="1" x14ac:dyDescent="0.3"/>
    <row r="12994" hidden="1" x14ac:dyDescent="0.3"/>
    <row r="12995" hidden="1" x14ac:dyDescent="0.3"/>
    <row r="12996" hidden="1" x14ac:dyDescent="0.3"/>
    <row r="12997" hidden="1" x14ac:dyDescent="0.3"/>
    <row r="12998" hidden="1" x14ac:dyDescent="0.3"/>
    <row r="12999" hidden="1" x14ac:dyDescent="0.3"/>
    <row r="13000" hidden="1" x14ac:dyDescent="0.3"/>
    <row r="13001" hidden="1" x14ac:dyDescent="0.3"/>
    <row r="13002" hidden="1" x14ac:dyDescent="0.3"/>
    <row r="13003" hidden="1" x14ac:dyDescent="0.3"/>
    <row r="13004" hidden="1" x14ac:dyDescent="0.3"/>
    <row r="13005" hidden="1" x14ac:dyDescent="0.3"/>
    <row r="13006" hidden="1" x14ac:dyDescent="0.3"/>
    <row r="13007" hidden="1" x14ac:dyDescent="0.3"/>
    <row r="13008" hidden="1" x14ac:dyDescent="0.3"/>
    <row r="13009" hidden="1" x14ac:dyDescent="0.3"/>
    <row r="13010" hidden="1" x14ac:dyDescent="0.3"/>
    <row r="13011" hidden="1" x14ac:dyDescent="0.3"/>
    <row r="13012" hidden="1" x14ac:dyDescent="0.3"/>
    <row r="13013" hidden="1" x14ac:dyDescent="0.3"/>
    <row r="13014" hidden="1" x14ac:dyDescent="0.3"/>
    <row r="13015" hidden="1" x14ac:dyDescent="0.3"/>
    <row r="13016" hidden="1" x14ac:dyDescent="0.3"/>
    <row r="13017" hidden="1" x14ac:dyDescent="0.3"/>
    <row r="13018" hidden="1" x14ac:dyDescent="0.3"/>
    <row r="13019" hidden="1" x14ac:dyDescent="0.3"/>
    <row r="13020" hidden="1" x14ac:dyDescent="0.3"/>
    <row r="13021" hidden="1" x14ac:dyDescent="0.3"/>
    <row r="13022" hidden="1" x14ac:dyDescent="0.3"/>
    <row r="13023" hidden="1" x14ac:dyDescent="0.3"/>
    <row r="13024" hidden="1" x14ac:dyDescent="0.3"/>
    <row r="13025" hidden="1" x14ac:dyDescent="0.3"/>
    <row r="13026" hidden="1" x14ac:dyDescent="0.3"/>
    <row r="13027" hidden="1" x14ac:dyDescent="0.3"/>
    <row r="13028" hidden="1" x14ac:dyDescent="0.3"/>
    <row r="13029" hidden="1" x14ac:dyDescent="0.3"/>
    <row r="13030" hidden="1" x14ac:dyDescent="0.3"/>
    <row r="13031" hidden="1" x14ac:dyDescent="0.3"/>
    <row r="13032" hidden="1" x14ac:dyDescent="0.3"/>
    <row r="13033" hidden="1" x14ac:dyDescent="0.3"/>
    <row r="13034" hidden="1" x14ac:dyDescent="0.3"/>
    <row r="13035" hidden="1" x14ac:dyDescent="0.3"/>
    <row r="13036" hidden="1" x14ac:dyDescent="0.3"/>
    <row r="13037" hidden="1" x14ac:dyDescent="0.3"/>
    <row r="13038" hidden="1" x14ac:dyDescent="0.3"/>
    <row r="13039" hidden="1" x14ac:dyDescent="0.3"/>
    <row r="13040" hidden="1" x14ac:dyDescent="0.3"/>
    <row r="13041" hidden="1" x14ac:dyDescent="0.3"/>
    <row r="13042" hidden="1" x14ac:dyDescent="0.3"/>
    <row r="13043" hidden="1" x14ac:dyDescent="0.3"/>
    <row r="13044" hidden="1" x14ac:dyDescent="0.3"/>
    <row r="13045" hidden="1" x14ac:dyDescent="0.3"/>
    <row r="13046" hidden="1" x14ac:dyDescent="0.3"/>
    <row r="13047" hidden="1" x14ac:dyDescent="0.3"/>
    <row r="13048" hidden="1" x14ac:dyDescent="0.3"/>
    <row r="13049" hidden="1" x14ac:dyDescent="0.3"/>
    <row r="13050" hidden="1" x14ac:dyDescent="0.3"/>
    <row r="13051" hidden="1" x14ac:dyDescent="0.3"/>
    <row r="13052" hidden="1" x14ac:dyDescent="0.3"/>
    <row r="13053" hidden="1" x14ac:dyDescent="0.3"/>
    <row r="13054" hidden="1" x14ac:dyDescent="0.3"/>
    <row r="13055" hidden="1" x14ac:dyDescent="0.3"/>
    <row r="13056" hidden="1" x14ac:dyDescent="0.3"/>
    <row r="13057" hidden="1" x14ac:dyDescent="0.3"/>
    <row r="13058" hidden="1" x14ac:dyDescent="0.3"/>
    <row r="13059" hidden="1" x14ac:dyDescent="0.3"/>
    <row r="13060" hidden="1" x14ac:dyDescent="0.3"/>
    <row r="13061" hidden="1" x14ac:dyDescent="0.3"/>
    <row r="13062" hidden="1" x14ac:dyDescent="0.3"/>
    <row r="13063" hidden="1" x14ac:dyDescent="0.3"/>
    <row r="13064" hidden="1" x14ac:dyDescent="0.3"/>
    <row r="13065" hidden="1" x14ac:dyDescent="0.3"/>
    <row r="13066" hidden="1" x14ac:dyDescent="0.3"/>
    <row r="13067" hidden="1" x14ac:dyDescent="0.3"/>
    <row r="13068" hidden="1" x14ac:dyDescent="0.3"/>
    <row r="13069" hidden="1" x14ac:dyDescent="0.3"/>
    <row r="13070" hidden="1" x14ac:dyDescent="0.3"/>
    <row r="13071" hidden="1" x14ac:dyDescent="0.3"/>
    <row r="13072" hidden="1" x14ac:dyDescent="0.3"/>
    <row r="13073" hidden="1" x14ac:dyDescent="0.3"/>
    <row r="13074" hidden="1" x14ac:dyDescent="0.3"/>
    <row r="13075" hidden="1" x14ac:dyDescent="0.3"/>
    <row r="13076" hidden="1" x14ac:dyDescent="0.3"/>
    <row r="13077" hidden="1" x14ac:dyDescent="0.3"/>
    <row r="13078" hidden="1" x14ac:dyDescent="0.3"/>
    <row r="13079" hidden="1" x14ac:dyDescent="0.3"/>
    <row r="13080" hidden="1" x14ac:dyDescent="0.3"/>
    <row r="13081" hidden="1" x14ac:dyDescent="0.3"/>
    <row r="13082" hidden="1" x14ac:dyDescent="0.3"/>
    <row r="13083" hidden="1" x14ac:dyDescent="0.3"/>
    <row r="13084" hidden="1" x14ac:dyDescent="0.3"/>
    <row r="13085" hidden="1" x14ac:dyDescent="0.3"/>
    <row r="13086" hidden="1" x14ac:dyDescent="0.3"/>
    <row r="13087" hidden="1" x14ac:dyDescent="0.3"/>
    <row r="13088" hidden="1" x14ac:dyDescent="0.3"/>
    <row r="13089" hidden="1" x14ac:dyDescent="0.3"/>
    <row r="13090" hidden="1" x14ac:dyDescent="0.3"/>
    <row r="13091" hidden="1" x14ac:dyDescent="0.3"/>
    <row r="13092" hidden="1" x14ac:dyDescent="0.3"/>
    <row r="13093" hidden="1" x14ac:dyDescent="0.3"/>
    <row r="13094" hidden="1" x14ac:dyDescent="0.3"/>
    <row r="13095" hidden="1" x14ac:dyDescent="0.3"/>
    <row r="13096" hidden="1" x14ac:dyDescent="0.3"/>
    <row r="13097" hidden="1" x14ac:dyDescent="0.3"/>
    <row r="13098" hidden="1" x14ac:dyDescent="0.3"/>
    <row r="13099" hidden="1" x14ac:dyDescent="0.3"/>
    <row r="13100" hidden="1" x14ac:dyDescent="0.3"/>
    <row r="13101" hidden="1" x14ac:dyDescent="0.3"/>
    <row r="13102" hidden="1" x14ac:dyDescent="0.3"/>
    <row r="13103" hidden="1" x14ac:dyDescent="0.3"/>
    <row r="13104" hidden="1" x14ac:dyDescent="0.3"/>
    <row r="13105" hidden="1" x14ac:dyDescent="0.3"/>
    <row r="13106" hidden="1" x14ac:dyDescent="0.3"/>
    <row r="13107" hidden="1" x14ac:dyDescent="0.3"/>
    <row r="13108" hidden="1" x14ac:dyDescent="0.3"/>
    <row r="13109" hidden="1" x14ac:dyDescent="0.3"/>
    <row r="13110" hidden="1" x14ac:dyDescent="0.3"/>
    <row r="13111" hidden="1" x14ac:dyDescent="0.3"/>
    <row r="13112" hidden="1" x14ac:dyDescent="0.3"/>
    <row r="13113" hidden="1" x14ac:dyDescent="0.3"/>
    <row r="13114" hidden="1" x14ac:dyDescent="0.3"/>
    <row r="13115" hidden="1" x14ac:dyDescent="0.3"/>
    <row r="13116" hidden="1" x14ac:dyDescent="0.3"/>
    <row r="13117" hidden="1" x14ac:dyDescent="0.3"/>
    <row r="13118" hidden="1" x14ac:dyDescent="0.3"/>
    <row r="13119" hidden="1" x14ac:dyDescent="0.3"/>
    <row r="13120" hidden="1" x14ac:dyDescent="0.3"/>
    <row r="13121" hidden="1" x14ac:dyDescent="0.3"/>
    <row r="13122" hidden="1" x14ac:dyDescent="0.3"/>
    <row r="13123" hidden="1" x14ac:dyDescent="0.3"/>
    <row r="13124" hidden="1" x14ac:dyDescent="0.3"/>
    <row r="13125" hidden="1" x14ac:dyDescent="0.3"/>
    <row r="13126" hidden="1" x14ac:dyDescent="0.3"/>
    <row r="13127" hidden="1" x14ac:dyDescent="0.3"/>
    <row r="13128" hidden="1" x14ac:dyDescent="0.3"/>
    <row r="13129" hidden="1" x14ac:dyDescent="0.3"/>
    <row r="13130" hidden="1" x14ac:dyDescent="0.3"/>
    <row r="13131" hidden="1" x14ac:dyDescent="0.3"/>
    <row r="13132" hidden="1" x14ac:dyDescent="0.3"/>
    <row r="13133" hidden="1" x14ac:dyDescent="0.3"/>
    <row r="13134" hidden="1" x14ac:dyDescent="0.3"/>
    <row r="13135" hidden="1" x14ac:dyDescent="0.3"/>
    <row r="13136" hidden="1" x14ac:dyDescent="0.3"/>
    <row r="13137" hidden="1" x14ac:dyDescent="0.3"/>
    <row r="13138" hidden="1" x14ac:dyDescent="0.3"/>
    <row r="13139" hidden="1" x14ac:dyDescent="0.3"/>
    <row r="13140" hidden="1" x14ac:dyDescent="0.3"/>
    <row r="13141" hidden="1" x14ac:dyDescent="0.3"/>
    <row r="13142" hidden="1" x14ac:dyDescent="0.3"/>
    <row r="13143" hidden="1" x14ac:dyDescent="0.3"/>
    <row r="13144" hidden="1" x14ac:dyDescent="0.3"/>
    <row r="13145" hidden="1" x14ac:dyDescent="0.3"/>
    <row r="13146" hidden="1" x14ac:dyDescent="0.3"/>
    <row r="13147" hidden="1" x14ac:dyDescent="0.3"/>
    <row r="13148" hidden="1" x14ac:dyDescent="0.3"/>
    <row r="13149" hidden="1" x14ac:dyDescent="0.3"/>
    <row r="13150" hidden="1" x14ac:dyDescent="0.3"/>
    <row r="13151" hidden="1" x14ac:dyDescent="0.3"/>
    <row r="13152" hidden="1" x14ac:dyDescent="0.3"/>
    <row r="13153" hidden="1" x14ac:dyDescent="0.3"/>
    <row r="13154" hidden="1" x14ac:dyDescent="0.3"/>
    <row r="13155" hidden="1" x14ac:dyDescent="0.3"/>
    <row r="13156" hidden="1" x14ac:dyDescent="0.3"/>
    <row r="13157" hidden="1" x14ac:dyDescent="0.3"/>
    <row r="13158" hidden="1" x14ac:dyDescent="0.3"/>
    <row r="13159" hidden="1" x14ac:dyDescent="0.3"/>
    <row r="13160" hidden="1" x14ac:dyDescent="0.3"/>
    <row r="13161" hidden="1" x14ac:dyDescent="0.3"/>
    <row r="13162" hidden="1" x14ac:dyDescent="0.3"/>
    <row r="13163" hidden="1" x14ac:dyDescent="0.3"/>
    <row r="13164" hidden="1" x14ac:dyDescent="0.3"/>
    <row r="13165" hidden="1" x14ac:dyDescent="0.3"/>
    <row r="13166" hidden="1" x14ac:dyDescent="0.3"/>
    <row r="13167" hidden="1" x14ac:dyDescent="0.3"/>
    <row r="13168" hidden="1" x14ac:dyDescent="0.3"/>
    <row r="13169" hidden="1" x14ac:dyDescent="0.3"/>
    <row r="13170" hidden="1" x14ac:dyDescent="0.3"/>
    <row r="13171" hidden="1" x14ac:dyDescent="0.3"/>
    <row r="13172" hidden="1" x14ac:dyDescent="0.3"/>
    <row r="13173" hidden="1" x14ac:dyDescent="0.3"/>
    <row r="13174" hidden="1" x14ac:dyDescent="0.3"/>
    <row r="13175" hidden="1" x14ac:dyDescent="0.3"/>
    <row r="13176" hidden="1" x14ac:dyDescent="0.3"/>
    <row r="13177" hidden="1" x14ac:dyDescent="0.3"/>
    <row r="13178" hidden="1" x14ac:dyDescent="0.3"/>
    <row r="13179" hidden="1" x14ac:dyDescent="0.3"/>
    <row r="13180" hidden="1" x14ac:dyDescent="0.3"/>
    <row r="13181" hidden="1" x14ac:dyDescent="0.3"/>
    <row r="13182" hidden="1" x14ac:dyDescent="0.3"/>
    <row r="13183" hidden="1" x14ac:dyDescent="0.3"/>
    <row r="13184" hidden="1" x14ac:dyDescent="0.3"/>
    <row r="13185" hidden="1" x14ac:dyDescent="0.3"/>
    <row r="13186" hidden="1" x14ac:dyDescent="0.3"/>
    <row r="13187" hidden="1" x14ac:dyDescent="0.3"/>
    <row r="13188" hidden="1" x14ac:dyDescent="0.3"/>
    <row r="13189" hidden="1" x14ac:dyDescent="0.3"/>
    <row r="13190" hidden="1" x14ac:dyDescent="0.3"/>
    <row r="13191" hidden="1" x14ac:dyDescent="0.3"/>
    <row r="13192" hidden="1" x14ac:dyDescent="0.3"/>
    <row r="13193" hidden="1" x14ac:dyDescent="0.3"/>
    <row r="13194" hidden="1" x14ac:dyDescent="0.3"/>
    <row r="13195" hidden="1" x14ac:dyDescent="0.3"/>
    <row r="13196" hidden="1" x14ac:dyDescent="0.3"/>
    <row r="13197" hidden="1" x14ac:dyDescent="0.3"/>
    <row r="13198" hidden="1" x14ac:dyDescent="0.3"/>
    <row r="13199" hidden="1" x14ac:dyDescent="0.3"/>
    <row r="13200" hidden="1" x14ac:dyDescent="0.3"/>
    <row r="13201" hidden="1" x14ac:dyDescent="0.3"/>
    <row r="13202" hidden="1" x14ac:dyDescent="0.3"/>
    <row r="13203" hidden="1" x14ac:dyDescent="0.3"/>
    <row r="13204" hidden="1" x14ac:dyDescent="0.3"/>
    <row r="13205" hidden="1" x14ac:dyDescent="0.3"/>
    <row r="13206" hidden="1" x14ac:dyDescent="0.3"/>
    <row r="13207" hidden="1" x14ac:dyDescent="0.3"/>
    <row r="13208" hidden="1" x14ac:dyDescent="0.3"/>
    <row r="13209" hidden="1" x14ac:dyDescent="0.3"/>
    <row r="13210" hidden="1" x14ac:dyDescent="0.3"/>
    <row r="13211" hidden="1" x14ac:dyDescent="0.3"/>
    <row r="13212" hidden="1" x14ac:dyDescent="0.3"/>
    <row r="13213" hidden="1" x14ac:dyDescent="0.3"/>
    <row r="13214" hidden="1" x14ac:dyDescent="0.3"/>
    <row r="13215" hidden="1" x14ac:dyDescent="0.3"/>
    <row r="13216" hidden="1" x14ac:dyDescent="0.3"/>
    <row r="13217" hidden="1" x14ac:dyDescent="0.3"/>
    <row r="13218" hidden="1" x14ac:dyDescent="0.3"/>
    <row r="13219" hidden="1" x14ac:dyDescent="0.3"/>
    <row r="13220" hidden="1" x14ac:dyDescent="0.3"/>
    <row r="13221" hidden="1" x14ac:dyDescent="0.3"/>
    <row r="13222" hidden="1" x14ac:dyDescent="0.3"/>
    <row r="13223" hidden="1" x14ac:dyDescent="0.3"/>
    <row r="13224" hidden="1" x14ac:dyDescent="0.3"/>
    <row r="13225" hidden="1" x14ac:dyDescent="0.3"/>
    <row r="13226" hidden="1" x14ac:dyDescent="0.3"/>
    <row r="13227" hidden="1" x14ac:dyDescent="0.3"/>
    <row r="13228" hidden="1" x14ac:dyDescent="0.3"/>
    <row r="13229" hidden="1" x14ac:dyDescent="0.3"/>
    <row r="13230" hidden="1" x14ac:dyDescent="0.3"/>
    <row r="13231" hidden="1" x14ac:dyDescent="0.3"/>
    <row r="13232" hidden="1" x14ac:dyDescent="0.3"/>
    <row r="13233" hidden="1" x14ac:dyDescent="0.3"/>
    <row r="13234" hidden="1" x14ac:dyDescent="0.3"/>
    <row r="13235" hidden="1" x14ac:dyDescent="0.3"/>
    <row r="13236" hidden="1" x14ac:dyDescent="0.3"/>
    <row r="13237" hidden="1" x14ac:dyDescent="0.3"/>
    <row r="13238" hidden="1" x14ac:dyDescent="0.3"/>
    <row r="13239" hidden="1" x14ac:dyDescent="0.3"/>
    <row r="13240" hidden="1" x14ac:dyDescent="0.3"/>
    <row r="13241" hidden="1" x14ac:dyDescent="0.3"/>
    <row r="13242" hidden="1" x14ac:dyDescent="0.3"/>
    <row r="13243" hidden="1" x14ac:dyDescent="0.3"/>
    <row r="13244" hidden="1" x14ac:dyDescent="0.3"/>
    <row r="13245" hidden="1" x14ac:dyDescent="0.3"/>
    <row r="13246" hidden="1" x14ac:dyDescent="0.3"/>
    <row r="13247" hidden="1" x14ac:dyDescent="0.3"/>
    <row r="13248" hidden="1" x14ac:dyDescent="0.3"/>
    <row r="13249" hidden="1" x14ac:dyDescent="0.3"/>
    <row r="13250" hidden="1" x14ac:dyDescent="0.3"/>
    <row r="13251" hidden="1" x14ac:dyDescent="0.3"/>
    <row r="13252" hidden="1" x14ac:dyDescent="0.3"/>
    <row r="13253" hidden="1" x14ac:dyDescent="0.3"/>
    <row r="13254" hidden="1" x14ac:dyDescent="0.3"/>
    <row r="13255" hidden="1" x14ac:dyDescent="0.3"/>
    <row r="13256" hidden="1" x14ac:dyDescent="0.3"/>
    <row r="13257" hidden="1" x14ac:dyDescent="0.3"/>
    <row r="13258" hidden="1" x14ac:dyDescent="0.3"/>
    <row r="13259" hidden="1" x14ac:dyDescent="0.3"/>
    <row r="13260" hidden="1" x14ac:dyDescent="0.3"/>
    <row r="13261" hidden="1" x14ac:dyDescent="0.3"/>
    <row r="13262" hidden="1" x14ac:dyDescent="0.3"/>
    <row r="13263" hidden="1" x14ac:dyDescent="0.3"/>
    <row r="13264" hidden="1" x14ac:dyDescent="0.3"/>
    <row r="13265" hidden="1" x14ac:dyDescent="0.3"/>
    <row r="13266" hidden="1" x14ac:dyDescent="0.3"/>
    <row r="13267" hidden="1" x14ac:dyDescent="0.3"/>
    <row r="13268" hidden="1" x14ac:dyDescent="0.3"/>
    <row r="13269" hidden="1" x14ac:dyDescent="0.3"/>
    <row r="13270" hidden="1" x14ac:dyDescent="0.3"/>
    <row r="13271" hidden="1" x14ac:dyDescent="0.3"/>
    <row r="13272" hidden="1" x14ac:dyDescent="0.3"/>
    <row r="13273" hidden="1" x14ac:dyDescent="0.3"/>
    <row r="13274" hidden="1" x14ac:dyDescent="0.3"/>
    <row r="13275" hidden="1" x14ac:dyDescent="0.3"/>
    <row r="13276" hidden="1" x14ac:dyDescent="0.3"/>
    <row r="13277" hidden="1" x14ac:dyDescent="0.3"/>
    <row r="13278" hidden="1" x14ac:dyDescent="0.3"/>
    <row r="13279" hidden="1" x14ac:dyDescent="0.3"/>
    <row r="13280" hidden="1" x14ac:dyDescent="0.3"/>
    <row r="13281" hidden="1" x14ac:dyDescent="0.3"/>
    <row r="13282" hidden="1" x14ac:dyDescent="0.3"/>
    <row r="13283" hidden="1" x14ac:dyDescent="0.3"/>
    <row r="13284" hidden="1" x14ac:dyDescent="0.3"/>
    <row r="13285" hidden="1" x14ac:dyDescent="0.3"/>
    <row r="13286" hidden="1" x14ac:dyDescent="0.3"/>
    <row r="13287" hidden="1" x14ac:dyDescent="0.3"/>
    <row r="13288" hidden="1" x14ac:dyDescent="0.3"/>
    <row r="13289" hidden="1" x14ac:dyDescent="0.3"/>
    <row r="13290" hidden="1" x14ac:dyDescent="0.3"/>
    <row r="13291" hidden="1" x14ac:dyDescent="0.3"/>
    <row r="13292" hidden="1" x14ac:dyDescent="0.3"/>
    <row r="13293" hidden="1" x14ac:dyDescent="0.3"/>
    <row r="13294" hidden="1" x14ac:dyDescent="0.3"/>
    <row r="13295" hidden="1" x14ac:dyDescent="0.3"/>
    <row r="13296" hidden="1" x14ac:dyDescent="0.3"/>
    <row r="13297" hidden="1" x14ac:dyDescent="0.3"/>
    <row r="13298" hidden="1" x14ac:dyDescent="0.3"/>
    <row r="13299" hidden="1" x14ac:dyDescent="0.3"/>
    <row r="13300" hidden="1" x14ac:dyDescent="0.3"/>
    <row r="13301" hidden="1" x14ac:dyDescent="0.3"/>
    <row r="13302" hidden="1" x14ac:dyDescent="0.3"/>
    <row r="13303" hidden="1" x14ac:dyDescent="0.3"/>
    <row r="13304" hidden="1" x14ac:dyDescent="0.3"/>
    <row r="13305" hidden="1" x14ac:dyDescent="0.3"/>
    <row r="13306" hidden="1" x14ac:dyDescent="0.3"/>
    <row r="13307" hidden="1" x14ac:dyDescent="0.3"/>
    <row r="13308" hidden="1" x14ac:dyDescent="0.3"/>
    <row r="13309" hidden="1" x14ac:dyDescent="0.3"/>
    <row r="13310" hidden="1" x14ac:dyDescent="0.3"/>
    <row r="13311" hidden="1" x14ac:dyDescent="0.3"/>
    <row r="13312" hidden="1" x14ac:dyDescent="0.3"/>
    <row r="13313" hidden="1" x14ac:dyDescent="0.3"/>
    <row r="13314" hidden="1" x14ac:dyDescent="0.3"/>
    <row r="13315" hidden="1" x14ac:dyDescent="0.3"/>
    <row r="13316" hidden="1" x14ac:dyDescent="0.3"/>
    <row r="13317" hidden="1" x14ac:dyDescent="0.3"/>
    <row r="13318" hidden="1" x14ac:dyDescent="0.3"/>
    <row r="13319" hidden="1" x14ac:dyDescent="0.3"/>
    <row r="13320" hidden="1" x14ac:dyDescent="0.3"/>
    <row r="13321" hidden="1" x14ac:dyDescent="0.3"/>
    <row r="13322" hidden="1" x14ac:dyDescent="0.3"/>
    <row r="13323" hidden="1" x14ac:dyDescent="0.3"/>
    <row r="13324" hidden="1" x14ac:dyDescent="0.3"/>
    <row r="13325" hidden="1" x14ac:dyDescent="0.3"/>
    <row r="13326" hidden="1" x14ac:dyDescent="0.3"/>
    <row r="13327" hidden="1" x14ac:dyDescent="0.3"/>
    <row r="13328" hidden="1" x14ac:dyDescent="0.3"/>
    <row r="13329" hidden="1" x14ac:dyDescent="0.3"/>
    <row r="13330" hidden="1" x14ac:dyDescent="0.3"/>
    <row r="13331" hidden="1" x14ac:dyDescent="0.3"/>
    <row r="13332" hidden="1" x14ac:dyDescent="0.3"/>
    <row r="13333" hidden="1" x14ac:dyDescent="0.3"/>
    <row r="13334" hidden="1" x14ac:dyDescent="0.3"/>
    <row r="13335" hidden="1" x14ac:dyDescent="0.3"/>
    <row r="13336" hidden="1" x14ac:dyDescent="0.3"/>
    <row r="13337" hidden="1" x14ac:dyDescent="0.3"/>
    <row r="13338" hidden="1" x14ac:dyDescent="0.3"/>
    <row r="13339" hidden="1" x14ac:dyDescent="0.3"/>
    <row r="13340" hidden="1" x14ac:dyDescent="0.3"/>
    <row r="13341" hidden="1" x14ac:dyDescent="0.3"/>
    <row r="13342" hidden="1" x14ac:dyDescent="0.3"/>
    <row r="13343" hidden="1" x14ac:dyDescent="0.3"/>
    <row r="13344" hidden="1" x14ac:dyDescent="0.3"/>
    <row r="13345" hidden="1" x14ac:dyDescent="0.3"/>
    <row r="13346" hidden="1" x14ac:dyDescent="0.3"/>
    <row r="13347" hidden="1" x14ac:dyDescent="0.3"/>
    <row r="13348" hidden="1" x14ac:dyDescent="0.3"/>
    <row r="13349" hidden="1" x14ac:dyDescent="0.3"/>
    <row r="13350" hidden="1" x14ac:dyDescent="0.3"/>
    <row r="13351" hidden="1" x14ac:dyDescent="0.3"/>
    <row r="13352" hidden="1" x14ac:dyDescent="0.3"/>
    <row r="13353" hidden="1" x14ac:dyDescent="0.3"/>
    <row r="13354" hidden="1" x14ac:dyDescent="0.3"/>
    <row r="13355" hidden="1" x14ac:dyDescent="0.3"/>
    <row r="13356" hidden="1" x14ac:dyDescent="0.3"/>
    <row r="13357" hidden="1" x14ac:dyDescent="0.3"/>
    <row r="13358" hidden="1" x14ac:dyDescent="0.3"/>
    <row r="13359" hidden="1" x14ac:dyDescent="0.3"/>
    <row r="13360" hidden="1" x14ac:dyDescent="0.3"/>
    <row r="13361" hidden="1" x14ac:dyDescent="0.3"/>
    <row r="13362" hidden="1" x14ac:dyDescent="0.3"/>
    <row r="13363" hidden="1" x14ac:dyDescent="0.3"/>
    <row r="13364" hidden="1" x14ac:dyDescent="0.3"/>
    <row r="13365" hidden="1" x14ac:dyDescent="0.3"/>
    <row r="13366" hidden="1" x14ac:dyDescent="0.3"/>
    <row r="13367" hidden="1" x14ac:dyDescent="0.3"/>
    <row r="13368" hidden="1" x14ac:dyDescent="0.3"/>
    <row r="13369" hidden="1" x14ac:dyDescent="0.3"/>
    <row r="13370" hidden="1" x14ac:dyDescent="0.3"/>
    <row r="13371" hidden="1" x14ac:dyDescent="0.3"/>
    <row r="13372" hidden="1" x14ac:dyDescent="0.3"/>
    <row r="13373" hidden="1" x14ac:dyDescent="0.3"/>
    <row r="13374" hidden="1" x14ac:dyDescent="0.3"/>
    <row r="13375" hidden="1" x14ac:dyDescent="0.3"/>
    <row r="13376" hidden="1" x14ac:dyDescent="0.3"/>
    <row r="13377" hidden="1" x14ac:dyDescent="0.3"/>
    <row r="13378" hidden="1" x14ac:dyDescent="0.3"/>
    <row r="13379" hidden="1" x14ac:dyDescent="0.3"/>
    <row r="13380" hidden="1" x14ac:dyDescent="0.3"/>
    <row r="13381" hidden="1" x14ac:dyDescent="0.3"/>
    <row r="13382" hidden="1" x14ac:dyDescent="0.3"/>
    <row r="13383" hidden="1" x14ac:dyDescent="0.3"/>
    <row r="13384" hidden="1" x14ac:dyDescent="0.3"/>
    <row r="13385" hidden="1" x14ac:dyDescent="0.3"/>
    <row r="13386" hidden="1" x14ac:dyDescent="0.3"/>
    <row r="13387" hidden="1" x14ac:dyDescent="0.3"/>
    <row r="13388" hidden="1" x14ac:dyDescent="0.3"/>
    <row r="13389" hidden="1" x14ac:dyDescent="0.3"/>
    <row r="13390" hidden="1" x14ac:dyDescent="0.3"/>
    <row r="13391" hidden="1" x14ac:dyDescent="0.3"/>
    <row r="13392" hidden="1" x14ac:dyDescent="0.3"/>
    <row r="13393" hidden="1" x14ac:dyDescent="0.3"/>
    <row r="13394" hidden="1" x14ac:dyDescent="0.3"/>
    <row r="13395" hidden="1" x14ac:dyDescent="0.3"/>
    <row r="13396" hidden="1" x14ac:dyDescent="0.3"/>
    <row r="13397" hidden="1" x14ac:dyDescent="0.3"/>
    <row r="13398" hidden="1" x14ac:dyDescent="0.3"/>
    <row r="13399" hidden="1" x14ac:dyDescent="0.3"/>
    <row r="13400" hidden="1" x14ac:dyDescent="0.3"/>
    <row r="13401" hidden="1" x14ac:dyDescent="0.3"/>
    <row r="13402" hidden="1" x14ac:dyDescent="0.3"/>
    <row r="13403" hidden="1" x14ac:dyDescent="0.3"/>
    <row r="13404" hidden="1" x14ac:dyDescent="0.3"/>
    <row r="13405" hidden="1" x14ac:dyDescent="0.3"/>
    <row r="13406" hidden="1" x14ac:dyDescent="0.3"/>
    <row r="13407" hidden="1" x14ac:dyDescent="0.3"/>
    <row r="13408" hidden="1" x14ac:dyDescent="0.3"/>
    <row r="13409" hidden="1" x14ac:dyDescent="0.3"/>
    <row r="13410" hidden="1" x14ac:dyDescent="0.3"/>
    <row r="13411" hidden="1" x14ac:dyDescent="0.3"/>
    <row r="13412" hidden="1" x14ac:dyDescent="0.3"/>
    <row r="13413" hidden="1" x14ac:dyDescent="0.3"/>
    <row r="13414" hidden="1" x14ac:dyDescent="0.3"/>
    <row r="13415" hidden="1" x14ac:dyDescent="0.3"/>
    <row r="13416" hidden="1" x14ac:dyDescent="0.3"/>
    <row r="13417" hidden="1" x14ac:dyDescent="0.3"/>
    <row r="13418" hidden="1" x14ac:dyDescent="0.3"/>
    <row r="13419" hidden="1" x14ac:dyDescent="0.3"/>
    <row r="13420" hidden="1" x14ac:dyDescent="0.3"/>
    <row r="13421" hidden="1" x14ac:dyDescent="0.3"/>
    <row r="13422" hidden="1" x14ac:dyDescent="0.3"/>
    <row r="13423" hidden="1" x14ac:dyDescent="0.3"/>
    <row r="13424" hidden="1" x14ac:dyDescent="0.3"/>
    <row r="13425" hidden="1" x14ac:dyDescent="0.3"/>
    <row r="13426" hidden="1" x14ac:dyDescent="0.3"/>
    <row r="13427" hidden="1" x14ac:dyDescent="0.3"/>
    <row r="13428" hidden="1" x14ac:dyDescent="0.3"/>
    <row r="13429" hidden="1" x14ac:dyDescent="0.3"/>
    <row r="13430" hidden="1" x14ac:dyDescent="0.3"/>
    <row r="13431" hidden="1" x14ac:dyDescent="0.3"/>
    <row r="13432" hidden="1" x14ac:dyDescent="0.3"/>
    <row r="13433" hidden="1" x14ac:dyDescent="0.3"/>
    <row r="13434" hidden="1" x14ac:dyDescent="0.3"/>
    <row r="13435" hidden="1" x14ac:dyDescent="0.3"/>
    <row r="13436" hidden="1" x14ac:dyDescent="0.3"/>
    <row r="13437" hidden="1" x14ac:dyDescent="0.3"/>
    <row r="13438" hidden="1" x14ac:dyDescent="0.3"/>
    <row r="13439" hidden="1" x14ac:dyDescent="0.3"/>
    <row r="13440" hidden="1" x14ac:dyDescent="0.3"/>
    <row r="13441" hidden="1" x14ac:dyDescent="0.3"/>
    <row r="13442" hidden="1" x14ac:dyDescent="0.3"/>
    <row r="13443" hidden="1" x14ac:dyDescent="0.3"/>
    <row r="13444" hidden="1" x14ac:dyDescent="0.3"/>
    <row r="13445" hidden="1" x14ac:dyDescent="0.3"/>
    <row r="13446" hidden="1" x14ac:dyDescent="0.3"/>
    <row r="13447" hidden="1" x14ac:dyDescent="0.3"/>
    <row r="13448" hidden="1" x14ac:dyDescent="0.3"/>
    <row r="13449" hidden="1" x14ac:dyDescent="0.3"/>
    <row r="13450" hidden="1" x14ac:dyDescent="0.3"/>
    <row r="13451" hidden="1" x14ac:dyDescent="0.3"/>
    <row r="13452" hidden="1" x14ac:dyDescent="0.3"/>
    <row r="13453" hidden="1" x14ac:dyDescent="0.3"/>
    <row r="13454" hidden="1" x14ac:dyDescent="0.3"/>
    <row r="13455" hidden="1" x14ac:dyDescent="0.3"/>
    <row r="13456" hidden="1" x14ac:dyDescent="0.3"/>
    <row r="13457" hidden="1" x14ac:dyDescent="0.3"/>
    <row r="13458" hidden="1" x14ac:dyDescent="0.3"/>
    <row r="13459" hidden="1" x14ac:dyDescent="0.3"/>
    <row r="13460" hidden="1" x14ac:dyDescent="0.3"/>
    <row r="13461" hidden="1" x14ac:dyDescent="0.3"/>
    <row r="13462" hidden="1" x14ac:dyDescent="0.3"/>
    <row r="13463" hidden="1" x14ac:dyDescent="0.3"/>
    <row r="13464" hidden="1" x14ac:dyDescent="0.3"/>
    <row r="13465" hidden="1" x14ac:dyDescent="0.3"/>
    <row r="13466" hidden="1" x14ac:dyDescent="0.3"/>
    <row r="13467" hidden="1" x14ac:dyDescent="0.3"/>
    <row r="13468" hidden="1" x14ac:dyDescent="0.3"/>
    <row r="13469" hidden="1" x14ac:dyDescent="0.3"/>
    <row r="13470" hidden="1" x14ac:dyDescent="0.3"/>
    <row r="13471" hidden="1" x14ac:dyDescent="0.3"/>
    <row r="13472" hidden="1" x14ac:dyDescent="0.3"/>
    <row r="13473" hidden="1" x14ac:dyDescent="0.3"/>
    <row r="13474" hidden="1" x14ac:dyDescent="0.3"/>
    <row r="13475" hidden="1" x14ac:dyDescent="0.3"/>
    <row r="13476" hidden="1" x14ac:dyDescent="0.3"/>
    <row r="13477" hidden="1" x14ac:dyDescent="0.3"/>
    <row r="13478" hidden="1" x14ac:dyDescent="0.3"/>
    <row r="13479" hidden="1" x14ac:dyDescent="0.3"/>
    <row r="13480" hidden="1" x14ac:dyDescent="0.3"/>
    <row r="13481" hidden="1" x14ac:dyDescent="0.3"/>
    <row r="13482" hidden="1" x14ac:dyDescent="0.3"/>
    <row r="13483" hidden="1" x14ac:dyDescent="0.3"/>
    <row r="13484" hidden="1" x14ac:dyDescent="0.3"/>
    <row r="13485" hidden="1" x14ac:dyDescent="0.3"/>
    <row r="13486" hidden="1" x14ac:dyDescent="0.3"/>
    <row r="13487" hidden="1" x14ac:dyDescent="0.3"/>
    <row r="13488" hidden="1" x14ac:dyDescent="0.3"/>
    <row r="13489" hidden="1" x14ac:dyDescent="0.3"/>
    <row r="13490" hidden="1" x14ac:dyDescent="0.3"/>
    <row r="13491" hidden="1" x14ac:dyDescent="0.3"/>
    <row r="13492" hidden="1" x14ac:dyDescent="0.3"/>
    <row r="13493" hidden="1" x14ac:dyDescent="0.3"/>
    <row r="13494" hidden="1" x14ac:dyDescent="0.3"/>
    <row r="13495" hidden="1" x14ac:dyDescent="0.3"/>
    <row r="13496" hidden="1" x14ac:dyDescent="0.3"/>
    <row r="13497" hidden="1" x14ac:dyDescent="0.3"/>
    <row r="13498" hidden="1" x14ac:dyDescent="0.3"/>
    <row r="13499" hidden="1" x14ac:dyDescent="0.3"/>
    <row r="13500" hidden="1" x14ac:dyDescent="0.3"/>
    <row r="13501" hidden="1" x14ac:dyDescent="0.3"/>
    <row r="13502" hidden="1" x14ac:dyDescent="0.3"/>
    <row r="13503" hidden="1" x14ac:dyDescent="0.3"/>
    <row r="13504" hidden="1" x14ac:dyDescent="0.3"/>
    <row r="13505" hidden="1" x14ac:dyDescent="0.3"/>
    <row r="13506" hidden="1" x14ac:dyDescent="0.3"/>
    <row r="13507" hidden="1" x14ac:dyDescent="0.3"/>
    <row r="13508" hidden="1" x14ac:dyDescent="0.3"/>
    <row r="13509" hidden="1" x14ac:dyDescent="0.3"/>
    <row r="13510" hidden="1" x14ac:dyDescent="0.3"/>
    <row r="13511" hidden="1" x14ac:dyDescent="0.3"/>
    <row r="13512" hidden="1" x14ac:dyDescent="0.3"/>
    <row r="13513" hidden="1" x14ac:dyDescent="0.3"/>
    <row r="13514" hidden="1" x14ac:dyDescent="0.3"/>
    <row r="13515" hidden="1" x14ac:dyDescent="0.3"/>
    <row r="13516" hidden="1" x14ac:dyDescent="0.3"/>
    <row r="13517" hidden="1" x14ac:dyDescent="0.3"/>
    <row r="13518" hidden="1" x14ac:dyDescent="0.3"/>
    <row r="13519" hidden="1" x14ac:dyDescent="0.3"/>
    <row r="13520" hidden="1" x14ac:dyDescent="0.3"/>
    <row r="13521" hidden="1" x14ac:dyDescent="0.3"/>
    <row r="13522" hidden="1" x14ac:dyDescent="0.3"/>
    <row r="13523" hidden="1" x14ac:dyDescent="0.3"/>
    <row r="13524" hidden="1" x14ac:dyDescent="0.3"/>
    <row r="13525" hidden="1" x14ac:dyDescent="0.3"/>
    <row r="13526" hidden="1" x14ac:dyDescent="0.3"/>
    <row r="13527" hidden="1" x14ac:dyDescent="0.3"/>
    <row r="13528" hidden="1" x14ac:dyDescent="0.3"/>
    <row r="13529" hidden="1" x14ac:dyDescent="0.3"/>
    <row r="13530" hidden="1" x14ac:dyDescent="0.3"/>
    <row r="13531" hidden="1" x14ac:dyDescent="0.3"/>
    <row r="13532" hidden="1" x14ac:dyDescent="0.3"/>
    <row r="13533" hidden="1" x14ac:dyDescent="0.3"/>
    <row r="13534" hidden="1" x14ac:dyDescent="0.3"/>
    <row r="13535" hidden="1" x14ac:dyDescent="0.3"/>
    <row r="13536" hidden="1" x14ac:dyDescent="0.3"/>
    <row r="13537" hidden="1" x14ac:dyDescent="0.3"/>
    <row r="13538" hidden="1" x14ac:dyDescent="0.3"/>
    <row r="13539" hidden="1" x14ac:dyDescent="0.3"/>
    <row r="13540" hidden="1" x14ac:dyDescent="0.3"/>
    <row r="13541" hidden="1" x14ac:dyDescent="0.3"/>
    <row r="13542" hidden="1" x14ac:dyDescent="0.3"/>
    <row r="13543" hidden="1" x14ac:dyDescent="0.3"/>
    <row r="13544" hidden="1" x14ac:dyDescent="0.3"/>
    <row r="13545" hidden="1" x14ac:dyDescent="0.3"/>
    <row r="13546" hidden="1" x14ac:dyDescent="0.3"/>
    <row r="13547" hidden="1" x14ac:dyDescent="0.3"/>
    <row r="13548" hidden="1" x14ac:dyDescent="0.3"/>
    <row r="13549" hidden="1" x14ac:dyDescent="0.3"/>
    <row r="13550" hidden="1" x14ac:dyDescent="0.3"/>
    <row r="13551" hidden="1" x14ac:dyDescent="0.3"/>
    <row r="13552" hidden="1" x14ac:dyDescent="0.3"/>
    <row r="13553" hidden="1" x14ac:dyDescent="0.3"/>
    <row r="13554" hidden="1" x14ac:dyDescent="0.3"/>
    <row r="13555" hidden="1" x14ac:dyDescent="0.3"/>
    <row r="13556" hidden="1" x14ac:dyDescent="0.3"/>
    <row r="13557" hidden="1" x14ac:dyDescent="0.3"/>
    <row r="13558" hidden="1" x14ac:dyDescent="0.3"/>
    <row r="13559" hidden="1" x14ac:dyDescent="0.3"/>
    <row r="13560" hidden="1" x14ac:dyDescent="0.3"/>
    <row r="13561" hidden="1" x14ac:dyDescent="0.3"/>
    <row r="13562" hidden="1" x14ac:dyDescent="0.3"/>
    <row r="13563" hidden="1" x14ac:dyDescent="0.3"/>
    <row r="13564" hidden="1" x14ac:dyDescent="0.3"/>
    <row r="13565" hidden="1" x14ac:dyDescent="0.3"/>
    <row r="13566" hidden="1" x14ac:dyDescent="0.3"/>
    <row r="13567" hidden="1" x14ac:dyDescent="0.3"/>
    <row r="13568" hidden="1" x14ac:dyDescent="0.3"/>
    <row r="13569" hidden="1" x14ac:dyDescent="0.3"/>
    <row r="13570" hidden="1" x14ac:dyDescent="0.3"/>
    <row r="13571" hidden="1" x14ac:dyDescent="0.3"/>
    <row r="13572" hidden="1" x14ac:dyDescent="0.3"/>
    <row r="13573" hidden="1" x14ac:dyDescent="0.3"/>
    <row r="13574" hidden="1" x14ac:dyDescent="0.3"/>
    <row r="13575" hidden="1" x14ac:dyDescent="0.3"/>
    <row r="13576" hidden="1" x14ac:dyDescent="0.3"/>
    <row r="13577" hidden="1" x14ac:dyDescent="0.3"/>
    <row r="13578" hidden="1" x14ac:dyDescent="0.3"/>
    <row r="13579" hidden="1" x14ac:dyDescent="0.3"/>
    <row r="13580" hidden="1" x14ac:dyDescent="0.3"/>
    <row r="13581" hidden="1" x14ac:dyDescent="0.3"/>
    <row r="13582" hidden="1" x14ac:dyDescent="0.3"/>
    <row r="13583" hidden="1" x14ac:dyDescent="0.3"/>
    <row r="13584" hidden="1" x14ac:dyDescent="0.3"/>
    <row r="13585" hidden="1" x14ac:dyDescent="0.3"/>
    <row r="13586" hidden="1" x14ac:dyDescent="0.3"/>
    <row r="13587" hidden="1" x14ac:dyDescent="0.3"/>
    <row r="13588" hidden="1" x14ac:dyDescent="0.3"/>
    <row r="13589" hidden="1" x14ac:dyDescent="0.3"/>
    <row r="13590" hidden="1" x14ac:dyDescent="0.3"/>
    <row r="13591" hidden="1" x14ac:dyDescent="0.3"/>
    <row r="13592" hidden="1" x14ac:dyDescent="0.3"/>
    <row r="13593" hidden="1" x14ac:dyDescent="0.3"/>
    <row r="13594" hidden="1" x14ac:dyDescent="0.3"/>
    <row r="13595" hidden="1" x14ac:dyDescent="0.3"/>
    <row r="13596" hidden="1" x14ac:dyDescent="0.3"/>
    <row r="13597" hidden="1" x14ac:dyDescent="0.3"/>
    <row r="13598" hidden="1" x14ac:dyDescent="0.3"/>
    <row r="13599" hidden="1" x14ac:dyDescent="0.3"/>
    <row r="13600" hidden="1" x14ac:dyDescent="0.3"/>
    <row r="13601" hidden="1" x14ac:dyDescent="0.3"/>
    <row r="13602" hidden="1" x14ac:dyDescent="0.3"/>
    <row r="13603" hidden="1" x14ac:dyDescent="0.3"/>
    <row r="13604" hidden="1" x14ac:dyDescent="0.3"/>
    <row r="13605" hidden="1" x14ac:dyDescent="0.3"/>
    <row r="13606" hidden="1" x14ac:dyDescent="0.3"/>
    <row r="13607" hidden="1" x14ac:dyDescent="0.3"/>
    <row r="13608" hidden="1" x14ac:dyDescent="0.3"/>
    <row r="13609" hidden="1" x14ac:dyDescent="0.3"/>
    <row r="13610" hidden="1" x14ac:dyDescent="0.3"/>
    <row r="13611" hidden="1" x14ac:dyDescent="0.3"/>
    <row r="13612" hidden="1" x14ac:dyDescent="0.3"/>
    <row r="13613" hidden="1" x14ac:dyDescent="0.3"/>
    <row r="13614" hidden="1" x14ac:dyDescent="0.3"/>
    <row r="13615" hidden="1" x14ac:dyDescent="0.3"/>
    <row r="13616" hidden="1" x14ac:dyDescent="0.3"/>
    <row r="13617" hidden="1" x14ac:dyDescent="0.3"/>
    <row r="13618" hidden="1" x14ac:dyDescent="0.3"/>
    <row r="13619" hidden="1" x14ac:dyDescent="0.3"/>
    <row r="13620" hidden="1" x14ac:dyDescent="0.3"/>
    <row r="13621" hidden="1" x14ac:dyDescent="0.3"/>
    <row r="13622" hidden="1" x14ac:dyDescent="0.3"/>
    <row r="13623" hidden="1" x14ac:dyDescent="0.3"/>
    <row r="13624" hidden="1" x14ac:dyDescent="0.3"/>
    <row r="13625" hidden="1" x14ac:dyDescent="0.3"/>
    <row r="13626" hidden="1" x14ac:dyDescent="0.3"/>
    <row r="13627" hidden="1" x14ac:dyDescent="0.3"/>
    <row r="13628" hidden="1" x14ac:dyDescent="0.3"/>
    <row r="13629" hidden="1" x14ac:dyDescent="0.3"/>
    <row r="13630" hidden="1" x14ac:dyDescent="0.3"/>
    <row r="13631" hidden="1" x14ac:dyDescent="0.3"/>
    <row r="13632" hidden="1" x14ac:dyDescent="0.3"/>
    <row r="13633" hidden="1" x14ac:dyDescent="0.3"/>
    <row r="13634" hidden="1" x14ac:dyDescent="0.3"/>
    <row r="13635" hidden="1" x14ac:dyDescent="0.3"/>
    <row r="13636" hidden="1" x14ac:dyDescent="0.3"/>
    <row r="13637" hidden="1" x14ac:dyDescent="0.3"/>
    <row r="13638" hidden="1" x14ac:dyDescent="0.3"/>
    <row r="13639" hidden="1" x14ac:dyDescent="0.3"/>
    <row r="13640" hidden="1" x14ac:dyDescent="0.3"/>
    <row r="13641" hidden="1" x14ac:dyDescent="0.3"/>
    <row r="13642" hidden="1" x14ac:dyDescent="0.3"/>
    <row r="13643" hidden="1" x14ac:dyDescent="0.3"/>
    <row r="13644" hidden="1" x14ac:dyDescent="0.3"/>
    <row r="13645" hidden="1" x14ac:dyDescent="0.3"/>
    <row r="13646" hidden="1" x14ac:dyDescent="0.3"/>
    <row r="13647" hidden="1" x14ac:dyDescent="0.3"/>
    <row r="13648" hidden="1" x14ac:dyDescent="0.3"/>
    <row r="13649" hidden="1" x14ac:dyDescent="0.3"/>
    <row r="13650" hidden="1" x14ac:dyDescent="0.3"/>
    <row r="13651" hidden="1" x14ac:dyDescent="0.3"/>
    <row r="13652" hidden="1" x14ac:dyDescent="0.3"/>
    <row r="13653" hidden="1" x14ac:dyDescent="0.3"/>
    <row r="13654" hidden="1" x14ac:dyDescent="0.3"/>
    <row r="13655" hidden="1" x14ac:dyDescent="0.3"/>
    <row r="13656" hidden="1" x14ac:dyDescent="0.3"/>
    <row r="13657" hidden="1" x14ac:dyDescent="0.3"/>
    <row r="13658" hidden="1" x14ac:dyDescent="0.3"/>
    <row r="13659" hidden="1" x14ac:dyDescent="0.3"/>
    <row r="13660" hidden="1" x14ac:dyDescent="0.3"/>
    <row r="13661" hidden="1" x14ac:dyDescent="0.3"/>
    <row r="13662" hidden="1" x14ac:dyDescent="0.3"/>
    <row r="13663" hidden="1" x14ac:dyDescent="0.3"/>
    <row r="13664" hidden="1" x14ac:dyDescent="0.3"/>
    <row r="13665" hidden="1" x14ac:dyDescent="0.3"/>
    <row r="13666" hidden="1" x14ac:dyDescent="0.3"/>
    <row r="13667" hidden="1" x14ac:dyDescent="0.3"/>
    <row r="13668" hidden="1" x14ac:dyDescent="0.3"/>
    <row r="13669" hidden="1" x14ac:dyDescent="0.3"/>
    <row r="13670" hidden="1" x14ac:dyDescent="0.3"/>
    <row r="13671" hidden="1" x14ac:dyDescent="0.3"/>
    <row r="13672" hidden="1" x14ac:dyDescent="0.3"/>
    <row r="13673" hidden="1" x14ac:dyDescent="0.3"/>
    <row r="13674" hidden="1" x14ac:dyDescent="0.3"/>
    <row r="13675" hidden="1" x14ac:dyDescent="0.3"/>
    <row r="13676" hidden="1" x14ac:dyDescent="0.3"/>
    <row r="13677" hidden="1" x14ac:dyDescent="0.3"/>
    <row r="13678" hidden="1" x14ac:dyDescent="0.3"/>
    <row r="13679" hidden="1" x14ac:dyDescent="0.3"/>
    <row r="13680" hidden="1" x14ac:dyDescent="0.3"/>
    <row r="13681" hidden="1" x14ac:dyDescent="0.3"/>
    <row r="13682" hidden="1" x14ac:dyDescent="0.3"/>
    <row r="13683" hidden="1" x14ac:dyDescent="0.3"/>
    <row r="13684" hidden="1" x14ac:dyDescent="0.3"/>
    <row r="13685" hidden="1" x14ac:dyDescent="0.3"/>
    <row r="13686" hidden="1" x14ac:dyDescent="0.3"/>
    <row r="13687" hidden="1" x14ac:dyDescent="0.3"/>
    <row r="13688" hidden="1" x14ac:dyDescent="0.3"/>
    <row r="13689" hidden="1" x14ac:dyDescent="0.3"/>
    <row r="13690" hidden="1" x14ac:dyDescent="0.3"/>
    <row r="13691" hidden="1" x14ac:dyDescent="0.3"/>
    <row r="13692" hidden="1" x14ac:dyDescent="0.3"/>
    <row r="13693" hidden="1" x14ac:dyDescent="0.3"/>
    <row r="13694" hidden="1" x14ac:dyDescent="0.3"/>
    <row r="13695" hidden="1" x14ac:dyDescent="0.3"/>
    <row r="13696" hidden="1" x14ac:dyDescent="0.3"/>
    <row r="13697" hidden="1" x14ac:dyDescent="0.3"/>
    <row r="13698" hidden="1" x14ac:dyDescent="0.3"/>
    <row r="13699" hidden="1" x14ac:dyDescent="0.3"/>
    <row r="13700" hidden="1" x14ac:dyDescent="0.3"/>
    <row r="13701" hidden="1" x14ac:dyDescent="0.3"/>
    <row r="13702" hidden="1" x14ac:dyDescent="0.3"/>
    <row r="13703" hidden="1" x14ac:dyDescent="0.3"/>
    <row r="13704" hidden="1" x14ac:dyDescent="0.3"/>
    <row r="13705" hidden="1" x14ac:dyDescent="0.3"/>
    <row r="13706" hidden="1" x14ac:dyDescent="0.3"/>
    <row r="13707" hidden="1" x14ac:dyDescent="0.3"/>
    <row r="13708" hidden="1" x14ac:dyDescent="0.3"/>
    <row r="13709" hidden="1" x14ac:dyDescent="0.3"/>
    <row r="13710" hidden="1" x14ac:dyDescent="0.3"/>
    <row r="13711" hidden="1" x14ac:dyDescent="0.3"/>
    <row r="13712" hidden="1" x14ac:dyDescent="0.3"/>
    <row r="13713" hidden="1" x14ac:dyDescent="0.3"/>
    <row r="13714" hidden="1" x14ac:dyDescent="0.3"/>
    <row r="13715" hidden="1" x14ac:dyDescent="0.3"/>
    <row r="13716" hidden="1" x14ac:dyDescent="0.3"/>
    <row r="13717" hidden="1" x14ac:dyDescent="0.3"/>
    <row r="13718" hidden="1" x14ac:dyDescent="0.3"/>
    <row r="13719" hidden="1" x14ac:dyDescent="0.3"/>
    <row r="13720" hidden="1" x14ac:dyDescent="0.3"/>
    <row r="13721" hidden="1" x14ac:dyDescent="0.3"/>
    <row r="13722" hidden="1" x14ac:dyDescent="0.3"/>
    <row r="13723" hidden="1" x14ac:dyDescent="0.3"/>
    <row r="13724" hidden="1" x14ac:dyDescent="0.3"/>
    <row r="13725" hidden="1" x14ac:dyDescent="0.3"/>
    <row r="13726" hidden="1" x14ac:dyDescent="0.3"/>
    <row r="13727" hidden="1" x14ac:dyDescent="0.3"/>
    <row r="13728" hidden="1" x14ac:dyDescent="0.3"/>
    <row r="13729" hidden="1" x14ac:dyDescent="0.3"/>
    <row r="13730" hidden="1" x14ac:dyDescent="0.3"/>
    <row r="13731" hidden="1" x14ac:dyDescent="0.3"/>
    <row r="13732" hidden="1" x14ac:dyDescent="0.3"/>
    <row r="13733" hidden="1" x14ac:dyDescent="0.3"/>
    <row r="13734" hidden="1" x14ac:dyDescent="0.3"/>
    <row r="13735" hidden="1" x14ac:dyDescent="0.3"/>
    <row r="13736" hidden="1" x14ac:dyDescent="0.3"/>
    <row r="13737" hidden="1" x14ac:dyDescent="0.3"/>
    <row r="13738" hidden="1" x14ac:dyDescent="0.3"/>
    <row r="13739" hidden="1" x14ac:dyDescent="0.3"/>
    <row r="13740" hidden="1" x14ac:dyDescent="0.3"/>
    <row r="13741" hidden="1" x14ac:dyDescent="0.3"/>
    <row r="13742" hidden="1" x14ac:dyDescent="0.3"/>
    <row r="13743" hidden="1" x14ac:dyDescent="0.3"/>
    <row r="13744" hidden="1" x14ac:dyDescent="0.3"/>
    <row r="13745" hidden="1" x14ac:dyDescent="0.3"/>
    <row r="13746" hidden="1" x14ac:dyDescent="0.3"/>
    <row r="13747" hidden="1" x14ac:dyDescent="0.3"/>
    <row r="13748" hidden="1" x14ac:dyDescent="0.3"/>
    <row r="13749" hidden="1" x14ac:dyDescent="0.3"/>
    <row r="13750" hidden="1" x14ac:dyDescent="0.3"/>
    <row r="13751" hidden="1" x14ac:dyDescent="0.3"/>
    <row r="13752" hidden="1" x14ac:dyDescent="0.3"/>
    <row r="13753" hidden="1" x14ac:dyDescent="0.3"/>
    <row r="13754" hidden="1" x14ac:dyDescent="0.3"/>
    <row r="13755" hidden="1" x14ac:dyDescent="0.3"/>
    <row r="13756" hidden="1" x14ac:dyDescent="0.3"/>
    <row r="13757" hidden="1" x14ac:dyDescent="0.3"/>
    <row r="13758" hidden="1" x14ac:dyDescent="0.3"/>
    <row r="13759" hidden="1" x14ac:dyDescent="0.3"/>
    <row r="13760" hidden="1" x14ac:dyDescent="0.3"/>
    <row r="13761" hidden="1" x14ac:dyDescent="0.3"/>
    <row r="13762" hidden="1" x14ac:dyDescent="0.3"/>
    <row r="13763" hidden="1" x14ac:dyDescent="0.3"/>
    <row r="13764" hidden="1" x14ac:dyDescent="0.3"/>
    <row r="13765" hidden="1" x14ac:dyDescent="0.3"/>
    <row r="13766" hidden="1" x14ac:dyDescent="0.3"/>
    <row r="13767" hidden="1" x14ac:dyDescent="0.3"/>
    <row r="13768" hidden="1" x14ac:dyDescent="0.3"/>
    <row r="13769" hidden="1" x14ac:dyDescent="0.3"/>
    <row r="13770" hidden="1" x14ac:dyDescent="0.3"/>
    <row r="13771" hidden="1" x14ac:dyDescent="0.3"/>
    <row r="13772" hidden="1" x14ac:dyDescent="0.3"/>
    <row r="13773" hidden="1" x14ac:dyDescent="0.3"/>
    <row r="13774" hidden="1" x14ac:dyDescent="0.3"/>
    <row r="13775" hidden="1" x14ac:dyDescent="0.3"/>
    <row r="13776" hidden="1" x14ac:dyDescent="0.3"/>
    <row r="13777" hidden="1" x14ac:dyDescent="0.3"/>
    <row r="13778" hidden="1" x14ac:dyDescent="0.3"/>
    <row r="13779" hidden="1" x14ac:dyDescent="0.3"/>
    <row r="13780" hidden="1" x14ac:dyDescent="0.3"/>
    <row r="13781" hidden="1" x14ac:dyDescent="0.3"/>
    <row r="13782" hidden="1" x14ac:dyDescent="0.3"/>
    <row r="13783" hidden="1" x14ac:dyDescent="0.3"/>
    <row r="13784" hidden="1" x14ac:dyDescent="0.3"/>
    <row r="13785" hidden="1" x14ac:dyDescent="0.3"/>
    <row r="13786" hidden="1" x14ac:dyDescent="0.3"/>
    <row r="13787" hidden="1" x14ac:dyDescent="0.3"/>
    <row r="13788" hidden="1" x14ac:dyDescent="0.3"/>
    <row r="13789" hidden="1" x14ac:dyDescent="0.3"/>
    <row r="13790" hidden="1" x14ac:dyDescent="0.3"/>
    <row r="13791" hidden="1" x14ac:dyDescent="0.3"/>
    <row r="13792" hidden="1" x14ac:dyDescent="0.3"/>
    <row r="13793" hidden="1" x14ac:dyDescent="0.3"/>
    <row r="13794" hidden="1" x14ac:dyDescent="0.3"/>
    <row r="13795" hidden="1" x14ac:dyDescent="0.3"/>
    <row r="13796" hidden="1" x14ac:dyDescent="0.3"/>
    <row r="13797" hidden="1" x14ac:dyDescent="0.3"/>
    <row r="13798" hidden="1" x14ac:dyDescent="0.3"/>
    <row r="13799" hidden="1" x14ac:dyDescent="0.3"/>
    <row r="13800" hidden="1" x14ac:dyDescent="0.3"/>
    <row r="13801" hidden="1" x14ac:dyDescent="0.3"/>
    <row r="13802" hidden="1" x14ac:dyDescent="0.3"/>
    <row r="13803" hidden="1" x14ac:dyDescent="0.3"/>
    <row r="13804" hidden="1" x14ac:dyDescent="0.3"/>
    <row r="13805" hidden="1" x14ac:dyDescent="0.3"/>
    <row r="13806" hidden="1" x14ac:dyDescent="0.3"/>
    <row r="13807" hidden="1" x14ac:dyDescent="0.3"/>
    <row r="13808" hidden="1" x14ac:dyDescent="0.3"/>
    <row r="13809" hidden="1" x14ac:dyDescent="0.3"/>
    <row r="13810" hidden="1" x14ac:dyDescent="0.3"/>
    <row r="13811" hidden="1" x14ac:dyDescent="0.3"/>
    <row r="13812" hidden="1" x14ac:dyDescent="0.3"/>
    <row r="13813" hidden="1" x14ac:dyDescent="0.3"/>
    <row r="13814" hidden="1" x14ac:dyDescent="0.3"/>
    <row r="13815" hidden="1" x14ac:dyDescent="0.3"/>
    <row r="13816" hidden="1" x14ac:dyDescent="0.3"/>
    <row r="13817" hidden="1" x14ac:dyDescent="0.3"/>
    <row r="13818" hidden="1" x14ac:dyDescent="0.3"/>
    <row r="13819" hidden="1" x14ac:dyDescent="0.3"/>
    <row r="13820" hidden="1" x14ac:dyDescent="0.3"/>
    <row r="13821" hidden="1" x14ac:dyDescent="0.3"/>
    <row r="13822" hidden="1" x14ac:dyDescent="0.3"/>
    <row r="13823" hidden="1" x14ac:dyDescent="0.3"/>
    <row r="13824" hidden="1" x14ac:dyDescent="0.3"/>
    <row r="13825" hidden="1" x14ac:dyDescent="0.3"/>
    <row r="13826" hidden="1" x14ac:dyDescent="0.3"/>
    <row r="13827" hidden="1" x14ac:dyDescent="0.3"/>
    <row r="13828" hidden="1" x14ac:dyDescent="0.3"/>
    <row r="13829" hidden="1" x14ac:dyDescent="0.3"/>
    <row r="13830" hidden="1" x14ac:dyDescent="0.3"/>
    <row r="13831" hidden="1" x14ac:dyDescent="0.3"/>
    <row r="13832" hidden="1" x14ac:dyDescent="0.3"/>
    <row r="13833" hidden="1" x14ac:dyDescent="0.3"/>
    <row r="13834" hidden="1" x14ac:dyDescent="0.3"/>
    <row r="13835" hidden="1" x14ac:dyDescent="0.3"/>
    <row r="13836" hidden="1" x14ac:dyDescent="0.3"/>
    <row r="13837" hidden="1" x14ac:dyDescent="0.3"/>
    <row r="13838" hidden="1" x14ac:dyDescent="0.3"/>
    <row r="13839" hidden="1" x14ac:dyDescent="0.3"/>
    <row r="13840" hidden="1" x14ac:dyDescent="0.3"/>
    <row r="13841" hidden="1" x14ac:dyDescent="0.3"/>
    <row r="13842" hidden="1" x14ac:dyDescent="0.3"/>
    <row r="13843" hidden="1" x14ac:dyDescent="0.3"/>
    <row r="13844" hidden="1" x14ac:dyDescent="0.3"/>
    <row r="13845" hidden="1" x14ac:dyDescent="0.3"/>
    <row r="13846" hidden="1" x14ac:dyDescent="0.3"/>
    <row r="13847" hidden="1" x14ac:dyDescent="0.3"/>
    <row r="13848" hidden="1" x14ac:dyDescent="0.3"/>
    <row r="13849" hidden="1" x14ac:dyDescent="0.3"/>
    <row r="13850" hidden="1" x14ac:dyDescent="0.3"/>
    <row r="13851" hidden="1" x14ac:dyDescent="0.3"/>
    <row r="13852" hidden="1" x14ac:dyDescent="0.3"/>
    <row r="13853" hidden="1" x14ac:dyDescent="0.3"/>
    <row r="13854" hidden="1" x14ac:dyDescent="0.3"/>
    <row r="13855" hidden="1" x14ac:dyDescent="0.3"/>
    <row r="13856" hidden="1" x14ac:dyDescent="0.3"/>
    <row r="13857" hidden="1" x14ac:dyDescent="0.3"/>
    <row r="13858" hidden="1" x14ac:dyDescent="0.3"/>
    <row r="13859" hidden="1" x14ac:dyDescent="0.3"/>
    <row r="13860" hidden="1" x14ac:dyDescent="0.3"/>
    <row r="13861" hidden="1" x14ac:dyDescent="0.3"/>
    <row r="13862" hidden="1" x14ac:dyDescent="0.3"/>
    <row r="13863" hidden="1" x14ac:dyDescent="0.3"/>
    <row r="13864" hidden="1" x14ac:dyDescent="0.3"/>
    <row r="13865" hidden="1" x14ac:dyDescent="0.3"/>
    <row r="13866" hidden="1" x14ac:dyDescent="0.3"/>
    <row r="13867" hidden="1" x14ac:dyDescent="0.3"/>
    <row r="13868" hidden="1" x14ac:dyDescent="0.3"/>
    <row r="13869" hidden="1" x14ac:dyDescent="0.3"/>
    <row r="13870" hidden="1" x14ac:dyDescent="0.3"/>
    <row r="13871" hidden="1" x14ac:dyDescent="0.3"/>
    <row r="13872" hidden="1" x14ac:dyDescent="0.3"/>
    <row r="13873" hidden="1" x14ac:dyDescent="0.3"/>
    <row r="13874" hidden="1" x14ac:dyDescent="0.3"/>
    <row r="13875" hidden="1" x14ac:dyDescent="0.3"/>
    <row r="13876" hidden="1" x14ac:dyDescent="0.3"/>
    <row r="13877" hidden="1" x14ac:dyDescent="0.3"/>
    <row r="13878" hidden="1" x14ac:dyDescent="0.3"/>
    <row r="13879" hidden="1" x14ac:dyDescent="0.3"/>
    <row r="13880" hidden="1" x14ac:dyDescent="0.3"/>
    <row r="13881" hidden="1" x14ac:dyDescent="0.3"/>
    <row r="13882" hidden="1" x14ac:dyDescent="0.3"/>
    <row r="13883" hidden="1" x14ac:dyDescent="0.3"/>
    <row r="13884" hidden="1" x14ac:dyDescent="0.3"/>
    <row r="13885" hidden="1" x14ac:dyDescent="0.3"/>
    <row r="13886" hidden="1" x14ac:dyDescent="0.3"/>
    <row r="13887" hidden="1" x14ac:dyDescent="0.3"/>
    <row r="13888" hidden="1" x14ac:dyDescent="0.3"/>
    <row r="13889" hidden="1" x14ac:dyDescent="0.3"/>
    <row r="13890" hidden="1" x14ac:dyDescent="0.3"/>
    <row r="13891" hidden="1" x14ac:dyDescent="0.3"/>
    <row r="13892" hidden="1" x14ac:dyDescent="0.3"/>
    <row r="13893" hidden="1" x14ac:dyDescent="0.3"/>
    <row r="13894" hidden="1" x14ac:dyDescent="0.3"/>
    <row r="13895" hidden="1" x14ac:dyDescent="0.3"/>
    <row r="13896" hidden="1" x14ac:dyDescent="0.3"/>
    <row r="13897" hidden="1" x14ac:dyDescent="0.3"/>
    <row r="13898" hidden="1" x14ac:dyDescent="0.3"/>
    <row r="13899" hidden="1" x14ac:dyDescent="0.3"/>
    <row r="13900" hidden="1" x14ac:dyDescent="0.3"/>
    <row r="13901" hidden="1" x14ac:dyDescent="0.3"/>
    <row r="13902" hidden="1" x14ac:dyDescent="0.3"/>
    <row r="13903" hidden="1" x14ac:dyDescent="0.3"/>
    <row r="13904" hidden="1" x14ac:dyDescent="0.3"/>
    <row r="13905" hidden="1" x14ac:dyDescent="0.3"/>
    <row r="13906" hidden="1" x14ac:dyDescent="0.3"/>
    <row r="13907" hidden="1" x14ac:dyDescent="0.3"/>
    <row r="13908" hidden="1" x14ac:dyDescent="0.3"/>
    <row r="13909" hidden="1" x14ac:dyDescent="0.3"/>
    <row r="13910" hidden="1" x14ac:dyDescent="0.3"/>
    <row r="13911" hidden="1" x14ac:dyDescent="0.3"/>
    <row r="13912" hidden="1" x14ac:dyDescent="0.3"/>
    <row r="13913" hidden="1" x14ac:dyDescent="0.3"/>
    <row r="13914" hidden="1" x14ac:dyDescent="0.3"/>
    <row r="13915" hidden="1" x14ac:dyDescent="0.3"/>
    <row r="13916" hidden="1" x14ac:dyDescent="0.3"/>
    <row r="13917" hidden="1" x14ac:dyDescent="0.3"/>
    <row r="13918" hidden="1" x14ac:dyDescent="0.3"/>
    <row r="13919" hidden="1" x14ac:dyDescent="0.3"/>
    <row r="13920" hidden="1" x14ac:dyDescent="0.3"/>
    <row r="13921" hidden="1" x14ac:dyDescent="0.3"/>
    <row r="13922" hidden="1" x14ac:dyDescent="0.3"/>
    <row r="13923" hidden="1" x14ac:dyDescent="0.3"/>
    <row r="13924" hidden="1" x14ac:dyDescent="0.3"/>
    <row r="13925" hidden="1" x14ac:dyDescent="0.3"/>
    <row r="13926" hidden="1" x14ac:dyDescent="0.3"/>
    <row r="13927" hidden="1" x14ac:dyDescent="0.3"/>
    <row r="13928" hidden="1" x14ac:dyDescent="0.3"/>
    <row r="13929" hidden="1" x14ac:dyDescent="0.3"/>
    <row r="13930" hidden="1" x14ac:dyDescent="0.3"/>
    <row r="13931" hidden="1" x14ac:dyDescent="0.3"/>
    <row r="13932" hidden="1" x14ac:dyDescent="0.3"/>
    <row r="13933" hidden="1" x14ac:dyDescent="0.3"/>
    <row r="13934" hidden="1" x14ac:dyDescent="0.3"/>
    <row r="13935" hidden="1" x14ac:dyDescent="0.3"/>
    <row r="13936" hidden="1" x14ac:dyDescent="0.3"/>
    <row r="13937" hidden="1" x14ac:dyDescent="0.3"/>
    <row r="13938" hidden="1" x14ac:dyDescent="0.3"/>
    <row r="13939" hidden="1" x14ac:dyDescent="0.3"/>
    <row r="13940" hidden="1" x14ac:dyDescent="0.3"/>
    <row r="13941" hidden="1" x14ac:dyDescent="0.3"/>
    <row r="13942" hidden="1" x14ac:dyDescent="0.3"/>
    <row r="13943" hidden="1" x14ac:dyDescent="0.3"/>
    <row r="13944" hidden="1" x14ac:dyDescent="0.3"/>
    <row r="13945" hidden="1" x14ac:dyDescent="0.3"/>
    <row r="13946" hidden="1" x14ac:dyDescent="0.3"/>
    <row r="13947" hidden="1" x14ac:dyDescent="0.3"/>
    <row r="13948" hidden="1" x14ac:dyDescent="0.3"/>
    <row r="13949" hidden="1" x14ac:dyDescent="0.3"/>
    <row r="13950" hidden="1" x14ac:dyDescent="0.3"/>
    <row r="13951" hidden="1" x14ac:dyDescent="0.3"/>
    <row r="13952" hidden="1" x14ac:dyDescent="0.3"/>
    <row r="13953" hidden="1" x14ac:dyDescent="0.3"/>
    <row r="13954" hidden="1" x14ac:dyDescent="0.3"/>
    <row r="13955" hidden="1" x14ac:dyDescent="0.3"/>
    <row r="13956" hidden="1" x14ac:dyDescent="0.3"/>
    <row r="13957" hidden="1" x14ac:dyDescent="0.3"/>
    <row r="13958" hidden="1" x14ac:dyDescent="0.3"/>
    <row r="13959" hidden="1" x14ac:dyDescent="0.3"/>
    <row r="13960" hidden="1" x14ac:dyDescent="0.3"/>
    <row r="13961" hidden="1" x14ac:dyDescent="0.3"/>
    <row r="13962" hidden="1" x14ac:dyDescent="0.3"/>
    <row r="13963" hidden="1" x14ac:dyDescent="0.3"/>
    <row r="13964" hidden="1" x14ac:dyDescent="0.3"/>
    <row r="13965" hidden="1" x14ac:dyDescent="0.3"/>
    <row r="13966" hidden="1" x14ac:dyDescent="0.3"/>
    <row r="13967" hidden="1" x14ac:dyDescent="0.3"/>
    <row r="13968" hidden="1" x14ac:dyDescent="0.3"/>
    <row r="13969" hidden="1" x14ac:dyDescent="0.3"/>
    <row r="13970" hidden="1" x14ac:dyDescent="0.3"/>
    <row r="13971" hidden="1" x14ac:dyDescent="0.3"/>
    <row r="13972" hidden="1" x14ac:dyDescent="0.3"/>
    <row r="13973" hidden="1" x14ac:dyDescent="0.3"/>
    <row r="13974" hidden="1" x14ac:dyDescent="0.3"/>
    <row r="13975" hidden="1" x14ac:dyDescent="0.3"/>
    <row r="13976" hidden="1" x14ac:dyDescent="0.3"/>
    <row r="13977" hidden="1" x14ac:dyDescent="0.3"/>
    <row r="13978" hidden="1" x14ac:dyDescent="0.3"/>
    <row r="13979" hidden="1" x14ac:dyDescent="0.3"/>
    <row r="13980" hidden="1" x14ac:dyDescent="0.3"/>
    <row r="13981" hidden="1" x14ac:dyDescent="0.3"/>
    <row r="13982" hidden="1" x14ac:dyDescent="0.3"/>
    <row r="13983" hidden="1" x14ac:dyDescent="0.3"/>
    <row r="13984" hidden="1" x14ac:dyDescent="0.3"/>
    <row r="13985" hidden="1" x14ac:dyDescent="0.3"/>
    <row r="13986" hidden="1" x14ac:dyDescent="0.3"/>
    <row r="13987" hidden="1" x14ac:dyDescent="0.3"/>
    <row r="13988" hidden="1" x14ac:dyDescent="0.3"/>
    <row r="13989" hidden="1" x14ac:dyDescent="0.3"/>
    <row r="13990" hidden="1" x14ac:dyDescent="0.3"/>
    <row r="13991" hidden="1" x14ac:dyDescent="0.3"/>
    <row r="13992" hidden="1" x14ac:dyDescent="0.3"/>
    <row r="13993" hidden="1" x14ac:dyDescent="0.3"/>
    <row r="13994" hidden="1" x14ac:dyDescent="0.3"/>
    <row r="13995" hidden="1" x14ac:dyDescent="0.3"/>
    <row r="13996" hidden="1" x14ac:dyDescent="0.3"/>
    <row r="13997" hidden="1" x14ac:dyDescent="0.3"/>
    <row r="13998" hidden="1" x14ac:dyDescent="0.3"/>
    <row r="13999" hidden="1" x14ac:dyDescent="0.3"/>
    <row r="14000" hidden="1" x14ac:dyDescent="0.3"/>
    <row r="14001" hidden="1" x14ac:dyDescent="0.3"/>
    <row r="14002" hidden="1" x14ac:dyDescent="0.3"/>
    <row r="14003" hidden="1" x14ac:dyDescent="0.3"/>
    <row r="14004" hidden="1" x14ac:dyDescent="0.3"/>
    <row r="14005" hidden="1" x14ac:dyDescent="0.3"/>
    <row r="14006" hidden="1" x14ac:dyDescent="0.3"/>
    <row r="14007" hidden="1" x14ac:dyDescent="0.3"/>
    <row r="14008" hidden="1" x14ac:dyDescent="0.3"/>
    <row r="14009" hidden="1" x14ac:dyDescent="0.3"/>
    <row r="14010" hidden="1" x14ac:dyDescent="0.3"/>
    <row r="14011" hidden="1" x14ac:dyDescent="0.3"/>
    <row r="14012" hidden="1" x14ac:dyDescent="0.3"/>
    <row r="14013" hidden="1" x14ac:dyDescent="0.3"/>
    <row r="14014" hidden="1" x14ac:dyDescent="0.3"/>
    <row r="14015" hidden="1" x14ac:dyDescent="0.3"/>
    <row r="14016" hidden="1" x14ac:dyDescent="0.3"/>
    <row r="14017" hidden="1" x14ac:dyDescent="0.3"/>
    <row r="14018" hidden="1" x14ac:dyDescent="0.3"/>
    <row r="14019" hidden="1" x14ac:dyDescent="0.3"/>
    <row r="14020" hidden="1" x14ac:dyDescent="0.3"/>
    <row r="14021" hidden="1" x14ac:dyDescent="0.3"/>
    <row r="14022" hidden="1" x14ac:dyDescent="0.3"/>
    <row r="14023" hidden="1" x14ac:dyDescent="0.3"/>
    <row r="14024" hidden="1" x14ac:dyDescent="0.3"/>
    <row r="14025" hidden="1" x14ac:dyDescent="0.3"/>
    <row r="14026" hidden="1" x14ac:dyDescent="0.3"/>
    <row r="14027" hidden="1" x14ac:dyDescent="0.3"/>
    <row r="14028" hidden="1" x14ac:dyDescent="0.3"/>
    <row r="14029" hidden="1" x14ac:dyDescent="0.3"/>
    <row r="14030" hidden="1" x14ac:dyDescent="0.3"/>
    <row r="14031" hidden="1" x14ac:dyDescent="0.3"/>
    <row r="14032" hidden="1" x14ac:dyDescent="0.3"/>
    <row r="14033" hidden="1" x14ac:dyDescent="0.3"/>
    <row r="14034" hidden="1" x14ac:dyDescent="0.3"/>
    <row r="14035" hidden="1" x14ac:dyDescent="0.3"/>
    <row r="14036" hidden="1" x14ac:dyDescent="0.3"/>
    <row r="14037" hidden="1" x14ac:dyDescent="0.3"/>
    <row r="14038" hidden="1" x14ac:dyDescent="0.3"/>
    <row r="14039" hidden="1" x14ac:dyDescent="0.3"/>
    <row r="14040" hidden="1" x14ac:dyDescent="0.3"/>
    <row r="14041" hidden="1" x14ac:dyDescent="0.3"/>
    <row r="14042" hidden="1" x14ac:dyDescent="0.3"/>
    <row r="14043" hidden="1" x14ac:dyDescent="0.3"/>
    <row r="14044" hidden="1" x14ac:dyDescent="0.3"/>
    <row r="14045" hidden="1" x14ac:dyDescent="0.3"/>
    <row r="14046" hidden="1" x14ac:dyDescent="0.3"/>
    <row r="14047" hidden="1" x14ac:dyDescent="0.3"/>
    <row r="14048" hidden="1" x14ac:dyDescent="0.3"/>
    <row r="14049" hidden="1" x14ac:dyDescent="0.3"/>
    <row r="14050" hidden="1" x14ac:dyDescent="0.3"/>
    <row r="14051" hidden="1" x14ac:dyDescent="0.3"/>
    <row r="14052" hidden="1" x14ac:dyDescent="0.3"/>
    <row r="14053" hidden="1" x14ac:dyDescent="0.3"/>
    <row r="14054" hidden="1" x14ac:dyDescent="0.3"/>
    <row r="14055" hidden="1" x14ac:dyDescent="0.3"/>
    <row r="14056" hidden="1" x14ac:dyDescent="0.3"/>
    <row r="14057" hidden="1" x14ac:dyDescent="0.3"/>
    <row r="14058" hidden="1" x14ac:dyDescent="0.3"/>
    <row r="14059" hidden="1" x14ac:dyDescent="0.3"/>
    <row r="14060" hidden="1" x14ac:dyDescent="0.3"/>
    <row r="14061" hidden="1" x14ac:dyDescent="0.3"/>
    <row r="14062" hidden="1" x14ac:dyDescent="0.3"/>
    <row r="14063" hidden="1" x14ac:dyDescent="0.3"/>
    <row r="14064" hidden="1" x14ac:dyDescent="0.3"/>
    <row r="14065" hidden="1" x14ac:dyDescent="0.3"/>
    <row r="14066" hidden="1" x14ac:dyDescent="0.3"/>
    <row r="14067" hidden="1" x14ac:dyDescent="0.3"/>
    <row r="14068" hidden="1" x14ac:dyDescent="0.3"/>
    <row r="14069" hidden="1" x14ac:dyDescent="0.3"/>
    <row r="14070" hidden="1" x14ac:dyDescent="0.3"/>
    <row r="14071" hidden="1" x14ac:dyDescent="0.3"/>
    <row r="14072" hidden="1" x14ac:dyDescent="0.3"/>
    <row r="14073" hidden="1" x14ac:dyDescent="0.3"/>
    <row r="14074" hidden="1" x14ac:dyDescent="0.3"/>
    <row r="14075" hidden="1" x14ac:dyDescent="0.3"/>
    <row r="14076" hidden="1" x14ac:dyDescent="0.3"/>
    <row r="14077" hidden="1" x14ac:dyDescent="0.3"/>
    <row r="14078" hidden="1" x14ac:dyDescent="0.3"/>
    <row r="14079" hidden="1" x14ac:dyDescent="0.3"/>
    <row r="14080" hidden="1" x14ac:dyDescent="0.3"/>
    <row r="14081" hidden="1" x14ac:dyDescent="0.3"/>
    <row r="14082" hidden="1" x14ac:dyDescent="0.3"/>
    <row r="14083" hidden="1" x14ac:dyDescent="0.3"/>
    <row r="14084" hidden="1" x14ac:dyDescent="0.3"/>
    <row r="14085" hidden="1" x14ac:dyDescent="0.3"/>
    <row r="14086" hidden="1" x14ac:dyDescent="0.3"/>
    <row r="14087" hidden="1" x14ac:dyDescent="0.3"/>
    <row r="14088" hidden="1" x14ac:dyDescent="0.3"/>
    <row r="14089" hidden="1" x14ac:dyDescent="0.3"/>
    <row r="14090" hidden="1" x14ac:dyDescent="0.3"/>
    <row r="14091" hidden="1" x14ac:dyDescent="0.3"/>
    <row r="14092" hidden="1" x14ac:dyDescent="0.3"/>
    <row r="14093" hidden="1" x14ac:dyDescent="0.3"/>
    <row r="14094" hidden="1" x14ac:dyDescent="0.3"/>
    <row r="14095" hidden="1" x14ac:dyDescent="0.3"/>
    <row r="14096" hidden="1" x14ac:dyDescent="0.3"/>
    <row r="14097" hidden="1" x14ac:dyDescent="0.3"/>
    <row r="14098" hidden="1" x14ac:dyDescent="0.3"/>
    <row r="14099" hidden="1" x14ac:dyDescent="0.3"/>
    <row r="14100" hidden="1" x14ac:dyDescent="0.3"/>
    <row r="14101" hidden="1" x14ac:dyDescent="0.3"/>
    <row r="14102" hidden="1" x14ac:dyDescent="0.3"/>
    <row r="14103" hidden="1" x14ac:dyDescent="0.3"/>
    <row r="14104" hidden="1" x14ac:dyDescent="0.3"/>
    <row r="14105" hidden="1" x14ac:dyDescent="0.3"/>
    <row r="14106" hidden="1" x14ac:dyDescent="0.3"/>
    <row r="14107" hidden="1" x14ac:dyDescent="0.3"/>
    <row r="14108" hidden="1" x14ac:dyDescent="0.3"/>
    <row r="14109" hidden="1" x14ac:dyDescent="0.3"/>
    <row r="14110" hidden="1" x14ac:dyDescent="0.3"/>
    <row r="14111" hidden="1" x14ac:dyDescent="0.3"/>
    <row r="14112" hidden="1" x14ac:dyDescent="0.3"/>
    <row r="14113" hidden="1" x14ac:dyDescent="0.3"/>
    <row r="14114" hidden="1" x14ac:dyDescent="0.3"/>
    <row r="14115" hidden="1" x14ac:dyDescent="0.3"/>
    <row r="14116" hidden="1" x14ac:dyDescent="0.3"/>
    <row r="14117" hidden="1" x14ac:dyDescent="0.3"/>
    <row r="14118" hidden="1" x14ac:dyDescent="0.3"/>
    <row r="14119" hidden="1" x14ac:dyDescent="0.3"/>
    <row r="14120" hidden="1" x14ac:dyDescent="0.3"/>
    <row r="14121" hidden="1" x14ac:dyDescent="0.3"/>
    <row r="14122" hidden="1" x14ac:dyDescent="0.3"/>
    <row r="14123" hidden="1" x14ac:dyDescent="0.3"/>
    <row r="14124" hidden="1" x14ac:dyDescent="0.3"/>
    <row r="14125" hidden="1" x14ac:dyDescent="0.3"/>
    <row r="14126" hidden="1" x14ac:dyDescent="0.3"/>
    <row r="14127" hidden="1" x14ac:dyDescent="0.3"/>
    <row r="14128" hidden="1" x14ac:dyDescent="0.3"/>
    <row r="14129" hidden="1" x14ac:dyDescent="0.3"/>
    <row r="14130" hidden="1" x14ac:dyDescent="0.3"/>
    <row r="14131" hidden="1" x14ac:dyDescent="0.3"/>
    <row r="14132" hidden="1" x14ac:dyDescent="0.3"/>
    <row r="14133" hidden="1" x14ac:dyDescent="0.3"/>
    <row r="14134" hidden="1" x14ac:dyDescent="0.3"/>
    <row r="14135" hidden="1" x14ac:dyDescent="0.3"/>
    <row r="14136" hidden="1" x14ac:dyDescent="0.3"/>
    <row r="14137" hidden="1" x14ac:dyDescent="0.3"/>
    <row r="14138" hidden="1" x14ac:dyDescent="0.3"/>
    <row r="14139" hidden="1" x14ac:dyDescent="0.3"/>
    <row r="14140" hidden="1" x14ac:dyDescent="0.3"/>
    <row r="14141" hidden="1" x14ac:dyDescent="0.3"/>
    <row r="14142" hidden="1" x14ac:dyDescent="0.3"/>
    <row r="14143" hidden="1" x14ac:dyDescent="0.3"/>
    <row r="14144" hidden="1" x14ac:dyDescent="0.3"/>
    <row r="14145" hidden="1" x14ac:dyDescent="0.3"/>
    <row r="14146" hidden="1" x14ac:dyDescent="0.3"/>
    <row r="14147" hidden="1" x14ac:dyDescent="0.3"/>
    <row r="14148" hidden="1" x14ac:dyDescent="0.3"/>
    <row r="14149" hidden="1" x14ac:dyDescent="0.3"/>
    <row r="14150" hidden="1" x14ac:dyDescent="0.3"/>
    <row r="14151" hidden="1" x14ac:dyDescent="0.3"/>
    <row r="14152" hidden="1" x14ac:dyDescent="0.3"/>
    <row r="14153" hidden="1" x14ac:dyDescent="0.3"/>
    <row r="14154" hidden="1" x14ac:dyDescent="0.3"/>
    <row r="14155" hidden="1" x14ac:dyDescent="0.3"/>
    <row r="14156" hidden="1" x14ac:dyDescent="0.3"/>
    <row r="14157" hidden="1" x14ac:dyDescent="0.3"/>
    <row r="14158" hidden="1" x14ac:dyDescent="0.3"/>
    <row r="14159" hidden="1" x14ac:dyDescent="0.3"/>
    <row r="14160" hidden="1" x14ac:dyDescent="0.3"/>
    <row r="14161" hidden="1" x14ac:dyDescent="0.3"/>
    <row r="14162" hidden="1" x14ac:dyDescent="0.3"/>
    <row r="14163" hidden="1" x14ac:dyDescent="0.3"/>
    <row r="14164" hidden="1" x14ac:dyDescent="0.3"/>
    <row r="14165" hidden="1" x14ac:dyDescent="0.3"/>
    <row r="14166" hidden="1" x14ac:dyDescent="0.3"/>
    <row r="14167" hidden="1" x14ac:dyDescent="0.3"/>
    <row r="14168" hidden="1" x14ac:dyDescent="0.3"/>
    <row r="14169" hidden="1" x14ac:dyDescent="0.3"/>
    <row r="14170" hidden="1" x14ac:dyDescent="0.3"/>
    <row r="14171" hidden="1" x14ac:dyDescent="0.3"/>
    <row r="14172" hidden="1" x14ac:dyDescent="0.3"/>
    <row r="14173" hidden="1" x14ac:dyDescent="0.3"/>
    <row r="14174" hidden="1" x14ac:dyDescent="0.3"/>
    <row r="14175" hidden="1" x14ac:dyDescent="0.3"/>
    <row r="14176" hidden="1" x14ac:dyDescent="0.3"/>
    <row r="14177" hidden="1" x14ac:dyDescent="0.3"/>
    <row r="14178" hidden="1" x14ac:dyDescent="0.3"/>
    <row r="14179" hidden="1" x14ac:dyDescent="0.3"/>
    <row r="14180" hidden="1" x14ac:dyDescent="0.3"/>
    <row r="14181" hidden="1" x14ac:dyDescent="0.3"/>
    <row r="14182" hidden="1" x14ac:dyDescent="0.3"/>
    <row r="14183" hidden="1" x14ac:dyDescent="0.3"/>
    <row r="14184" hidden="1" x14ac:dyDescent="0.3"/>
    <row r="14185" hidden="1" x14ac:dyDescent="0.3"/>
    <row r="14186" hidden="1" x14ac:dyDescent="0.3"/>
    <row r="14187" hidden="1" x14ac:dyDescent="0.3"/>
    <row r="14188" hidden="1" x14ac:dyDescent="0.3"/>
    <row r="14189" hidden="1" x14ac:dyDescent="0.3"/>
    <row r="14190" hidden="1" x14ac:dyDescent="0.3"/>
    <row r="14191" hidden="1" x14ac:dyDescent="0.3"/>
    <row r="14192" hidden="1" x14ac:dyDescent="0.3"/>
    <row r="14193" hidden="1" x14ac:dyDescent="0.3"/>
    <row r="14194" hidden="1" x14ac:dyDescent="0.3"/>
    <row r="14195" hidden="1" x14ac:dyDescent="0.3"/>
    <row r="14196" hidden="1" x14ac:dyDescent="0.3"/>
    <row r="14197" hidden="1" x14ac:dyDescent="0.3"/>
    <row r="14198" hidden="1" x14ac:dyDescent="0.3"/>
    <row r="14199" hidden="1" x14ac:dyDescent="0.3"/>
    <row r="14200" hidden="1" x14ac:dyDescent="0.3"/>
    <row r="14201" hidden="1" x14ac:dyDescent="0.3"/>
    <row r="14202" hidden="1" x14ac:dyDescent="0.3"/>
    <row r="14203" hidden="1" x14ac:dyDescent="0.3"/>
    <row r="14204" hidden="1" x14ac:dyDescent="0.3"/>
    <row r="14205" hidden="1" x14ac:dyDescent="0.3"/>
    <row r="14206" hidden="1" x14ac:dyDescent="0.3"/>
    <row r="14207" hidden="1" x14ac:dyDescent="0.3"/>
    <row r="14208" hidden="1" x14ac:dyDescent="0.3"/>
    <row r="14209" hidden="1" x14ac:dyDescent="0.3"/>
    <row r="14210" hidden="1" x14ac:dyDescent="0.3"/>
    <row r="14211" hidden="1" x14ac:dyDescent="0.3"/>
    <row r="14212" hidden="1" x14ac:dyDescent="0.3"/>
    <row r="14213" hidden="1" x14ac:dyDescent="0.3"/>
    <row r="14214" hidden="1" x14ac:dyDescent="0.3"/>
    <row r="14215" hidden="1" x14ac:dyDescent="0.3"/>
    <row r="14216" hidden="1" x14ac:dyDescent="0.3"/>
    <row r="14217" hidden="1" x14ac:dyDescent="0.3"/>
    <row r="14218" hidden="1" x14ac:dyDescent="0.3"/>
    <row r="14219" hidden="1" x14ac:dyDescent="0.3"/>
    <row r="14220" hidden="1" x14ac:dyDescent="0.3"/>
    <row r="14221" hidden="1" x14ac:dyDescent="0.3"/>
    <row r="14222" hidden="1" x14ac:dyDescent="0.3"/>
    <row r="14223" hidden="1" x14ac:dyDescent="0.3"/>
    <row r="14224" hidden="1" x14ac:dyDescent="0.3"/>
    <row r="14225" hidden="1" x14ac:dyDescent="0.3"/>
    <row r="14226" hidden="1" x14ac:dyDescent="0.3"/>
    <row r="14227" hidden="1" x14ac:dyDescent="0.3"/>
    <row r="14228" hidden="1" x14ac:dyDescent="0.3"/>
    <row r="14229" hidden="1" x14ac:dyDescent="0.3"/>
    <row r="14230" hidden="1" x14ac:dyDescent="0.3"/>
    <row r="14231" hidden="1" x14ac:dyDescent="0.3"/>
    <row r="14232" hidden="1" x14ac:dyDescent="0.3"/>
    <row r="14233" hidden="1" x14ac:dyDescent="0.3"/>
    <row r="14234" hidden="1" x14ac:dyDescent="0.3"/>
    <row r="14235" hidden="1" x14ac:dyDescent="0.3"/>
    <row r="14236" hidden="1" x14ac:dyDescent="0.3"/>
    <row r="14237" hidden="1" x14ac:dyDescent="0.3"/>
    <row r="14238" hidden="1" x14ac:dyDescent="0.3"/>
    <row r="14239" hidden="1" x14ac:dyDescent="0.3"/>
    <row r="14240" hidden="1" x14ac:dyDescent="0.3"/>
    <row r="14241" hidden="1" x14ac:dyDescent="0.3"/>
    <row r="14242" hidden="1" x14ac:dyDescent="0.3"/>
    <row r="14243" hidden="1" x14ac:dyDescent="0.3"/>
    <row r="14244" hidden="1" x14ac:dyDescent="0.3"/>
    <row r="14245" hidden="1" x14ac:dyDescent="0.3"/>
    <row r="14246" hidden="1" x14ac:dyDescent="0.3"/>
    <row r="14247" hidden="1" x14ac:dyDescent="0.3"/>
    <row r="14248" hidden="1" x14ac:dyDescent="0.3"/>
    <row r="14249" hidden="1" x14ac:dyDescent="0.3"/>
    <row r="14250" hidden="1" x14ac:dyDescent="0.3"/>
    <row r="14251" hidden="1" x14ac:dyDescent="0.3"/>
    <row r="14252" hidden="1" x14ac:dyDescent="0.3"/>
    <row r="14253" hidden="1" x14ac:dyDescent="0.3"/>
    <row r="14254" hidden="1" x14ac:dyDescent="0.3"/>
    <row r="14255" hidden="1" x14ac:dyDescent="0.3"/>
    <row r="14256" hidden="1" x14ac:dyDescent="0.3"/>
    <row r="14257" hidden="1" x14ac:dyDescent="0.3"/>
    <row r="14258" hidden="1" x14ac:dyDescent="0.3"/>
    <row r="14259" hidden="1" x14ac:dyDescent="0.3"/>
    <row r="14260" hidden="1" x14ac:dyDescent="0.3"/>
    <row r="14261" hidden="1" x14ac:dyDescent="0.3"/>
    <row r="14262" hidden="1" x14ac:dyDescent="0.3"/>
    <row r="14263" hidden="1" x14ac:dyDescent="0.3"/>
    <row r="14264" hidden="1" x14ac:dyDescent="0.3"/>
    <row r="14265" hidden="1" x14ac:dyDescent="0.3"/>
    <row r="14266" hidden="1" x14ac:dyDescent="0.3"/>
    <row r="14267" hidden="1" x14ac:dyDescent="0.3"/>
    <row r="14268" hidden="1" x14ac:dyDescent="0.3"/>
    <row r="14269" hidden="1" x14ac:dyDescent="0.3"/>
    <row r="14270" hidden="1" x14ac:dyDescent="0.3"/>
    <row r="14271" hidden="1" x14ac:dyDescent="0.3"/>
    <row r="14272" hidden="1" x14ac:dyDescent="0.3"/>
    <row r="14273" hidden="1" x14ac:dyDescent="0.3"/>
    <row r="14274" hidden="1" x14ac:dyDescent="0.3"/>
    <row r="14275" hidden="1" x14ac:dyDescent="0.3"/>
    <row r="14276" hidden="1" x14ac:dyDescent="0.3"/>
    <row r="14277" hidden="1" x14ac:dyDescent="0.3"/>
    <row r="14278" hidden="1" x14ac:dyDescent="0.3"/>
    <row r="14279" hidden="1" x14ac:dyDescent="0.3"/>
    <row r="14280" hidden="1" x14ac:dyDescent="0.3"/>
    <row r="14281" hidden="1" x14ac:dyDescent="0.3"/>
    <row r="14282" hidden="1" x14ac:dyDescent="0.3"/>
    <row r="14283" hidden="1" x14ac:dyDescent="0.3"/>
    <row r="14284" hidden="1" x14ac:dyDescent="0.3"/>
    <row r="14285" hidden="1" x14ac:dyDescent="0.3"/>
    <row r="14286" hidden="1" x14ac:dyDescent="0.3"/>
    <row r="14287" hidden="1" x14ac:dyDescent="0.3"/>
    <row r="14288" hidden="1" x14ac:dyDescent="0.3"/>
    <row r="14289" hidden="1" x14ac:dyDescent="0.3"/>
    <row r="14290" hidden="1" x14ac:dyDescent="0.3"/>
    <row r="14291" hidden="1" x14ac:dyDescent="0.3"/>
    <row r="14292" hidden="1" x14ac:dyDescent="0.3"/>
    <row r="14293" hidden="1" x14ac:dyDescent="0.3"/>
    <row r="14294" hidden="1" x14ac:dyDescent="0.3"/>
    <row r="14295" hidden="1" x14ac:dyDescent="0.3"/>
    <row r="14296" hidden="1" x14ac:dyDescent="0.3"/>
    <row r="14297" hidden="1" x14ac:dyDescent="0.3"/>
    <row r="14298" hidden="1" x14ac:dyDescent="0.3"/>
    <row r="14299" hidden="1" x14ac:dyDescent="0.3"/>
    <row r="14300" hidden="1" x14ac:dyDescent="0.3"/>
    <row r="14301" hidden="1" x14ac:dyDescent="0.3"/>
    <row r="14302" hidden="1" x14ac:dyDescent="0.3"/>
    <row r="14303" hidden="1" x14ac:dyDescent="0.3"/>
    <row r="14304" hidden="1" x14ac:dyDescent="0.3"/>
    <row r="14305" hidden="1" x14ac:dyDescent="0.3"/>
    <row r="14306" hidden="1" x14ac:dyDescent="0.3"/>
    <row r="14307" hidden="1" x14ac:dyDescent="0.3"/>
    <row r="14308" hidden="1" x14ac:dyDescent="0.3"/>
    <row r="14309" hidden="1" x14ac:dyDescent="0.3"/>
    <row r="14310" hidden="1" x14ac:dyDescent="0.3"/>
    <row r="14311" hidden="1" x14ac:dyDescent="0.3"/>
    <row r="14312" hidden="1" x14ac:dyDescent="0.3"/>
    <row r="14313" hidden="1" x14ac:dyDescent="0.3"/>
    <row r="14314" hidden="1" x14ac:dyDescent="0.3"/>
    <row r="14315" hidden="1" x14ac:dyDescent="0.3"/>
    <row r="14316" hidden="1" x14ac:dyDescent="0.3"/>
    <row r="14317" hidden="1" x14ac:dyDescent="0.3"/>
    <row r="14318" hidden="1" x14ac:dyDescent="0.3"/>
    <row r="14319" hidden="1" x14ac:dyDescent="0.3"/>
    <row r="14320" hidden="1" x14ac:dyDescent="0.3"/>
    <row r="14321" hidden="1" x14ac:dyDescent="0.3"/>
    <row r="14322" hidden="1" x14ac:dyDescent="0.3"/>
    <row r="14323" hidden="1" x14ac:dyDescent="0.3"/>
    <row r="14324" hidden="1" x14ac:dyDescent="0.3"/>
    <row r="14325" hidden="1" x14ac:dyDescent="0.3"/>
    <row r="14326" hidden="1" x14ac:dyDescent="0.3"/>
    <row r="14327" hidden="1" x14ac:dyDescent="0.3"/>
    <row r="14328" hidden="1" x14ac:dyDescent="0.3"/>
    <row r="14329" hidden="1" x14ac:dyDescent="0.3"/>
    <row r="14330" hidden="1" x14ac:dyDescent="0.3"/>
    <row r="14331" hidden="1" x14ac:dyDescent="0.3"/>
    <row r="14332" hidden="1" x14ac:dyDescent="0.3"/>
    <row r="14333" hidden="1" x14ac:dyDescent="0.3"/>
    <row r="14334" hidden="1" x14ac:dyDescent="0.3"/>
    <row r="14335" hidden="1" x14ac:dyDescent="0.3"/>
    <row r="14336" hidden="1" x14ac:dyDescent="0.3"/>
    <row r="14337" hidden="1" x14ac:dyDescent="0.3"/>
    <row r="14338" hidden="1" x14ac:dyDescent="0.3"/>
    <row r="14339" hidden="1" x14ac:dyDescent="0.3"/>
    <row r="14340" hidden="1" x14ac:dyDescent="0.3"/>
    <row r="14341" hidden="1" x14ac:dyDescent="0.3"/>
    <row r="14342" hidden="1" x14ac:dyDescent="0.3"/>
    <row r="14343" hidden="1" x14ac:dyDescent="0.3"/>
    <row r="14344" hidden="1" x14ac:dyDescent="0.3"/>
    <row r="14345" hidden="1" x14ac:dyDescent="0.3"/>
    <row r="14346" hidden="1" x14ac:dyDescent="0.3"/>
    <row r="14347" hidden="1" x14ac:dyDescent="0.3"/>
    <row r="14348" hidden="1" x14ac:dyDescent="0.3"/>
    <row r="14349" hidden="1" x14ac:dyDescent="0.3"/>
    <row r="14350" hidden="1" x14ac:dyDescent="0.3"/>
    <row r="14351" hidden="1" x14ac:dyDescent="0.3"/>
    <row r="14352" hidden="1" x14ac:dyDescent="0.3"/>
    <row r="14353" hidden="1" x14ac:dyDescent="0.3"/>
    <row r="14354" hidden="1" x14ac:dyDescent="0.3"/>
    <row r="14355" hidden="1" x14ac:dyDescent="0.3"/>
    <row r="14356" hidden="1" x14ac:dyDescent="0.3"/>
    <row r="14357" hidden="1" x14ac:dyDescent="0.3"/>
    <row r="14358" hidden="1" x14ac:dyDescent="0.3"/>
    <row r="14359" hidden="1" x14ac:dyDescent="0.3"/>
    <row r="14360" hidden="1" x14ac:dyDescent="0.3"/>
    <row r="14361" hidden="1" x14ac:dyDescent="0.3"/>
    <row r="14362" hidden="1" x14ac:dyDescent="0.3"/>
    <row r="14363" hidden="1" x14ac:dyDescent="0.3"/>
    <row r="14364" hidden="1" x14ac:dyDescent="0.3"/>
    <row r="14365" hidden="1" x14ac:dyDescent="0.3"/>
    <row r="14366" hidden="1" x14ac:dyDescent="0.3"/>
    <row r="14367" hidden="1" x14ac:dyDescent="0.3"/>
    <row r="14368" hidden="1" x14ac:dyDescent="0.3"/>
    <row r="14369" hidden="1" x14ac:dyDescent="0.3"/>
    <row r="14370" hidden="1" x14ac:dyDescent="0.3"/>
    <row r="14371" hidden="1" x14ac:dyDescent="0.3"/>
    <row r="14372" hidden="1" x14ac:dyDescent="0.3"/>
    <row r="14373" hidden="1" x14ac:dyDescent="0.3"/>
    <row r="14374" hidden="1" x14ac:dyDescent="0.3"/>
    <row r="14375" hidden="1" x14ac:dyDescent="0.3"/>
    <row r="14376" hidden="1" x14ac:dyDescent="0.3"/>
    <row r="14377" hidden="1" x14ac:dyDescent="0.3"/>
    <row r="14378" hidden="1" x14ac:dyDescent="0.3"/>
    <row r="14379" hidden="1" x14ac:dyDescent="0.3"/>
    <row r="14380" hidden="1" x14ac:dyDescent="0.3"/>
    <row r="14381" hidden="1" x14ac:dyDescent="0.3"/>
    <row r="14382" hidden="1" x14ac:dyDescent="0.3"/>
    <row r="14383" hidden="1" x14ac:dyDescent="0.3"/>
    <row r="14384" hidden="1" x14ac:dyDescent="0.3"/>
    <row r="14385" hidden="1" x14ac:dyDescent="0.3"/>
    <row r="14386" hidden="1" x14ac:dyDescent="0.3"/>
    <row r="14387" hidden="1" x14ac:dyDescent="0.3"/>
    <row r="14388" hidden="1" x14ac:dyDescent="0.3"/>
    <row r="14389" hidden="1" x14ac:dyDescent="0.3"/>
    <row r="14390" hidden="1" x14ac:dyDescent="0.3"/>
    <row r="14391" hidden="1" x14ac:dyDescent="0.3"/>
    <row r="14392" hidden="1" x14ac:dyDescent="0.3"/>
    <row r="14393" hidden="1" x14ac:dyDescent="0.3"/>
    <row r="14394" hidden="1" x14ac:dyDescent="0.3"/>
    <row r="14395" hidden="1" x14ac:dyDescent="0.3"/>
    <row r="14396" hidden="1" x14ac:dyDescent="0.3"/>
    <row r="14397" hidden="1" x14ac:dyDescent="0.3"/>
    <row r="14398" hidden="1" x14ac:dyDescent="0.3"/>
    <row r="14399" hidden="1" x14ac:dyDescent="0.3"/>
    <row r="14400" hidden="1" x14ac:dyDescent="0.3"/>
    <row r="14401" hidden="1" x14ac:dyDescent="0.3"/>
    <row r="14402" hidden="1" x14ac:dyDescent="0.3"/>
    <row r="14403" hidden="1" x14ac:dyDescent="0.3"/>
    <row r="14404" hidden="1" x14ac:dyDescent="0.3"/>
    <row r="14405" hidden="1" x14ac:dyDescent="0.3"/>
    <row r="14406" hidden="1" x14ac:dyDescent="0.3"/>
    <row r="14407" hidden="1" x14ac:dyDescent="0.3"/>
    <row r="14408" hidden="1" x14ac:dyDescent="0.3"/>
    <row r="14409" hidden="1" x14ac:dyDescent="0.3"/>
    <row r="14410" hidden="1" x14ac:dyDescent="0.3"/>
    <row r="14411" hidden="1" x14ac:dyDescent="0.3"/>
    <row r="14412" hidden="1" x14ac:dyDescent="0.3"/>
    <row r="14413" hidden="1" x14ac:dyDescent="0.3"/>
    <row r="14414" hidden="1" x14ac:dyDescent="0.3"/>
    <row r="14415" hidden="1" x14ac:dyDescent="0.3"/>
    <row r="14416" hidden="1" x14ac:dyDescent="0.3"/>
    <row r="14417" hidden="1" x14ac:dyDescent="0.3"/>
    <row r="14418" hidden="1" x14ac:dyDescent="0.3"/>
    <row r="14419" hidden="1" x14ac:dyDescent="0.3"/>
    <row r="14420" hidden="1" x14ac:dyDescent="0.3"/>
    <row r="14421" hidden="1" x14ac:dyDescent="0.3"/>
    <row r="14422" hidden="1" x14ac:dyDescent="0.3"/>
    <row r="14423" hidden="1" x14ac:dyDescent="0.3"/>
    <row r="14424" hidden="1" x14ac:dyDescent="0.3"/>
    <row r="14425" hidden="1" x14ac:dyDescent="0.3"/>
    <row r="14426" hidden="1" x14ac:dyDescent="0.3"/>
    <row r="14427" hidden="1" x14ac:dyDescent="0.3"/>
    <row r="14428" hidden="1" x14ac:dyDescent="0.3"/>
    <row r="14429" hidden="1" x14ac:dyDescent="0.3"/>
    <row r="14430" hidden="1" x14ac:dyDescent="0.3"/>
    <row r="14431" hidden="1" x14ac:dyDescent="0.3"/>
    <row r="14432" hidden="1" x14ac:dyDescent="0.3"/>
    <row r="14433" hidden="1" x14ac:dyDescent="0.3"/>
    <row r="14434" hidden="1" x14ac:dyDescent="0.3"/>
    <row r="14435" hidden="1" x14ac:dyDescent="0.3"/>
    <row r="14436" hidden="1" x14ac:dyDescent="0.3"/>
    <row r="14437" hidden="1" x14ac:dyDescent="0.3"/>
    <row r="14438" hidden="1" x14ac:dyDescent="0.3"/>
    <row r="14439" hidden="1" x14ac:dyDescent="0.3"/>
    <row r="14440" hidden="1" x14ac:dyDescent="0.3"/>
    <row r="14441" hidden="1" x14ac:dyDescent="0.3"/>
    <row r="14442" hidden="1" x14ac:dyDescent="0.3"/>
    <row r="14443" hidden="1" x14ac:dyDescent="0.3"/>
    <row r="14444" hidden="1" x14ac:dyDescent="0.3"/>
    <row r="14445" hidden="1" x14ac:dyDescent="0.3"/>
    <row r="14446" hidden="1" x14ac:dyDescent="0.3"/>
    <row r="14447" hidden="1" x14ac:dyDescent="0.3"/>
    <row r="14448" hidden="1" x14ac:dyDescent="0.3"/>
    <row r="14449" hidden="1" x14ac:dyDescent="0.3"/>
    <row r="14450" hidden="1" x14ac:dyDescent="0.3"/>
    <row r="14451" hidden="1" x14ac:dyDescent="0.3"/>
    <row r="14452" hidden="1" x14ac:dyDescent="0.3"/>
    <row r="14453" hidden="1" x14ac:dyDescent="0.3"/>
    <row r="14454" hidden="1" x14ac:dyDescent="0.3"/>
    <row r="14455" hidden="1" x14ac:dyDescent="0.3"/>
    <row r="14456" hidden="1" x14ac:dyDescent="0.3"/>
    <row r="14457" hidden="1" x14ac:dyDescent="0.3"/>
    <row r="14458" hidden="1" x14ac:dyDescent="0.3"/>
    <row r="14459" hidden="1" x14ac:dyDescent="0.3"/>
    <row r="14460" hidden="1" x14ac:dyDescent="0.3"/>
    <row r="14461" hidden="1" x14ac:dyDescent="0.3"/>
    <row r="14462" hidden="1" x14ac:dyDescent="0.3"/>
    <row r="14463" hidden="1" x14ac:dyDescent="0.3"/>
    <row r="14464" hidden="1" x14ac:dyDescent="0.3"/>
    <row r="14465" hidden="1" x14ac:dyDescent="0.3"/>
    <row r="14466" hidden="1" x14ac:dyDescent="0.3"/>
    <row r="14467" hidden="1" x14ac:dyDescent="0.3"/>
    <row r="14468" hidden="1" x14ac:dyDescent="0.3"/>
    <row r="14469" hidden="1" x14ac:dyDescent="0.3"/>
    <row r="14470" hidden="1" x14ac:dyDescent="0.3"/>
    <row r="14471" hidden="1" x14ac:dyDescent="0.3"/>
    <row r="14472" hidden="1" x14ac:dyDescent="0.3"/>
    <row r="14473" hidden="1" x14ac:dyDescent="0.3"/>
    <row r="14474" hidden="1" x14ac:dyDescent="0.3"/>
    <row r="14475" hidden="1" x14ac:dyDescent="0.3"/>
    <row r="14476" hidden="1" x14ac:dyDescent="0.3"/>
    <row r="14477" hidden="1" x14ac:dyDescent="0.3"/>
    <row r="14478" hidden="1" x14ac:dyDescent="0.3"/>
    <row r="14479" hidden="1" x14ac:dyDescent="0.3"/>
    <row r="14480" hidden="1" x14ac:dyDescent="0.3"/>
    <row r="14481" hidden="1" x14ac:dyDescent="0.3"/>
    <row r="14482" hidden="1" x14ac:dyDescent="0.3"/>
    <row r="14483" hidden="1" x14ac:dyDescent="0.3"/>
    <row r="14484" hidden="1" x14ac:dyDescent="0.3"/>
    <row r="14485" hidden="1" x14ac:dyDescent="0.3"/>
    <row r="14486" hidden="1" x14ac:dyDescent="0.3"/>
    <row r="14487" hidden="1" x14ac:dyDescent="0.3"/>
    <row r="14488" hidden="1" x14ac:dyDescent="0.3"/>
    <row r="14489" hidden="1" x14ac:dyDescent="0.3"/>
    <row r="14490" hidden="1" x14ac:dyDescent="0.3"/>
    <row r="14491" hidden="1" x14ac:dyDescent="0.3"/>
    <row r="14492" hidden="1" x14ac:dyDescent="0.3"/>
    <row r="14493" hidden="1" x14ac:dyDescent="0.3"/>
    <row r="14494" hidden="1" x14ac:dyDescent="0.3"/>
    <row r="14495" hidden="1" x14ac:dyDescent="0.3"/>
    <row r="14496" hidden="1" x14ac:dyDescent="0.3"/>
    <row r="14497" hidden="1" x14ac:dyDescent="0.3"/>
    <row r="14498" hidden="1" x14ac:dyDescent="0.3"/>
    <row r="14499" hidden="1" x14ac:dyDescent="0.3"/>
    <row r="14500" hidden="1" x14ac:dyDescent="0.3"/>
    <row r="14501" hidden="1" x14ac:dyDescent="0.3"/>
    <row r="14502" hidden="1" x14ac:dyDescent="0.3"/>
    <row r="14503" hidden="1" x14ac:dyDescent="0.3"/>
    <row r="14504" hidden="1" x14ac:dyDescent="0.3"/>
    <row r="14505" hidden="1" x14ac:dyDescent="0.3"/>
    <row r="14506" hidden="1" x14ac:dyDescent="0.3"/>
    <row r="14507" hidden="1" x14ac:dyDescent="0.3"/>
    <row r="14508" hidden="1" x14ac:dyDescent="0.3"/>
    <row r="14509" hidden="1" x14ac:dyDescent="0.3"/>
    <row r="14510" hidden="1" x14ac:dyDescent="0.3"/>
    <row r="14511" hidden="1" x14ac:dyDescent="0.3"/>
    <row r="14512" hidden="1" x14ac:dyDescent="0.3"/>
    <row r="14513" hidden="1" x14ac:dyDescent="0.3"/>
    <row r="14514" hidden="1" x14ac:dyDescent="0.3"/>
    <row r="14515" hidden="1" x14ac:dyDescent="0.3"/>
    <row r="14516" hidden="1" x14ac:dyDescent="0.3"/>
    <row r="14517" hidden="1" x14ac:dyDescent="0.3"/>
    <row r="14518" hidden="1" x14ac:dyDescent="0.3"/>
    <row r="14519" hidden="1" x14ac:dyDescent="0.3"/>
    <row r="14520" hidden="1" x14ac:dyDescent="0.3"/>
    <row r="14521" hidden="1" x14ac:dyDescent="0.3"/>
    <row r="14522" hidden="1" x14ac:dyDescent="0.3"/>
    <row r="14523" hidden="1" x14ac:dyDescent="0.3"/>
    <row r="14524" hidden="1" x14ac:dyDescent="0.3"/>
    <row r="14525" hidden="1" x14ac:dyDescent="0.3"/>
    <row r="14526" hidden="1" x14ac:dyDescent="0.3"/>
    <row r="14527" hidden="1" x14ac:dyDescent="0.3"/>
    <row r="14528" hidden="1" x14ac:dyDescent="0.3"/>
    <row r="14529" hidden="1" x14ac:dyDescent="0.3"/>
    <row r="14530" hidden="1" x14ac:dyDescent="0.3"/>
    <row r="14531" hidden="1" x14ac:dyDescent="0.3"/>
    <row r="14532" hidden="1" x14ac:dyDescent="0.3"/>
    <row r="14533" hidden="1" x14ac:dyDescent="0.3"/>
    <row r="14534" hidden="1" x14ac:dyDescent="0.3"/>
    <row r="14535" hidden="1" x14ac:dyDescent="0.3"/>
    <row r="14536" hidden="1" x14ac:dyDescent="0.3"/>
    <row r="14537" hidden="1" x14ac:dyDescent="0.3"/>
    <row r="14538" hidden="1" x14ac:dyDescent="0.3"/>
    <row r="14539" hidden="1" x14ac:dyDescent="0.3"/>
    <row r="14540" hidden="1" x14ac:dyDescent="0.3"/>
    <row r="14541" hidden="1" x14ac:dyDescent="0.3"/>
    <row r="14542" hidden="1" x14ac:dyDescent="0.3"/>
    <row r="14543" hidden="1" x14ac:dyDescent="0.3"/>
    <row r="14544" hidden="1" x14ac:dyDescent="0.3"/>
    <row r="14545" hidden="1" x14ac:dyDescent="0.3"/>
    <row r="14546" hidden="1" x14ac:dyDescent="0.3"/>
    <row r="14547" hidden="1" x14ac:dyDescent="0.3"/>
    <row r="14548" hidden="1" x14ac:dyDescent="0.3"/>
    <row r="14549" hidden="1" x14ac:dyDescent="0.3"/>
    <row r="14550" hidden="1" x14ac:dyDescent="0.3"/>
    <row r="14551" hidden="1" x14ac:dyDescent="0.3"/>
    <row r="14552" hidden="1" x14ac:dyDescent="0.3"/>
    <row r="14553" hidden="1" x14ac:dyDescent="0.3"/>
    <row r="14554" hidden="1" x14ac:dyDescent="0.3"/>
    <row r="14555" hidden="1" x14ac:dyDescent="0.3"/>
    <row r="14556" hidden="1" x14ac:dyDescent="0.3"/>
    <row r="14557" hidden="1" x14ac:dyDescent="0.3"/>
    <row r="14558" hidden="1" x14ac:dyDescent="0.3"/>
    <row r="14559" hidden="1" x14ac:dyDescent="0.3"/>
    <row r="14560" hidden="1" x14ac:dyDescent="0.3"/>
    <row r="14561" hidden="1" x14ac:dyDescent="0.3"/>
    <row r="14562" hidden="1" x14ac:dyDescent="0.3"/>
    <row r="14563" hidden="1" x14ac:dyDescent="0.3"/>
    <row r="14564" hidden="1" x14ac:dyDescent="0.3"/>
    <row r="14565" hidden="1" x14ac:dyDescent="0.3"/>
    <row r="14566" hidden="1" x14ac:dyDescent="0.3"/>
    <row r="14567" hidden="1" x14ac:dyDescent="0.3"/>
    <row r="14568" hidden="1" x14ac:dyDescent="0.3"/>
    <row r="14569" hidden="1" x14ac:dyDescent="0.3"/>
    <row r="14570" hidden="1" x14ac:dyDescent="0.3"/>
    <row r="14571" hidden="1" x14ac:dyDescent="0.3"/>
    <row r="14572" hidden="1" x14ac:dyDescent="0.3"/>
    <row r="14573" hidden="1" x14ac:dyDescent="0.3"/>
    <row r="14574" hidden="1" x14ac:dyDescent="0.3"/>
    <row r="14575" hidden="1" x14ac:dyDescent="0.3"/>
    <row r="14576" hidden="1" x14ac:dyDescent="0.3"/>
    <row r="14577" hidden="1" x14ac:dyDescent="0.3"/>
    <row r="14578" hidden="1" x14ac:dyDescent="0.3"/>
    <row r="14579" hidden="1" x14ac:dyDescent="0.3"/>
    <row r="14580" hidden="1" x14ac:dyDescent="0.3"/>
    <row r="14581" hidden="1" x14ac:dyDescent="0.3"/>
    <row r="14582" hidden="1" x14ac:dyDescent="0.3"/>
    <row r="14583" hidden="1" x14ac:dyDescent="0.3"/>
    <row r="14584" hidden="1" x14ac:dyDescent="0.3"/>
    <row r="14585" hidden="1" x14ac:dyDescent="0.3"/>
    <row r="14586" hidden="1" x14ac:dyDescent="0.3"/>
    <row r="14587" hidden="1" x14ac:dyDescent="0.3"/>
    <row r="14588" hidden="1" x14ac:dyDescent="0.3"/>
    <row r="14589" hidden="1" x14ac:dyDescent="0.3"/>
    <row r="14590" hidden="1" x14ac:dyDescent="0.3"/>
    <row r="14591" hidden="1" x14ac:dyDescent="0.3"/>
    <row r="14592" hidden="1" x14ac:dyDescent="0.3"/>
    <row r="14593" hidden="1" x14ac:dyDescent="0.3"/>
    <row r="14594" hidden="1" x14ac:dyDescent="0.3"/>
    <row r="14595" hidden="1" x14ac:dyDescent="0.3"/>
    <row r="14596" hidden="1" x14ac:dyDescent="0.3"/>
    <row r="14597" hidden="1" x14ac:dyDescent="0.3"/>
    <row r="14598" hidden="1" x14ac:dyDescent="0.3"/>
    <row r="14599" hidden="1" x14ac:dyDescent="0.3"/>
    <row r="14600" hidden="1" x14ac:dyDescent="0.3"/>
    <row r="14601" hidden="1" x14ac:dyDescent="0.3"/>
    <row r="14602" hidden="1" x14ac:dyDescent="0.3"/>
    <row r="14603" hidden="1" x14ac:dyDescent="0.3"/>
    <row r="14604" hidden="1" x14ac:dyDescent="0.3"/>
    <row r="14605" hidden="1" x14ac:dyDescent="0.3"/>
    <row r="14606" hidden="1" x14ac:dyDescent="0.3"/>
    <row r="14607" hidden="1" x14ac:dyDescent="0.3"/>
    <row r="14608" hidden="1" x14ac:dyDescent="0.3"/>
    <row r="14609" hidden="1" x14ac:dyDescent="0.3"/>
    <row r="14610" hidden="1" x14ac:dyDescent="0.3"/>
    <row r="14611" hidden="1" x14ac:dyDescent="0.3"/>
    <row r="14612" hidden="1" x14ac:dyDescent="0.3"/>
    <row r="14613" hidden="1" x14ac:dyDescent="0.3"/>
    <row r="14614" hidden="1" x14ac:dyDescent="0.3"/>
    <row r="14615" hidden="1" x14ac:dyDescent="0.3"/>
    <row r="14616" hidden="1" x14ac:dyDescent="0.3"/>
    <row r="14617" hidden="1" x14ac:dyDescent="0.3"/>
    <row r="14618" hidden="1" x14ac:dyDescent="0.3"/>
    <row r="14619" hidden="1" x14ac:dyDescent="0.3"/>
    <row r="14620" hidden="1" x14ac:dyDescent="0.3"/>
    <row r="14621" hidden="1" x14ac:dyDescent="0.3"/>
    <row r="14622" hidden="1" x14ac:dyDescent="0.3"/>
    <row r="14623" hidden="1" x14ac:dyDescent="0.3"/>
    <row r="14624" hidden="1" x14ac:dyDescent="0.3"/>
    <row r="14625" hidden="1" x14ac:dyDescent="0.3"/>
    <row r="14626" hidden="1" x14ac:dyDescent="0.3"/>
    <row r="14627" hidden="1" x14ac:dyDescent="0.3"/>
    <row r="14628" hidden="1" x14ac:dyDescent="0.3"/>
    <row r="14629" hidden="1" x14ac:dyDescent="0.3"/>
    <row r="14630" hidden="1" x14ac:dyDescent="0.3"/>
    <row r="14631" hidden="1" x14ac:dyDescent="0.3"/>
    <row r="14632" hidden="1" x14ac:dyDescent="0.3"/>
    <row r="14633" hidden="1" x14ac:dyDescent="0.3"/>
    <row r="14634" hidden="1" x14ac:dyDescent="0.3"/>
    <row r="14635" hidden="1" x14ac:dyDescent="0.3"/>
    <row r="14636" hidden="1" x14ac:dyDescent="0.3"/>
    <row r="14637" hidden="1" x14ac:dyDescent="0.3"/>
    <row r="14638" hidden="1" x14ac:dyDescent="0.3"/>
    <row r="14639" hidden="1" x14ac:dyDescent="0.3"/>
    <row r="14640" hidden="1" x14ac:dyDescent="0.3"/>
    <row r="14641" hidden="1" x14ac:dyDescent="0.3"/>
    <row r="14642" hidden="1" x14ac:dyDescent="0.3"/>
    <row r="14643" hidden="1" x14ac:dyDescent="0.3"/>
    <row r="14644" hidden="1" x14ac:dyDescent="0.3"/>
    <row r="14645" hidden="1" x14ac:dyDescent="0.3"/>
    <row r="14646" hidden="1" x14ac:dyDescent="0.3"/>
    <row r="14647" hidden="1" x14ac:dyDescent="0.3"/>
    <row r="14648" hidden="1" x14ac:dyDescent="0.3"/>
    <row r="14649" hidden="1" x14ac:dyDescent="0.3"/>
    <row r="14650" hidden="1" x14ac:dyDescent="0.3"/>
    <row r="14651" hidden="1" x14ac:dyDescent="0.3"/>
    <row r="14652" hidden="1" x14ac:dyDescent="0.3"/>
    <row r="14653" hidden="1" x14ac:dyDescent="0.3"/>
    <row r="14654" hidden="1" x14ac:dyDescent="0.3"/>
    <row r="14655" hidden="1" x14ac:dyDescent="0.3"/>
    <row r="14656" hidden="1" x14ac:dyDescent="0.3"/>
    <row r="14657" hidden="1" x14ac:dyDescent="0.3"/>
    <row r="14658" hidden="1" x14ac:dyDescent="0.3"/>
    <row r="14659" hidden="1" x14ac:dyDescent="0.3"/>
    <row r="14660" hidden="1" x14ac:dyDescent="0.3"/>
    <row r="14661" hidden="1" x14ac:dyDescent="0.3"/>
    <row r="14662" hidden="1" x14ac:dyDescent="0.3"/>
    <row r="14663" hidden="1" x14ac:dyDescent="0.3"/>
    <row r="14664" hidden="1" x14ac:dyDescent="0.3"/>
    <row r="14665" hidden="1" x14ac:dyDescent="0.3"/>
    <row r="14666" hidden="1" x14ac:dyDescent="0.3"/>
    <row r="14667" hidden="1" x14ac:dyDescent="0.3"/>
    <row r="14668" hidden="1" x14ac:dyDescent="0.3"/>
    <row r="14669" hidden="1" x14ac:dyDescent="0.3"/>
    <row r="14670" hidden="1" x14ac:dyDescent="0.3"/>
    <row r="14671" hidden="1" x14ac:dyDescent="0.3"/>
    <row r="14672" hidden="1" x14ac:dyDescent="0.3"/>
    <row r="14673" hidden="1" x14ac:dyDescent="0.3"/>
    <row r="14674" hidden="1" x14ac:dyDescent="0.3"/>
    <row r="14675" hidden="1" x14ac:dyDescent="0.3"/>
    <row r="14676" hidden="1" x14ac:dyDescent="0.3"/>
    <row r="14677" hidden="1" x14ac:dyDescent="0.3"/>
    <row r="14678" hidden="1" x14ac:dyDescent="0.3"/>
    <row r="14679" hidden="1" x14ac:dyDescent="0.3"/>
    <row r="14680" hidden="1" x14ac:dyDescent="0.3"/>
    <row r="14681" hidden="1" x14ac:dyDescent="0.3"/>
    <row r="14682" hidden="1" x14ac:dyDescent="0.3"/>
    <row r="14683" hidden="1" x14ac:dyDescent="0.3"/>
    <row r="14684" hidden="1" x14ac:dyDescent="0.3"/>
    <row r="14685" hidden="1" x14ac:dyDescent="0.3"/>
    <row r="14686" hidden="1" x14ac:dyDescent="0.3"/>
    <row r="14687" hidden="1" x14ac:dyDescent="0.3"/>
    <row r="14688" hidden="1" x14ac:dyDescent="0.3"/>
    <row r="14689" hidden="1" x14ac:dyDescent="0.3"/>
    <row r="14690" hidden="1" x14ac:dyDescent="0.3"/>
    <row r="14691" hidden="1" x14ac:dyDescent="0.3"/>
    <row r="14692" hidden="1" x14ac:dyDescent="0.3"/>
    <row r="14693" hidden="1" x14ac:dyDescent="0.3"/>
    <row r="14694" hidden="1" x14ac:dyDescent="0.3"/>
    <row r="14695" hidden="1" x14ac:dyDescent="0.3"/>
    <row r="14696" hidden="1" x14ac:dyDescent="0.3"/>
    <row r="14697" hidden="1" x14ac:dyDescent="0.3"/>
    <row r="14698" hidden="1" x14ac:dyDescent="0.3"/>
    <row r="14699" hidden="1" x14ac:dyDescent="0.3"/>
    <row r="14700" hidden="1" x14ac:dyDescent="0.3"/>
    <row r="14701" hidden="1" x14ac:dyDescent="0.3"/>
    <row r="14702" hidden="1" x14ac:dyDescent="0.3"/>
    <row r="14703" hidden="1" x14ac:dyDescent="0.3"/>
    <row r="14704" hidden="1" x14ac:dyDescent="0.3"/>
    <row r="14705" hidden="1" x14ac:dyDescent="0.3"/>
    <row r="14706" hidden="1" x14ac:dyDescent="0.3"/>
    <row r="14707" hidden="1" x14ac:dyDescent="0.3"/>
    <row r="14708" hidden="1" x14ac:dyDescent="0.3"/>
    <row r="14709" hidden="1" x14ac:dyDescent="0.3"/>
    <row r="14710" hidden="1" x14ac:dyDescent="0.3"/>
    <row r="14711" hidden="1" x14ac:dyDescent="0.3"/>
    <row r="14712" hidden="1" x14ac:dyDescent="0.3"/>
    <row r="14713" hidden="1" x14ac:dyDescent="0.3"/>
    <row r="14714" hidden="1" x14ac:dyDescent="0.3"/>
    <row r="14715" hidden="1" x14ac:dyDescent="0.3"/>
    <row r="14716" hidden="1" x14ac:dyDescent="0.3"/>
    <row r="14717" hidden="1" x14ac:dyDescent="0.3"/>
    <row r="14718" hidden="1" x14ac:dyDescent="0.3"/>
    <row r="14719" hidden="1" x14ac:dyDescent="0.3"/>
    <row r="14720" hidden="1" x14ac:dyDescent="0.3"/>
    <row r="14721" hidden="1" x14ac:dyDescent="0.3"/>
    <row r="14722" hidden="1" x14ac:dyDescent="0.3"/>
    <row r="14723" hidden="1" x14ac:dyDescent="0.3"/>
    <row r="14724" hidden="1" x14ac:dyDescent="0.3"/>
    <row r="14725" hidden="1" x14ac:dyDescent="0.3"/>
    <row r="14726" hidden="1" x14ac:dyDescent="0.3"/>
    <row r="14727" hidden="1" x14ac:dyDescent="0.3"/>
    <row r="14728" hidden="1" x14ac:dyDescent="0.3"/>
    <row r="14729" hidden="1" x14ac:dyDescent="0.3"/>
    <row r="14730" hidden="1" x14ac:dyDescent="0.3"/>
    <row r="14731" hidden="1" x14ac:dyDescent="0.3"/>
    <row r="14732" hidden="1" x14ac:dyDescent="0.3"/>
    <row r="14733" hidden="1" x14ac:dyDescent="0.3"/>
    <row r="14734" hidden="1" x14ac:dyDescent="0.3"/>
    <row r="14735" hidden="1" x14ac:dyDescent="0.3"/>
    <row r="14736" hidden="1" x14ac:dyDescent="0.3"/>
    <row r="14737" hidden="1" x14ac:dyDescent="0.3"/>
    <row r="14738" hidden="1" x14ac:dyDescent="0.3"/>
    <row r="14739" hidden="1" x14ac:dyDescent="0.3"/>
    <row r="14740" hidden="1" x14ac:dyDescent="0.3"/>
    <row r="14741" hidden="1" x14ac:dyDescent="0.3"/>
    <row r="14742" hidden="1" x14ac:dyDescent="0.3"/>
    <row r="14743" hidden="1" x14ac:dyDescent="0.3"/>
    <row r="14744" hidden="1" x14ac:dyDescent="0.3"/>
    <row r="14745" hidden="1" x14ac:dyDescent="0.3"/>
    <row r="14746" hidden="1" x14ac:dyDescent="0.3"/>
    <row r="14747" hidden="1" x14ac:dyDescent="0.3"/>
    <row r="14748" hidden="1" x14ac:dyDescent="0.3"/>
    <row r="14749" hidden="1" x14ac:dyDescent="0.3"/>
    <row r="14750" hidden="1" x14ac:dyDescent="0.3"/>
    <row r="14751" hidden="1" x14ac:dyDescent="0.3"/>
    <row r="14752" hidden="1" x14ac:dyDescent="0.3"/>
    <row r="14753" hidden="1" x14ac:dyDescent="0.3"/>
    <row r="14754" hidden="1" x14ac:dyDescent="0.3"/>
    <row r="14755" hidden="1" x14ac:dyDescent="0.3"/>
    <row r="14756" hidden="1" x14ac:dyDescent="0.3"/>
    <row r="14757" hidden="1" x14ac:dyDescent="0.3"/>
    <row r="14758" hidden="1" x14ac:dyDescent="0.3"/>
    <row r="14759" hidden="1" x14ac:dyDescent="0.3"/>
    <row r="14760" hidden="1" x14ac:dyDescent="0.3"/>
    <row r="14761" hidden="1" x14ac:dyDescent="0.3"/>
    <row r="14762" hidden="1" x14ac:dyDescent="0.3"/>
    <row r="14763" hidden="1" x14ac:dyDescent="0.3"/>
    <row r="14764" hidden="1" x14ac:dyDescent="0.3"/>
    <row r="14765" hidden="1" x14ac:dyDescent="0.3"/>
    <row r="14766" hidden="1" x14ac:dyDescent="0.3"/>
    <row r="14767" hidden="1" x14ac:dyDescent="0.3"/>
    <row r="14768" hidden="1" x14ac:dyDescent="0.3"/>
    <row r="14769" hidden="1" x14ac:dyDescent="0.3"/>
    <row r="14770" hidden="1" x14ac:dyDescent="0.3"/>
    <row r="14771" hidden="1" x14ac:dyDescent="0.3"/>
    <row r="14772" hidden="1" x14ac:dyDescent="0.3"/>
    <row r="14773" hidden="1" x14ac:dyDescent="0.3"/>
    <row r="14774" hidden="1" x14ac:dyDescent="0.3"/>
    <row r="14775" hidden="1" x14ac:dyDescent="0.3"/>
    <row r="14776" hidden="1" x14ac:dyDescent="0.3"/>
    <row r="14777" hidden="1" x14ac:dyDescent="0.3"/>
    <row r="14778" hidden="1" x14ac:dyDescent="0.3"/>
    <row r="14779" hidden="1" x14ac:dyDescent="0.3"/>
    <row r="14780" hidden="1" x14ac:dyDescent="0.3"/>
    <row r="14781" hidden="1" x14ac:dyDescent="0.3"/>
    <row r="14782" hidden="1" x14ac:dyDescent="0.3"/>
    <row r="14783" hidden="1" x14ac:dyDescent="0.3"/>
    <row r="14784" hidden="1" x14ac:dyDescent="0.3"/>
    <row r="14785" hidden="1" x14ac:dyDescent="0.3"/>
    <row r="14786" hidden="1" x14ac:dyDescent="0.3"/>
    <row r="14787" hidden="1" x14ac:dyDescent="0.3"/>
    <row r="14788" hidden="1" x14ac:dyDescent="0.3"/>
    <row r="14789" hidden="1" x14ac:dyDescent="0.3"/>
    <row r="14790" hidden="1" x14ac:dyDescent="0.3"/>
    <row r="14791" hidden="1" x14ac:dyDescent="0.3"/>
    <row r="14792" hidden="1" x14ac:dyDescent="0.3"/>
    <row r="14793" hidden="1" x14ac:dyDescent="0.3"/>
    <row r="14794" hidden="1" x14ac:dyDescent="0.3"/>
    <row r="14795" hidden="1" x14ac:dyDescent="0.3"/>
    <row r="14796" hidden="1" x14ac:dyDescent="0.3"/>
    <row r="14797" hidden="1" x14ac:dyDescent="0.3"/>
    <row r="14798" hidden="1" x14ac:dyDescent="0.3"/>
    <row r="14799" hidden="1" x14ac:dyDescent="0.3"/>
    <row r="14800" hidden="1" x14ac:dyDescent="0.3"/>
    <row r="14801" hidden="1" x14ac:dyDescent="0.3"/>
    <row r="14802" hidden="1" x14ac:dyDescent="0.3"/>
    <row r="14803" hidden="1" x14ac:dyDescent="0.3"/>
    <row r="14804" hidden="1" x14ac:dyDescent="0.3"/>
    <row r="14805" hidden="1" x14ac:dyDescent="0.3"/>
    <row r="14806" hidden="1" x14ac:dyDescent="0.3"/>
    <row r="14807" hidden="1" x14ac:dyDescent="0.3"/>
    <row r="14808" hidden="1" x14ac:dyDescent="0.3"/>
    <row r="14809" hidden="1" x14ac:dyDescent="0.3"/>
    <row r="14810" hidden="1" x14ac:dyDescent="0.3"/>
    <row r="14811" hidden="1" x14ac:dyDescent="0.3"/>
    <row r="14812" hidden="1" x14ac:dyDescent="0.3"/>
    <row r="14813" hidden="1" x14ac:dyDescent="0.3"/>
    <row r="14814" hidden="1" x14ac:dyDescent="0.3"/>
    <row r="14815" hidden="1" x14ac:dyDescent="0.3"/>
    <row r="14816" hidden="1" x14ac:dyDescent="0.3"/>
    <row r="14817" hidden="1" x14ac:dyDescent="0.3"/>
    <row r="14818" hidden="1" x14ac:dyDescent="0.3"/>
    <row r="14819" hidden="1" x14ac:dyDescent="0.3"/>
    <row r="14820" hidden="1" x14ac:dyDescent="0.3"/>
    <row r="14821" hidden="1" x14ac:dyDescent="0.3"/>
    <row r="14822" hidden="1" x14ac:dyDescent="0.3"/>
    <row r="14823" hidden="1" x14ac:dyDescent="0.3"/>
    <row r="14824" hidden="1" x14ac:dyDescent="0.3"/>
    <row r="14825" hidden="1" x14ac:dyDescent="0.3"/>
    <row r="14826" hidden="1" x14ac:dyDescent="0.3"/>
    <row r="14827" hidden="1" x14ac:dyDescent="0.3"/>
    <row r="14828" hidden="1" x14ac:dyDescent="0.3"/>
    <row r="14829" hidden="1" x14ac:dyDescent="0.3"/>
    <row r="14830" hidden="1" x14ac:dyDescent="0.3"/>
    <row r="14831" hidden="1" x14ac:dyDescent="0.3"/>
    <row r="14832" hidden="1" x14ac:dyDescent="0.3"/>
    <row r="14833" hidden="1" x14ac:dyDescent="0.3"/>
    <row r="14834" hidden="1" x14ac:dyDescent="0.3"/>
    <row r="14835" hidden="1" x14ac:dyDescent="0.3"/>
    <row r="14836" hidden="1" x14ac:dyDescent="0.3"/>
    <row r="14837" hidden="1" x14ac:dyDescent="0.3"/>
    <row r="14838" hidden="1" x14ac:dyDescent="0.3"/>
    <row r="14839" hidden="1" x14ac:dyDescent="0.3"/>
    <row r="14840" hidden="1" x14ac:dyDescent="0.3"/>
    <row r="14841" hidden="1" x14ac:dyDescent="0.3"/>
    <row r="14842" hidden="1" x14ac:dyDescent="0.3"/>
    <row r="14843" hidden="1" x14ac:dyDescent="0.3"/>
    <row r="14844" hidden="1" x14ac:dyDescent="0.3"/>
    <row r="14845" hidden="1" x14ac:dyDescent="0.3"/>
    <row r="14846" hidden="1" x14ac:dyDescent="0.3"/>
    <row r="14847" hidden="1" x14ac:dyDescent="0.3"/>
    <row r="14848" hidden="1" x14ac:dyDescent="0.3"/>
    <row r="14849" hidden="1" x14ac:dyDescent="0.3"/>
    <row r="14850" hidden="1" x14ac:dyDescent="0.3"/>
    <row r="14851" hidden="1" x14ac:dyDescent="0.3"/>
    <row r="14852" hidden="1" x14ac:dyDescent="0.3"/>
    <row r="14853" hidden="1" x14ac:dyDescent="0.3"/>
    <row r="14854" hidden="1" x14ac:dyDescent="0.3"/>
    <row r="14855" hidden="1" x14ac:dyDescent="0.3"/>
    <row r="14856" hidden="1" x14ac:dyDescent="0.3"/>
    <row r="14857" hidden="1" x14ac:dyDescent="0.3"/>
    <row r="14858" hidden="1" x14ac:dyDescent="0.3"/>
    <row r="14859" hidden="1" x14ac:dyDescent="0.3"/>
    <row r="14860" hidden="1" x14ac:dyDescent="0.3"/>
    <row r="14861" hidden="1" x14ac:dyDescent="0.3"/>
    <row r="14862" hidden="1" x14ac:dyDescent="0.3"/>
    <row r="14863" hidden="1" x14ac:dyDescent="0.3"/>
    <row r="14864" hidden="1" x14ac:dyDescent="0.3"/>
    <row r="14865" hidden="1" x14ac:dyDescent="0.3"/>
    <row r="14866" hidden="1" x14ac:dyDescent="0.3"/>
    <row r="14867" hidden="1" x14ac:dyDescent="0.3"/>
    <row r="14868" hidden="1" x14ac:dyDescent="0.3"/>
    <row r="14869" hidden="1" x14ac:dyDescent="0.3"/>
    <row r="14870" hidden="1" x14ac:dyDescent="0.3"/>
    <row r="14871" hidden="1" x14ac:dyDescent="0.3"/>
    <row r="14872" hidden="1" x14ac:dyDescent="0.3"/>
    <row r="14873" hidden="1" x14ac:dyDescent="0.3"/>
    <row r="14874" hidden="1" x14ac:dyDescent="0.3"/>
    <row r="14875" hidden="1" x14ac:dyDescent="0.3"/>
    <row r="14876" hidden="1" x14ac:dyDescent="0.3"/>
    <row r="14877" hidden="1" x14ac:dyDescent="0.3"/>
    <row r="14878" hidden="1" x14ac:dyDescent="0.3"/>
    <row r="14879" hidden="1" x14ac:dyDescent="0.3"/>
    <row r="14880" hidden="1" x14ac:dyDescent="0.3"/>
    <row r="14881" hidden="1" x14ac:dyDescent="0.3"/>
    <row r="14882" hidden="1" x14ac:dyDescent="0.3"/>
    <row r="14883" hidden="1" x14ac:dyDescent="0.3"/>
    <row r="14884" hidden="1" x14ac:dyDescent="0.3"/>
    <row r="14885" hidden="1" x14ac:dyDescent="0.3"/>
    <row r="14886" hidden="1" x14ac:dyDescent="0.3"/>
    <row r="14887" hidden="1" x14ac:dyDescent="0.3"/>
    <row r="14888" hidden="1" x14ac:dyDescent="0.3"/>
    <row r="14889" hidden="1" x14ac:dyDescent="0.3"/>
    <row r="14890" hidden="1" x14ac:dyDescent="0.3"/>
    <row r="14891" hidden="1" x14ac:dyDescent="0.3"/>
    <row r="14892" hidden="1" x14ac:dyDescent="0.3"/>
    <row r="14893" hidden="1" x14ac:dyDescent="0.3"/>
    <row r="14894" hidden="1" x14ac:dyDescent="0.3"/>
    <row r="14895" hidden="1" x14ac:dyDescent="0.3"/>
    <row r="14896" hidden="1" x14ac:dyDescent="0.3"/>
    <row r="14897" hidden="1" x14ac:dyDescent="0.3"/>
    <row r="14898" hidden="1" x14ac:dyDescent="0.3"/>
    <row r="14899" hidden="1" x14ac:dyDescent="0.3"/>
    <row r="14900" hidden="1" x14ac:dyDescent="0.3"/>
    <row r="14901" hidden="1" x14ac:dyDescent="0.3"/>
    <row r="14902" hidden="1" x14ac:dyDescent="0.3"/>
    <row r="14903" hidden="1" x14ac:dyDescent="0.3"/>
    <row r="14904" hidden="1" x14ac:dyDescent="0.3"/>
    <row r="14905" hidden="1" x14ac:dyDescent="0.3"/>
    <row r="14906" hidden="1" x14ac:dyDescent="0.3"/>
    <row r="14907" hidden="1" x14ac:dyDescent="0.3"/>
    <row r="14908" hidden="1" x14ac:dyDescent="0.3"/>
    <row r="14909" hidden="1" x14ac:dyDescent="0.3"/>
    <row r="14910" hidden="1" x14ac:dyDescent="0.3"/>
    <row r="14911" hidden="1" x14ac:dyDescent="0.3"/>
    <row r="14912" hidden="1" x14ac:dyDescent="0.3"/>
    <row r="14913" hidden="1" x14ac:dyDescent="0.3"/>
    <row r="14914" hidden="1" x14ac:dyDescent="0.3"/>
    <row r="14915" hidden="1" x14ac:dyDescent="0.3"/>
    <row r="14916" hidden="1" x14ac:dyDescent="0.3"/>
    <row r="14917" hidden="1" x14ac:dyDescent="0.3"/>
    <row r="14918" hidden="1" x14ac:dyDescent="0.3"/>
    <row r="14919" hidden="1" x14ac:dyDescent="0.3"/>
    <row r="14920" hidden="1" x14ac:dyDescent="0.3"/>
    <row r="14921" hidden="1" x14ac:dyDescent="0.3"/>
    <row r="14922" hidden="1" x14ac:dyDescent="0.3"/>
    <row r="14923" hidden="1" x14ac:dyDescent="0.3"/>
    <row r="14924" hidden="1" x14ac:dyDescent="0.3"/>
    <row r="14925" hidden="1" x14ac:dyDescent="0.3"/>
    <row r="14926" hidden="1" x14ac:dyDescent="0.3"/>
    <row r="14927" hidden="1" x14ac:dyDescent="0.3"/>
    <row r="14928" hidden="1" x14ac:dyDescent="0.3"/>
    <row r="14929" hidden="1" x14ac:dyDescent="0.3"/>
    <row r="14930" hidden="1" x14ac:dyDescent="0.3"/>
    <row r="14931" hidden="1" x14ac:dyDescent="0.3"/>
    <row r="14932" hidden="1" x14ac:dyDescent="0.3"/>
    <row r="14933" hidden="1" x14ac:dyDescent="0.3"/>
    <row r="14934" hidden="1" x14ac:dyDescent="0.3"/>
    <row r="14935" hidden="1" x14ac:dyDescent="0.3"/>
    <row r="14936" hidden="1" x14ac:dyDescent="0.3"/>
    <row r="14937" hidden="1" x14ac:dyDescent="0.3"/>
    <row r="14938" hidden="1" x14ac:dyDescent="0.3"/>
    <row r="14939" hidden="1" x14ac:dyDescent="0.3"/>
    <row r="14940" hidden="1" x14ac:dyDescent="0.3"/>
    <row r="14941" hidden="1" x14ac:dyDescent="0.3"/>
    <row r="14942" hidden="1" x14ac:dyDescent="0.3"/>
    <row r="14943" hidden="1" x14ac:dyDescent="0.3"/>
    <row r="14944" hidden="1" x14ac:dyDescent="0.3"/>
    <row r="14945" hidden="1" x14ac:dyDescent="0.3"/>
    <row r="14946" hidden="1" x14ac:dyDescent="0.3"/>
    <row r="14947" hidden="1" x14ac:dyDescent="0.3"/>
    <row r="14948" hidden="1" x14ac:dyDescent="0.3"/>
    <row r="14949" hidden="1" x14ac:dyDescent="0.3"/>
    <row r="14950" hidden="1" x14ac:dyDescent="0.3"/>
    <row r="14951" hidden="1" x14ac:dyDescent="0.3"/>
    <row r="14952" hidden="1" x14ac:dyDescent="0.3"/>
    <row r="14953" hidden="1" x14ac:dyDescent="0.3"/>
    <row r="14954" hidden="1" x14ac:dyDescent="0.3"/>
    <row r="14955" hidden="1" x14ac:dyDescent="0.3"/>
    <row r="14956" hidden="1" x14ac:dyDescent="0.3"/>
    <row r="14957" hidden="1" x14ac:dyDescent="0.3"/>
    <row r="14958" hidden="1" x14ac:dyDescent="0.3"/>
    <row r="14959" hidden="1" x14ac:dyDescent="0.3"/>
    <row r="14960" hidden="1" x14ac:dyDescent="0.3"/>
    <row r="14961" hidden="1" x14ac:dyDescent="0.3"/>
    <row r="14962" hidden="1" x14ac:dyDescent="0.3"/>
    <row r="14963" hidden="1" x14ac:dyDescent="0.3"/>
    <row r="14964" hidden="1" x14ac:dyDescent="0.3"/>
    <row r="14965" hidden="1" x14ac:dyDescent="0.3"/>
    <row r="14966" hidden="1" x14ac:dyDescent="0.3"/>
    <row r="14967" hidden="1" x14ac:dyDescent="0.3"/>
    <row r="14968" hidden="1" x14ac:dyDescent="0.3"/>
    <row r="14969" hidden="1" x14ac:dyDescent="0.3"/>
    <row r="14970" hidden="1" x14ac:dyDescent="0.3"/>
    <row r="14971" hidden="1" x14ac:dyDescent="0.3"/>
    <row r="14972" hidden="1" x14ac:dyDescent="0.3"/>
    <row r="14973" hidden="1" x14ac:dyDescent="0.3"/>
    <row r="14974" hidden="1" x14ac:dyDescent="0.3"/>
    <row r="14975" hidden="1" x14ac:dyDescent="0.3"/>
    <row r="14976" hidden="1" x14ac:dyDescent="0.3"/>
    <row r="14977" hidden="1" x14ac:dyDescent="0.3"/>
    <row r="14978" hidden="1" x14ac:dyDescent="0.3"/>
    <row r="14979" hidden="1" x14ac:dyDescent="0.3"/>
    <row r="14980" hidden="1" x14ac:dyDescent="0.3"/>
    <row r="14981" hidden="1" x14ac:dyDescent="0.3"/>
    <row r="14982" hidden="1" x14ac:dyDescent="0.3"/>
    <row r="14983" hidden="1" x14ac:dyDescent="0.3"/>
    <row r="14984" hidden="1" x14ac:dyDescent="0.3"/>
    <row r="14985" hidden="1" x14ac:dyDescent="0.3"/>
    <row r="14986" hidden="1" x14ac:dyDescent="0.3"/>
    <row r="14987" hidden="1" x14ac:dyDescent="0.3"/>
    <row r="14988" hidden="1" x14ac:dyDescent="0.3"/>
    <row r="14989" hidden="1" x14ac:dyDescent="0.3"/>
    <row r="14990" hidden="1" x14ac:dyDescent="0.3"/>
    <row r="14991" hidden="1" x14ac:dyDescent="0.3"/>
    <row r="14992" hidden="1" x14ac:dyDescent="0.3"/>
    <row r="14993" hidden="1" x14ac:dyDescent="0.3"/>
    <row r="14994" hidden="1" x14ac:dyDescent="0.3"/>
    <row r="14995" hidden="1" x14ac:dyDescent="0.3"/>
    <row r="14996" hidden="1" x14ac:dyDescent="0.3"/>
    <row r="14997" hidden="1" x14ac:dyDescent="0.3"/>
    <row r="14998" hidden="1" x14ac:dyDescent="0.3"/>
    <row r="14999" hidden="1" x14ac:dyDescent="0.3"/>
    <row r="15000" hidden="1" x14ac:dyDescent="0.3"/>
    <row r="15001" hidden="1" x14ac:dyDescent="0.3"/>
    <row r="15002" hidden="1" x14ac:dyDescent="0.3"/>
    <row r="15003" hidden="1" x14ac:dyDescent="0.3"/>
    <row r="15004" hidden="1" x14ac:dyDescent="0.3"/>
    <row r="15005" hidden="1" x14ac:dyDescent="0.3"/>
    <row r="15006" hidden="1" x14ac:dyDescent="0.3"/>
    <row r="15007" hidden="1" x14ac:dyDescent="0.3"/>
    <row r="15008" hidden="1" x14ac:dyDescent="0.3"/>
    <row r="15009" hidden="1" x14ac:dyDescent="0.3"/>
    <row r="15010" hidden="1" x14ac:dyDescent="0.3"/>
    <row r="15011" hidden="1" x14ac:dyDescent="0.3"/>
    <row r="15012" hidden="1" x14ac:dyDescent="0.3"/>
    <row r="15013" hidden="1" x14ac:dyDescent="0.3"/>
    <row r="15014" hidden="1" x14ac:dyDescent="0.3"/>
    <row r="15015" hidden="1" x14ac:dyDescent="0.3"/>
    <row r="15016" hidden="1" x14ac:dyDescent="0.3"/>
    <row r="15017" hidden="1" x14ac:dyDescent="0.3"/>
    <row r="15018" hidden="1" x14ac:dyDescent="0.3"/>
    <row r="15019" hidden="1" x14ac:dyDescent="0.3"/>
    <row r="15020" hidden="1" x14ac:dyDescent="0.3"/>
    <row r="15021" hidden="1" x14ac:dyDescent="0.3"/>
    <row r="15022" hidden="1" x14ac:dyDescent="0.3"/>
    <row r="15023" hidden="1" x14ac:dyDescent="0.3"/>
    <row r="15024" hidden="1" x14ac:dyDescent="0.3"/>
    <row r="15025" hidden="1" x14ac:dyDescent="0.3"/>
    <row r="15026" hidden="1" x14ac:dyDescent="0.3"/>
    <row r="15027" hidden="1" x14ac:dyDescent="0.3"/>
    <row r="15028" hidden="1" x14ac:dyDescent="0.3"/>
    <row r="15029" hidden="1" x14ac:dyDescent="0.3"/>
    <row r="15030" hidden="1" x14ac:dyDescent="0.3"/>
    <row r="15031" hidden="1" x14ac:dyDescent="0.3"/>
    <row r="15032" hidden="1" x14ac:dyDescent="0.3"/>
    <row r="15033" hidden="1" x14ac:dyDescent="0.3"/>
    <row r="15034" hidden="1" x14ac:dyDescent="0.3"/>
    <row r="15035" hidden="1" x14ac:dyDescent="0.3"/>
    <row r="15036" hidden="1" x14ac:dyDescent="0.3"/>
    <row r="15037" hidden="1" x14ac:dyDescent="0.3"/>
    <row r="15038" hidden="1" x14ac:dyDescent="0.3"/>
    <row r="15039" hidden="1" x14ac:dyDescent="0.3"/>
    <row r="15040" hidden="1" x14ac:dyDescent="0.3"/>
    <row r="15041" hidden="1" x14ac:dyDescent="0.3"/>
    <row r="15042" hidden="1" x14ac:dyDescent="0.3"/>
    <row r="15043" hidden="1" x14ac:dyDescent="0.3"/>
    <row r="15044" hidden="1" x14ac:dyDescent="0.3"/>
    <row r="15045" hidden="1" x14ac:dyDescent="0.3"/>
    <row r="15046" hidden="1" x14ac:dyDescent="0.3"/>
    <row r="15047" hidden="1" x14ac:dyDescent="0.3"/>
    <row r="15048" hidden="1" x14ac:dyDescent="0.3"/>
    <row r="15049" hidden="1" x14ac:dyDescent="0.3"/>
    <row r="15050" hidden="1" x14ac:dyDescent="0.3"/>
    <row r="15051" hidden="1" x14ac:dyDescent="0.3"/>
    <row r="15052" hidden="1" x14ac:dyDescent="0.3"/>
    <row r="15053" hidden="1" x14ac:dyDescent="0.3"/>
    <row r="15054" hidden="1" x14ac:dyDescent="0.3"/>
    <row r="15055" hidden="1" x14ac:dyDescent="0.3"/>
    <row r="15056" hidden="1" x14ac:dyDescent="0.3"/>
    <row r="15057" hidden="1" x14ac:dyDescent="0.3"/>
    <row r="15058" hidden="1" x14ac:dyDescent="0.3"/>
    <row r="15059" hidden="1" x14ac:dyDescent="0.3"/>
    <row r="15060" hidden="1" x14ac:dyDescent="0.3"/>
    <row r="15061" hidden="1" x14ac:dyDescent="0.3"/>
    <row r="15062" hidden="1" x14ac:dyDescent="0.3"/>
    <row r="15063" hidden="1" x14ac:dyDescent="0.3"/>
    <row r="15064" hidden="1" x14ac:dyDescent="0.3"/>
    <row r="15065" hidden="1" x14ac:dyDescent="0.3"/>
    <row r="15066" hidden="1" x14ac:dyDescent="0.3"/>
    <row r="15067" hidden="1" x14ac:dyDescent="0.3"/>
    <row r="15068" hidden="1" x14ac:dyDescent="0.3"/>
    <row r="15069" hidden="1" x14ac:dyDescent="0.3"/>
    <row r="15070" hidden="1" x14ac:dyDescent="0.3"/>
    <row r="15071" hidden="1" x14ac:dyDescent="0.3"/>
    <row r="15072" hidden="1" x14ac:dyDescent="0.3"/>
    <row r="15073" hidden="1" x14ac:dyDescent="0.3"/>
    <row r="15074" hidden="1" x14ac:dyDescent="0.3"/>
    <row r="15075" hidden="1" x14ac:dyDescent="0.3"/>
    <row r="15076" hidden="1" x14ac:dyDescent="0.3"/>
    <row r="15077" hidden="1" x14ac:dyDescent="0.3"/>
    <row r="15078" hidden="1" x14ac:dyDescent="0.3"/>
    <row r="15079" hidden="1" x14ac:dyDescent="0.3"/>
    <row r="15080" hidden="1" x14ac:dyDescent="0.3"/>
    <row r="15081" hidden="1" x14ac:dyDescent="0.3"/>
    <row r="15082" hidden="1" x14ac:dyDescent="0.3"/>
    <row r="15083" hidden="1" x14ac:dyDescent="0.3"/>
    <row r="15084" hidden="1" x14ac:dyDescent="0.3"/>
    <row r="15085" hidden="1" x14ac:dyDescent="0.3"/>
    <row r="15086" hidden="1" x14ac:dyDescent="0.3"/>
    <row r="15087" hidden="1" x14ac:dyDescent="0.3"/>
    <row r="15088" hidden="1" x14ac:dyDescent="0.3"/>
    <row r="15089" hidden="1" x14ac:dyDescent="0.3"/>
    <row r="15090" hidden="1" x14ac:dyDescent="0.3"/>
    <row r="15091" hidden="1" x14ac:dyDescent="0.3"/>
    <row r="15092" hidden="1" x14ac:dyDescent="0.3"/>
    <row r="15093" hidden="1" x14ac:dyDescent="0.3"/>
    <row r="15094" hidden="1" x14ac:dyDescent="0.3"/>
    <row r="15095" hidden="1" x14ac:dyDescent="0.3"/>
    <row r="15096" hidden="1" x14ac:dyDescent="0.3"/>
    <row r="15097" hidden="1" x14ac:dyDescent="0.3"/>
    <row r="15098" hidden="1" x14ac:dyDescent="0.3"/>
    <row r="15099" hidden="1" x14ac:dyDescent="0.3"/>
    <row r="15100" hidden="1" x14ac:dyDescent="0.3"/>
    <row r="15101" hidden="1" x14ac:dyDescent="0.3"/>
    <row r="15102" hidden="1" x14ac:dyDescent="0.3"/>
    <row r="15103" hidden="1" x14ac:dyDescent="0.3"/>
    <row r="15104" hidden="1" x14ac:dyDescent="0.3"/>
    <row r="15105" hidden="1" x14ac:dyDescent="0.3"/>
    <row r="15106" hidden="1" x14ac:dyDescent="0.3"/>
    <row r="15107" hidden="1" x14ac:dyDescent="0.3"/>
    <row r="15108" hidden="1" x14ac:dyDescent="0.3"/>
    <row r="15109" hidden="1" x14ac:dyDescent="0.3"/>
    <row r="15110" hidden="1" x14ac:dyDescent="0.3"/>
    <row r="15111" hidden="1" x14ac:dyDescent="0.3"/>
    <row r="15112" hidden="1" x14ac:dyDescent="0.3"/>
    <row r="15113" hidden="1" x14ac:dyDescent="0.3"/>
    <row r="15114" hidden="1" x14ac:dyDescent="0.3"/>
    <row r="15115" hidden="1" x14ac:dyDescent="0.3"/>
    <row r="15116" hidden="1" x14ac:dyDescent="0.3"/>
    <row r="15117" hidden="1" x14ac:dyDescent="0.3"/>
    <row r="15118" hidden="1" x14ac:dyDescent="0.3"/>
    <row r="15119" hidden="1" x14ac:dyDescent="0.3"/>
    <row r="15120" hidden="1" x14ac:dyDescent="0.3"/>
    <row r="15121" hidden="1" x14ac:dyDescent="0.3"/>
    <row r="15122" hidden="1" x14ac:dyDescent="0.3"/>
    <row r="15123" hidden="1" x14ac:dyDescent="0.3"/>
    <row r="15124" hidden="1" x14ac:dyDescent="0.3"/>
    <row r="15125" hidden="1" x14ac:dyDescent="0.3"/>
    <row r="15126" hidden="1" x14ac:dyDescent="0.3"/>
    <row r="15127" hidden="1" x14ac:dyDescent="0.3"/>
    <row r="15128" hidden="1" x14ac:dyDescent="0.3"/>
    <row r="15129" hidden="1" x14ac:dyDescent="0.3"/>
    <row r="15130" hidden="1" x14ac:dyDescent="0.3"/>
    <row r="15131" hidden="1" x14ac:dyDescent="0.3"/>
    <row r="15132" hidden="1" x14ac:dyDescent="0.3"/>
    <row r="15133" hidden="1" x14ac:dyDescent="0.3"/>
    <row r="15134" hidden="1" x14ac:dyDescent="0.3"/>
    <row r="15135" hidden="1" x14ac:dyDescent="0.3"/>
    <row r="15136" hidden="1" x14ac:dyDescent="0.3"/>
    <row r="15137" hidden="1" x14ac:dyDescent="0.3"/>
    <row r="15138" hidden="1" x14ac:dyDescent="0.3"/>
    <row r="15139" hidden="1" x14ac:dyDescent="0.3"/>
    <row r="15140" hidden="1" x14ac:dyDescent="0.3"/>
    <row r="15141" hidden="1" x14ac:dyDescent="0.3"/>
    <row r="15142" hidden="1" x14ac:dyDescent="0.3"/>
    <row r="15143" hidden="1" x14ac:dyDescent="0.3"/>
    <row r="15144" hidden="1" x14ac:dyDescent="0.3"/>
    <row r="15145" hidden="1" x14ac:dyDescent="0.3"/>
    <row r="15146" hidden="1" x14ac:dyDescent="0.3"/>
    <row r="15147" hidden="1" x14ac:dyDescent="0.3"/>
    <row r="15148" hidden="1" x14ac:dyDescent="0.3"/>
    <row r="15149" hidden="1" x14ac:dyDescent="0.3"/>
    <row r="15150" hidden="1" x14ac:dyDescent="0.3"/>
    <row r="15151" hidden="1" x14ac:dyDescent="0.3"/>
    <row r="15152" hidden="1" x14ac:dyDescent="0.3"/>
    <row r="15153" hidden="1" x14ac:dyDescent="0.3"/>
    <row r="15154" hidden="1" x14ac:dyDescent="0.3"/>
    <row r="15155" hidden="1" x14ac:dyDescent="0.3"/>
    <row r="15156" hidden="1" x14ac:dyDescent="0.3"/>
    <row r="15157" hidden="1" x14ac:dyDescent="0.3"/>
    <row r="15158" hidden="1" x14ac:dyDescent="0.3"/>
    <row r="15159" hidden="1" x14ac:dyDescent="0.3"/>
    <row r="15160" hidden="1" x14ac:dyDescent="0.3"/>
    <row r="15161" hidden="1" x14ac:dyDescent="0.3"/>
    <row r="15162" hidden="1" x14ac:dyDescent="0.3"/>
    <row r="15163" hidden="1" x14ac:dyDescent="0.3"/>
    <row r="15164" hidden="1" x14ac:dyDescent="0.3"/>
    <row r="15165" hidden="1" x14ac:dyDescent="0.3"/>
    <row r="15166" hidden="1" x14ac:dyDescent="0.3"/>
    <row r="15167" hidden="1" x14ac:dyDescent="0.3"/>
    <row r="15168" hidden="1" x14ac:dyDescent="0.3"/>
    <row r="15169" hidden="1" x14ac:dyDescent="0.3"/>
    <row r="15170" hidden="1" x14ac:dyDescent="0.3"/>
    <row r="15171" hidden="1" x14ac:dyDescent="0.3"/>
    <row r="15172" hidden="1" x14ac:dyDescent="0.3"/>
    <row r="15173" hidden="1" x14ac:dyDescent="0.3"/>
    <row r="15174" hidden="1" x14ac:dyDescent="0.3"/>
    <row r="15175" hidden="1" x14ac:dyDescent="0.3"/>
    <row r="15176" hidden="1" x14ac:dyDescent="0.3"/>
    <row r="15177" hidden="1" x14ac:dyDescent="0.3"/>
    <row r="15178" hidden="1" x14ac:dyDescent="0.3"/>
    <row r="15179" hidden="1" x14ac:dyDescent="0.3"/>
    <row r="15180" hidden="1" x14ac:dyDescent="0.3"/>
    <row r="15181" hidden="1" x14ac:dyDescent="0.3"/>
    <row r="15182" hidden="1" x14ac:dyDescent="0.3"/>
    <row r="15183" hidden="1" x14ac:dyDescent="0.3"/>
    <row r="15184" hidden="1" x14ac:dyDescent="0.3"/>
    <row r="15185" hidden="1" x14ac:dyDescent="0.3"/>
    <row r="15186" hidden="1" x14ac:dyDescent="0.3"/>
    <row r="15187" hidden="1" x14ac:dyDescent="0.3"/>
    <row r="15188" hidden="1" x14ac:dyDescent="0.3"/>
    <row r="15189" hidden="1" x14ac:dyDescent="0.3"/>
    <row r="15190" hidden="1" x14ac:dyDescent="0.3"/>
    <row r="15191" hidden="1" x14ac:dyDescent="0.3"/>
    <row r="15192" hidden="1" x14ac:dyDescent="0.3"/>
    <row r="15193" hidden="1" x14ac:dyDescent="0.3"/>
    <row r="15194" hidden="1" x14ac:dyDescent="0.3"/>
    <row r="15195" hidden="1" x14ac:dyDescent="0.3"/>
    <row r="15196" hidden="1" x14ac:dyDescent="0.3"/>
    <row r="15197" hidden="1" x14ac:dyDescent="0.3"/>
    <row r="15198" hidden="1" x14ac:dyDescent="0.3"/>
    <row r="15199" hidden="1" x14ac:dyDescent="0.3"/>
    <row r="15200" hidden="1" x14ac:dyDescent="0.3"/>
    <row r="15201" hidden="1" x14ac:dyDescent="0.3"/>
    <row r="15202" hidden="1" x14ac:dyDescent="0.3"/>
    <row r="15203" hidden="1" x14ac:dyDescent="0.3"/>
    <row r="15204" hidden="1" x14ac:dyDescent="0.3"/>
    <row r="15205" hidden="1" x14ac:dyDescent="0.3"/>
    <row r="15206" hidden="1" x14ac:dyDescent="0.3"/>
    <row r="15207" hidden="1" x14ac:dyDescent="0.3"/>
    <row r="15208" hidden="1" x14ac:dyDescent="0.3"/>
    <row r="15209" hidden="1" x14ac:dyDescent="0.3"/>
    <row r="15210" hidden="1" x14ac:dyDescent="0.3"/>
    <row r="15211" hidden="1" x14ac:dyDescent="0.3"/>
    <row r="15212" hidden="1" x14ac:dyDescent="0.3"/>
    <row r="15213" hidden="1" x14ac:dyDescent="0.3"/>
    <row r="15214" hidden="1" x14ac:dyDescent="0.3"/>
    <row r="15215" hidden="1" x14ac:dyDescent="0.3"/>
    <row r="15216" hidden="1" x14ac:dyDescent="0.3"/>
    <row r="15217" hidden="1" x14ac:dyDescent="0.3"/>
    <row r="15218" hidden="1" x14ac:dyDescent="0.3"/>
    <row r="15219" hidden="1" x14ac:dyDescent="0.3"/>
    <row r="15220" hidden="1" x14ac:dyDescent="0.3"/>
    <row r="15221" hidden="1" x14ac:dyDescent="0.3"/>
    <row r="15222" hidden="1" x14ac:dyDescent="0.3"/>
    <row r="15223" hidden="1" x14ac:dyDescent="0.3"/>
    <row r="15224" hidden="1" x14ac:dyDescent="0.3"/>
    <row r="15225" hidden="1" x14ac:dyDescent="0.3"/>
    <row r="15226" hidden="1" x14ac:dyDescent="0.3"/>
    <row r="15227" hidden="1" x14ac:dyDescent="0.3"/>
    <row r="15228" hidden="1" x14ac:dyDescent="0.3"/>
    <row r="15229" hidden="1" x14ac:dyDescent="0.3"/>
    <row r="15230" hidden="1" x14ac:dyDescent="0.3"/>
    <row r="15231" hidden="1" x14ac:dyDescent="0.3"/>
    <row r="15232" hidden="1" x14ac:dyDescent="0.3"/>
    <row r="15233" hidden="1" x14ac:dyDescent="0.3"/>
    <row r="15234" hidden="1" x14ac:dyDescent="0.3"/>
    <row r="15235" hidden="1" x14ac:dyDescent="0.3"/>
    <row r="15236" hidden="1" x14ac:dyDescent="0.3"/>
    <row r="15237" hidden="1" x14ac:dyDescent="0.3"/>
    <row r="15238" hidden="1" x14ac:dyDescent="0.3"/>
    <row r="15239" hidden="1" x14ac:dyDescent="0.3"/>
    <row r="15240" hidden="1" x14ac:dyDescent="0.3"/>
    <row r="15241" hidden="1" x14ac:dyDescent="0.3"/>
    <row r="15242" hidden="1" x14ac:dyDescent="0.3"/>
    <row r="15243" hidden="1" x14ac:dyDescent="0.3"/>
    <row r="15244" hidden="1" x14ac:dyDescent="0.3"/>
    <row r="15245" hidden="1" x14ac:dyDescent="0.3"/>
    <row r="15246" hidden="1" x14ac:dyDescent="0.3"/>
    <row r="15247" hidden="1" x14ac:dyDescent="0.3"/>
    <row r="15248" hidden="1" x14ac:dyDescent="0.3"/>
    <row r="15249" hidden="1" x14ac:dyDescent="0.3"/>
    <row r="15250" hidden="1" x14ac:dyDescent="0.3"/>
    <row r="15251" hidden="1" x14ac:dyDescent="0.3"/>
    <row r="15252" hidden="1" x14ac:dyDescent="0.3"/>
    <row r="15253" hidden="1" x14ac:dyDescent="0.3"/>
    <row r="15254" hidden="1" x14ac:dyDescent="0.3"/>
    <row r="15255" hidden="1" x14ac:dyDescent="0.3"/>
    <row r="15256" hidden="1" x14ac:dyDescent="0.3"/>
    <row r="15257" hidden="1" x14ac:dyDescent="0.3"/>
    <row r="15258" hidden="1" x14ac:dyDescent="0.3"/>
    <row r="15259" hidden="1" x14ac:dyDescent="0.3"/>
    <row r="15260" hidden="1" x14ac:dyDescent="0.3"/>
    <row r="15261" hidden="1" x14ac:dyDescent="0.3"/>
    <row r="15262" hidden="1" x14ac:dyDescent="0.3"/>
    <row r="15263" hidden="1" x14ac:dyDescent="0.3"/>
    <row r="15264" hidden="1" x14ac:dyDescent="0.3"/>
    <row r="15265" hidden="1" x14ac:dyDescent="0.3"/>
    <row r="15266" hidden="1" x14ac:dyDescent="0.3"/>
    <row r="15267" hidden="1" x14ac:dyDescent="0.3"/>
    <row r="15268" hidden="1" x14ac:dyDescent="0.3"/>
    <row r="15269" hidden="1" x14ac:dyDescent="0.3"/>
    <row r="15270" hidden="1" x14ac:dyDescent="0.3"/>
    <row r="15271" hidden="1" x14ac:dyDescent="0.3"/>
    <row r="15272" hidden="1" x14ac:dyDescent="0.3"/>
    <row r="15273" hidden="1" x14ac:dyDescent="0.3"/>
    <row r="15274" hidden="1" x14ac:dyDescent="0.3"/>
    <row r="15275" hidden="1" x14ac:dyDescent="0.3"/>
    <row r="15276" hidden="1" x14ac:dyDescent="0.3"/>
    <row r="15277" hidden="1" x14ac:dyDescent="0.3"/>
    <row r="15278" hidden="1" x14ac:dyDescent="0.3"/>
    <row r="15279" hidden="1" x14ac:dyDescent="0.3"/>
    <row r="15280" hidden="1" x14ac:dyDescent="0.3"/>
    <row r="15281" hidden="1" x14ac:dyDescent="0.3"/>
    <row r="15282" hidden="1" x14ac:dyDescent="0.3"/>
    <row r="15283" hidden="1" x14ac:dyDescent="0.3"/>
    <row r="15284" hidden="1" x14ac:dyDescent="0.3"/>
    <row r="15285" hidden="1" x14ac:dyDescent="0.3"/>
    <row r="15286" hidden="1" x14ac:dyDescent="0.3"/>
    <row r="15287" hidden="1" x14ac:dyDescent="0.3"/>
    <row r="15288" hidden="1" x14ac:dyDescent="0.3"/>
    <row r="15289" hidden="1" x14ac:dyDescent="0.3"/>
    <row r="15290" hidden="1" x14ac:dyDescent="0.3"/>
    <row r="15291" hidden="1" x14ac:dyDescent="0.3"/>
    <row r="15292" hidden="1" x14ac:dyDescent="0.3"/>
    <row r="15293" hidden="1" x14ac:dyDescent="0.3"/>
    <row r="15294" hidden="1" x14ac:dyDescent="0.3"/>
    <row r="15295" hidden="1" x14ac:dyDescent="0.3"/>
    <row r="15296" hidden="1" x14ac:dyDescent="0.3"/>
    <row r="15297" hidden="1" x14ac:dyDescent="0.3"/>
    <row r="15298" hidden="1" x14ac:dyDescent="0.3"/>
    <row r="15299" hidden="1" x14ac:dyDescent="0.3"/>
    <row r="15300" hidden="1" x14ac:dyDescent="0.3"/>
    <row r="15301" hidden="1" x14ac:dyDescent="0.3"/>
    <row r="15302" hidden="1" x14ac:dyDescent="0.3"/>
    <row r="15303" hidden="1" x14ac:dyDescent="0.3"/>
    <row r="15304" hidden="1" x14ac:dyDescent="0.3"/>
    <row r="15305" hidden="1" x14ac:dyDescent="0.3"/>
    <row r="15306" hidden="1" x14ac:dyDescent="0.3"/>
    <row r="15307" hidden="1" x14ac:dyDescent="0.3"/>
    <row r="15308" hidden="1" x14ac:dyDescent="0.3"/>
    <row r="15309" hidden="1" x14ac:dyDescent="0.3"/>
    <row r="15310" hidden="1" x14ac:dyDescent="0.3"/>
    <row r="15311" hidden="1" x14ac:dyDescent="0.3"/>
    <row r="15312" hidden="1" x14ac:dyDescent="0.3"/>
    <row r="15313" hidden="1" x14ac:dyDescent="0.3"/>
    <row r="15314" hidden="1" x14ac:dyDescent="0.3"/>
    <row r="15315" hidden="1" x14ac:dyDescent="0.3"/>
    <row r="15316" hidden="1" x14ac:dyDescent="0.3"/>
    <row r="15317" hidden="1" x14ac:dyDescent="0.3"/>
    <row r="15318" hidden="1" x14ac:dyDescent="0.3"/>
    <row r="15319" hidden="1" x14ac:dyDescent="0.3"/>
    <row r="15320" hidden="1" x14ac:dyDescent="0.3"/>
    <row r="15321" hidden="1" x14ac:dyDescent="0.3"/>
    <row r="15322" hidden="1" x14ac:dyDescent="0.3"/>
    <row r="15323" hidden="1" x14ac:dyDescent="0.3"/>
    <row r="15324" hidden="1" x14ac:dyDescent="0.3"/>
    <row r="15325" hidden="1" x14ac:dyDescent="0.3"/>
    <row r="15326" hidden="1" x14ac:dyDescent="0.3"/>
    <row r="15327" hidden="1" x14ac:dyDescent="0.3"/>
    <row r="15328" hidden="1" x14ac:dyDescent="0.3"/>
    <row r="15329" hidden="1" x14ac:dyDescent="0.3"/>
    <row r="15330" hidden="1" x14ac:dyDescent="0.3"/>
    <row r="15331" hidden="1" x14ac:dyDescent="0.3"/>
    <row r="15332" hidden="1" x14ac:dyDescent="0.3"/>
    <row r="15333" hidden="1" x14ac:dyDescent="0.3"/>
    <row r="15334" hidden="1" x14ac:dyDescent="0.3"/>
    <row r="15335" hidden="1" x14ac:dyDescent="0.3"/>
    <row r="15336" hidden="1" x14ac:dyDescent="0.3"/>
    <row r="15337" hidden="1" x14ac:dyDescent="0.3"/>
    <row r="15338" hidden="1" x14ac:dyDescent="0.3"/>
    <row r="15339" hidden="1" x14ac:dyDescent="0.3"/>
    <row r="15340" hidden="1" x14ac:dyDescent="0.3"/>
    <row r="15341" hidden="1" x14ac:dyDescent="0.3"/>
    <row r="15342" hidden="1" x14ac:dyDescent="0.3"/>
    <row r="15343" hidden="1" x14ac:dyDescent="0.3"/>
    <row r="15344" hidden="1" x14ac:dyDescent="0.3"/>
    <row r="15345" hidden="1" x14ac:dyDescent="0.3"/>
    <row r="15346" hidden="1" x14ac:dyDescent="0.3"/>
    <row r="15347" hidden="1" x14ac:dyDescent="0.3"/>
    <row r="15348" hidden="1" x14ac:dyDescent="0.3"/>
    <row r="15349" hidden="1" x14ac:dyDescent="0.3"/>
    <row r="15350" hidden="1" x14ac:dyDescent="0.3"/>
    <row r="15351" hidden="1" x14ac:dyDescent="0.3"/>
    <row r="15352" hidden="1" x14ac:dyDescent="0.3"/>
    <row r="15353" hidden="1" x14ac:dyDescent="0.3"/>
    <row r="15354" hidden="1" x14ac:dyDescent="0.3"/>
    <row r="15355" hidden="1" x14ac:dyDescent="0.3"/>
    <row r="15356" hidden="1" x14ac:dyDescent="0.3"/>
    <row r="15357" hidden="1" x14ac:dyDescent="0.3"/>
    <row r="15358" hidden="1" x14ac:dyDescent="0.3"/>
    <row r="15359" hidden="1" x14ac:dyDescent="0.3"/>
    <row r="15360" hidden="1" x14ac:dyDescent="0.3"/>
    <row r="15361" hidden="1" x14ac:dyDescent="0.3"/>
    <row r="15362" hidden="1" x14ac:dyDescent="0.3"/>
    <row r="15363" hidden="1" x14ac:dyDescent="0.3"/>
    <row r="15364" hidden="1" x14ac:dyDescent="0.3"/>
    <row r="15365" hidden="1" x14ac:dyDescent="0.3"/>
    <row r="15366" hidden="1" x14ac:dyDescent="0.3"/>
    <row r="15367" hidden="1" x14ac:dyDescent="0.3"/>
    <row r="15368" hidden="1" x14ac:dyDescent="0.3"/>
    <row r="15369" hidden="1" x14ac:dyDescent="0.3"/>
    <row r="15370" hidden="1" x14ac:dyDescent="0.3"/>
    <row r="15371" hidden="1" x14ac:dyDescent="0.3"/>
    <row r="15372" hidden="1" x14ac:dyDescent="0.3"/>
    <row r="15373" hidden="1" x14ac:dyDescent="0.3"/>
    <row r="15374" hidden="1" x14ac:dyDescent="0.3"/>
    <row r="15375" hidden="1" x14ac:dyDescent="0.3"/>
    <row r="15376" hidden="1" x14ac:dyDescent="0.3"/>
    <row r="15377" hidden="1" x14ac:dyDescent="0.3"/>
    <row r="15378" hidden="1" x14ac:dyDescent="0.3"/>
    <row r="15379" hidden="1" x14ac:dyDescent="0.3"/>
    <row r="15380" hidden="1" x14ac:dyDescent="0.3"/>
    <row r="15381" hidden="1" x14ac:dyDescent="0.3"/>
    <row r="15382" hidden="1" x14ac:dyDescent="0.3"/>
    <row r="15383" hidden="1" x14ac:dyDescent="0.3"/>
    <row r="15384" hidden="1" x14ac:dyDescent="0.3"/>
    <row r="15385" hidden="1" x14ac:dyDescent="0.3"/>
    <row r="15386" hidden="1" x14ac:dyDescent="0.3"/>
    <row r="15387" hidden="1" x14ac:dyDescent="0.3"/>
    <row r="15388" hidden="1" x14ac:dyDescent="0.3"/>
    <row r="15389" hidden="1" x14ac:dyDescent="0.3"/>
    <row r="15390" hidden="1" x14ac:dyDescent="0.3"/>
    <row r="15391" hidden="1" x14ac:dyDescent="0.3"/>
    <row r="15392" hidden="1" x14ac:dyDescent="0.3"/>
    <row r="15393" hidden="1" x14ac:dyDescent="0.3"/>
    <row r="15394" hidden="1" x14ac:dyDescent="0.3"/>
    <row r="15395" hidden="1" x14ac:dyDescent="0.3"/>
    <row r="15396" hidden="1" x14ac:dyDescent="0.3"/>
    <row r="15397" hidden="1" x14ac:dyDescent="0.3"/>
    <row r="15398" hidden="1" x14ac:dyDescent="0.3"/>
    <row r="15399" hidden="1" x14ac:dyDescent="0.3"/>
    <row r="15400" hidden="1" x14ac:dyDescent="0.3"/>
    <row r="15401" hidden="1" x14ac:dyDescent="0.3"/>
    <row r="15402" hidden="1" x14ac:dyDescent="0.3"/>
    <row r="15403" hidden="1" x14ac:dyDescent="0.3"/>
    <row r="15404" hidden="1" x14ac:dyDescent="0.3"/>
    <row r="15405" hidden="1" x14ac:dyDescent="0.3"/>
    <row r="15406" hidden="1" x14ac:dyDescent="0.3"/>
    <row r="15407" hidden="1" x14ac:dyDescent="0.3"/>
    <row r="15408" hidden="1" x14ac:dyDescent="0.3"/>
    <row r="15409" hidden="1" x14ac:dyDescent="0.3"/>
    <row r="15410" hidden="1" x14ac:dyDescent="0.3"/>
    <row r="15411" hidden="1" x14ac:dyDescent="0.3"/>
    <row r="15412" hidden="1" x14ac:dyDescent="0.3"/>
    <row r="15413" hidden="1" x14ac:dyDescent="0.3"/>
    <row r="15414" hidden="1" x14ac:dyDescent="0.3"/>
    <row r="15415" hidden="1" x14ac:dyDescent="0.3"/>
    <row r="15416" hidden="1" x14ac:dyDescent="0.3"/>
    <row r="15417" hidden="1" x14ac:dyDescent="0.3"/>
    <row r="15418" hidden="1" x14ac:dyDescent="0.3"/>
    <row r="15419" hidden="1" x14ac:dyDescent="0.3"/>
    <row r="15420" hidden="1" x14ac:dyDescent="0.3"/>
    <row r="15421" hidden="1" x14ac:dyDescent="0.3"/>
    <row r="15422" hidden="1" x14ac:dyDescent="0.3"/>
    <row r="15423" hidden="1" x14ac:dyDescent="0.3"/>
    <row r="15424" hidden="1" x14ac:dyDescent="0.3"/>
    <row r="15425" hidden="1" x14ac:dyDescent="0.3"/>
    <row r="15426" hidden="1" x14ac:dyDescent="0.3"/>
    <row r="15427" hidden="1" x14ac:dyDescent="0.3"/>
    <row r="15428" hidden="1" x14ac:dyDescent="0.3"/>
    <row r="15429" hidden="1" x14ac:dyDescent="0.3"/>
    <row r="15430" hidden="1" x14ac:dyDescent="0.3"/>
    <row r="15431" hidden="1" x14ac:dyDescent="0.3"/>
    <row r="15432" hidden="1" x14ac:dyDescent="0.3"/>
    <row r="15433" hidden="1" x14ac:dyDescent="0.3"/>
    <row r="15434" hidden="1" x14ac:dyDescent="0.3"/>
    <row r="15435" hidden="1" x14ac:dyDescent="0.3"/>
    <row r="15436" hidden="1" x14ac:dyDescent="0.3"/>
    <row r="15437" hidden="1" x14ac:dyDescent="0.3"/>
    <row r="15438" hidden="1" x14ac:dyDescent="0.3"/>
    <row r="15439" hidden="1" x14ac:dyDescent="0.3"/>
    <row r="15440" hidden="1" x14ac:dyDescent="0.3"/>
    <row r="15441" hidden="1" x14ac:dyDescent="0.3"/>
    <row r="15442" hidden="1" x14ac:dyDescent="0.3"/>
    <row r="15443" hidden="1" x14ac:dyDescent="0.3"/>
    <row r="15444" hidden="1" x14ac:dyDescent="0.3"/>
    <row r="15445" hidden="1" x14ac:dyDescent="0.3"/>
    <row r="15446" hidden="1" x14ac:dyDescent="0.3"/>
    <row r="15447" hidden="1" x14ac:dyDescent="0.3"/>
    <row r="15448" hidden="1" x14ac:dyDescent="0.3"/>
    <row r="15449" hidden="1" x14ac:dyDescent="0.3"/>
    <row r="15450" hidden="1" x14ac:dyDescent="0.3"/>
    <row r="15451" hidden="1" x14ac:dyDescent="0.3"/>
    <row r="15452" hidden="1" x14ac:dyDescent="0.3"/>
    <row r="15453" hidden="1" x14ac:dyDescent="0.3"/>
    <row r="15454" hidden="1" x14ac:dyDescent="0.3"/>
    <row r="15455" hidden="1" x14ac:dyDescent="0.3"/>
    <row r="15456" hidden="1" x14ac:dyDescent="0.3"/>
    <row r="15457" hidden="1" x14ac:dyDescent="0.3"/>
    <row r="15458" hidden="1" x14ac:dyDescent="0.3"/>
    <row r="15459" hidden="1" x14ac:dyDescent="0.3"/>
    <row r="15460" hidden="1" x14ac:dyDescent="0.3"/>
    <row r="15461" hidden="1" x14ac:dyDescent="0.3"/>
    <row r="15462" hidden="1" x14ac:dyDescent="0.3"/>
    <row r="15463" hidden="1" x14ac:dyDescent="0.3"/>
    <row r="15464" hidden="1" x14ac:dyDescent="0.3"/>
    <row r="15465" hidden="1" x14ac:dyDescent="0.3"/>
    <row r="15466" hidden="1" x14ac:dyDescent="0.3"/>
    <row r="15467" hidden="1" x14ac:dyDescent="0.3"/>
    <row r="15468" hidden="1" x14ac:dyDescent="0.3"/>
    <row r="15469" hidden="1" x14ac:dyDescent="0.3"/>
    <row r="15470" hidden="1" x14ac:dyDescent="0.3"/>
    <row r="15471" hidden="1" x14ac:dyDescent="0.3"/>
    <row r="15472" hidden="1" x14ac:dyDescent="0.3"/>
    <row r="15473" hidden="1" x14ac:dyDescent="0.3"/>
    <row r="15474" hidden="1" x14ac:dyDescent="0.3"/>
    <row r="15475" hidden="1" x14ac:dyDescent="0.3"/>
    <row r="15476" hidden="1" x14ac:dyDescent="0.3"/>
    <row r="15477" hidden="1" x14ac:dyDescent="0.3"/>
    <row r="15478" hidden="1" x14ac:dyDescent="0.3"/>
    <row r="15479" hidden="1" x14ac:dyDescent="0.3"/>
    <row r="15480" hidden="1" x14ac:dyDescent="0.3"/>
    <row r="15481" hidden="1" x14ac:dyDescent="0.3"/>
    <row r="15482" hidden="1" x14ac:dyDescent="0.3"/>
    <row r="15483" hidden="1" x14ac:dyDescent="0.3"/>
    <row r="15484" hidden="1" x14ac:dyDescent="0.3"/>
    <row r="15485" hidden="1" x14ac:dyDescent="0.3"/>
    <row r="15486" hidden="1" x14ac:dyDescent="0.3"/>
    <row r="15487" hidden="1" x14ac:dyDescent="0.3"/>
    <row r="15488" hidden="1" x14ac:dyDescent="0.3"/>
    <row r="15489" hidden="1" x14ac:dyDescent="0.3"/>
    <row r="15490" hidden="1" x14ac:dyDescent="0.3"/>
    <row r="15491" hidden="1" x14ac:dyDescent="0.3"/>
    <row r="15492" hidden="1" x14ac:dyDescent="0.3"/>
    <row r="15493" hidden="1" x14ac:dyDescent="0.3"/>
    <row r="15494" hidden="1" x14ac:dyDescent="0.3"/>
    <row r="15495" hidden="1" x14ac:dyDescent="0.3"/>
    <row r="15496" hidden="1" x14ac:dyDescent="0.3"/>
    <row r="15497" hidden="1" x14ac:dyDescent="0.3"/>
    <row r="15498" hidden="1" x14ac:dyDescent="0.3"/>
    <row r="15499" hidden="1" x14ac:dyDescent="0.3"/>
    <row r="15500" hidden="1" x14ac:dyDescent="0.3"/>
    <row r="15501" hidden="1" x14ac:dyDescent="0.3"/>
    <row r="15502" hidden="1" x14ac:dyDescent="0.3"/>
    <row r="15503" hidden="1" x14ac:dyDescent="0.3"/>
    <row r="15504" hidden="1" x14ac:dyDescent="0.3"/>
    <row r="15505" hidden="1" x14ac:dyDescent="0.3"/>
    <row r="15506" hidden="1" x14ac:dyDescent="0.3"/>
    <row r="15507" hidden="1" x14ac:dyDescent="0.3"/>
    <row r="15508" hidden="1" x14ac:dyDescent="0.3"/>
    <row r="15509" hidden="1" x14ac:dyDescent="0.3"/>
    <row r="15510" hidden="1" x14ac:dyDescent="0.3"/>
    <row r="15511" hidden="1" x14ac:dyDescent="0.3"/>
    <row r="15512" hidden="1" x14ac:dyDescent="0.3"/>
    <row r="15513" hidden="1" x14ac:dyDescent="0.3"/>
    <row r="15514" hidden="1" x14ac:dyDescent="0.3"/>
    <row r="15515" hidden="1" x14ac:dyDescent="0.3"/>
    <row r="15516" hidden="1" x14ac:dyDescent="0.3"/>
    <row r="15517" hidden="1" x14ac:dyDescent="0.3"/>
    <row r="15518" hidden="1" x14ac:dyDescent="0.3"/>
    <row r="15519" hidden="1" x14ac:dyDescent="0.3"/>
    <row r="15520" hidden="1" x14ac:dyDescent="0.3"/>
    <row r="15521" hidden="1" x14ac:dyDescent="0.3"/>
    <row r="15522" hidden="1" x14ac:dyDescent="0.3"/>
    <row r="15523" hidden="1" x14ac:dyDescent="0.3"/>
    <row r="15524" hidden="1" x14ac:dyDescent="0.3"/>
    <row r="15525" hidden="1" x14ac:dyDescent="0.3"/>
    <row r="15526" hidden="1" x14ac:dyDescent="0.3"/>
    <row r="15527" hidden="1" x14ac:dyDescent="0.3"/>
    <row r="15528" hidden="1" x14ac:dyDescent="0.3"/>
    <row r="15529" hidden="1" x14ac:dyDescent="0.3"/>
    <row r="15530" hidden="1" x14ac:dyDescent="0.3"/>
    <row r="15531" hidden="1" x14ac:dyDescent="0.3"/>
    <row r="15532" hidden="1" x14ac:dyDescent="0.3"/>
    <row r="15533" hidden="1" x14ac:dyDescent="0.3"/>
    <row r="15534" hidden="1" x14ac:dyDescent="0.3"/>
    <row r="15535" hidden="1" x14ac:dyDescent="0.3"/>
    <row r="15536" hidden="1" x14ac:dyDescent="0.3"/>
    <row r="15537" hidden="1" x14ac:dyDescent="0.3"/>
    <row r="15538" hidden="1" x14ac:dyDescent="0.3"/>
    <row r="15539" hidden="1" x14ac:dyDescent="0.3"/>
    <row r="15540" hidden="1" x14ac:dyDescent="0.3"/>
    <row r="15541" hidden="1" x14ac:dyDescent="0.3"/>
    <row r="15542" hidden="1" x14ac:dyDescent="0.3"/>
    <row r="15543" hidden="1" x14ac:dyDescent="0.3"/>
    <row r="15544" hidden="1" x14ac:dyDescent="0.3"/>
    <row r="15545" hidden="1" x14ac:dyDescent="0.3"/>
    <row r="15546" hidden="1" x14ac:dyDescent="0.3"/>
    <row r="15547" hidden="1" x14ac:dyDescent="0.3"/>
    <row r="15548" hidden="1" x14ac:dyDescent="0.3"/>
    <row r="15549" hidden="1" x14ac:dyDescent="0.3"/>
    <row r="15550" hidden="1" x14ac:dyDescent="0.3"/>
    <row r="15551" hidden="1" x14ac:dyDescent="0.3"/>
    <row r="15552" hidden="1" x14ac:dyDescent="0.3"/>
    <row r="15553" hidden="1" x14ac:dyDescent="0.3"/>
    <row r="15554" hidden="1" x14ac:dyDescent="0.3"/>
    <row r="15555" hidden="1" x14ac:dyDescent="0.3"/>
    <row r="15556" hidden="1" x14ac:dyDescent="0.3"/>
    <row r="15557" hidden="1" x14ac:dyDescent="0.3"/>
    <row r="15558" hidden="1" x14ac:dyDescent="0.3"/>
    <row r="15559" hidden="1" x14ac:dyDescent="0.3"/>
    <row r="15560" hidden="1" x14ac:dyDescent="0.3"/>
    <row r="15561" hidden="1" x14ac:dyDescent="0.3"/>
    <row r="15562" hidden="1" x14ac:dyDescent="0.3"/>
    <row r="15563" hidden="1" x14ac:dyDescent="0.3"/>
    <row r="15564" hidden="1" x14ac:dyDescent="0.3"/>
    <row r="15565" hidden="1" x14ac:dyDescent="0.3"/>
    <row r="15566" hidden="1" x14ac:dyDescent="0.3"/>
    <row r="15567" hidden="1" x14ac:dyDescent="0.3"/>
    <row r="15568" hidden="1" x14ac:dyDescent="0.3"/>
    <row r="15569" hidden="1" x14ac:dyDescent="0.3"/>
    <row r="15570" hidden="1" x14ac:dyDescent="0.3"/>
    <row r="15571" hidden="1" x14ac:dyDescent="0.3"/>
    <row r="15572" hidden="1" x14ac:dyDescent="0.3"/>
    <row r="15573" hidden="1" x14ac:dyDescent="0.3"/>
    <row r="15574" hidden="1" x14ac:dyDescent="0.3"/>
    <row r="15575" hidden="1" x14ac:dyDescent="0.3"/>
    <row r="15576" hidden="1" x14ac:dyDescent="0.3"/>
    <row r="15577" hidden="1" x14ac:dyDescent="0.3"/>
    <row r="15578" hidden="1" x14ac:dyDescent="0.3"/>
    <row r="15579" hidden="1" x14ac:dyDescent="0.3"/>
    <row r="15580" hidden="1" x14ac:dyDescent="0.3"/>
    <row r="15581" hidden="1" x14ac:dyDescent="0.3"/>
    <row r="15582" hidden="1" x14ac:dyDescent="0.3"/>
    <row r="15583" hidden="1" x14ac:dyDescent="0.3"/>
    <row r="15584" hidden="1" x14ac:dyDescent="0.3"/>
    <row r="15585" hidden="1" x14ac:dyDescent="0.3"/>
    <row r="15586" hidden="1" x14ac:dyDescent="0.3"/>
    <row r="15587" hidden="1" x14ac:dyDescent="0.3"/>
    <row r="15588" hidden="1" x14ac:dyDescent="0.3"/>
    <row r="15589" hidden="1" x14ac:dyDescent="0.3"/>
    <row r="15590" hidden="1" x14ac:dyDescent="0.3"/>
    <row r="15591" hidden="1" x14ac:dyDescent="0.3"/>
    <row r="15592" hidden="1" x14ac:dyDescent="0.3"/>
    <row r="15593" hidden="1" x14ac:dyDescent="0.3"/>
    <row r="15594" hidden="1" x14ac:dyDescent="0.3"/>
    <row r="15595" hidden="1" x14ac:dyDescent="0.3"/>
    <row r="15596" hidden="1" x14ac:dyDescent="0.3"/>
    <row r="15597" hidden="1" x14ac:dyDescent="0.3"/>
    <row r="15598" hidden="1" x14ac:dyDescent="0.3"/>
    <row r="15599" hidden="1" x14ac:dyDescent="0.3"/>
    <row r="15600" hidden="1" x14ac:dyDescent="0.3"/>
    <row r="15601" hidden="1" x14ac:dyDescent="0.3"/>
    <row r="15602" hidden="1" x14ac:dyDescent="0.3"/>
    <row r="15603" hidden="1" x14ac:dyDescent="0.3"/>
    <row r="15604" hidden="1" x14ac:dyDescent="0.3"/>
    <row r="15605" hidden="1" x14ac:dyDescent="0.3"/>
    <row r="15606" hidden="1" x14ac:dyDescent="0.3"/>
    <row r="15607" hidden="1" x14ac:dyDescent="0.3"/>
    <row r="15608" hidden="1" x14ac:dyDescent="0.3"/>
    <row r="15609" hidden="1" x14ac:dyDescent="0.3"/>
    <row r="15610" hidden="1" x14ac:dyDescent="0.3"/>
    <row r="15611" hidden="1" x14ac:dyDescent="0.3"/>
    <row r="15612" hidden="1" x14ac:dyDescent="0.3"/>
    <row r="15613" hidden="1" x14ac:dyDescent="0.3"/>
    <row r="15614" hidden="1" x14ac:dyDescent="0.3"/>
    <row r="15615" hidden="1" x14ac:dyDescent="0.3"/>
    <row r="15616" hidden="1" x14ac:dyDescent="0.3"/>
    <row r="15617" hidden="1" x14ac:dyDescent="0.3"/>
    <row r="15618" hidden="1" x14ac:dyDescent="0.3"/>
    <row r="15619" hidden="1" x14ac:dyDescent="0.3"/>
    <row r="15620" hidden="1" x14ac:dyDescent="0.3"/>
    <row r="15621" hidden="1" x14ac:dyDescent="0.3"/>
    <row r="15622" hidden="1" x14ac:dyDescent="0.3"/>
    <row r="15623" hidden="1" x14ac:dyDescent="0.3"/>
    <row r="15624" hidden="1" x14ac:dyDescent="0.3"/>
    <row r="15625" hidden="1" x14ac:dyDescent="0.3"/>
    <row r="15626" hidden="1" x14ac:dyDescent="0.3"/>
    <row r="15627" hidden="1" x14ac:dyDescent="0.3"/>
    <row r="15628" hidden="1" x14ac:dyDescent="0.3"/>
    <row r="15629" hidden="1" x14ac:dyDescent="0.3"/>
    <row r="15630" hidden="1" x14ac:dyDescent="0.3"/>
    <row r="15631" hidden="1" x14ac:dyDescent="0.3"/>
    <row r="15632" hidden="1" x14ac:dyDescent="0.3"/>
    <row r="15633" hidden="1" x14ac:dyDescent="0.3"/>
    <row r="15634" hidden="1" x14ac:dyDescent="0.3"/>
    <row r="15635" hidden="1" x14ac:dyDescent="0.3"/>
    <row r="15636" hidden="1" x14ac:dyDescent="0.3"/>
    <row r="15637" hidden="1" x14ac:dyDescent="0.3"/>
    <row r="15638" hidden="1" x14ac:dyDescent="0.3"/>
    <row r="15639" hidden="1" x14ac:dyDescent="0.3"/>
    <row r="15640" hidden="1" x14ac:dyDescent="0.3"/>
    <row r="15641" hidden="1" x14ac:dyDescent="0.3"/>
    <row r="15642" hidden="1" x14ac:dyDescent="0.3"/>
    <row r="15643" hidden="1" x14ac:dyDescent="0.3"/>
    <row r="15644" hidden="1" x14ac:dyDescent="0.3"/>
    <row r="15645" hidden="1" x14ac:dyDescent="0.3"/>
    <row r="15646" hidden="1" x14ac:dyDescent="0.3"/>
    <row r="15647" hidden="1" x14ac:dyDescent="0.3"/>
    <row r="15648" hidden="1" x14ac:dyDescent="0.3"/>
    <row r="15649" hidden="1" x14ac:dyDescent="0.3"/>
    <row r="15650" hidden="1" x14ac:dyDescent="0.3"/>
    <row r="15651" hidden="1" x14ac:dyDescent="0.3"/>
    <row r="15652" hidden="1" x14ac:dyDescent="0.3"/>
    <row r="15653" hidden="1" x14ac:dyDescent="0.3"/>
    <row r="15654" hidden="1" x14ac:dyDescent="0.3"/>
    <row r="15655" hidden="1" x14ac:dyDescent="0.3"/>
    <row r="15656" hidden="1" x14ac:dyDescent="0.3"/>
    <row r="15657" hidden="1" x14ac:dyDescent="0.3"/>
    <row r="15658" hidden="1" x14ac:dyDescent="0.3"/>
    <row r="15659" hidden="1" x14ac:dyDescent="0.3"/>
    <row r="15660" hidden="1" x14ac:dyDescent="0.3"/>
    <row r="15661" hidden="1" x14ac:dyDescent="0.3"/>
    <row r="15662" hidden="1" x14ac:dyDescent="0.3"/>
    <row r="15663" hidden="1" x14ac:dyDescent="0.3"/>
    <row r="15664" hidden="1" x14ac:dyDescent="0.3"/>
    <row r="15665" hidden="1" x14ac:dyDescent="0.3"/>
    <row r="15666" hidden="1" x14ac:dyDescent="0.3"/>
    <row r="15667" hidden="1" x14ac:dyDescent="0.3"/>
    <row r="15668" hidden="1" x14ac:dyDescent="0.3"/>
    <row r="15669" hidden="1" x14ac:dyDescent="0.3"/>
    <row r="15670" hidden="1" x14ac:dyDescent="0.3"/>
    <row r="15671" hidden="1" x14ac:dyDescent="0.3"/>
    <row r="15672" hidden="1" x14ac:dyDescent="0.3"/>
    <row r="15673" hidden="1" x14ac:dyDescent="0.3"/>
    <row r="15674" hidden="1" x14ac:dyDescent="0.3"/>
    <row r="15675" hidden="1" x14ac:dyDescent="0.3"/>
    <row r="15676" hidden="1" x14ac:dyDescent="0.3"/>
    <row r="15677" hidden="1" x14ac:dyDescent="0.3"/>
    <row r="15678" hidden="1" x14ac:dyDescent="0.3"/>
    <row r="15679" hidden="1" x14ac:dyDescent="0.3"/>
    <row r="15680" hidden="1" x14ac:dyDescent="0.3"/>
    <row r="15681" hidden="1" x14ac:dyDescent="0.3"/>
    <row r="15682" hidden="1" x14ac:dyDescent="0.3"/>
    <row r="15683" hidden="1" x14ac:dyDescent="0.3"/>
    <row r="15684" hidden="1" x14ac:dyDescent="0.3"/>
    <row r="15685" hidden="1" x14ac:dyDescent="0.3"/>
    <row r="15686" hidden="1" x14ac:dyDescent="0.3"/>
    <row r="15687" hidden="1" x14ac:dyDescent="0.3"/>
    <row r="15688" hidden="1" x14ac:dyDescent="0.3"/>
    <row r="15689" hidden="1" x14ac:dyDescent="0.3"/>
    <row r="15690" hidden="1" x14ac:dyDescent="0.3"/>
    <row r="15691" hidden="1" x14ac:dyDescent="0.3"/>
    <row r="15692" hidden="1" x14ac:dyDescent="0.3"/>
    <row r="15693" hidden="1" x14ac:dyDescent="0.3"/>
    <row r="15694" hidden="1" x14ac:dyDescent="0.3"/>
    <row r="15695" hidden="1" x14ac:dyDescent="0.3"/>
    <row r="15696" hidden="1" x14ac:dyDescent="0.3"/>
    <row r="15697" hidden="1" x14ac:dyDescent="0.3"/>
    <row r="15698" hidden="1" x14ac:dyDescent="0.3"/>
    <row r="15699" hidden="1" x14ac:dyDescent="0.3"/>
    <row r="15700" hidden="1" x14ac:dyDescent="0.3"/>
    <row r="15701" hidden="1" x14ac:dyDescent="0.3"/>
    <row r="15702" hidden="1" x14ac:dyDescent="0.3"/>
    <row r="15703" hidden="1" x14ac:dyDescent="0.3"/>
    <row r="15704" hidden="1" x14ac:dyDescent="0.3"/>
    <row r="15705" hidden="1" x14ac:dyDescent="0.3"/>
    <row r="15706" hidden="1" x14ac:dyDescent="0.3"/>
    <row r="15707" hidden="1" x14ac:dyDescent="0.3"/>
    <row r="15708" hidden="1" x14ac:dyDescent="0.3"/>
    <row r="15709" hidden="1" x14ac:dyDescent="0.3"/>
    <row r="15710" hidden="1" x14ac:dyDescent="0.3"/>
    <row r="15711" hidden="1" x14ac:dyDescent="0.3"/>
    <row r="15712" hidden="1" x14ac:dyDescent="0.3"/>
    <row r="15713" hidden="1" x14ac:dyDescent="0.3"/>
    <row r="15714" hidden="1" x14ac:dyDescent="0.3"/>
    <row r="15715" hidden="1" x14ac:dyDescent="0.3"/>
    <row r="15716" hidden="1" x14ac:dyDescent="0.3"/>
    <row r="15717" hidden="1" x14ac:dyDescent="0.3"/>
    <row r="15718" hidden="1" x14ac:dyDescent="0.3"/>
    <row r="15719" hidden="1" x14ac:dyDescent="0.3"/>
    <row r="15720" hidden="1" x14ac:dyDescent="0.3"/>
    <row r="15721" hidden="1" x14ac:dyDescent="0.3"/>
    <row r="15722" hidden="1" x14ac:dyDescent="0.3"/>
    <row r="15723" hidden="1" x14ac:dyDescent="0.3"/>
    <row r="15724" hidden="1" x14ac:dyDescent="0.3"/>
    <row r="15725" hidden="1" x14ac:dyDescent="0.3"/>
    <row r="15726" hidden="1" x14ac:dyDescent="0.3"/>
    <row r="15727" hidden="1" x14ac:dyDescent="0.3"/>
    <row r="15728" hidden="1" x14ac:dyDescent="0.3"/>
    <row r="15729" hidden="1" x14ac:dyDescent="0.3"/>
    <row r="15730" hidden="1" x14ac:dyDescent="0.3"/>
    <row r="15731" hidden="1" x14ac:dyDescent="0.3"/>
    <row r="15732" hidden="1" x14ac:dyDescent="0.3"/>
    <row r="15733" hidden="1" x14ac:dyDescent="0.3"/>
    <row r="15734" hidden="1" x14ac:dyDescent="0.3"/>
    <row r="15735" hidden="1" x14ac:dyDescent="0.3"/>
    <row r="15736" hidden="1" x14ac:dyDescent="0.3"/>
    <row r="15737" hidden="1" x14ac:dyDescent="0.3"/>
    <row r="15738" hidden="1" x14ac:dyDescent="0.3"/>
    <row r="15739" hidden="1" x14ac:dyDescent="0.3"/>
    <row r="15740" hidden="1" x14ac:dyDescent="0.3"/>
    <row r="15741" hidden="1" x14ac:dyDescent="0.3"/>
    <row r="15742" hidden="1" x14ac:dyDescent="0.3"/>
    <row r="15743" hidden="1" x14ac:dyDescent="0.3"/>
    <row r="15744" hidden="1" x14ac:dyDescent="0.3"/>
    <row r="15745" hidden="1" x14ac:dyDescent="0.3"/>
    <row r="15746" hidden="1" x14ac:dyDescent="0.3"/>
  </sheetData>
  <sheetProtection selectLockedCells="1" selectUnlockedCells="1"/>
  <mergeCells count="498">
    <mergeCell ref="A493:B493"/>
    <mergeCell ref="C493:D493"/>
    <mergeCell ref="A495:B495"/>
    <mergeCell ref="C495:D495"/>
    <mergeCell ref="A497:B497"/>
    <mergeCell ref="C497:D497"/>
    <mergeCell ref="A487:B487"/>
    <mergeCell ref="C487:D487"/>
    <mergeCell ref="A489:B489"/>
    <mergeCell ref="C489:D489"/>
    <mergeCell ref="A491:B491"/>
    <mergeCell ref="C491:D491"/>
    <mergeCell ref="A481:B481"/>
    <mergeCell ref="C481:D481"/>
    <mergeCell ref="A483:B483"/>
    <mergeCell ref="C483:D483"/>
    <mergeCell ref="A485:B485"/>
    <mergeCell ref="C485:D485"/>
    <mergeCell ref="A475:B475"/>
    <mergeCell ref="C475:D475"/>
    <mergeCell ref="A477:B477"/>
    <mergeCell ref="C477:D477"/>
    <mergeCell ref="A479:B479"/>
    <mergeCell ref="C479:D479"/>
    <mergeCell ref="A469:B469"/>
    <mergeCell ref="C469:D469"/>
    <mergeCell ref="A471:B471"/>
    <mergeCell ref="C471:D471"/>
    <mergeCell ref="A473:B473"/>
    <mergeCell ref="C473:D473"/>
    <mergeCell ref="A463:B463"/>
    <mergeCell ref="C463:D463"/>
    <mergeCell ref="A465:B465"/>
    <mergeCell ref="C465:D465"/>
    <mergeCell ref="A467:B467"/>
    <mergeCell ref="C467:D467"/>
    <mergeCell ref="A457:B457"/>
    <mergeCell ref="C457:D457"/>
    <mergeCell ref="A459:B459"/>
    <mergeCell ref="C459:D459"/>
    <mergeCell ref="A461:B461"/>
    <mergeCell ref="C461:D461"/>
    <mergeCell ref="A451:B451"/>
    <mergeCell ref="C451:D451"/>
    <mergeCell ref="A453:B453"/>
    <mergeCell ref="C453:D453"/>
    <mergeCell ref="A455:B455"/>
    <mergeCell ref="C455:D455"/>
    <mergeCell ref="A445:B445"/>
    <mergeCell ref="C445:D445"/>
    <mergeCell ref="A447:B447"/>
    <mergeCell ref="C447:D447"/>
    <mergeCell ref="A449:B449"/>
    <mergeCell ref="C449:D449"/>
    <mergeCell ref="A439:B439"/>
    <mergeCell ref="C439:D439"/>
    <mergeCell ref="A441:B441"/>
    <mergeCell ref="C441:D441"/>
    <mergeCell ref="A443:B443"/>
    <mergeCell ref="C443:D443"/>
    <mergeCell ref="A433:B433"/>
    <mergeCell ref="C433:D433"/>
    <mergeCell ref="A435:B435"/>
    <mergeCell ref="C435:D435"/>
    <mergeCell ref="A437:B437"/>
    <mergeCell ref="C437:D437"/>
    <mergeCell ref="A427:B427"/>
    <mergeCell ref="C427:D427"/>
    <mergeCell ref="A429:B429"/>
    <mergeCell ref="C429:D429"/>
    <mergeCell ref="A431:B431"/>
    <mergeCell ref="C431:D431"/>
    <mergeCell ref="A421:B421"/>
    <mergeCell ref="C421:D421"/>
    <mergeCell ref="A423:B423"/>
    <mergeCell ref="C423:D423"/>
    <mergeCell ref="A425:B425"/>
    <mergeCell ref="C425:D425"/>
    <mergeCell ref="A415:B415"/>
    <mergeCell ref="C415:D415"/>
    <mergeCell ref="A417:B417"/>
    <mergeCell ref="C417:D417"/>
    <mergeCell ref="A419:B419"/>
    <mergeCell ref="C419:D419"/>
    <mergeCell ref="A409:B409"/>
    <mergeCell ref="C409:D409"/>
    <mergeCell ref="A411:B411"/>
    <mergeCell ref="C411:D411"/>
    <mergeCell ref="A413:B413"/>
    <mergeCell ref="C413:D413"/>
    <mergeCell ref="A403:B403"/>
    <mergeCell ref="C403:D403"/>
    <mergeCell ref="A405:B405"/>
    <mergeCell ref="C405:D405"/>
    <mergeCell ref="A407:B407"/>
    <mergeCell ref="C407:D407"/>
    <mergeCell ref="A397:B397"/>
    <mergeCell ref="C397:D397"/>
    <mergeCell ref="A399:B399"/>
    <mergeCell ref="C399:D399"/>
    <mergeCell ref="A401:B401"/>
    <mergeCell ref="C401:D401"/>
    <mergeCell ref="A391:B391"/>
    <mergeCell ref="C391:D391"/>
    <mergeCell ref="A393:B393"/>
    <mergeCell ref="C393:D393"/>
    <mergeCell ref="A395:B395"/>
    <mergeCell ref="C395:D395"/>
    <mergeCell ref="A385:B385"/>
    <mergeCell ref="C385:D385"/>
    <mergeCell ref="A387:B387"/>
    <mergeCell ref="C387:D387"/>
    <mergeCell ref="A389:B389"/>
    <mergeCell ref="C389:D389"/>
    <mergeCell ref="A379:B379"/>
    <mergeCell ref="C379:D379"/>
    <mergeCell ref="A381:B381"/>
    <mergeCell ref="C381:D381"/>
    <mergeCell ref="A383:B383"/>
    <mergeCell ref="C383:D383"/>
    <mergeCell ref="A373:B373"/>
    <mergeCell ref="C373:D373"/>
    <mergeCell ref="A375:B375"/>
    <mergeCell ref="C375:D375"/>
    <mergeCell ref="A377:B377"/>
    <mergeCell ref="C377:D377"/>
    <mergeCell ref="A367:B367"/>
    <mergeCell ref="C367:D367"/>
    <mergeCell ref="A369:B369"/>
    <mergeCell ref="C369:D369"/>
    <mergeCell ref="A371:B371"/>
    <mergeCell ref="C371:D371"/>
    <mergeCell ref="A361:B361"/>
    <mergeCell ref="C361:D361"/>
    <mergeCell ref="A363:B363"/>
    <mergeCell ref="C363:D363"/>
    <mergeCell ref="A365:B365"/>
    <mergeCell ref="C365:D365"/>
    <mergeCell ref="A355:B355"/>
    <mergeCell ref="C355:D355"/>
    <mergeCell ref="A357:B357"/>
    <mergeCell ref="C357:D357"/>
    <mergeCell ref="A359:B359"/>
    <mergeCell ref="C359:D359"/>
    <mergeCell ref="A349:B349"/>
    <mergeCell ref="C349:D349"/>
    <mergeCell ref="A351:B351"/>
    <mergeCell ref="C351:D351"/>
    <mergeCell ref="A353:B353"/>
    <mergeCell ref="C353:D353"/>
    <mergeCell ref="A343:B343"/>
    <mergeCell ref="C343:D343"/>
    <mergeCell ref="A345:B345"/>
    <mergeCell ref="C345:D345"/>
    <mergeCell ref="A347:B347"/>
    <mergeCell ref="C347:D347"/>
    <mergeCell ref="A337:B337"/>
    <mergeCell ref="C337:D337"/>
    <mergeCell ref="A339:B339"/>
    <mergeCell ref="C339:D339"/>
    <mergeCell ref="A341:B341"/>
    <mergeCell ref="C341:D341"/>
    <mergeCell ref="A331:B331"/>
    <mergeCell ref="C331:D331"/>
    <mergeCell ref="A333:B333"/>
    <mergeCell ref="C333:D333"/>
    <mergeCell ref="A335:B335"/>
    <mergeCell ref="C335:D335"/>
    <mergeCell ref="A325:B325"/>
    <mergeCell ref="C325:D325"/>
    <mergeCell ref="A327:B327"/>
    <mergeCell ref="C327:D327"/>
    <mergeCell ref="A329:B329"/>
    <mergeCell ref="C329:D329"/>
    <mergeCell ref="A319:B319"/>
    <mergeCell ref="C319:D319"/>
    <mergeCell ref="A321:B321"/>
    <mergeCell ref="C321:D321"/>
    <mergeCell ref="A323:B323"/>
    <mergeCell ref="C323:D323"/>
    <mergeCell ref="A313:B313"/>
    <mergeCell ref="C313:D313"/>
    <mergeCell ref="A315:B315"/>
    <mergeCell ref="C315:D315"/>
    <mergeCell ref="A317:B317"/>
    <mergeCell ref="C317:D317"/>
    <mergeCell ref="A307:B307"/>
    <mergeCell ref="C307:D307"/>
    <mergeCell ref="A309:B309"/>
    <mergeCell ref="C309:D309"/>
    <mergeCell ref="A311:B311"/>
    <mergeCell ref="C311:D311"/>
    <mergeCell ref="A301:B301"/>
    <mergeCell ref="C301:D301"/>
    <mergeCell ref="A303:B303"/>
    <mergeCell ref="C303:D303"/>
    <mergeCell ref="A305:B305"/>
    <mergeCell ref="C305:D305"/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31:B31"/>
    <mergeCell ref="C31:D31"/>
    <mergeCell ref="A33:B33"/>
    <mergeCell ref="C33:D33"/>
    <mergeCell ref="A35:B35"/>
    <mergeCell ref="C35:D3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7:B17"/>
    <mergeCell ref="C17:D17"/>
    <mergeCell ref="A7:B7"/>
    <mergeCell ref="C7:D7"/>
    <mergeCell ref="A9:B9"/>
    <mergeCell ref="C9:D9"/>
    <mergeCell ref="A11:B11"/>
    <mergeCell ref="C11:D11"/>
    <mergeCell ref="A25:B25"/>
    <mergeCell ref="C25:D25"/>
    <mergeCell ref="A1:B1"/>
    <mergeCell ref="C1:D1"/>
    <mergeCell ref="A3:B3"/>
    <mergeCell ref="C3:D3"/>
    <mergeCell ref="A5:B5"/>
    <mergeCell ref="C5:D5"/>
    <mergeCell ref="A13:B13"/>
    <mergeCell ref="C13:D13"/>
    <mergeCell ref="A15:B15"/>
    <mergeCell ref="C15:D15"/>
  </mergeCells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7FDA-1494-49D6-BCF5-1A776D1A90E4}">
  <sheetPr codeName="Blad8"/>
  <dimension ref="A1:XFC15746"/>
  <sheetViews>
    <sheetView showGridLines="0" showRowColHeaders="0" zoomScaleNormal="100" workbookViewId="0">
      <selection activeCell="E1" sqref="E1"/>
    </sheetView>
  </sheetViews>
  <sheetFormatPr defaultColWidth="0" defaultRowHeight="14.4" zeroHeight="1" x14ac:dyDescent="0.3"/>
  <cols>
    <col min="1" max="1" width="17.33203125" style="25" customWidth="1"/>
    <col min="2" max="2" width="27.77734375" style="25" customWidth="1"/>
    <col min="3" max="3" width="17.33203125" style="25" customWidth="1"/>
    <col min="4" max="4" width="27.77734375" style="25" customWidth="1"/>
    <col min="5" max="5" width="0.5546875" customWidth="1"/>
    <col min="6" max="16383" width="9.109375" hidden="1"/>
    <col min="16384" max="16384" width="4.6640625" hidden="1" customWidth="1"/>
  </cols>
  <sheetData>
    <row r="1" spans="1:4" ht="52.8" x14ac:dyDescent="0.3">
      <c r="A1" s="128" t="str">
        <f>IF(A2="","",IF(ISNUMBER(LOOKUP("Â",Code128(A2),1)),"Error!",Code128(A2)))</f>
        <v/>
      </c>
      <c r="B1" s="128"/>
      <c r="C1" s="128" t="str">
        <f>IF(C2="","",IF(ISNUMBER(LOOKUP("Â",Code128(C2),1)),"Error!",Code128(C2)))</f>
        <v/>
      </c>
      <c r="D1" s="128"/>
    </row>
    <row r="2" spans="1:4" x14ac:dyDescent="0.3">
      <c r="A2" s="105" t="str">
        <f>IF(DB!D3=0,"",DB!D3)</f>
        <v/>
      </c>
      <c r="B2" s="106" t="str">
        <f>IF(DB!D3=0,"",CONCATENATE("  ",DB!E3))</f>
        <v/>
      </c>
      <c r="C2" s="105" t="str">
        <f>IF(DB!D4=0,"",DB!D4)</f>
        <v/>
      </c>
      <c r="D2" s="106" t="str">
        <f>IF(DB!D3=0,"",CONCATENATE("  ",DB!E4))</f>
        <v/>
      </c>
    </row>
    <row r="3" spans="1:4" ht="52.8" x14ac:dyDescent="0.3">
      <c r="A3" s="128" t="str">
        <f>IF(A4="","",IF(ISNUMBER(LOOKUP("Â",Code128(A4),1)),"Error!",Code128(A4)))</f>
        <v/>
      </c>
      <c r="B3" s="128"/>
      <c r="C3" s="128" t="str">
        <f>IF(C4="","",IF(ISNUMBER(LOOKUP("Â",Code128(C4),1)),"Error!",Code128(C4)))</f>
        <v/>
      </c>
      <c r="D3" s="128"/>
    </row>
    <row r="4" spans="1:4" x14ac:dyDescent="0.3">
      <c r="A4" s="105" t="str">
        <f>IF(DB!D5=0,"",DB!D5)</f>
        <v/>
      </c>
      <c r="B4" s="106" t="str">
        <f>IF(DB!D5=0,"",CONCATENATE("  ",DB!E5))</f>
        <v/>
      </c>
      <c r="C4" s="105" t="str">
        <f>IF(DB!D6=0,"",DB!D6)</f>
        <v/>
      </c>
      <c r="D4" s="106" t="str">
        <f>IF(DB!D5=0,"",CONCATENATE("  ",DB!E6))</f>
        <v/>
      </c>
    </row>
    <row r="5" spans="1:4" ht="52.8" x14ac:dyDescent="0.3">
      <c r="A5" s="128" t="str">
        <f>IF(A6="","",IF(ISNUMBER(LOOKUP("Â",Code128(A6),1)),"Error!",Code128(A6)))</f>
        <v/>
      </c>
      <c r="B5" s="128"/>
      <c r="C5" s="128" t="str">
        <f>IF(C6="","",IF(ISNUMBER(LOOKUP("Â",Code128(C6),1)),"Error!",Code128(C6)))</f>
        <v/>
      </c>
      <c r="D5" s="128"/>
    </row>
    <row r="6" spans="1:4" x14ac:dyDescent="0.3">
      <c r="A6" s="105" t="str">
        <f>IF(DB!D7=0,"",DB!D7)</f>
        <v/>
      </c>
      <c r="B6" s="106" t="str">
        <f>IF(DB!D7=0,"",CONCATENATE("  ",DB!E7))</f>
        <v/>
      </c>
      <c r="C6" s="105" t="str">
        <f>IF(DB!D8=0,"",DB!D8)</f>
        <v/>
      </c>
      <c r="D6" s="106" t="str">
        <f>IF(DB!D7=0,"",CONCATENATE("  ",DB!E8))</f>
        <v/>
      </c>
    </row>
    <row r="7" spans="1:4" ht="52.8" x14ac:dyDescent="0.3">
      <c r="A7" s="128" t="str">
        <f>IF(A8="","",IF(ISNUMBER(LOOKUP("Â",Code128(A8),1)),"Error!",Code128(A8)))</f>
        <v/>
      </c>
      <c r="B7" s="128"/>
      <c r="C7" s="128" t="str">
        <f>IF(C8="","",IF(ISNUMBER(LOOKUP("Â",Code128(C8),1)),"Error!",Code128(C8)))</f>
        <v/>
      </c>
      <c r="D7" s="128"/>
    </row>
    <row r="8" spans="1:4" x14ac:dyDescent="0.3">
      <c r="A8" s="105" t="str">
        <f>IF(DB!D9=0,"",DB!D9)</f>
        <v/>
      </c>
      <c r="B8" s="106" t="str">
        <f>IF(DB!D9=0,"",CONCATENATE("  ",DB!E9))</f>
        <v/>
      </c>
      <c r="C8" s="105" t="str">
        <f>IF(DB!D10=0,"",DB!D10)</f>
        <v/>
      </c>
      <c r="D8" s="106" t="str">
        <f>IF(DB!D9=0,"",CONCATENATE("  ",DB!E10))</f>
        <v/>
      </c>
    </row>
    <row r="9" spans="1:4" ht="52.8" x14ac:dyDescent="0.3">
      <c r="A9" s="128" t="str">
        <f>IF(A10="","",IF(ISNUMBER(LOOKUP("Â",Code128(A10),1)),"Error!",Code128(A10)))</f>
        <v/>
      </c>
      <c r="B9" s="128"/>
      <c r="C9" s="128" t="str">
        <f>IF(C10="","",IF(ISNUMBER(LOOKUP("Â",Code128(C10),1)),"Error!",Code128(C10)))</f>
        <v/>
      </c>
      <c r="D9" s="128"/>
    </row>
    <row r="10" spans="1:4" x14ac:dyDescent="0.3">
      <c r="A10" s="105" t="str">
        <f>IF(DB!D11=0,"",DB!D11)</f>
        <v/>
      </c>
      <c r="B10" s="106" t="str">
        <f>IF(DB!D11=0,"",CONCATENATE("  ",DB!E11))</f>
        <v/>
      </c>
      <c r="C10" s="105" t="str">
        <f>IF(DB!D12=0,"",DB!D12)</f>
        <v/>
      </c>
      <c r="D10" s="106" t="str">
        <f>IF(DB!D11=0,"",CONCATENATE("  ",DB!E12))</f>
        <v/>
      </c>
    </row>
    <row r="11" spans="1:4" ht="52.8" x14ac:dyDescent="0.3">
      <c r="A11" s="128" t="str">
        <f>IF(A12="","",IF(ISNUMBER(LOOKUP("Â",Code128(A12),1)),"Error!",Code128(A12)))</f>
        <v/>
      </c>
      <c r="B11" s="128"/>
      <c r="C11" s="128" t="str">
        <f>IF(C12="","",IF(ISNUMBER(LOOKUP("Â",Code128(C12),1)),"Error!",Code128(C12)))</f>
        <v/>
      </c>
      <c r="D11" s="128"/>
    </row>
    <row r="12" spans="1:4" x14ac:dyDescent="0.3">
      <c r="A12" s="105" t="str">
        <f>IF(DB!D13=0,"",DB!D13)</f>
        <v/>
      </c>
      <c r="B12" s="106" t="str">
        <f>IF(DB!D13=0,"",CONCATENATE("  ",DB!E13))</f>
        <v/>
      </c>
      <c r="C12" s="105" t="str">
        <f>IF(DB!D14=0,"",DB!D14)</f>
        <v/>
      </c>
      <c r="D12" s="106" t="str">
        <f>IF(DB!D13=0,"",CONCATENATE("  ",DB!E14))</f>
        <v/>
      </c>
    </row>
    <row r="13" spans="1:4" ht="52.8" x14ac:dyDescent="0.3">
      <c r="A13" s="128" t="str">
        <f>IF(A14="","",IF(ISNUMBER(LOOKUP("Â",Code128(A14),1)),"Error!",Code128(A14)))</f>
        <v/>
      </c>
      <c r="B13" s="128"/>
      <c r="C13" s="128" t="str">
        <f>IF(C14="","",IF(ISNUMBER(LOOKUP("Â",Code128(C14),1)),"Error!",Code128(C14)))</f>
        <v/>
      </c>
      <c r="D13" s="128"/>
    </row>
    <row r="14" spans="1:4" x14ac:dyDescent="0.3">
      <c r="A14" s="105" t="str">
        <f>IF(DB!D15=0,"",DB!D15)</f>
        <v/>
      </c>
      <c r="B14" s="106" t="str">
        <f>IF(DB!D15=0,"",CONCATENATE("  ",DB!E15))</f>
        <v/>
      </c>
      <c r="C14" s="105" t="str">
        <f>IF(DB!D16=0,"",DB!D16)</f>
        <v/>
      </c>
      <c r="D14" s="106" t="str">
        <f>IF(DB!D15=0,"",CONCATENATE("  ",DB!E16))</f>
        <v/>
      </c>
    </row>
    <row r="15" spans="1:4" ht="52.8" x14ac:dyDescent="0.3">
      <c r="A15" s="128" t="str">
        <f>IF(A16="","",IF(ISNUMBER(LOOKUP("Â",Code128(A16),1)),"Error!",Code128(A16)))</f>
        <v/>
      </c>
      <c r="B15" s="128"/>
      <c r="C15" s="128" t="str">
        <f>IF(C16="","",IF(ISNUMBER(LOOKUP("Â",Code128(C16),1)),"Error!",Code128(C16)))</f>
        <v/>
      </c>
      <c r="D15" s="128"/>
    </row>
    <row r="16" spans="1:4" x14ac:dyDescent="0.3">
      <c r="A16" s="105" t="str">
        <f>IF(DB!D17=0,"",DB!D17)</f>
        <v/>
      </c>
      <c r="B16" s="106" t="str">
        <f>IF(DB!D17=0,"",CONCATENATE("  ",DB!E17))</f>
        <v/>
      </c>
      <c r="C16" s="105" t="str">
        <f>IF(DB!D18=0,"",DB!D18)</f>
        <v/>
      </c>
      <c r="D16" s="106" t="str">
        <f>IF(DB!D17=0,"",CONCATENATE("  ",DB!E18))</f>
        <v/>
      </c>
    </row>
    <row r="17" spans="1:4" ht="52.8" x14ac:dyDescent="0.3">
      <c r="A17" s="128" t="str">
        <f>IF(A18="","",IF(ISNUMBER(LOOKUP("Â",Code128(A18),1)),"Error!",Code128(A18)))</f>
        <v/>
      </c>
      <c r="B17" s="128"/>
      <c r="C17" s="128" t="str">
        <f>IF(C18="","",IF(ISNUMBER(LOOKUP("Â",Code128(C18),1)),"Error!",Code128(C18)))</f>
        <v/>
      </c>
      <c r="D17" s="128"/>
    </row>
    <row r="18" spans="1:4" x14ac:dyDescent="0.3">
      <c r="A18" s="105" t="str">
        <f>IF(DB!D19=0,"",DB!D19)</f>
        <v/>
      </c>
      <c r="B18" s="106" t="str">
        <f>IF(DB!D19=0,"",CONCATENATE("  ",DB!E19))</f>
        <v/>
      </c>
      <c r="C18" s="105" t="str">
        <f>IF(DB!D20=0,"",DB!D20)</f>
        <v/>
      </c>
      <c r="D18" s="106" t="str">
        <f>IF(DB!D19=0,"",CONCATENATE("  ",DB!E20))</f>
        <v/>
      </c>
    </row>
    <row r="19" spans="1:4" ht="52.8" x14ac:dyDescent="0.3">
      <c r="A19" s="128" t="str">
        <f>IF(A20="","",IF(ISNUMBER(LOOKUP("Â",Code128(A20),1)),"Error!",Code128(A20)))</f>
        <v/>
      </c>
      <c r="B19" s="128"/>
      <c r="C19" s="128" t="str">
        <f>IF(C20="","",IF(ISNUMBER(LOOKUP("Â",Code128(C20),1)),"Error!",Code128(C20)))</f>
        <v/>
      </c>
      <c r="D19" s="128"/>
    </row>
    <row r="20" spans="1:4" x14ac:dyDescent="0.3">
      <c r="A20" s="105" t="str">
        <f>IF(DB!D21=0,"",DB!D21)</f>
        <v/>
      </c>
      <c r="B20" s="106" t="str">
        <f>IF(DB!D21=0,"",CONCATENATE("  ",DB!E21))</f>
        <v/>
      </c>
      <c r="C20" s="105" t="str">
        <f>IF(DB!D22=0,"",DB!D22)</f>
        <v/>
      </c>
      <c r="D20" s="106" t="str">
        <f>IF(DB!D21=0,"",CONCATENATE("  ",DB!E22))</f>
        <v/>
      </c>
    </row>
    <row r="21" spans="1:4" ht="52.8" x14ac:dyDescent="0.3">
      <c r="A21" s="128" t="str">
        <f>IF(A22="","",IF(ISNUMBER(LOOKUP("Â",Code128(A22),1)),"Error!",Code128(A22)))</f>
        <v/>
      </c>
      <c r="B21" s="128"/>
      <c r="C21" s="128" t="str">
        <f>IF(C22="","",IF(ISNUMBER(LOOKUP("Â",Code128(C22),1)),"Error!",Code128(C22)))</f>
        <v/>
      </c>
      <c r="D21" s="128"/>
    </row>
    <row r="22" spans="1:4" x14ac:dyDescent="0.3">
      <c r="A22" s="105" t="str">
        <f>IF(DB!D23=0,"",DB!D23)</f>
        <v/>
      </c>
      <c r="B22" s="106" t="str">
        <f>IF(DB!D23=0,"",CONCATENATE("  ",DB!E23))</f>
        <v/>
      </c>
      <c r="C22" s="105" t="str">
        <f>IF(DB!D24=0,"",DB!D24)</f>
        <v/>
      </c>
      <c r="D22" s="106" t="str">
        <f>IF(DB!D23=0,"",CONCATENATE("  ",DB!E24))</f>
        <v/>
      </c>
    </row>
    <row r="23" spans="1:4" ht="52.8" x14ac:dyDescent="0.3">
      <c r="A23" s="128" t="str">
        <f>IF(A24="","",IF(ISNUMBER(LOOKUP("Â",Code128(A24),1)),"Error!",Code128(A24)))</f>
        <v/>
      </c>
      <c r="B23" s="128"/>
      <c r="C23" s="128" t="str">
        <f>IF(C24="","",IF(ISNUMBER(LOOKUP("Â",Code128(C24),1)),"Error!",Code128(C24)))</f>
        <v/>
      </c>
      <c r="D23" s="128"/>
    </row>
    <row r="24" spans="1:4" x14ac:dyDescent="0.3">
      <c r="A24" s="105" t="str">
        <f>IF(DB!D25=0,"",DB!D25)</f>
        <v/>
      </c>
      <c r="B24" s="106" t="str">
        <f>IF(DB!D25=0,"",CONCATENATE("  ",DB!E25))</f>
        <v/>
      </c>
      <c r="C24" s="105" t="str">
        <f>IF(DB!D26=0,"",DB!D26)</f>
        <v/>
      </c>
      <c r="D24" s="106" t="str">
        <f>IF(DB!D25=0,"",CONCATENATE("  ",DB!E26))</f>
        <v/>
      </c>
    </row>
    <row r="25" spans="1:4" ht="52.8" x14ac:dyDescent="0.3">
      <c r="A25" s="128" t="str">
        <f>IF(A26="","",IF(ISNUMBER(LOOKUP("Â",Code128(A26),1)),"Error!",Code128(A26)))</f>
        <v/>
      </c>
      <c r="B25" s="128"/>
      <c r="C25" s="128" t="str">
        <f>IF(C26="","",IF(ISNUMBER(LOOKUP("Â",Code128(C26),1)),"Error!",Code128(C26)))</f>
        <v/>
      </c>
      <c r="D25" s="128"/>
    </row>
    <row r="26" spans="1:4" x14ac:dyDescent="0.3">
      <c r="A26" s="105" t="str">
        <f>IF(DB!D27=0,"",DB!D27)</f>
        <v/>
      </c>
      <c r="B26" s="106" t="str">
        <f>IF(DB!D27=0,"",CONCATENATE("  ",DB!E27))</f>
        <v/>
      </c>
      <c r="C26" s="105" t="str">
        <f>IF(DB!D28=0,"",DB!D28)</f>
        <v/>
      </c>
      <c r="D26" s="106" t="str">
        <f>IF(DB!D27=0,"",CONCATENATE("  ",DB!E28))</f>
        <v/>
      </c>
    </row>
    <row r="27" spans="1:4" ht="52.8" x14ac:dyDescent="0.3">
      <c r="A27" s="128" t="str">
        <f>IF(A28="","",IF(ISNUMBER(LOOKUP("Â",Code128(A28),1)),"Error!",Code128(A28)))</f>
        <v/>
      </c>
      <c r="B27" s="128"/>
      <c r="C27" s="128" t="str">
        <f>IF(C28="","",IF(ISNUMBER(LOOKUP("Â",Code128(C28),1)),"Error!",Code128(C28)))</f>
        <v/>
      </c>
      <c r="D27" s="128"/>
    </row>
    <row r="28" spans="1:4" x14ac:dyDescent="0.3">
      <c r="A28" s="105" t="str">
        <f>IF(DB!D29=0,"",DB!D29)</f>
        <v/>
      </c>
      <c r="B28" s="106" t="str">
        <f>IF(DB!D29=0,"",CONCATENATE("  ",DB!E29))</f>
        <v/>
      </c>
      <c r="C28" s="105" t="str">
        <f>IF(DB!D30=0,"",DB!D30)</f>
        <v/>
      </c>
      <c r="D28" s="106" t="str">
        <f>IF(DB!D29=0,"",CONCATENATE("  ",DB!E30))</f>
        <v/>
      </c>
    </row>
    <row r="29" spans="1:4" ht="52.8" x14ac:dyDescent="0.3">
      <c r="A29" s="128" t="str">
        <f>IF(A30="","",IF(ISNUMBER(LOOKUP("Â",Code128(A30),1)),"Error!",Code128(A30)))</f>
        <v/>
      </c>
      <c r="B29" s="128"/>
      <c r="C29" s="128" t="str">
        <f>IF(C30="","",IF(ISNUMBER(LOOKUP("Â",Code128(C30),1)),"Error!",Code128(C30)))</f>
        <v/>
      </c>
      <c r="D29" s="128"/>
    </row>
    <row r="30" spans="1:4" x14ac:dyDescent="0.3">
      <c r="A30" s="105" t="str">
        <f>IF(DB!D31=0,"",DB!D31)</f>
        <v/>
      </c>
      <c r="B30" s="106" t="str">
        <f>IF(DB!D31=0,"",CONCATENATE("  ",DB!E31))</f>
        <v/>
      </c>
      <c r="C30" s="105" t="str">
        <f>IF(DB!D32=0,"",DB!D32)</f>
        <v/>
      </c>
      <c r="D30" s="106" t="str">
        <f>IF(DB!D31=0,"",CONCATENATE("  ",DB!E32))</f>
        <v/>
      </c>
    </row>
    <row r="31" spans="1:4" ht="52.8" x14ac:dyDescent="0.3">
      <c r="A31" s="128" t="str">
        <f>IF(A32="","",IF(ISNUMBER(LOOKUP("Â",Code128(A32),1)),"Error!",Code128(A32)))</f>
        <v/>
      </c>
      <c r="B31" s="128"/>
      <c r="C31" s="128" t="str">
        <f>IF(C32="","",IF(ISNUMBER(LOOKUP("Â",Code128(C32),1)),"Error!",Code128(C32)))</f>
        <v/>
      </c>
      <c r="D31" s="128"/>
    </row>
    <row r="32" spans="1:4" x14ac:dyDescent="0.3">
      <c r="A32" s="105" t="str">
        <f>IF(DB!D33=0,"",DB!D33)</f>
        <v/>
      </c>
      <c r="B32" s="106" t="str">
        <f>IF(DB!D33=0,"",CONCATENATE("  ",DB!E33))</f>
        <v/>
      </c>
      <c r="C32" s="105" t="str">
        <f>IF(DB!D34=0,"",DB!D34)</f>
        <v/>
      </c>
      <c r="D32" s="106" t="str">
        <f>IF(DB!D33=0,"",CONCATENATE("  ",DB!E34))</f>
        <v/>
      </c>
    </row>
    <row r="33" spans="1:5" ht="52.8" x14ac:dyDescent="0.3">
      <c r="A33" s="128" t="str">
        <f>IF(A34="","",IF(ISNUMBER(LOOKUP("Â",Code128(A34),1)),"Error!",Code128(A34)))</f>
        <v/>
      </c>
      <c r="B33" s="128"/>
      <c r="C33" s="128" t="str">
        <f>IF(C34="","",IF(ISNUMBER(LOOKUP("Â",Code128(C34),1)),"Error!",Code128(C34)))</f>
        <v/>
      </c>
      <c r="D33" s="128"/>
    </row>
    <row r="34" spans="1:5" x14ac:dyDescent="0.3">
      <c r="A34" s="105" t="str">
        <f>IF(DB!D35=0,"",DB!D35)</f>
        <v/>
      </c>
      <c r="B34" s="106" t="str">
        <f>IF(DB!D35=0,"",CONCATENATE("  ",DB!E35))</f>
        <v/>
      </c>
      <c r="C34" s="105" t="str">
        <f>IF(DB!D36=0,"",DB!D36)</f>
        <v/>
      </c>
      <c r="D34" s="106" t="str">
        <f>IF(DB!D35=0,"",CONCATENATE("  ",DB!E36))</f>
        <v/>
      </c>
    </row>
    <row r="35" spans="1:5" ht="52.8" x14ac:dyDescent="0.3">
      <c r="A35" s="128" t="str">
        <f>IF(A36="","",IF(ISNUMBER(LOOKUP("Â",Code128(A36),1)),"Error!",Code128(A36)))</f>
        <v/>
      </c>
      <c r="B35" s="128"/>
      <c r="C35" s="128" t="str">
        <f>IF(C36="","",IF(ISNUMBER(LOOKUP("Â",Code128(C36),1)),"Error!",Code128(C36)))</f>
        <v/>
      </c>
      <c r="D35" s="128"/>
    </row>
    <row r="36" spans="1:5" x14ac:dyDescent="0.3">
      <c r="A36" s="105" t="str">
        <f>IF(DB!D37=0,"",DB!D37)</f>
        <v/>
      </c>
      <c r="B36" s="106" t="str">
        <f>IF(DB!D37=0,"",CONCATENATE("  ",DB!E37))</f>
        <v/>
      </c>
      <c r="C36" s="105" t="str">
        <f>IF(DB!D38=0,"",DB!D38)</f>
        <v/>
      </c>
      <c r="D36" s="106" t="str">
        <f>IF(DB!D37=0,"",CONCATENATE("  ",DB!E38))</f>
        <v/>
      </c>
    </row>
    <row r="37" spans="1:5" ht="52.8" x14ac:dyDescent="0.3">
      <c r="A37" s="128" t="str">
        <f>IF(A38="","",IF(ISNUMBER(LOOKUP("Â",Code128(A38),1)),"Error!",Code128(A38)))</f>
        <v/>
      </c>
      <c r="B37" s="128"/>
      <c r="C37" s="128" t="str">
        <f>IF(C38="","",IF(ISNUMBER(LOOKUP("Â",Code128(C38),1)),"Error!",Code128(C38)))</f>
        <v/>
      </c>
      <c r="D37" s="128"/>
    </row>
    <row r="38" spans="1:5" x14ac:dyDescent="0.3">
      <c r="A38" s="105" t="str">
        <f>IF(DB!D39=0,"",DB!D39)</f>
        <v/>
      </c>
      <c r="B38" s="106" t="str">
        <f>IF(DB!D39=0,"",CONCATENATE("  ",DB!E39))</f>
        <v/>
      </c>
      <c r="C38" s="105" t="str">
        <f>IF(DB!D40=0,"",DB!D40)</f>
        <v/>
      </c>
      <c r="D38" s="106" t="str">
        <f>IF(DB!D39=0,"",CONCATENATE("  ",DB!E40))</f>
        <v/>
      </c>
    </row>
    <row r="39" spans="1:5" ht="52.8" x14ac:dyDescent="0.3">
      <c r="A39" s="128" t="str">
        <f>IF(A40="","",IF(ISNUMBER(LOOKUP("Â",Code128(A40),1)),"Error!",Code128(A40)))</f>
        <v/>
      </c>
      <c r="B39" s="128"/>
      <c r="C39" s="128" t="str">
        <f>IF(C40="","",IF(ISNUMBER(LOOKUP("Â",Code128(C40),1)),"Error!",Code128(C40)))</f>
        <v/>
      </c>
      <c r="D39" s="128"/>
    </row>
    <row r="40" spans="1:5" x14ac:dyDescent="0.3">
      <c r="A40" s="105" t="str">
        <f>IF(DB!D41=0,"",DB!D41)</f>
        <v/>
      </c>
      <c r="B40" s="106" t="str">
        <f>IF(DB!D41=0,"",CONCATENATE("  ",DB!E41))</f>
        <v/>
      </c>
      <c r="C40" s="105" t="str">
        <f>IF(DB!D42=0,"",DB!D42)</f>
        <v/>
      </c>
      <c r="D40" s="106" t="str">
        <f>IF(DB!D41=0,"",CONCATENATE("  ",DB!E42))</f>
        <v/>
      </c>
    </row>
    <row r="41" spans="1:5" ht="52.8" x14ac:dyDescent="0.3">
      <c r="A41" s="128" t="str">
        <f>IF(A42="","",IF(ISNUMBER(LOOKUP("Â",Code128(A42),1)),"Error!",Code128(A42)))</f>
        <v/>
      </c>
      <c r="B41" s="128"/>
      <c r="C41" s="128" t="str">
        <f>IF(C42="","",IF(ISNUMBER(LOOKUP("Â",Code128(C42),1)),"Error!",Code128(C42)))</f>
        <v/>
      </c>
      <c r="D41" s="128"/>
      <c r="E41">
        <v>3</v>
      </c>
    </row>
    <row r="42" spans="1:5" x14ac:dyDescent="0.3">
      <c r="A42" s="105" t="str">
        <f>IF(DB!D43=0,"",DB!D43)</f>
        <v/>
      </c>
      <c r="B42" s="106" t="str">
        <f>IF(DB!D43=0,"",CONCATENATE("  ",DB!E43))</f>
        <v/>
      </c>
      <c r="C42" s="105" t="str">
        <f>IF(DB!D44=0,"",DB!D44)</f>
        <v/>
      </c>
      <c r="D42" s="106" t="str">
        <f>IF(DB!D43=0,"",CONCATENATE("  ",DB!E44))</f>
        <v/>
      </c>
    </row>
    <row r="43" spans="1:5" ht="52.8" x14ac:dyDescent="0.3">
      <c r="A43" s="128" t="str">
        <f>IF(A44="","",IF(ISNUMBER(LOOKUP("Â",Code128(A44),1)),"Error!",Code128(A44)))</f>
        <v/>
      </c>
      <c r="B43" s="128"/>
      <c r="C43" s="128" t="str">
        <f>IF(C44="","",IF(ISNUMBER(LOOKUP("Â",Code128(C44),1)),"Error!",Code128(C44)))</f>
        <v/>
      </c>
      <c r="D43" s="128"/>
    </row>
    <row r="44" spans="1:5" x14ac:dyDescent="0.3">
      <c r="A44" s="105" t="str">
        <f>IF(DB!D45=0,"",DB!D45)</f>
        <v/>
      </c>
      <c r="B44" s="106" t="str">
        <f>IF(DB!D45=0,"",CONCATENATE("  ",DB!E45))</f>
        <v/>
      </c>
      <c r="C44" s="105" t="str">
        <f>IF(DB!D46=0,"",DB!D46)</f>
        <v/>
      </c>
      <c r="D44" s="106" t="str">
        <f>IF(DB!D45=0,"",CONCATENATE("  ",DB!E46))</f>
        <v/>
      </c>
    </row>
    <row r="45" spans="1:5" ht="52.8" x14ac:dyDescent="0.3">
      <c r="A45" s="128" t="str">
        <f>IF(A46="","",IF(ISNUMBER(LOOKUP("Â",Code128(A46),1)),"Error!",Code128(A46)))</f>
        <v/>
      </c>
      <c r="B45" s="128"/>
      <c r="C45" s="128" t="str">
        <f>IF(C46="","",IF(ISNUMBER(LOOKUP("Â",Code128(C46),1)),"Error!",Code128(C46)))</f>
        <v/>
      </c>
      <c r="D45" s="128"/>
    </row>
    <row r="46" spans="1:5" x14ac:dyDescent="0.3">
      <c r="A46" s="105" t="str">
        <f>IF(DB!D47=0,"",DB!D47)</f>
        <v/>
      </c>
      <c r="B46" s="106" t="str">
        <f>IF(DB!D47=0,"",CONCATENATE("  ",DB!E47))</f>
        <v/>
      </c>
      <c r="C46" s="105" t="str">
        <f>IF(DB!D48=0,"",DB!D48)</f>
        <v/>
      </c>
      <c r="D46" s="106" t="str">
        <f>IF(DB!D47=0,"",CONCATENATE("  ",DB!E48))</f>
        <v/>
      </c>
    </row>
    <row r="47" spans="1:5" ht="52.8" x14ac:dyDescent="0.3">
      <c r="A47" s="128" t="str">
        <f>IF(A48="","",IF(ISNUMBER(LOOKUP("Â",Code128(A48),1)),"Error!",Code128(A48)))</f>
        <v/>
      </c>
      <c r="B47" s="128"/>
      <c r="C47" s="128" t="str">
        <f>IF(C48="","",IF(ISNUMBER(LOOKUP("Â",Code128(C48),1)),"Error!",Code128(C48)))</f>
        <v/>
      </c>
      <c r="D47" s="128"/>
    </row>
    <row r="48" spans="1:5" x14ac:dyDescent="0.3">
      <c r="A48" s="105" t="str">
        <f>IF(DB!D49=0,"",DB!D49)</f>
        <v/>
      </c>
      <c r="B48" s="106" t="str">
        <f>IF(DB!D49=0,"",CONCATENATE("  ",DB!E49))</f>
        <v/>
      </c>
      <c r="C48" s="105" t="str">
        <f>IF(DB!D50=0,"",DB!D50)</f>
        <v/>
      </c>
      <c r="D48" s="106" t="str">
        <f>IF(DB!D49=0,"",CONCATENATE("  ",DB!E50))</f>
        <v/>
      </c>
    </row>
    <row r="49" spans="1:5" ht="52.8" x14ac:dyDescent="0.3">
      <c r="A49" s="128" t="str">
        <f>IF(A50="","",IF(ISNUMBER(LOOKUP("Â",Code128(A50),1)),"Error!",Code128(A50)))</f>
        <v/>
      </c>
      <c r="B49" s="128"/>
      <c r="C49" s="128" t="str">
        <f>IF(C50="","",IF(ISNUMBER(LOOKUP("Â",Code128(C50),1)),"Error!",Code128(C50)))</f>
        <v/>
      </c>
      <c r="D49" s="128"/>
    </row>
    <row r="50" spans="1:5" x14ac:dyDescent="0.3">
      <c r="A50" s="105" t="str">
        <f>IF(DB!D51=0,"",DB!D51)</f>
        <v/>
      </c>
      <c r="B50" s="106" t="str">
        <f>IF(DB!D51=0,"",CONCATENATE("  ",DB!E51))</f>
        <v/>
      </c>
      <c r="C50" s="105" t="str">
        <f>IF(DB!D52=0,"",DB!D52)</f>
        <v/>
      </c>
      <c r="D50" s="106" t="str">
        <f>IF(DB!D51=0,"",CONCATENATE("  ",DB!E52))</f>
        <v/>
      </c>
    </row>
    <row r="51" spans="1:5" ht="52.8" x14ac:dyDescent="0.3">
      <c r="A51" s="128" t="str">
        <f>IF(A52="","",IF(ISNUMBER(LOOKUP("Â",Code128(A52),1)),"Error!",Code128(A52)))</f>
        <v/>
      </c>
      <c r="B51" s="128"/>
      <c r="C51" s="128" t="str">
        <f>IF(C52="","",IF(ISNUMBER(LOOKUP("Â",Code128(C52),1)),"Error!",Code128(C52)))</f>
        <v/>
      </c>
      <c r="D51" s="128"/>
    </row>
    <row r="52" spans="1:5" x14ac:dyDescent="0.3">
      <c r="A52" s="105" t="str">
        <f>IF(DB!D53=0,"",DB!D53)</f>
        <v/>
      </c>
      <c r="B52" s="106" t="str">
        <f>IF(DB!D53=0,"",CONCATENATE("  ",DB!E53))</f>
        <v/>
      </c>
      <c r="C52" s="105" t="str">
        <f>IF(DB!D54=0,"",DB!D54)</f>
        <v/>
      </c>
      <c r="D52" s="106" t="str">
        <f>IF(DB!D53=0,"",CONCATENATE("  ",DB!E54))</f>
        <v/>
      </c>
    </row>
    <row r="53" spans="1:5" ht="52.8" x14ac:dyDescent="0.3">
      <c r="A53" s="128" t="str">
        <f>IF(A54="","",IF(ISNUMBER(LOOKUP("Â",Code128(A54),1)),"Error!",Code128(A54)))</f>
        <v/>
      </c>
      <c r="B53" s="128"/>
      <c r="C53" s="128" t="str">
        <f>IF(C54="","",IF(ISNUMBER(LOOKUP("Â",Code128(C54),1)),"Error!",Code128(C54)))</f>
        <v/>
      </c>
      <c r="D53" s="128"/>
    </row>
    <row r="54" spans="1:5" x14ac:dyDescent="0.3">
      <c r="A54" s="105" t="str">
        <f>IF(DB!D55=0,"",DB!D55)</f>
        <v/>
      </c>
      <c r="B54" s="106" t="str">
        <f>IF(DB!D55=0,"",CONCATENATE("  ",DB!E55))</f>
        <v/>
      </c>
      <c r="C54" s="105" t="str">
        <f>IF(DB!D56=0,"",DB!D56)</f>
        <v/>
      </c>
      <c r="D54" s="106" t="str">
        <f>IF(DB!D55=0,"",CONCATENATE("  ",DB!E56))</f>
        <v/>
      </c>
    </row>
    <row r="55" spans="1:5" ht="52.8" x14ac:dyDescent="0.3">
      <c r="A55" s="128" t="str">
        <f>IF(A56="","",IF(ISNUMBER(LOOKUP("Â",Code128(A56),1)),"Error!",Code128(A56)))</f>
        <v/>
      </c>
      <c r="B55" s="128"/>
      <c r="C55" s="128" t="str">
        <f>IF(C56="","",IF(ISNUMBER(LOOKUP("Â",Code128(C56),1)),"Error!",Code128(C56)))</f>
        <v/>
      </c>
      <c r="D55" s="128"/>
    </row>
    <row r="56" spans="1:5" x14ac:dyDescent="0.3">
      <c r="A56" s="105" t="str">
        <f>IF(DB!D57=0,"",DB!D57)</f>
        <v/>
      </c>
      <c r="B56" s="106" t="str">
        <f>IF(DB!D57=0,"",CONCATENATE("  ",DB!E57))</f>
        <v/>
      </c>
      <c r="C56" s="105" t="str">
        <f>IF(DB!D58=0,"",DB!D58)</f>
        <v/>
      </c>
      <c r="D56" s="106" t="str">
        <f>IF(DB!D57=0,"",CONCATENATE("  ",DB!E58))</f>
        <v/>
      </c>
    </row>
    <row r="57" spans="1:5" ht="52.8" x14ac:dyDescent="0.3">
      <c r="A57" s="128" t="str">
        <f>IF(A58="","",IF(ISNUMBER(LOOKUP("Â",Code128(A58),1)),"Error!",Code128(A58)))</f>
        <v/>
      </c>
      <c r="B57" s="128"/>
      <c r="C57" s="128" t="str">
        <f>IF(C58="","",IF(ISNUMBER(LOOKUP("Â",Code128(C58),1)),"Error!",Code128(C58)))</f>
        <v/>
      </c>
      <c r="D57" s="128"/>
    </row>
    <row r="58" spans="1:5" x14ac:dyDescent="0.3">
      <c r="A58" s="105" t="str">
        <f>IF(DB!D59=0,"",DB!D59)</f>
        <v/>
      </c>
      <c r="B58" s="106" t="str">
        <f>IF(DB!D59=0,"",CONCATENATE("  ",DB!E59))</f>
        <v/>
      </c>
      <c r="C58" s="105" t="str">
        <f>IF(DB!D60=0,"",DB!D60)</f>
        <v/>
      </c>
      <c r="D58" s="106" t="str">
        <f>IF(DB!D59=0,"",CONCATENATE("  ",DB!E60))</f>
        <v/>
      </c>
    </row>
    <row r="59" spans="1:5" ht="52.8" x14ac:dyDescent="0.3">
      <c r="A59" s="128" t="str">
        <f>IF(A60="","",IF(ISNUMBER(LOOKUP("Â",Code128(A60),1)),"Error!",Code128(A60)))</f>
        <v/>
      </c>
      <c r="B59" s="128"/>
      <c r="C59" s="128" t="str">
        <f>IF(C60="","",IF(ISNUMBER(LOOKUP("Â",Code128(C60),1)),"Error!",Code128(C60)))</f>
        <v/>
      </c>
      <c r="D59" s="128"/>
    </row>
    <row r="60" spans="1:5" x14ac:dyDescent="0.3">
      <c r="A60" s="105" t="str">
        <f>IF(DB!D61=0,"",DB!D61)</f>
        <v/>
      </c>
      <c r="B60" s="106" t="str">
        <f>IF(DB!D61=0,"",CONCATENATE("  ",DB!E61))</f>
        <v/>
      </c>
      <c r="C60" s="105" t="str">
        <f>IF(DB!D62=0,"",DB!D62)</f>
        <v/>
      </c>
      <c r="D60" s="106" t="str">
        <f>IF(DB!D61=0,"",CONCATENATE("  ",DB!E62))</f>
        <v/>
      </c>
    </row>
    <row r="61" spans="1:5" ht="52.8" x14ac:dyDescent="0.3">
      <c r="A61" s="128" t="str">
        <f>IF(A62="","",IF(ISNUMBER(LOOKUP("Â",Code128(A62),1)),"Error!",Code128(A62)))</f>
        <v/>
      </c>
      <c r="B61" s="128"/>
      <c r="C61" s="128" t="str">
        <f>IF(C62="","",IF(ISNUMBER(LOOKUP("Â",Code128(C62),1)),"Error!",Code128(C62)))</f>
        <v/>
      </c>
      <c r="D61" s="128"/>
    </row>
    <row r="62" spans="1:5" x14ac:dyDescent="0.3">
      <c r="A62" s="105" t="str">
        <f>IF(DB!D63=0,"",DB!D63)</f>
        <v/>
      </c>
      <c r="B62" s="106" t="str">
        <f>IF(DB!D63=0,"",CONCATENATE("  ",DB!E63))</f>
        <v/>
      </c>
      <c r="C62" s="105" t="str">
        <f>IF(DB!D64=0,"",DB!D64)</f>
        <v/>
      </c>
      <c r="D62" s="106" t="str">
        <f>IF(DB!D63=0,"",CONCATENATE("  ",DB!E64))</f>
        <v/>
      </c>
      <c r="E62">
        <v>4</v>
      </c>
    </row>
    <row r="63" spans="1:5" ht="52.8" x14ac:dyDescent="0.3">
      <c r="A63" s="128" t="str">
        <f>IF(A64="","",IF(ISNUMBER(LOOKUP("Â",Code128(A64),1)),"Error!",Code128(A64)))</f>
        <v/>
      </c>
      <c r="B63" s="128"/>
      <c r="C63" s="128" t="str">
        <f>IF(C64="","",IF(ISNUMBER(LOOKUP("Â",Code128(C64),1)),"Error!",Code128(C64)))</f>
        <v/>
      </c>
      <c r="D63" s="128"/>
    </row>
    <row r="64" spans="1:5" x14ac:dyDescent="0.3">
      <c r="A64" s="105" t="str">
        <f>IF(DB!D65=0,"",DB!D65)</f>
        <v/>
      </c>
      <c r="B64" s="106" t="str">
        <f>IF(DB!D65=0,"",CONCATENATE("  ",DB!E65))</f>
        <v/>
      </c>
      <c r="C64" s="105" t="str">
        <f>IF(DB!D66=0,"",DB!D66)</f>
        <v/>
      </c>
      <c r="D64" s="106" t="str">
        <f>IF(DB!D65=0,"",CONCATENATE("  ",DB!E66))</f>
        <v/>
      </c>
    </row>
    <row r="65" spans="1:4" ht="52.8" x14ac:dyDescent="0.3">
      <c r="A65" s="128" t="str">
        <f>IF(A66="","",IF(ISNUMBER(LOOKUP("Â",Code128(A66),1)),"Error!",Code128(A66)))</f>
        <v/>
      </c>
      <c r="B65" s="128"/>
      <c r="C65" s="128" t="str">
        <f>IF(C66="","",IF(ISNUMBER(LOOKUP("Â",Code128(C66),1)),"Error!",Code128(C66)))</f>
        <v/>
      </c>
      <c r="D65" s="128"/>
    </row>
    <row r="66" spans="1:4" x14ac:dyDescent="0.3">
      <c r="A66" s="105" t="str">
        <f>IF(DB!D67=0,"",DB!D67)</f>
        <v/>
      </c>
      <c r="B66" s="106" t="str">
        <f>IF(DB!D67=0,"",CONCATENATE("  ",DB!E67))</f>
        <v/>
      </c>
      <c r="C66" s="105" t="str">
        <f>IF(DB!D68=0,"",DB!D68)</f>
        <v/>
      </c>
      <c r="D66" s="106" t="str">
        <f>IF(DB!D67=0,"",CONCATENATE("  ",DB!E68))</f>
        <v/>
      </c>
    </row>
    <row r="67" spans="1:4" ht="52.8" x14ac:dyDescent="0.3">
      <c r="A67" s="128" t="str">
        <f>IF(A68="","",IF(ISNUMBER(LOOKUP("Â",Code128(A68),1)),"Error!",Code128(A68)))</f>
        <v/>
      </c>
      <c r="B67" s="128"/>
      <c r="C67" s="128" t="str">
        <f>IF(C68="","",IF(ISNUMBER(LOOKUP("Â",Code128(C68),1)),"Error!",Code128(C68)))</f>
        <v/>
      </c>
      <c r="D67" s="128"/>
    </row>
    <row r="68" spans="1:4" x14ac:dyDescent="0.3">
      <c r="A68" s="105" t="str">
        <f>IF(DB!D69=0,"",DB!D69)</f>
        <v/>
      </c>
      <c r="B68" s="106" t="str">
        <f>IF(DB!D69=0,"",CONCATENATE("  ",DB!E69))</f>
        <v/>
      </c>
      <c r="C68" s="105" t="str">
        <f>IF(DB!D70=0,"",DB!D70)</f>
        <v/>
      </c>
      <c r="D68" s="106" t="str">
        <f>IF(DB!D69=0,"",CONCATENATE("  ",DB!E70))</f>
        <v/>
      </c>
    </row>
    <row r="69" spans="1:4" ht="52.8" x14ac:dyDescent="0.3">
      <c r="A69" s="128" t="str">
        <f>IF(A70="","",IF(ISNUMBER(LOOKUP("Â",Code128(A70),1)),"Error!",Code128(A70)))</f>
        <v/>
      </c>
      <c r="B69" s="128"/>
      <c r="C69" s="128" t="str">
        <f>IF(C70="","",IF(ISNUMBER(LOOKUP("Â",Code128(C70),1)),"Error!",Code128(C70)))</f>
        <v/>
      </c>
      <c r="D69" s="128"/>
    </row>
    <row r="70" spans="1:4" x14ac:dyDescent="0.3">
      <c r="A70" s="105" t="str">
        <f>IF(DB!D71=0,"",DB!D71)</f>
        <v/>
      </c>
      <c r="B70" s="106" t="str">
        <f>IF(DB!D71=0,"",CONCATENATE("  ",DB!E71))</f>
        <v/>
      </c>
      <c r="C70" s="105" t="str">
        <f>IF(DB!D72=0,"",DB!D72)</f>
        <v/>
      </c>
      <c r="D70" s="106" t="str">
        <f>IF(DB!D71=0,"",CONCATENATE("  ",DB!E72))</f>
        <v/>
      </c>
    </row>
    <row r="71" spans="1:4" ht="52.8" x14ac:dyDescent="0.3">
      <c r="A71" s="128" t="str">
        <f>IF(A72="","",IF(ISNUMBER(LOOKUP("Â",Code128(A72),1)),"Error!",Code128(A72)))</f>
        <v/>
      </c>
      <c r="B71" s="128"/>
      <c r="C71" s="128" t="str">
        <f>IF(C72="","",IF(ISNUMBER(LOOKUP("Â",Code128(C72),1)),"Error!",Code128(C72)))</f>
        <v/>
      </c>
      <c r="D71" s="128"/>
    </row>
    <row r="72" spans="1:4" x14ac:dyDescent="0.3">
      <c r="A72" s="105" t="str">
        <f>IF(DB!D73=0,"",DB!D73)</f>
        <v/>
      </c>
      <c r="B72" s="106" t="str">
        <f>IF(DB!D73=0,"",CONCATENATE("  ",DB!E73))</f>
        <v/>
      </c>
      <c r="C72" s="105" t="str">
        <f>IF(DB!D74=0,"",DB!D74)</f>
        <v/>
      </c>
      <c r="D72" s="106" t="str">
        <f>IF(DB!D73=0,"",CONCATENATE("  ",DB!E74))</f>
        <v/>
      </c>
    </row>
    <row r="73" spans="1:4" ht="52.8" x14ac:dyDescent="0.3">
      <c r="A73" s="128" t="str">
        <f>IF(A74="","",IF(ISNUMBER(LOOKUP("Â",Code128(A74),1)),"Error!",Code128(A74)))</f>
        <v/>
      </c>
      <c r="B73" s="128"/>
      <c r="C73" s="128" t="str">
        <f>IF(C74="","",IF(ISNUMBER(LOOKUP("Â",Code128(C74),1)),"Error!",Code128(C74)))</f>
        <v/>
      </c>
      <c r="D73" s="128"/>
    </row>
    <row r="74" spans="1:4" x14ac:dyDescent="0.3">
      <c r="A74" s="105" t="str">
        <f>IF(DB!D75=0,"",DB!D75)</f>
        <v/>
      </c>
      <c r="B74" s="106" t="str">
        <f>IF(DB!D75=0,"",CONCATENATE("  ",DB!E75))</f>
        <v/>
      </c>
      <c r="C74" s="105" t="str">
        <f>IF(DB!D76=0,"",DB!D76)</f>
        <v/>
      </c>
      <c r="D74" s="106" t="str">
        <f>IF(DB!D75=0,"",CONCATENATE("  ",DB!E76))</f>
        <v/>
      </c>
    </row>
    <row r="75" spans="1:4" ht="52.8" x14ac:dyDescent="0.3">
      <c r="A75" s="128" t="str">
        <f>IF(A76="","",IF(ISNUMBER(LOOKUP("Â",Code128(A76),1)),"Error!",Code128(A76)))</f>
        <v/>
      </c>
      <c r="B75" s="128"/>
      <c r="C75" s="128" t="str">
        <f>IF(C76="","",IF(ISNUMBER(LOOKUP("Â",Code128(C76),1)),"Error!",Code128(C76)))</f>
        <v/>
      </c>
      <c r="D75" s="128"/>
    </row>
    <row r="76" spans="1:4" x14ac:dyDescent="0.3">
      <c r="A76" s="105" t="str">
        <f>IF(DB!D77=0,"",DB!D77)</f>
        <v/>
      </c>
      <c r="B76" s="106" t="str">
        <f>IF(DB!D77=0,"",CONCATENATE("  ",DB!E77))</f>
        <v/>
      </c>
      <c r="C76" s="105" t="str">
        <f>IF(DB!D78=0,"",DB!D78)</f>
        <v/>
      </c>
      <c r="D76" s="106" t="str">
        <f>IF(DB!D77=0,"",CONCATENATE("  ",DB!E78))</f>
        <v/>
      </c>
    </row>
    <row r="77" spans="1:4" ht="52.8" x14ac:dyDescent="0.3">
      <c r="A77" s="128" t="str">
        <f>IF(A78="","",IF(ISNUMBER(LOOKUP("Â",Code128(A78),1)),"Error!",Code128(A78)))</f>
        <v/>
      </c>
      <c r="B77" s="128"/>
      <c r="C77" s="128" t="str">
        <f>IF(C78="","",IF(ISNUMBER(LOOKUP("Â",Code128(C78),1)),"Error!",Code128(C78)))</f>
        <v/>
      </c>
      <c r="D77" s="128"/>
    </row>
    <row r="78" spans="1:4" x14ac:dyDescent="0.3">
      <c r="A78" s="105" t="str">
        <f>IF(DB!D79=0,"",DB!D79)</f>
        <v/>
      </c>
      <c r="B78" s="106" t="str">
        <f>IF(DB!D79=0,"",CONCATENATE("  ",DB!E79))</f>
        <v/>
      </c>
      <c r="C78" s="105" t="str">
        <f>IF(DB!D80=0,"",DB!D80)</f>
        <v/>
      </c>
      <c r="D78" s="106" t="str">
        <f>IF(DB!D79=0,"",CONCATENATE("  ",DB!E80))</f>
        <v/>
      </c>
    </row>
    <row r="79" spans="1:4" ht="52.8" x14ac:dyDescent="0.3">
      <c r="A79" s="128" t="str">
        <f>IF(A80="","",IF(ISNUMBER(LOOKUP("Â",Code128(A80),1)),"Error!",Code128(A80)))</f>
        <v/>
      </c>
      <c r="B79" s="128"/>
      <c r="C79" s="128" t="str">
        <f>IF(C80="","",IF(ISNUMBER(LOOKUP("Â",Code128(C80),1)),"Error!",Code128(C80)))</f>
        <v/>
      </c>
      <c r="D79" s="128"/>
    </row>
    <row r="80" spans="1:4" x14ac:dyDescent="0.3">
      <c r="A80" s="105" t="str">
        <f>IF(DB!D81=0,"",DB!D81)</f>
        <v/>
      </c>
      <c r="B80" s="106" t="str">
        <f>IF(DB!D81=0,"",CONCATENATE("  ",DB!E81))</f>
        <v/>
      </c>
      <c r="C80" s="105" t="str">
        <f>IF(DB!D82=0,"",DB!D82)</f>
        <v/>
      </c>
      <c r="D80" s="106" t="str">
        <f>IF(DB!D81=0,"",CONCATENATE("  ",DB!E82))</f>
        <v/>
      </c>
    </row>
    <row r="81" spans="1:5" ht="52.8" x14ac:dyDescent="0.3">
      <c r="A81" s="128" t="str">
        <f>IF(A82="","",IF(ISNUMBER(LOOKUP("Â",Code128(A82),1)),"Error!",Code128(A82)))</f>
        <v/>
      </c>
      <c r="B81" s="128"/>
      <c r="C81" s="128" t="str">
        <f>IF(C82="","",IF(ISNUMBER(LOOKUP("Â",Code128(C82),1)),"Error!",Code128(C82)))</f>
        <v/>
      </c>
      <c r="D81" s="128"/>
    </row>
    <row r="82" spans="1:5" x14ac:dyDescent="0.3">
      <c r="A82" s="105" t="str">
        <f>IF(DB!D83=0,"",DB!D83)</f>
        <v/>
      </c>
      <c r="B82" s="106" t="str">
        <f>IF(DB!D83=0,"",CONCATENATE("  ",DB!E83))</f>
        <v/>
      </c>
      <c r="C82" s="105" t="str">
        <f>IF(DB!D84=0,"",DB!D84)</f>
        <v/>
      </c>
      <c r="D82" s="106" t="str">
        <f>IF(DB!D83=0,"",CONCATENATE("  ",DB!E84))</f>
        <v/>
      </c>
    </row>
    <row r="83" spans="1:5" ht="52.8" x14ac:dyDescent="0.3">
      <c r="A83" s="128" t="str">
        <f>IF(A84="","",IF(ISNUMBER(LOOKUP("Â",Code128(A84),1)),"Error!",Code128(A84)))</f>
        <v/>
      </c>
      <c r="B83" s="128"/>
      <c r="C83" s="128" t="str">
        <f>IF(C84="","",IF(ISNUMBER(LOOKUP("Â",Code128(C84),1)),"Error!",Code128(C84)))</f>
        <v/>
      </c>
      <c r="D83" s="128"/>
      <c r="E83">
        <v>5</v>
      </c>
    </row>
    <row r="84" spans="1:5" x14ac:dyDescent="0.3">
      <c r="A84" s="105" t="str">
        <f>IF(DB!D85=0,"",DB!D85)</f>
        <v/>
      </c>
      <c r="B84" s="106" t="str">
        <f>IF(DB!D85=0,"",CONCATENATE("  ",DB!E85))</f>
        <v/>
      </c>
      <c r="C84" s="105" t="str">
        <f>IF(DB!D86=0,"",DB!D86)</f>
        <v/>
      </c>
      <c r="D84" s="106" t="str">
        <f>IF(DB!D85=0,"",CONCATENATE("  ",DB!E86))</f>
        <v/>
      </c>
    </row>
    <row r="85" spans="1:5" ht="52.8" x14ac:dyDescent="0.3">
      <c r="A85" s="128" t="str">
        <f>IF(A86="","",IF(ISNUMBER(LOOKUP("Â",Code128(A86),1)),"Error!",Code128(A86)))</f>
        <v/>
      </c>
      <c r="B85" s="128"/>
      <c r="C85" s="128" t="str">
        <f>IF(C86="","",IF(ISNUMBER(LOOKUP("Â",Code128(C86),1)),"Error!",Code128(C86)))</f>
        <v/>
      </c>
      <c r="D85" s="128"/>
    </row>
    <row r="86" spans="1:5" x14ac:dyDescent="0.3">
      <c r="A86" s="105" t="str">
        <f>IF(DB!D87=0,"",DB!D87)</f>
        <v/>
      </c>
      <c r="B86" s="106" t="str">
        <f>IF(DB!D87=0,"",CONCATENATE("  ",DB!E87))</f>
        <v/>
      </c>
      <c r="C86" s="105" t="str">
        <f>IF(DB!D88=0,"",DB!D88)</f>
        <v/>
      </c>
      <c r="D86" s="106" t="str">
        <f>IF(DB!D87=0,"",CONCATENATE("  ",DB!E88))</f>
        <v/>
      </c>
    </row>
    <row r="87" spans="1:5" ht="52.8" x14ac:dyDescent="0.3">
      <c r="A87" s="128" t="str">
        <f>IF(A88="","",IF(ISNUMBER(LOOKUP("Â",Code128(A88),1)),"Error!",Code128(A88)))</f>
        <v/>
      </c>
      <c r="B87" s="128"/>
      <c r="C87" s="128" t="str">
        <f>IF(C88="","",IF(ISNUMBER(LOOKUP("Â",Code128(C88),1)),"Error!",Code128(C88)))</f>
        <v/>
      </c>
      <c r="D87" s="128"/>
    </row>
    <row r="88" spans="1:5" x14ac:dyDescent="0.3">
      <c r="A88" s="105" t="str">
        <f>IF(DB!D89=0,"",DB!D89)</f>
        <v/>
      </c>
      <c r="B88" s="106" t="str">
        <f>IF(DB!D89=0,"",CONCATENATE("  ",DB!E89))</f>
        <v/>
      </c>
      <c r="C88" s="105" t="str">
        <f>IF(DB!D90=0,"",DB!D90)</f>
        <v/>
      </c>
      <c r="D88" s="106" t="str">
        <f>IF(DB!D89=0,"",CONCATENATE("  ",DB!E90))</f>
        <v/>
      </c>
    </row>
    <row r="89" spans="1:5" ht="52.8" x14ac:dyDescent="0.3">
      <c r="A89" s="128" t="str">
        <f>IF(A90="","",IF(ISNUMBER(LOOKUP("Â",Code128(A90),1)),"Error!",Code128(A90)))</f>
        <v/>
      </c>
      <c r="B89" s="128"/>
      <c r="C89" s="128" t="str">
        <f>IF(C90="","",IF(ISNUMBER(LOOKUP("Â",Code128(C90),1)),"Error!",Code128(C90)))</f>
        <v/>
      </c>
      <c r="D89" s="128"/>
    </row>
    <row r="90" spans="1:5" x14ac:dyDescent="0.3">
      <c r="A90" s="105" t="str">
        <f>IF(DB!D91=0,"",DB!D91)</f>
        <v/>
      </c>
      <c r="B90" s="106" t="str">
        <f>IF(DB!D91=0,"",CONCATENATE("  ",DB!E91))</f>
        <v/>
      </c>
      <c r="C90" s="105" t="str">
        <f>IF(DB!D92=0,"",DB!D92)</f>
        <v/>
      </c>
      <c r="D90" s="106" t="str">
        <f>IF(DB!D91=0,"",CONCATENATE("  ",DB!E92))</f>
        <v/>
      </c>
    </row>
    <row r="91" spans="1:5" ht="52.8" x14ac:dyDescent="0.3">
      <c r="A91" s="128" t="str">
        <f>IF(A92="","",IF(ISNUMBER(LOOKUP("Â",Code128(A92),1)),"Error!",Code128(A92)))</f>
        <v/>
      </c>
      <c r="B91" s="128"/>
      <c r="C91" s="128" t="str">
        <f>IF(C92="","",IF(ISNUMBER(LOOKUP("Â",Code128(C92),1)),"Error!",Code128(C92)))</f>
        <v/>
      </c>
      <c r="D91" s="128"/>
    </row>
    <row r="92" spans="1:5" x14ac:dyDescent="0.3">
      <c r="A92" s="105" t="str">
        <f>IF(DB!D93=0,"",DB!D93)</f>
        <v/>
      </c>
      <c r="B92" s="106" t="str">
        <f>IF(DB!D93=0,"",CONCATENATE("  ",DB!E93))</f>
        <v/>
      </c>
      <c r="C92" s="105" t="str">
        <f>IF(DB!D94=0,"",DB!D94)</f>
        <v/>
      </c>
      <c r="D92" s="106" t="str">
        <f>IF(DB!D93=0,"",CONCATENATE("  ",DB!E94))</f>
        <v/>
      </c>
    </row>
    <row r="93" spans="1:5" ht="52.8" x14ac:dyDescent="0.3">
      <c r="A93" s="128" t="str">
        <f>IF(A94="","",IF(ISNUMBER(LOOKUP("Â",Code128(A94),1)),"Error!",Code128(A94)))</f>
        <v/>
      </c>
      <c r="B93" s="128"/>
      <c r="C93" s="128" t="str">
        <f>IF(C94="","",IF(ISNUMBER(LOOKUP("Â",Code128(C94),1)),"Error!",Code128(C94)))</f>
        <v/>
      </c>
      <c r="D93" s="128"/>
    </row>
    <row r="94" spans="1:5" x14ac:dyDescent="0.3">
      <c r="A94" s="105" t="str">
        <f>IF(DB!D95=0,"",DB!D95)</f>
        <v/>
      </c>
      <c r="B94" s="106" t="str">
        <f>IF(DB!D95=0,"",CONCATENATE("  ",DB!E95))</f>
        <v/>
      </c>
      <c r="C94" s="105" t="str">
        <f>IF(DB!D96=0,"",DB!D96)</f>
        <v/>
      </c>
      <c r="D94" s="106" t="str">
        <f>IF(DB!D95=0,"",CONCATENATE("  ",DB!E96))</f>
        <v/>
      </c>
    </row>
    <row r="95" spans="1:5" ht="52.8" x14ac:dyDescent="0.3">
      <c r="A95" s="128" t="str">
        <f>IF(A96="","",IF(ISNUMBER(LOOKUP("Â",Code128(A96),1)),"Error!",Code128(A96)))</f>
        <v/>
      </c>
      <c r="B95" s="128"/>
      <c r="C95" s="128" t="str">
        <f>IF(C96="","",IF(ISNUMBER(LOOKUP("Â",Code128(C96),1)),"Error!",Code128(C96)))</f>
        <v/>
      </c>
      <c r="D95" s="128"/>
    </row>
    <row r="96" spans="1:5" x14ac:dyDescent="0.3">
      <c r="A96" s="105" t="str">
        <f>IF(DB!D97=0,"",DB!D97)</f>
        <v/>
      </c>
      <c r="B96" s="106" t="str">
        <f>IF(DB!D97=0,"",CONCATENATE("  ",DB!E97))</f>
        <v/>
      </c>
      <c r="C96" s="105" t="str">
        <f>IF(DB!D98=0,"",DB!D98)</f>
        <v/>
      </c>
      <c r="D96" s="106" t="str">
        <f>IF(DB!D97=0,"",CONCATENATE("  ",DB!E98))</f>
        <v/>
      </c>
    </row>
    <row r="97" spans="1:5" ht="52.8" x14ac:dyDescent="0.3">
      <c r="A97" s="128" t="str">
        <f>IF(A98="","",IF(ISNUMBER(LOOKUP("Â",Code128(A98),1)),"Error!",Code128(A98)))</f>
        <v/>
      </c>
      <c r="B97" s="128"/>
      <c r="C97" s="128" t="str">
        <f>IF(C98="","",IF(ISNUMBER(LOOKUP("Â",Code128(C98),1)),"Error!",Code128(C98)))</f>
        <v/>
      </c>
      <c r="D97" s="128"/>
    </row>
    <row r="98" spans="1:5" x14ac:dyDescent="0.3">
      <c r="A98" s="105" t="str">
        <f>IF(DB!D99=0,"",DB!D99)</f>
        <v/>
      </c>
      <c r="B98" s="106" t="str">
        <f>IF(DB!D99=0,"",CONCATENATE("  ",DB!E99))</f>
        <v/>
      </c>
      <c r="C98" s="105" t="str">
        <f>IF(DB!D100=0,"",DB!D100)</f>
        <v/>
      </c>
      <c r="D98" s="106" t="str">
        <f>IF(DB!D99=0,"",CONCATENATE("  ",DB!E100))</f>
        <v/>
      </c>
    </row>
    <row r="99" spans="1:5" ht="52.8" x14ac:dyDescent="0.3">
      <c r="A99" s="128" t="str">
        <f>IF(A100="","",IF(ISNUMBER(LOOKUP("Â",Code128(A100),1)),"Error!",Code128(A100)))</f>
        <v/>
      </c>
      <c r="B99" s="128"/>
      <c r="C99" s="128" t="str">
        <f>IF(C100="","",IF(ISNUMBER(LOOKUP("Â",Code128(C100),1)),"Error!",Code128(C100)))</f>
        <v/>
      </c>
      <c r="D99" s="128"/>
    </row>
    <row r="100" spans="1:5" x14ac:dyDescent="0.3">
      <c r="A100" s="105" t="str">
        <f>IF(DB!D101=0,"",DB!D101)</f>
        <v/>
      </c>
      <c r="B100" s="106" t="str">
        <f>IF(DB!D101=0,"",CONCATENATE("  ",DB!E101))</f>
        <v/>
      </c>
      <c r="C100" s="105" t="str">
        <f>IF(DB!D102=0,"",DB!D102)</f>
        <v/>
      </c>
      <c r="D100" s="106" t="str">
        <f>IF(DB!D101=0,"",CONCATENATE("  ",DB!E102))</f>
        <v/>
      </c>
    </row>
    <row r="101" spans="1:5" ht="52.8" x14ac:dyDescent="0.3">
      <c r="A101" s="128" t="str">
        <f>IF(A102="","",IF(ISNUMBER(LOOKUP("Â",Code128(A102),1)),"Error!",Code128(A102)))</f>
        <v/>
      </c>
      <c r="B101" s="128"/>
      <c r="C101" s="128" t="str">
        <f>IF(C102="","",IF(ISNUMBER(LOOKUP("Â",Code128(C102),1)),"Error!",Code128(C102)))</f>
        <v/>
      </c>
      <c r="D101" s="128"/>
    </row>
    <row r="102" spans="1:5" x14ac:dyDescent="0.3">
      <c r="A102" s="105" t="str">
        <f>IF(DB!D103=0,"",DB!D103)</f>
        <v/>
      </c>
      <c r="B102" s="106" t="str">
        <f>IF(DB!D103=0,"",CONCATENATE("  ",DB!E103))</f>
        <v/>
      </c>
      <c r="C102" s="105" t="str">
        <f>IF(DB!D104=0,"",DB!D104)</f>
        <v/>
      </c>
      <c r="D102" s="106" t="str">
        <f>IF(DB!D103=0,"",CONCATENATE("  ",DB!E104))</f>
        <v/>
      </c>
    </row>
    <row r="103" spans="1:5" ht="52.8" x14ac:dyDescent="0.3">
      <c r="A103" s="128" t="str">
        <f>IF(A104="","",IF(ISNUMBER(LOOKUP("Â",Code128(A104),1)),"Error!",Code128(A104)))</f>
        <v/>
      </c>
      <c r="B103" s="128"/>
      <c r="C103" s="128" t="str">
        <f>IF(C104="","",IF(ISNUMBER(LOOKUP("Â",Code128(C104),1)),"Error!",Code128(C104)))</f>
        <v/>
      </c>
      <c r="D103" s="128"/>
    </row>
    <row r="104" spans="1:5" x14ac:dyDescent="0.3">
      <c r="A104" s="105" t="str">
        <f>IF(DB!D105=0,"",DB!D105)</f>
        <v/>
      </c>
      <c r="B104" s="106" t="str">
        <f>IF(DB!D105=0,"",CONCATENATE("  ",DB!E105))</f>
        <v/>
      </c>
      <c r="C104" s="105" t="str">
        <f>IF(DB!D106=0,"",DB!D106)</f>
        <v/>
      </c>
      <c r="D104" s="106" t="str">
        <f>IF(DB!D105=0,"",CONCATENATE("  ",DB!E106))</f>
        <v/>
      </c>
      <c r="E104">
        <v>6</v>
      </c>
    </row>
    <row r="105" spans="1:5" ht="52.8" x14ac:dyDescent="0.3">
      <c r="A105" s="128" t="str">
        <f>IF(A106="","",IF(ISNUMBER(LOOKUP("Â",Code128(A106),1)),"Error!",Code128(A106)))</f>
        <v/>
      </c>
      <c r="B105" s="128"/>
      <c r="C105" s="128" t="str">
        <f>IF(C106="","",IF(ISNUMBER(LOOKUP("Â",Code128(C106),1)),"Error!",Code128(C106)))</f>
        <v/>
      </c>
      <c r="D105" s="128"/>
    </row>
    <row r="106" spans="1:5" x14ac:dyDescent="0.3">
      <c r="A106" s="105" t="str">
        <f>IF(DB!D107=0,"",DB!D107)</f>
        <v/>
      </c>
      <c r="B106" s="106" t="str">
        <f>IF(DB!D107=0,"",CONCATENATE("  ",DB!E107))</f>
        <v/>
      </c>
      <c r="C106" s="105" t="str">
        <f>IF(DB!D108=0,"",DB!D108)</f>
        <v/>
      </c>
      <c r="D106" s="106" t="str">
        <f>IF(DB!D107=0,"",CONCATENATE("  ",DB!E108))</f>
        <v/>
      </c>
    </row>
    <row r="107" spans="1:5" ht="52.8" x14ac:dyDescent="0.3">
      <c r="A107" s="128" t="str">
        <f>IF(A108="","",IF(ISNUMBER(LOOKUP("Â",Code128(A108),1)),"Error!",Code128(A108)))</f>
        <v/>
      </c>
      <c r="B107" s="128"/>
      <c r="C107" s="128" t="str">
        <f>IF(C108="","",IF(ISNUMBER(LOOKUP("Â",Code128(C108),1)),"Error!",Code128(C108)))</f>
        <v/>
      </c>
      <c r="D107" s="128"/>
    </row>
    <row r="108" spans="1:5" x14ac:dyDescent="0.3">
      <c r="A108" s="105" t="str">
        <f>IF(DB!D109=0,"",DB!D109)</f>
        <v/>
      </c>
      <c r="B108" s="106" t="str">
        <f>IF(DB!D109=0,"",CONCATENATE("  ",DB!E109))</f>
        <v/>
      </c>
      <c r="C108" s="105" t="str">
        <f>IF(DB!D110=0,"",DB!D110)</f>
        <v/>
      </c>
      <c r="D108" s="106" t="str">
        <f>IF(DB!D109=0,"",CONCATENATE("  ",DB!E110))</f>
        <v/>
      </c>
    </row>
    <row r="109" spans="1:5" ht="52.8" x14ac:dyDescent="0.3">
      <c r="A109" s="128" t="str">
        <f>IF(A110="","",IF(ISNUMBER(LOOKUP("Â",Code128(A110),1)),"Error!",Code128(A110)))</f>
        <v/>
      </c>
      <c r="B109" s="128"/>
      <c r="C109" s="128" t="str">
        <f>IF(C110="","",IF(ISNUMBER(LOOKUP("Â",Code128(C110),1)),"Error!",Code128(C110)))</f>
        <v/>
      </c>
      <c r="D109" s="128"/>
    </row>
    <row r="110" spans="1:5" x14ac:dyDescent="0.3">
      <c r="A110" s="105" t="str">
        <f>IF(DB!D111=0,"",DB!D111)</f>
        <v/>
      </c>
      <c r="B110" s="106" t="str">
        <f>IF(DB!D111=0,"",CONCATENATE("  ",DB!E111))</f>
        <v/>
      </c>
      <c r="C110" s="105" t="str">
        <f>IF(DB!D112=0,"",DB!D112)</f>
        <v/>
      </c>
      <c r="D110" s="106" t="str">
        <f>IF(DB!D111=0,"",CONCATENATE("  ",DB!E112))</f>
        <v/>
      </c>
    </row>
    <row r="111" spans="1:5" ht="52.8" x14ac:dyDescent="0.3">
      <c r="A111" s="128" t="str">
        <f>IF(A112="","",IF(ISNUMBER(LOOKUP("Â",Code128(A112),1)),"Error!",Code128(A112)))</f>
        <v/>
      </c>
      <c r="B111" s="128"/>
      <c r="C111" s="128" t="str">
        <f>IF(C112="","",IF(ISNUMBER(LOOKUP("Â",Code128(C112),1)),"Error!",Code128(C112)))</f>
        <v/>
      </c>
      <c r="D111" s="128"/>
    </row>
    <row r="112" spans="1:5" x14ac:dyDescent="0.3">
      <c r="A112" s="105" t="str">
        <f>IF(DB!D113=0,"",DB!D113)</f>
        <v/>
      </c>
      <c r="B112" s="106" t="str">
        <f>IF(DB!D113=0,"",CONCATENATE("  ",DB!E113))</f>
        <v/>
      </c>
      <c r="C112" s="105" t="str">
        <f>IF(DB!D114=0,"",DB!D114)</f>
        <v/>
      </c>
      <c r="D112" s="106" t="str">
        <f>IF(DB!D113=0,"",CONCATENATE("  ",DB!E114))</f>
        <v/>
      </c>
    </row>
    <row r="113" spans="1:5" ht="52.8" x14ac:dyDescent="0.3">
      <c r="A113" s="128" t="str">
        <f>IF(A114="","",IF(ISNUMBER(LOOKUP("Â",Code128(A114),1)),"Error!",Code128(A114)))</f>
        <v/>
      </c>
      <c r="B113" s="128"/>
      <c r="C113" s="128" t="str">
        <f>IF(C114="","",IF(ISNUMBER(LOOKUP("Â",Code128(C114),1)),"Error!",Code128(C114)))</f>
        <v/>
      </c>
      <c r="D113" s="128"/>
    </row>
    <row r="114" spans="1:5" x14ac:dyDescent="0.3">
      <c r="A114" s="105" t="str">
        <f>IF(DB!D115=0,"",DB!D115)</f>
        <v/>
      </c>
      <c r="B114" s="106" t="str">
        <f>IF(DB!D115=0,"",CONCATENATE("  ",DB!E115))</f>
        <v/>
      </c>
      <c r="C114" s="105" t="str">
        <f>IF(DB!D116=0,"",DB!D116)</f>
        <v/>
      </c>
      <c r="D114" s="106" t="str">
        <f>IF(DB!D115=0,"",CONCATENATE("  ",DB!E116))</f>
        <v/>
      </c>
    </row>
    <row r="115" spans="1:5" ht="52.8" x14ac:dyDescent="0.3">
      <c r="A115" s="128" t="str">
        <f>IF(A116="","",IF(ISNUMBER(LOOKUP("Â",Code128(A116),1)),"Error!",Code128(A116)))</f>
        <v/>
      </c>
      <c r="B115" s="128"/>
      <c r="C115" s="128" t="str">
        <f>IF(C116="","",IF(ISNUMBER(LOOKUP("Â",Code128(C116),1)),"Error!",Code128(C116)))</f>
        <v/>
      </c>
      <c r="D115" s="128"/>
    </row>
    <row r="116" spans="1:5" x14ac:dyDescent="0.3">
      <c r="A116" s="105" t="str">
        <f>IF(DB!D117=0,"",DB!D117)</f>
        <v/>
      </c>
      <c r="B116" s="106" t="str">
        <f>IF(DB!D117=0,"",CONCATENATE("  ",DB!E117))</f>
        <v/>
      </c>
      <c r="C116" s="105" t="str">
        <f>IF(DB!D118=0,"",DB!D118)</f>
        <v/>
      </c>
      <c r="D116" s="106" t="str">
        <f>IF(DB!D117=0,"",CONCATENATE("  ",DB!E118))</f>
        <v/>
      </c>
    </row>
    <row r="117" spans="1:5" ht="52.8" x14ac:dyDescent="0.3">
      <c r="A117" s="128" t="str">
        <f>IF(A118="","",IF(ISNUMBER(LOOKUP("Â",Code128(A118),1)),"Error!",Code128(A118)))</f>
        <v/>
      </c>
      <c r="B117" s="128"/>
      <c r="C117" s="128" t="str">
        <f>IF(C118="","",IF(ISNUMBER(LOOKUP("Â",Code128(C118),1)),"Error!",Code128(C118)))</f>
        <v/>
      </c>
      <c r="D117" s="128"/>
    </row>
    <row r="118" spans="1:5" x14ac:dyDescent="0.3">
      <c r="A118" s="105" t="str">
        <f>IF(DB!D119=0,"",DB!D119)</f>
        <v/>
      </c>
      <c r="B118" s="106" t="str">
        <f>IF(DB!D119=0,"",CONCATENATE("  ",DB!E119))</f>
        <v/>
      </c>
      <c r="C118" s="105" t="str">
        <f>IF(DB!D120=0,"",DB!D120)</f>
        <v/>
      </c>
      <c r="D118" s="106" t="str">
        <f>IF(DB!D119=0,"",CONCATENATE("  ",DB!E120))</f>
        <v/>
      </c>
    </row>
    <row r="119" spans="1:5" ht="52.8" x14ac:dyDescent="0.3">
      <c r="A119" s="128" t="str">
        <f>IF(A120="","",IF(ISNUMBER(LOOKUP("Â",Code128(A120),1)),"Error!",Code128(A120)))</f>
        <v/>
      </c>
      <c r="B119" s="128"/>
      <c r="C119" s="128" t="str">
        <f>IF(C120="","",IF(ISNUMBER(LOOKUP("Â",Code128(C120),1)),"Error!",Code128(C120)))</f>
        <v/>
      </c>
      <c r="D119" s="128"/>
    </row>
    <row r="120" spans="1:5" x14ac:dyDescent="0.3">
      <c r="A120" s="105" t="str">
        <f>IF(DB!D121=0,"",DB!D121)</f>
        <v/>
      </c>
      <c r="B120" s="106" t="str">
        <f>IF(DB!D121=0,"",CONCATENATE("  ",DB!E121))</f>
        <v/>
      </c>
      <c r="C120" s="105" t="str">
        <f>IF(DB!D122=0,"",DB!D122)</f>
        <v/>
      </c>
      <c r="D120" s="106" t="str">
        <f>IF(DB!D121=0,"",CONCATENATE("  ",DB!E122))</f>
        <v/>
      </c>
    </row>
    <row r="121" spans="1:5" ht="52.8" x14ac:dyDescent="0.3">
      <c r="A121" s="128" t="str">
        <f>IF(A122="","",IF(ISNUMBER(LOOKUP("Â",Code128(A122),1)),"Error!",Code128(A122)))</f>
        <v/>
      </c>
      <c r="B121" s="128"/>
      <c r="C121" s="128" t="str">
        <f>IF(C122="","",IF(ISNUMBER(LOOKUP("Â",Code128(C122),1)),"Error!",Code128(C122)))</f>
        <v/>
      </c>
      <c r="D121" s="128"/>
    </row>
    <row r="122" spans="1:5" x14ac:dyDescent="0.3">
      <c r="A122" s="105" t="str">
        <f>IF(DB!D123=0,"",DB!D123)</f>
        <v/>
      </c>
      <c r="B122" s="106" t="str">
        <f>IF(DB!D123=0,"",CONCATENATE("  ",DB!E123))</f>
        <v/>
      </c>
      <c r="C122" s="105" t="str">
        <f>IF(DB!D124=0,"",DB!D124)</f>
        <v/>
      </c>
      <c r="D122" s="106" t="str">
        <f>IF(DB!D123=0,"",CONCATENATE("  ",DB!E124))</f>
        <v/>
      </c>
    </row>
    <row r="123" spans="1:5" ht="52.8" x14ac:dyDescent="0.3">
      <c r="A123" s="128" t="str">
        <f>IF(A124="","",IF(ISNUMBER(LOOKUP("Â",Code128(A124),1)),"Error!",Code128(A124)))</f>
        <v/>
      </c>
      <c r="B123" s="128"/>
      <c r="C123" s="128" t="str">
        <f>IF(C124="","",IF(ISNUMBER(LOOKUP("Â",Code128(C124),1)),"Error!",Code128(C124)))</f>
        <v/>
      </c>
      <c r="D123" s="128"/>
    </row>
    <row r="124" spans="1:5" x14ac:dyDescent="0.3">
      <c r="A124" s="105" t="str">
        <f>IF(DB!D125=0,"",DB!D125)</f>
        <v/>
      </c>
      <c r="B124" s="106" t="str">
        <f>IF(DB!D125=0,"",CONCATENATE("  ",DB!E125))</f>
        <v/>
      </c>
      <c r="C124" s="105" t="str">
        <f>IF(DB!D126=0,"",DB!D126)</f>
        <v/>
      </c>
      <c r="D124" s="106" t="str">
        <f>IF(DB!D125=0,"",CONCATENATE("  ",DB!E126))</f>
        <v/>
      </c>
    </row>
    <row r="125" spans="1:5" ht="52.8" x14ac:dyDescent="0.3">
      <c r="A125" s="128" t="str">
        <f>IF(A126="","",IF(ISNUMBER(LOOKUP("Â",Code128(A126),1)),"Error!",Code128(A126)))</f>
        <v/>
      </c>
      <c r="B125" s="128"/>
      <c r="C125" s="128" t="str">
        <f>IF(C126="","",IF(ISNUMBER(LOOKUP("Â",Code128(C126),1)),"Error!",Code128(C126)))</f>
        <v/>
      </c>
      <c r="D125" s="128"/>
      <c r="E125">
        <v>7</v>
      </c>
    </row>
    <row r="126" spans="1:5" x14ac:dyDescent="0.3">
      <c r="A126" s="105" t="str">
        <f>IF(DB!D127=0,"",DB!D127)</f>
        <v/>
      </c>
      <c r="B126" s="106" t="str">
        <f>IF(DB!D127=0,"",CONCATENATE("  ",DB!E127))</f>
        <v/>
      </c>
      <c r="C126" s="105" t="str">
        <f>IF(DB!D128=0,"",DB!D128)</f>
        <v/>
      </c>
      <c r="D126" s="106" t="str">
        <f>IF(DB!D127=0,"",CONCATENATE("  ",DB!E128))</f>
        <v/>
      </c>
    </row>
    <row r="127" spans="1:5" ht="52.8" x14ac:dyDescent="0.3">
      <c r="A127" s="128" t="str">
        <f>IF(A128="","",IF(ISNUMBER(LOOKUP("Â",Code128(A128),1)),"Error!",Code128(A128)))</f>
        <v/>
      </c>
      <c r="B127" s="128"/>
      <c r="C127" s="128" t="str">
        <f>IF(C128="","",IF(ISNUMBER(LOOKUP("Â",Code128(C128),1)),"Error!",Code128(C128)))</f>
        <v/>
      </c>
      <c r="D127" s="128"/>
    </row>
    <row r="128" spans="1:5" x14ac:dyDescent="0.3">
      <c r="A128" s="105" t="str">
        <f>IF(DB!D129=0,"",DB!D129)</f>
        <v/>
      </c>
      <c r="B128" s="106" t="str">
        <f>IF(DB!D129=0,"",CONCATENATE("  ",DB!E129))</f>
        <v/>
      </c>
      <c r="C128" s="105" t="str">
        <f>IF(DB!D130=0,"",DB!D130)</f>
        <v/>
      </c>
      <c r="D128" s="106" t="str">
        <f>IF(DB!D129=0,"",CONCATENATE("  ",DB!E130))</f>
        <v/>
      </c>
    </row>
    <row r="129" spans="1:4" ht="52.8" x14ac:dyDescent="0.3">
      <c r="A129" s="128" t="str">
        <f>IF(A130="","",IF(ISNUMBER(LOOKUP("Â",Code128(A130),1)),"Error!",Code128(A130)))</f>
        <v/>
      </c>
      <c r="B129" s="128"/>
      <c r="C129" s="128" t="str">
        <f>IF(C130="","",IF(ISNUMBER(LOOKUP("Â",Code128(C130),1)),"Error!",Code128(C130)))</f>
        <v/>
      </c>
      <c r="D129" s="128"/>
    </row>
    <row r="130" spans="1:4" x14ac:dyDescent="0.3">
      <c r="A130" s="105" t="str">
        <f>IF(DB!D131=0,"",DB!D131)</f>
        <v/>
      </c>
      <c r="B130" s="106" t="str">
        <f>IF(DB!D131=0,"",CONCATENATE("  ",DB!E131))</f>
        <v/>
      </c>
      <c r="C130" s="105" t="str">
        <f>IF(DB!D132=0,"",DB!D132)</f>
        <v/>
      </c>
      <c r="D130" s="106" t="str">
        <f>IF(DB!D131=0,"",CONCATENATE("  ",DB!E132))</f>
        <v/>
      </c>
    </row>
    <row r="131" spans="1:4" ht="52.8" x14ac:dyDescent="0.3">
      <c r="A131" s="128" t="str">
        <f>IF(A132="","",IF(ISNUMBER(LOOKUP("Â",Code128(A132),1)),"Error!",Code128(A132)))</f>
        <v/>
      </c>
      <c r="B131" s="128"/>
      <c r="C131" s="128" t="str">
        <f>IF(C132="","",IF(ISNUMBER(LOOKUP("Â",Code128(C132),1)),"Error!",Code128(C132)))</f>
        <v/>
      </c>
      <c r="D131" s="128"/>
    </row>
    <row r="132" spans="1:4" x14ac:dyDescent="0.3">
      <c r="A132" s="105" t="str">
        <f>IF(DB!D133=0,"",DB!D133)</f>
        <v/>
      </c>
      <c r="B132" s="106" t="str">
        <f>IF(DB!D133=0,"",CONCATENATE("  ",DB!E133))</f>
        <v/>
      </c>
      <c r="C132" s="105" t="str">
        <f>IF(DB!D134=0,"",DB!D134)</f>
        <v/>
      </c>
      <c r="D132" s="106" t="str">
        <f>IF(DB!D133=0,"",CONCATENATE("  ",DB!E134))</f>
        <v/>
      </c>
    </row>
    <row r="133" spans="1:4" ht="52.8" x14ac:dyDescent="0.3">
      <c r="A133" s="128" t="str">
        <f>IF(A134="","",IF(ISNUMBER(LOOKUP("Â",Code128(A134),1)),"Error!",Code128(A134)))</f>
        <v/>
      </c>
      <c r="B133" s="128"/>
      <c r="C133" s="128" t="str">
        <f>IF(C134="","",IF(ISNUMBER(LOOKUP("Â",Code128(C134),1)),"Error!",Code128(C134)))</f>
        <v/>
      </c>
      <c r="D133" s="128"/>
    </row>
    <row r="134" spans="1:4" x14ac:dyDescent="0.3">
      <c r="A134" s="105" t="str">
        <f>IF(DB!D135=0,"",DB!D135)</f>
        <v/>
      </c>
      <c r="B134" s="106" t="str">
        <f>IF(DB!D135=0,"",CONCATENATE("  ",DB!E135))</f>
        <v/>
      </c>
      <c r="C134" s="105" t="str">
        <f>IF(DB!D136=0,"",DB!D136)</f>
        <v/>
      </c>
      <c r="D134" s="106" t="str">
        <f>IF(DB!D135=0,"",CONCATENATE("  ",DB!E136))</f>
        <v/>
      </c>
    </row>
    <row r="135" spans="1:4" ht="52.8" x14ac:dyDescent="0.3">
      <c r="A135" s="128" t="str">
        <f>IF(A136="","",IF(ISNUMBER(LOOKUP("Â",Code128(A136),1)),"Error!",Code128(A136)))</f>
        <v/>
      </c>
      <c r="B135" s="128"/>
      <c r="C135" s="128" t="str">
        <f>IF(C136="","",IF(ISNUMBER(LOOKUP("Â",Code128(C136),1)),"Error!",Code128(C136)))</f>
        <v/>
      </c>
      <c r="D135" s="128"/>
    </row>
    <row r="136" spans="1:4" x14ac:dyDescent="0.3">
      <c r="A136" s="105" t="str">
        <f>IF(DB!D137=0,"",DB!D137)</f>
        <v/>
      </c>
      <c r="B136" s="106" t="str">
        <f>IF(DB!D137=0,"",CONCATENATE("  ",DB!E137))</f>
        <v/>
      </c>
      <c r="C136" s="105" t="str">
        <f>IF(DB!D138=0,"",DB!D138)</f>
        <v/>
      </c>
      <c r="D136" s="106" t="str">
        <f>IF(DB!D137=0,"",CONCATENATE("  ",DB!E138))</f>
        <v/>
      </c>
    </row>
    <row r="137" spans="1:4" ht="52.8" x14ac:dyDescent="0.3">
      <c r="A137" s="128" t="str">
        <f>IF(A138="","",IF(ISNUMBER(LOOKUP("Â",Code128(A138),1)),"Error!",Code128(A138)))</f>
        <v/>
      </c>
      <c r="B137" s="128"/>
      <c r="C137" s="128" t="str">
        <f>IF(C138="","",IF(ISNUMBER(LOOKUP("Â",Code128(C138),1)),"Error!",Code128(C138)))</f>
        <v/>
      </c>
      <c r="D137" s="128"/>
    </row>
    <row r="138" spans="1:4" x14ac:dyDescent="0.3">
      <c r="A138" s="105" t="str">
        <f>IF(DB!D139=0,"",DB!D139)</f>
        <v/>
      </c>
      <c r="B138" s="106" t="str">
        <f>IF(DB!D139=0,"",CONCATENATE("  ",DB!E139))</f>
        <v/>
      </c>
      <c r="C138" s="105" t="str">
        <f>IF(DB!D140=0,"",DB!D140)</f>
        <v/>
      </c>
      <c r="D138" s="106" t="str">
        <f>IF(DB!D139=0,"",CONCATENATE("  ",DB!E140))</f>
        <v/>
      </c>
    </row>
    <row r="139" spans="1:4" ht="52.8" x14ac:dyDescent="0.3">
      <c r="A139" s="128" t="str">
        <f>IF(A140="","",IF(ISNUMBER(LOOKUP("Â",Code128(A140),1)),"Error!",Code128(A140)))</f>
        <v/>
      </c>
      <c r="B139" s="128"/>
      <c r="C139" s="128" t="str">
        <f>IF(C140="","",IF(ISNUMBER(LOOKUP("Â",Code128(C140),1)),"Error!",Code128(C140)))</f>
        <v/>
      </c>
      <c r="D139" s="128"/>
    </row>
    <row r="140" spans="1:4" x14ac:dyDescent="0.3">
      <c r="A140" s="105" t="str">
        <f>IF(DB!D141=0,"",DB!D141)</f>
        <v/>
      </c>
      <c r="B140" s="106" t="str">
        <f>IF(DB!D141=0,"",CONCATENATE("  ",DB!E141))</f>
        <v/>
      </c>
      <c r="C140" s="105" t="str">
        <f>IF(DB!D142=0,"",DB!D142)</f>
        <v/>
      </c>
      <c r="D140" s="106" t="str">
        <f>IF(DB!D141=0,"",CONCATENATE("  ",DB!E142))</f>
        <v/>
      </c>
    </row>
    <row r="141" spans="1:4" ht="52.8" x14ac:dyDescent="0.3">
      <c r="A141" s="128" t="str">
        <f>IF(A142="","",IF(ISNUMBER(LOOKUP("Â",Code128(A142),1)),"Error!",Code128(A142)))</f>
        <v/>
      </c>
      <c r="B141" s="128"/>
      <c r="C141" s="128" t="str">
        <f>IF(C142="","",IF(ISNUMBER(LOOKUP("Â",Code128(C142),1)),"Error!",Code128(C142)))</f>
        <v/>
      </c>
      <c r="D141" s="128"/>
    </row>
    <row r="142" spans="1:4" x14ac:dyDescent="0.3">
      <c r="A142" s="105" t="str">
        <f>IF(DB!D143=0,"",DB!D143)</f>
        <v/>
      </c>
      <c r="B142" s="106" t="str">
        <f>IF(DB!D143=0,"",CONCATENATE("  ",DB!E143))</f>
        <v/>
      </c>
      <c r="C142" s="105" t="str">
        <f>IF(DB!D144=0,"",DB!D144)</f>
        <v/>
      </c>
      <c r="D142" s="106" t="str">
        <f>IF(DB!D143=0,"",CONCATENATE("  ",DB!E144))</f>
        <v/>
      </c>
    </row>
    <row r="143" spans="1:4" ht="52.8" x14ac:dyDescent="0.3">
      <c r="A143" s="128" t="str">
        <f>IF(A144="","",IF(ISNUMBER(LOOKUP("Â",Code128(A144),1)),"Error!",Code128(A144)))</f>
        <v/>
      </c>
      <c r="B143" s="128"/>
      <c r="C143" s="128" t="str">
        <f>IF(C144="","",IF(ISNUMBER(LOOKUP("Â",Code128(C144),1)),"Error!",Code128(C144)))</f>
        <v/>
      </c>
      <c r="D143" s="128"/>
    </row>
    <row r="144" spans="1:4" x14ac:dyDescent="0.3">
      <c r="A144" s="105" t="str">
        <f>IF(DB!D145=0,"",DB!D145)</f>
        <v/>
      </c>
      <c r="B144" s="106" t="str">
        <f>IF(DB!D145=0,"",CONCATENATE("  ",DB!E145))</f>
        <v/>
      </c>
      <c r="C144" s="105" t="str">
        <f>IF(DB!D146=0,"",DB!D146)</f>
        <v/>
      </c>
      <c r="D144" s="106" t="str">
        <f>IF(DB!D145=0,"",CONCATENATE("  ",DB!E146))</f>
        <v/>
      </c>
    </row>
    <row r="145" spans="1:5" ht="52.8" x14ac:dyDescent="0.3">
      <c r="A145" s="128" t="str">
        <f>IF(A146="","",IF(ISNUMBER(LOOKUP("Â",Code128(A146),1)),"Error!",Code128(A146)))</f>
        <v/>
      </c>
      <c r="B145" s="128"/>
      <c r="C145" s="128" t="str">
        <f>IF(C146="","",IF(ISNUMBER(LOOKUP("Â",Code128(C146),1)),"Error!",Code128(C146)))</f>
        <v/>
      </c>
      <c r="D145" s="128"/>
    </row>
    <row r="146" spans="1:5" x14ac:dyDescent="0.3">
      <c r="A146" s="105" t="str">
        <f>IF(DB!D147=0,"",DB!D147)</f>
        <v/>
      </c>
      <c r="B146" s="106" t="str">
        <f>IF(DB!D147=0,"",CONCATENATE("  ",DB!E147))</f>
        <v/>
      </c>
      <c r="C146" s="105" t="str">
        <f>IF(DB!D148=0,"",DB!D148)</f>
        <v/>
      </c>
      <c r="D146" s="106" t="str">
        <f>IF(DB!D147=0,"",CONCATENATE("  ",DB!E148))</f>
        <v/>
      </c>
      <c r="E146">
        <v>8</v>
      </c>
    </row>
    <row r="147" spans="1:5" ht="52.8" x14ac:dyDescent="0.3">
      <c r="A147" s="128" t="str">
        <f>IF(A148="","",IF(ISNUMBER(LOOKUP("Â",Code128(A148),1)),"Error!",Code128(A148)))</f>
        <v/>
      </c>
      <c r="B147" s="128"/>
      <c r="C147" s="128" t="str">
        <f>IF(C148="","",IF(ISNUMBER(LOOKUP("Â",Code128(C148),1)),"Error!",Code128(C148)))</f>
        <v/>
      </c>
      <c r="D147" s="128"/>
    </row>
    <row r="148" spans="1:5" x14ac:dyDescent="0.3">
      <c r="A148" s="105" t="str">
        <f>IF(DB!D149=0,"",DB!D149)</f>
        <v/>
      </c>
      <c r="B148" s="106" t="str">
        <f>IF(DB!D149=0,"",CONCATENATE("  ",DB!E149))</f>
        <v/>
      </c>
      <c r="C148" s="105" t="str">
        <f>IF(DB!D150=0,"",DB!D150)</f>
        <v/>
      </c>
      <c r="D148" s="106" t="str">
        <f>IF(DB!D149=0,"",CONCATENATE("  ",DB!E150))</f>
        <v/>
      </c>
    </row>
    <row r="149" spans="1:5" ht="52.8" x14ac:dyDescent="0.3">
      <c r="A149" s="128" t="str">
        <f>IF(A150="","",IF(ISNUMBER(LOOKUP("Â",Code128(A150),1)),"Error!",Code128(A150)))</f>
        <v/>
      </c>
      <c r="B149" s="128"/>
      <c r="C149" s="128" t="str">
        <f>IF(C150="","",IF(ISNUMBER(LOOKUP("Â",Code128(C150),1)),"Error!",Code128(C150)))</f>
        <v/>
      </c>
      <c r="D149" s="128"/>
    </row>
    <row r="150" spans="1:5" x14ac:dyDescent="0.3">
      <c r="A150" s="105" t="str">
        <f>IF(DB!D151=0,"",DB!D151)</f>
        <v/>
      </c>
      <c r="B150" s="106" t="str">
        <f>IF(DB!D151=0,"",CONCATENATE("  ",DB!E151))</f>
        <v/>
      </c>
      <c r="C150" s="105" t="str">
        <f>IF(DB!D152=0,"",DB!D152)</f>
        <v/>
      </c>
      <c r="D150" s="106" t="str">
        <f>IF(DB!D151=0,"",CONCATENATE("  ",DB!E152))</f>
        <v/>
      </c>
    </row>
    <row r="151" spans="1:5" ht="52.8" x14ac:dyDescent="0.3">
      <c r="A151" s="128" t="str">
        <f>IF(A152="","",IF(ISNUMBER(LOOKUP("Â",Code128(A152),1)),"Error!",Code128(A152)))</f>
        <v/>
      </c>
      <c r="B151" s="128"/>
      <c r="C151" s="128" t="str">
        <f>IF(C152="","",IF(ISNUMBER(LOOKUP("Â",Code128(C152),1)),"Error!",Code128(C152)))</f>
        <v/>
      </c>
      <c r="D151" s="128"/>
    </row>
    <row r="152" spans="1:5" x14ac:dyDescent="0.3">
      <c r="A152" s="105" t="str">
        <f>IF(DB!D153=0,"",DB!D153)</f>
        <v/>
      </c>
      <c r="B152" s="106" t="str">
        <f>IF(DB!D153=0,"",CONCATENATE("  ",DB!E153))</f>
        <v/>
      </c>
      <c r="C152" s="105" t="str">
        <f>IF(DB!D154=0,"",DB!D154)</f>
        <v/>
      </c>
      <c r="D152" s="106" t="str">
        <f>IF(DB!D153=0,"",CONCATENATE("  ",DB!E154))</f>
        <v/>
      </c>
    </row>
    <row r="153" spans="1:5" ht="52.8" x14ac:dyDescent="0.3">
      <c r="A153" s="128" t="str">
        <f>IF(A154="","",IF(ISNUMBER(LOOKUP("Â",Code128(A154),1)),"Error!",Code128(A154)))</f>
        <v/>
      </c>
      <c r="B153" s="128"/>
      <c r="C153" s="128" t="str">
        <f>IF(C154="","",IF(ISNUMBER(LOOKUP("Â",Code128(C154),1)),"Error!",Code128(C154)))</f>
        <v/>
      </c>
      <c r="D153" s="128"/>
    </row>
    <row r="154" spans="1:5" x14ac:dyDescent="0.3">
      <c r="A154" s="105" t="str">
        <f>IF(DB!D155=0,"",DB!D155)</f>
        <v/>
      </c>
      <c r="B154" s="106" t="str">
        <f>IF(DB!D155=0,"",CONCATENATE("  ",DB!E155))</f>
        <v/>
      </c>
      <c r="C154" s="105" t="str">
        <f>IF(DB!D156=0,"",DB!D156)</f>
        <v/>
      </c>
      <c r="D154" s="106" t="str">
        <f>IF(DB!D155=0,"",CONCATENATE("  ",DB!E156))</f>
        <v/>
      </c>
    </row>
    <row r="155" spans="1:5" ht="52.8" x14ac:dyDescent="0.3">
      <c r="A155" s="128" t="str">
        <f>IF(A156="","",IF(ISNUMBER(LOOKUP("Â",Code128(A156),1)),"Error!",Code128(A156)))</f>
        <v/>
      </c>
      <c r="B155" s="128"/>
      <c r="C155" s="128" t="str">
        <f>IF(C156="","",IF(ISNUMBER(LOOKUP("Â",Code128(C156),1)),"Error!",Code128(C156)))</f>
        <v/>
      </c>
      <c r="D155" s="128"/>
    </row>
    <row r="156" spans="1:5" x14ac:dyDescent="0.3">
      <c r="A156" s="105" t="str">
        <f>IF(DB!D157=0,"",DB!D157)</f>
        <v/>
      </c>
      <c r="B156" s="106" t="str">
        <f>IF(DB!D157=0,"",CONCATENATE("  ",DB!E157))</f>
        <v/>
      </c>
      <c r="C156" s="105" t="str">
        <f>IF(DB!D158=0,"",DB!D158)</f>
        <v/>
      </c>
      <c r="D156" s="106" t="str">
        <f>IF(DB!D157=0,"",CONCATENATE("  ",DB!E158))</f>
        <v/>
      </c>
    </row>
    <row r="157" spans="1:5" ht="52.8" x14ac:dyDescent="0.3">
      <c r="A157" s="128" t="str">
        <f>IF(A158="","",IF(ISNUMBER(LOOKUP("Â",Code128(A158),1)),"Error!",Code128(A158)))</f>
        <v/>
      </c>
      <c r="B157" s="128"/>
      <c r="C157" s="128" t="str">
        <f>IF(C158="","",IF(ISNUMBER(LOOKUP("Â",Code128(C158),1)),"Error!",Code128(C158)))</f>
        <v/>
      </c>
      <c r="D157" s="128"/>
    </row>
    <row r="158" spans="1:5" x14ac:dyDescent="0.3">
      <c r="A158" s="105" t="str">
        <f>IF(DB!D159=0,"",DB!D159)</f>
        <v/>
      </c>
      <c r="B158" s="106" t="str">
        <f>IF(DB!D159=0,"",CONCATENATE("  ",DB!E159))</f>
        <v/>
      </c>
      <c r="C158" s="105" t="str">
        <f>IF(DB!D160=0,"",DB!D160)</f>
        <v/>
      </c>
      <c r="D158" s="106" t="str">
        <f>IF(DB!D159=0,"",CONCATENATE("  ",DB!E160))</f>
        <v/>
      </c>
    </row>
    <row r="159" spans="1:5" ht="52.8" x14ac:dyDescent="0.3">
      <c r="A159" s="128" t="str">
        <f>IF(A160="","",IF(ISNUMBER(LOOKUP("Â",Code128(A160),1)),"Error!",Code128(A160)))</f>
        <v/>
      </c>
      <c r="B159" s="128"/>
      <c r="C159" s="128" t="str">
        <f>IF(C160="","",IF(ISNUMBER(LOOKUP("Â",Code128(C160),1)),"Error!",Code128(C160)))</f>
        <v/>
      </c>
      <c r="D159" s="128"/>
    </row>
    <row r="160" spans="1:5" x14ac:dyDescent="0.3">
      <c r="A160" s="105" t="str">
        <f>IF(DB!D161=0,"",DB!D161)</f>
        <v/>
      </c>
      <c r="B160" s="106" t="str">
        <f>IF(DB!D161=0,"",CONCATENATE("  ",DB!E161))</f>
        <v/>
      </c>
      <c r="C160" s="105" t="str">
        <f>IF(DB!D162=0,"",DB!D162)</f>
        <v/>
      </c>
      <c r="D160" s="106" t="str">
        <f>IF(DB!D161=0,"",CONCATENATE("  ",DB!E162))</f>
        <v/>
      </c>
    </row>
    <row r="161" spans="1:5" ht="52.8" x14ac:dyDescent="0.3">
      <c r="A161" s="128" t="str">
        <f>IF(A162="","",IF(ISNUMBER(LOOKUP("Â",Code128(A162),1)),"Error!",Code128(A162)))</f>
        <v/>
      </c>
      <c r="B161" s="128"/>
      <c r="C161" s="128" t="str">
        <f>IF(C162="","",IF(ISNUMBER(LOOKUP("Â",Code128(C162),1)),"Error!",Code128(C162)))</f>
        <v/>
      </c>
      <c r="D161" s="128"/>
    </row>
    <row r="162" spans="1:5" x14ac:dyDescent="0.3">
      <c r="A162" s="105" t="str">
        <f>IF(DB!D163=0,"",DB!D163)</f>
        <v/>
      </c>
      <c r="B162" s="106" t="str">
        <f>IF(DB!D163=0,"",CONCATENATE("  ",DB!E163))</f>
        <v/>
      </c>
      <c r="C162" s="105" t="str">
        <f>IF(DB!D164=0,"",DB!D164)</f>
        <v/>
      </c>
      <c r="D162" s="106" t="str">
        <f>IF(DB!D163=0,"",CONCATENATE("  ",DB!E164))</f>
        <v/>
      </c>
    </row>
    <row r="163" spans="1:5" ht="52.8" x14ac:dyDescent="0.3">
      <c r="A163" s="128" t="str">
        <f>IF(A164="","",IF(ISNUMBER(LOOKUP("Â",Code128(A164),1)),"Error!",Code128(A164)))</f>
        <v/>
      </c>
      <c r="B163" s="128"/>
      <c r="C163" s="128" t="str">
        <f>IF(C164="","",IF(ISNUMBER(LOOKUP("Â",Code128(C164),1)),"Error!",Code128(C164)))</f>
        <v/>
      </c>
      <c r="D163" s="128"/>
    </row>
    <row r="164" spans="1:5" x14ac:dyDescent="0.3">
      <c r="A164" s="105" t="str">
        <f>IF(DB!D165=0,"",DB!D165)</f>
        <v/>
      </c>
      <c r="B164" s="106" t="str">
        <f>IF(DB!D165=0,"",CONCATENATE("  ",DB!E165))</f>
        <v/>
      </c>
      <c r="C164" s="105" t="str">
        <f>IF(DB!D166=0,"",DB!D166)</f>
        <v/>
      </c>
      <c r="D164" s="106" t="str">
        <f>IF(DB!D165=0,"",CONCATENATE("  ",DB!E166))</f>
        <v/>
      </c>
    </row>
    <row r="165" spans="1:5" ht="52.8" x14ac:dyDescent="0.3">
      <c r="A165" s="128" t="str">
        <f>IF(A166="","",IF(ISNUMBER(LOOKUP("Â",Code128(A166),1)),"Error!",Code128(A166)))</f>
        <v/>
      </c>
      <c r="B165" s="128"/>
      <c r="C165" s="128" t="str">
        <f>IF(C166="","",IF(ISNUMBER(LOOKUP("Â",Code128(C166),1)),"Error!",Code128(C166)))</f>
        <v/>
      </c>
      <c r="D165" s="128"/>
    </row>
    <row r="166" spans="1:5" x14ac:dyDescent="0.3">
      <c r="A166" s="105" t="str">
        <f>IF(DB!D167=0,"",DB!D167)</f>
        <v/>
      </c>
      <c r="B166" s="106" t="str">
        <f>IF(DB!D167=0,"",CONCATENATE("  ",DB!E167))</f>
        <v/>
      </c>
      <c r="C166" s="105" t="str">
        <f>IF(DB!D168=0,"",DB!D168)</f>
        <v/>
      </c>
      <c r="D166" s="106" t="str">
        <f>IF(DB!D167=0,"",CONCATENATE("  ",DB!E168))</f>
        <v/>
      </c>
    </row>
    <row r="167" spans="1:5" ht="52.8" x14ac:dyDescent="0.3">
      <c r="A167" s="128" t="str">
        <f>IF(A168="","",IF(ISNUMBER(LOOKUP("Â",Code128(A168),1)),"Error!",Code128(A168)))</f>
        <v/>
      </c>
      <c r="B167" s="128"/>
      <c r="C167" s="128" t="str">
        <f>IF(C168="","",IF(ISNUMBER(LOOKUP("Â",Code128(C168),1)),"Error!",Code128(C168)))</f>
        <v/>
      </c>
      <c r="D167" s="128"/>
      <c r="E167">
        <v>9</v>
      </c>
    </row>
    <row r="168" spans="1:5" x14ac:dyDescent="0.3">
      <c r="A168" s="105" t="str">
        <f>IF(DB!D169=0,"",DB!D169)</f>
        <v/>
      </c>
      <c r="B168" s="106" t="str">
        <f>IF(DB!D169=0,"",CONCATENATE("  ",DB!E169))</f>
        <v/>
      </c>
      <c r="C168" s="105" t="str">
        <f>IF(DB!D170=0,"",DB!D170)</f>
        <v/>
      </c>
      <c r="D168" s="106" t="str">
        <f>IF(DB!D169=0,"",CONCATENATE("  ",DB!E170))</f>
        <v/>
      </c>
    </row>
    <row r="169" spans="1:5" ht="52.8" x14ac:dyDescent="0.3">
      <c r="A169" s="128" t="str">
        <f>IF(A170="","",IF(ISNUMBER(LOOKUP("Â",Code128(A170),1)),"Error!",Code128(A170)))</f>
        <v/>
      </c>
      <c r="B169" s="128"/>
      <c r="C169" s="128" t="str">
        <f>IF(C170="","",IF(ISNUMBER(LOOKUP("Â",Code128(C170),1)),"Error!",Code128(C170)))</f>
        <v/>
      </c>
      <c r="D169" s="128"/>
    </row>
    <row r="170" spans="1:5" x14ac:dyDescent="0.3">
      <c r="A170" s="105" t="str">
        <f>IF(DB!D171=0,"",DB!D171)</f>
        <v/>
      </c>
      <c r="B170" s="106" t="str">
        <f>IF(DB!D171=0,"",CONCATENATE("  ",DB!E171))</f>
        <v/>
      </c>
      <c r="C170" s="105" t="str">
        <f>IF(DB!D172=0,"",DB!D172)</f>
        <v/>
      </c>
      <c r="D170" s="106" t="str">
        <f>IF(DB!D171=0,"",CONCATENATE("  ",DB!E172))</f>
        <v/>
      </c>
    </row>
    <row r="171" spans="1:5" ht="52.8" x14ac:dyDescent="0.3">
      <c r="A171" s="128" t="str">
        <f>IF(A172="","",IF(ISNUMBER(LOOKUP("Â",Code128(A172),1)),"Error!",Code128(A172)))</f>
        <v/>
      </c>
      <c r="B171" s="128"/>
      <c r="C171" s="128" t="str">
        <f>IF(C172="","",IF(ISNUMBER(LOOKUP("Â",Code128(C172),1)),"Error!",Code128(C172)))</f>
        <v/>
      </c>
      <c r="D171" s="128"/>
    </row>
    <row r="172" spans="1:5" x14ac:dyDescent="0.3">
      <c r="A172" s="105" t="str">
        <f>IF(DB!D173=0,"",DB!D173)</f>
        <v/>
      </c>
      <c r="B172" s="106" t="str">
        <f>IF(DB!D173=0,"",CONCATENATE("  ",DB!E173))</f>
        <v/>
      </c>
      <c r="C172" s="105" t="str">
        <f>IF(DB!D174=0,"",DB!D174)</f>
        <v/>
      </c>
      <c r="D172" s="106" t="str">
        <f>IF(DB!D173=0,"",CONCATENATE("  ",DB!E174))</f>
        <v/>
      </c>
    </row>
    <row r="173" spans="1:5" ht="52.8" x14ac:dyDescent="0.3">
      <c r="A173" s="128" t="str">
        <f>IF(A174="","",IF(ISNUMBER(LOOKUP("Â",Code128(A174),1)),"Error!",Code128(A174)))</f>
        <v/>
      </c>
      <c r="B173" s="128"/>
      <c r="C173" s="128" t="str">
        <f>IF(C174="","",IF(ISNUMBER(LOOKUP("Â",Code128(C174),1)),"Error!",Code128(C174)))</f>
        <v/>
      </c>
      <c r="D173" s="128"/>
    </row>
    <row r="174" spans="1:5" x14ac:dyDescent="0.3">
      <c r="A174" s="105" t="str">
        <f>IF(DB!D175=0,"",DB!D175)</f>
        <v/>
      </c>
      <c r="B174" s="106" t="str">
        <f>IF(DB!D175=0,"",CONCATENATE("  ",DB!E175))</f>
        <v/>
      </c>
      <c r="C174" s="105" t="str">
        <f>IF(DB!D176=0,"",DB!D176)</f>
        <v/>
      </c>
      <c r="D174" s="106" t="str">
        <f>IF(DB!D175=0,"",CONCATENATE("  ",DB!E176))</f>
        <v/>
      </c>
    </row>
    <row r="175" spans="1:5" ht="52.8" x14ac:dyDescent="0.3">
      <c r="A175" s="128" t="str">
        <f>IF(A176="","",IF(ISNUMBER(LOOKUP("Â",Code128(A176),1)),"Error!",Code128(A176)))</f>
        <v/>
      </c>
      <c r="B175" s="128"/>
      <c r="C175" s="128" t="str">
        <f>IF(C176="","",IF(ISNUMBER(LOOKUP("Â",Code128(C176),1)),"Error!",Code128(C176)))</f>
        <v/>
      </c>
      <c r="D175" s="128"/>
    </row>
    <row r="176" spans="1:5" x14ac:dyDescent="0.3">
      <c r="A176" s="105" t="str">
        <f>IF(DB!D177=0,"",DB!D177)</f>
        <v/>
      </c>
      <c r="B176" s="106" t="str">
        <f>IF(DB!D177=0,"",CONCATENATE("  ",DB!E177))</f>
        <v/>
      </c>
      <c r="C176" s="105" t="str">
        <f>IF(DB!D178=0,"",DB!D178)</f>
        <v/>
      </c>
      <c r="D176" s="106" t="str">
        <f>IF(DB!D177=0,"",CONCATENATE("  ",DB!E178))</f>
        <v/>
      </c>
    </row>
    <row r="177" spans="1:5" ht="52.8" x14ac:dyDescent="0.3">
      <c r="A177" s="128" t="str">
        <f>IF(A178="","",IF(ISNUMBER(LOOKUP("Â",Code128(A178),1)),"Error!",Code128(A178)))</f>
        <v/>
      </c>
      <c r="B177" s="128"/>
      <c r="C177" s="128" t="str">
        <f>IF(C178="","",IF(ISNUMBER(LOOKUP("Â",Code128(C178),1)),"Error!",Code128(C178)))</f>
        <v/>
      </c>
      <c r="D177" s="128"/>
    </row>
    <row r="178" spans="1:5" x14ac:dyDescent="0.3">
      <c r="A178" s="105" t="str">
        <f>IF(DB!D179=0,"",DB!D179)</f>
        <v/>
      </c>
      <c r="B178" s="106" t="str">
        <f>IF(DB!D179=0,"",CONCATENATE("  ",DB!E179))</f>
        <v/>
      </c>
      <c r="C178" s="105" t="str">
        <f>IF(DB!D180=0,"",DB!D180)</f>
        <v/>
      </c>
      <c r="D178" s="106" t="str">
        <f>IF(DB!D179=0,"",CONCATENATE("  ",DB!E180))</f>
        <v/>
      </c>
    </row>
    <row r="179" spans="1:5" ht="52.8" x14ac:dyDescent="0.3">
      <c r="A179" s="128" t="str">
        <f>IF(A180="","",IF(ISNUMBER(LOOKUP("Â",Code128(A180),1)),"Error!",Code128(A180)))</f>
        <v/>
      </c>
      <c r="B179" s="128"/>
      <c r="C179" s="128" t="str">
        <f>IF(C180="","",IF(ISNUMBER(LOOKUP("Â",Code128(C180),1)),"Error!",Code128(C180)))</f>
        <v/>
      </c>
      <c r="D179" s="128"/>
    </row>
    <row r="180" spans="1:5" x14ac:dyDescent="0.3">
      <c r="A180" s="105" t="str">
        <f>IF(DB!D181=0,"",DB!D181)</f>
        <v/>
      </c>
      <c r="B180" s="106" t="str">
        <f>IF(DB!D181=0,"",CONCATENATE("  ",DB!E181))</f>
        <v/>
      </c>
      <c r="C180" s="105" t="str">
        <f>IF(DB!D182=0,"",DB!D182)</f>
        <v/>
      </c>
      <c r="D180" s="106" t="str">
        <f>IF(DB!D181=0,"",CONCATENATE("  ",DB!E182))</f>
        <v/>
      </c>
    </row>
    <row r="181" spans="1:5" ht="52.8" x14ac:dyDescent="0.3">
      <c r="A181" s="128" t="str">
        <f>IF(A182="","",IF(ISNUMBER(LOOKUP("Â",Code128(A182),1)),"Error!",Code128(A182)))</f>
        <v/>
      </c>
      <c r="B181" s="128"/>
      <c r="C181" s="128" t="str">
        <f>IF(C182="","",IF(ISNUMBER(LOOKUP("Â",Code128(C182),1)),"Error!",Code128(C182)))</f>
        <v/>
      </c>
      <c r="D181" s="128"/>
    </row>
    <row r="182" spans="1:5" x14ac:dyDescent="0.3">
      <c r="A182" s="105" t="str">
        <f>IF(DB!D183=0,"",DB!D183)</f>
        <v/>
      </c>
      <c r="B182" s="106" t="str">
        <f>IF(DB!D183=0,"",CONCATENATE("  ",DB!E183))</f>
        <v/>
      </c>
      <c r="C182" s="105" t="str">
        <f>IF(DB!D184=0,"",DB!D184)</f>
        <v/>
      </c>
      <c r="D182" s="106" t="str">
        <f>IF(DB!D183=0,"",CONCATENATE("  ",DB!E184))</f>
        <v/>
      </c>
    </row>
    <row r="183" spans="1:5" ht="52.8" x14ac:dyDescent="0.3">
      <c r="A183" s="128" t="str">
        <f>IF(A184="","",IF(ISNUMBER(LOOKUP("Â",Code128(A184),1)),"Error!",Code128(A184)))</f>
        <v/>
      </c>
      <c r="B183" s="128"/>
      <c r="C183" s="128" t="str">
        <f>IF(C184="","",IF(ISNUMBER(LOOKUP("Â",Code128(C184),1)),"Error!",Code128(C184)))</f>
        <v/>
      </c>
      <c r="D183" s="128"/>
    </row>
    <row r="184" spans="1:5" x14ac:dyDescent="0.3">
      <c r="A184" s="105" t="str">
        <f>IF(DB!D185=0,"",DB!D185)</f>
        <v/>
      </c>
      <c r="B184" s="106" t="str">
        <f>IF(DB!D185=0,"",CONCATENATE("  ",DB!E185))</f>
        <v/>
      </c>
      <c r="C184" s="105" t="str">
        <f>IF(DB!D186=0,"",DB!D186)</f>
        <v/>
      </c>
      <c r="D184" s="106" t="str">
        <f>IF(DB!D185=0,"",CONCATENATE("  ",DB!E186))</f>
        <v/>
      </c>
    </row>
    <row r="185" spans="1:5" ht="52.8" x14ac:dyDescent="0.3">
      <c r="A185" s="128" t="str">
        <f>IF(A186="","",IF(ISNUMBER(LOOKUP("Â",Code128(A186),1)),"Error!",Code128(A186)))</f>
        <v/>
      </c>
      <c r="B185" s="128"/>
      <c r="C185" s="128" t="str">
        <f>IF(C186="","",IF(ISNUMBER(LOOKUP("Â",Code128(C186),1)),"Error!",Code128(C186)))</f>
        <v/>
      </c>
      <c r="D185" s="128"/>
    </row>
    <row r="186" spans="1:5" x14ac:dyDescent="0.3">
      <c r="A186" s="105" t="str">
        <f>IF(DB!D187=0,"",DB!D187)</f>
        <v/>
      </c>
      <c r="B186" s="106" t="str">
        <f>IF(DB!D187=0,"",CONCATENATE("  ",DB!E187))</f>
        <v/>
      </c>
      <c r="C186" s="105" t="str">
        <f>IF(DB!D188=0,"",DB!D188)</f>
        <v/>
      </c>
      <c r="D186" s="106" t="str">
        <f>IF(DB!D187=0,"",CONCATENATE("  ",DB!E188))</f>
        <v/>
      </c>
    </row>
    <row r="187" spans="1:5" ht="52.8" x14ac:dyDescent="0.3">
      <c r="A187" s="128" t="str">
        <f>IF(A188="","",IF(ISNUMBER(LOOKUP("Â",Code128(A188),1)),"Error!",Code128(A188)))</f>
        <v/>
      </c>
      <c r="B187" s="128"/>
      <c r="C187" s="128" t="str">
        <f>IF(C188="","",IF(ISNUMBER(LOOKUP("Â",Code128(C188),1)),"Error!",Code128(C188)))</f>
        <v/>
      </c>
      <c r="D187" s="128"/>
    </row>
    <row r="188" spans="1:5" x14ac:dyDescent="0.3">
      <c r="A188" s="105" t="str">
        <f>IF(DB!D189=0,"",DB!D189)</f>
        <v/>
      </c>
      <c r="B188" s="106" t="str">
        <f>IF(DB!D189=0,"",CONCATENATE("  ",DB!E189))</f>
        <v/>
      </c>
      <c r="C188" s="105" t="str">
        <f>IF(DB!D190=0,"",DB!D190)</f>
        <v/>
      </c>
      <c r="D188" s="106" t="str">
        <f>IF(DB!D189=0,"",CONCATENATE("  ",DB!E190))</f>
        <v/>
      </c>
      <c r="E188">
        <v>10</v>
      </c>
    </row>
    <row r="189" spans="1:5" ht="52.8" x14ac:dyDescent="0.3">
      <c r="A189" s="128" t="str">
        <f>IF(A190="","",IF(ISNUMBER(LOOKUP("Â",Code128(A190),1)),"Error!",Code128(A190)))</f>
        <v/>
      </c>
      <c r="B189" s="128"/>
      <c r="C189" s="128" t="str">
        <f>IF(C190="","",IF(ISNUMBER(LOOKUP("Â",Code128(C190),1)),"Error!",Code128(C190)))</f>
        <v/>
      </c>
      <c r="D189" s="128"/>
    </row>
    <row r="190" spans="1:5" x14ac:dyDescent="0.3">
      <c r="A190" s="105" t="str">
        <f>IF(DB!D191=0,"",DB!D191)</f>
        <v/>
      </c>
      <c r="B190" s="106" t="str">
        <f>IF(DB!D191=0,"",CONCATENATE("  ",DB!E191))</f>
        <v/>
      </c>
      <c r="C190" s="105" t="str">
        <f>IF(DB!D192=0,"",DB!D192)</f>
        <v/>
      </c>
      <c r="D190" s="106" t="str">
        <f>IF(DB!D191=0,"",CONCATENATE("  ",DB!E192))</f>
        <v/>
      </c>
    </row>
    <row r="191" spans="1:5" ht="52.8" x14ac:dyDescent="0.3">
      <c r="A191" s="128" t="str">
        <f>IF(A192="","",IF(ISNUMBER(LOOKUP("Â",Code128(A192),1)),"Error!",Code128(A192)))</f>
        <v/>
      </c>
      <c r="B191" s="128"/>
      <c r="C191" s="128" t="str">
        <f>IF(C192="","",IF(ISNUMBER(LOOKUP("Â",Code128(C192),1)),"Error!",Code128(C192)))</f>
        <v/>
      </c>
      <c r="D191" s="128"/>
    </row>
    <row r="192" spans="1:5" x14ac:dyDescent="0.3">
      <c r="A192" s="105" t="str">
        <f>IF(DB!D193=0,"",DB!D193)</f>
        <v/>
      </c>
      <c r="B192" s="106" t="str">
        <f>IF(DB!D193=0,"",CONCATENATE("  ",DB!E193))</f>
        <v/>
      </c>
      <c r="C192" s="105" t="str">
        <f>IF(DB!D194=0,"",DB!D194)</f>
        <v/>
      </c>
      <c r="D192" s="106" t="str">
        <f>IF(DB!D193=0,"",CONCATENATE("  ",DB!E194))</f>
        <v/>
      </c>
    </row>
    <row r="193" spans="1:4" ht="52.8" x14ac:dyDescent="0.3">
      <c r="A193" s="128" t="str">
        <f>IF(A194="","",IF(ISNUMBER(LOOKUP("Â",Code128(A194),1)),"Error!",Code128(A194)))</f>
        <v/>
      </c>
      <c r="B193" s="128"/>
      <c r="C193" s="128" t="str">
        <f>IF(C194="","",IF(ISNUMBER(LOOKUP("Â",Code128(C194),1)),"Error!",Code128(C194)))</f>
        <v/>
      </c>
      <c r="D193" s="128"/>
    </row>
    <row r="194" spans="1:4" x14ac:dyDescent="0.3">
      <c r="A194" s="105" t="str">
        <f>IF(DB!D195=0,"",DB!D195)</f>
        <v/>
      </c>
      <c r="B194" s="106" t="str">
        <f>IF(DB!D195=0,"",CONCATENATE("  ",DB!E195))</f>
        <v/>
      </c>
      <c r="C194" s="105" t="str">
        <f>IF(DB!D196=0,"",DB!D196)</f>
        <v/>
      </c>
      <c r="D194" s="106" t="str">
        <f>IF(DB!D195=0,"",CONCATENATE("  ",DB!E196))</f>
        <v/>
      </c>
    </row>
    <row r="195" spans="1:4" ht="52.8" x14ac:dyDescent="0.3">
      <c r="A195" s="128" t="str">
        <f>IF(A196="","",IF(ISNUMBER(LOOKUP("Â",Code128(A196),1)),"Error!",Code128(A196)))</f>
        <v/>
      </c>
      <c r="B195" s="128"/>
      <c r="C195" s="128" t="str">
        <f>IF(C196="","",IF(ISNUMBER(LOOKUP("Â",Code128(C196),1)),"Error!",Code128(C196)))</f>
        <v/>
      </c>
      <c r="D195" s="128"/>
    </row>
    <row r="196" spans="1:4" x14ac:dyDescent="0.3">
      <c r="A196" s="105" t="str">
        <f>IF(DB!D197=0,"",DB!D197)</f>
        <v/>
      </c>
      <c r="B196" s="106" t="str">
        <f>IF(DB!D197=0,"",CONCATENATE("  ",DB!E197))</f>
        <v/>
      </c>
      <c r="C196" s="105" t="str">
        <f>IF(DB!D198=0,"",DB!D198)</f>
        <v/>
      </c>
      <c r="D196" s="106" t="str">
        <f>IF(DB!D197=0,"",CONCATENATE("  ",DB!E198))</f>
        <v/>
      </c>
    </row>
    <row r="197" spans="1:4" ht="52.8" x14ac:dyDescent="0.3">
      <c r="A197" s="128" t="str">
        <f>IF(A198="","",IF(ISNUMBER(LOOKUP("Â",Code128(A198),1)),"Error!",Code128(A198)))</f>
        <v/>
      </c>
      <c r="B197" s="128"/>
      <c r="C197" s="128" t="str">
        <f>IF(C198="","",IF(ISNUMBER(LOOKUP("Â",Code128(C198),1)),"Error!",Code128(C198)))</f>
        <v/>
      </c>
      <c r="D197" s="128"/>
    </row>
    <row r="198" spans="1:4" x14ac:dyDescent="0.3">
      <c r="A198" s="105" t="str">
        <f>IF(DB!D199=0,"",DB!D199)</f>
        <v/>
      </c>
      <c r="B198" s="106" t="str">
        <f>IF(DB!D199=0,"",CONCATENATE("  ",DB!E199))</f>
        <v/>
      </c>
      <c r="C198" s="105" t="str">
        <f>IF(DB!D200=0,"",DB!D200)</f>
        <v/>
      </c>
      <c r="D198" s="106" t="str">
        <f>IF(DB!D199=0,"",CONCATENATE("  ",DB!E200))</f>
        <v/>
      </c>
    </row>
    <row r="199" spans="1:4" ht="52.8" x14ac:dyDescent="0.3">
      <c r="A199" s="128" t="str">
        <f>IF(A200="","",IF(ISNUMBER(LOOKUP("Â",Code128(A200),1)),"Error!",Code128(A200)))</f>
        <v/>
      </c>
      <c r="B199" s="128"/>
      <c r="C199" s="128" t="str">
        <f>IF(C200="","",IF(ISNUMBER(LOOKUP("Â",Code128(C200),1)),"Error!",Code128(C200)))</f>
        <v/>
      </c>
      <c r="D199" s="128"/>
    </row>
    <row r="200" spans="1:4" x14ac:dyDescent="0.3">
      <c r="A200" s="105" t="str">
        <f>IF(DB!D201=0,"",DB!D201)</f>
        <v/>
      </c>
      <c r="B200" s="106" t="str">
        <f>IF(DB!D201=0,"",CONCATENATE("  ",DB!E201))</f>
        <v/>
      </c>
      <c r="C200" s="105" t="str">
        <f>IF(DB!D202=0,"",DB!D202)</f>
        <v/>
      </c>
      <c r="D200" s="106" t="str">
        <f>IF(DB!D201=0,"",CONCATENATE("  ",DB!E202))</f>
        <v/>
      </c>
    </row>
    <row r="201" spans="1:4" ht="52.8" x14ac:dyDescent="0.3">
      <c r="A201" s="128" t="str">
        <f>IF(A202="","",IF(ISNUMBER(LOOKUP("Â",Code128(A202),1)),"Error!",Code128(A202)))</f>
        <v/>
      </c>
      <c r="B201" s="128"/>
      <c r="C201" s="128" t="str">
        <f>IF(C202="","",IF(ISNUMBER(LOOKUP("Â",Code128(C202),1)),"Error!",Code128(C202)))</f>
        <v/>
      </c>
      <c r="D201" s="128"/>
    </row>
    <row r="202" spans="1:4" x14ac:dyDescent="0.3">
      <c r="A202" s="105" t="str">
        <f>IF(DB!D203=0,"",DB!D203)</f>
        <v/>
      </c>
      <c r="B202" s="106" t="str">
        <f>IF(DB!D203=0,"",CONCATENATE("  ",DB!E203))</f>
        <v/>
      </c>
      <c r="C202" s="105" t="str">
        <f>IF(DB!D204=0,"",DB!D204)</f>
        <v/>
      </c>
      <c r="D202" s="106" t="str">
        <f>IF(DB!D203=0,"",CONCATENATE("  ",DB!E204))</f>
        <v/>
      </c>
    </row>
    <row r="203" spans="1:4" ht="52.8" x14ac:dyDescent="0.3">
      <c r="A203" s="128" t="str">
        <f>IF(A204="","",IF(ISNUMBER(LOOKUP("Â",Code128(A204),1)),"Error!",Code128(A204)))</f>
        <v/>
      </c>
      <c r="B203" s="128"/>
      <c r="C203" s="128" t="str">
        <f>IF(C204="","",IF(ISNUMBER(LOOKUP("Â",Code128(C204),1)),"Error!",Code128(C204)))</f>
        <v/>
      </c>
      <c r="D203" s="128"/>
    </row>
    <row r="204" spans="1:4" x14ac:dyDescent="0.3">
      <c r="A204" s="105" t="str">
        <f>IF(DB!D205=0,"",DB!D205)</f>
        <v/>
      </c>
      <c r="B204" s="106" t="str">
        <f>IF(DB!D205=0,"",CONCATENATE("  ",DB!E205))</f>
        <v/>
      </c>
      <c r="C204" s="105" t="str">
        <f>IF(DB!D206=0,"",DB!D206)</f>
        <v/>
      </c>
      <c r="D204" s="106" t="str">
        <f>IF(DB!D205=0,"",CONCATENATE("  ",DB!E206))</f>
        <v/>
      </c>
    </row>
    <row r="205" spans="1:4" ht="52.8" x14ac:dyDescent="0.3">
      <c r="A205" s="128" t="str">
        <f>IF(A206="","",IF(ISNUMBER(LOOKUP("Â",Code128(A206),1)),"Error!",Code128(A206)))</f>
        <v/>
      </c>
      <c r="B205" s="128"/>
      <c r="C205" s="128" t="str">
        <f>IF(C206="","",IF(ISNUMBER(LOOKUP("Â",Code128(C206),1)),"Error!",Code128(C206)))</f>
        <v/>
      </c>
      <c r="D205" s="128"/>
    </row>
    <row r="206" spans="1:4" x14ac:dyDescent="0.3">
      <c r="A206" s="105" t="str">
        <f>IF(DB!D207=0,"",DB!D207)</f>
        <v/>
      </c>
      <c r="B206" s="106" t="str">
        <f>IF(DB!D207=0,"",CONCATENATE("  ",DB!E207))</f>
        <v/>
      </c>
      <c r="C206" s="105" t="str">
        <f>IF(DB!D208=0,"",DB!D208)</f>
        <v/>
      </c>
      <c r="D206" s="106" t="str">
        <f>IF(DB!D207=0,"",CONCATENATE("  ",DB!E208))</f>
        <v/>
      </c>
    </row>
    <row r="207" spans="1:4" ht="52.8" x14ac:dyDescent="0.3">
      <c r="A207" s="128" t="str">
        <f>IF(A208="","",IF(ISNUMBER(LOOKUP("Â",Code128(A208),1)),"Error!",Code128(A208)))</f>
        <v/>
      </c>
      <c r="B207" s="128"/>
      <c r="C207" s="128" t="str">
        <f>IF(C208="","",IF(ISNUMBER(LOOKUP("Â",Code128(C208),1)),"Error!",Code128(C208)))</f>
        <v/>
      </c>
      <c r="D207" s="128"/>
    </row>
    <row r="208" spans="1:4" x14ac:dyDescent="0.3">
      <c r="A208" s="105" t="str">
        <f>IF(DB!D209=0,"",DB!D209)</f>
        <v/>
      </c>
      <c r="B208" s="106" t="str">
        <f>IF(DB!D209=0,"",CONCATENATE("  ",DB!E209))</f>
        <v/>
      </c>
      <c r="C208" s="105" t="str">
        <f>IF(DB!D210=0,"",DB!D210)</f>
        <v/>
      </c>
      <c r="D208" s="106" t="str">
        <f>IF(DB!D209=0,"",CONCATENATE("  ",DB!E210))</f>
        <v/>
      </c>
    </row>
    <row r="209" spans="1:5" ht="52.8" x14ac:dyDescent="0.3">
      <c r="A209" s="128" t="str">
        <f>IF(A210="","",IF(ISNUMBER(LOOKUP("Â",Code128(A210),1)),"Error!",Code128(A210)))</f>
        <v/>
      </c>
      <c r="B209" s="128"/>
      <c r="C209" s="128" t="str">
        <f>IF(C210="","",IF(ISNUMBER(LOOKUP("Â",Code128(C210),1)),"Error!",Code128(C210)))</f>
        <v/>
      </c>
      <c r="D209" s="128"/>
      <c r="E209">
        <v>11</v>
      </c>
    </row>
    <row r="210" spans="1:5" x14ac:dyDescent="0.3">
      <c r="A210" s="105" t="str">
        <f>IF(DB!D211=0,"",DB!D211)</f>
        <v/>
      </c>
      <c r="B210" s="106" t="str">
        <f>IF(DB!D211=0,"",CONCATENATE("  ",DB!E211))</f>
        <v/>
      </c>
      <c r="C210" s="105" t="str">
        <f>IF(DB!D212=0,"",DB!D212)</f>
        <v/>
      </c>
      <c r="D210" s="106" t="str">
        <f>IF(DB!D211=0,"",CONCATENATE("  ",DB!E212))</f>
        <v/>
      </c>
    </row>
    <row r="211" spans="1:5" ht="52.8" x14ac:dyDescent="0.3">
      <c r="A211" s="128" t="str">
        <f>IF(A212="","",IF(ISNUMBER(LOOKUP("Â",Code128(A212),1)),"Error!",Code128(A212)))</f>
        <v/>
      </c>
      <c r="B211" s="128"/>
      <c r="C211" s="128" t="str">
        <f>IF(C212="","",IF(ISNUMBER(LOOKUP("Â",Code128(C212),1)),"Error!",Code128(C212)))</f>
        <v/>
      </c>
      <c r="D211" s="128"/>
    </row>
    <row r="212" spans="1:5" x14ac:dyDescent="0.3">
      <c r="A212" s="105" t="str">
        <f>IF(DB!D213=0,"",DB!D213)</f>
        <v/>
      </c>
      <c r="B212" s="106" t="str">
        <f>IF(DB!D213=0,"",CONCATENATE("  ",DB!E213))</f>
        <v/>
      </c>
      <c r="C212" s="105" t="str">
        <f>IF(DB!D214=0,"",DB!D214)</f>
        <v/>
      </c>
      <c r="D212" s="106" t="str">
        <f>IF(DB!D213=0,"",CONCATENATE("  ",DB!E214))</f>
        <v/>
      </c>
    </row>
    <row r="213" spans="1:5" ht="52.8" x14ac:dyDescent="0.3">
      <c r="A213" s="128" t="str">
        <f>IF(A214="","",IF(ISNUMBER(LOOKUP("Â",Code128(A214),1)),"Error!",Code128(A214)))</f>
        <v/>
      </c>
      <c r="B213" s="128"/>
      <c r="C213" s="128" t="str">
        <f>IF(C214="","",IF(ISNUMBER(LOOKUP("Â",Code128(C214),1)),"Error!",Code128(C214)))</f>
        <v/>
      </c>
      <c r="D213" s="128"/>
    </row>
    <row r="214" spans="1:5" x14ac:dyDescent="0.3">
      <c r="A214" s="105" t="str">
        <f>IF(DB!D215=0,"",DB!D215)</f>
        <v/>
      </c>
      <c r="B214" s="106" t="str">
        <f>IF(DB!D215=0,"",CONCATENATE("  ",DB!E215))</f>
        <v/>
      </c>
      <c r="C214" s="105" t="str">
        <f>IF(DB!D216=0,"",DB!D216)</f>
        <v/>
      </c>
      <c r="D214" s="106" t="str">
        <f>IF(DB!D215=0,"",CONCATENATE("  ",DB!E216))</f>
        <v/>
      </c>
    </row>
    <row r="215" spans="1:5" ht="52.8" x14ac:dyDescent="0.3">
      <c r="A215" s="128" t="str">
        <f>IF(A216="","",IF(ISNUMBER(LOOKUP("Â",Code128(A216),1)),"Error!",Code128(A216)))</f>
        <v/>
      </c>
      <c r="B215" s="128"/>
      <c r="C215" s="128" t="str">
        <f>IF(C216="","",IF(ISNUMBER(LOOKUP("Â",Code128(C216),1)),"Error!",Code128(C216)))</f>
        <v/>
      </c>
      <c r="D215" s="128"/>
    </row>
    <row r="216" spans="1:5" x14ac:dyDescent="0.3">
      <c r="A216" s="105" t="str">
        <f>IF(DB!D217=0,"",DB!D217)</f>
        <v/>
      </c>
      <c r="B216" s="106" t="str">
        <f>IF(DB!D217=0,"",CONCATENATE("  ",DB!E217))</f>
        <v/>
      </c>
      <c r="C216" s="105" t="str">
        <f>IF(DB!D218=0,"",DB!D218)</f>
        <v/>
      </c>
      <c r="D216" s="106" t="str">
        <f>IF(DB!D217=0,"",CONCATENATE("  ",DB!E218))</f>
        <v/>
      </c>
    </row>
    <row r="217" spans="1:5" ht="52.8" x14ac:dyDescent="0.3">
      <c r="A217" s="128" t="str">
        <f>IF(A218="","",IF(ISNUMBER(LOOKUP("Â",Code128(A218),1)),"Error!",Code128(A218)))</f>
        <v/>
      </c>
      <c r="B217" s="128"/>
      <c r="C217" s="128" t="str">
        <f>IF(C218="","",IF(ISNUMBER(LOOKUP("Â",Code128(C218),1)),"Error!",Code128(C218)))</f>
        <v/>
      </c>
      <c r="D217" s="128"/>
    </row>
    <row r="218" spans="1:5" x14ac:dyDescent="0.3">
      <c r="A218" s="105" t="str">
        <f>IF(DB!D219=0,"",DB!D219)</f>
        <v/>
      </c>
      <c r="B218" s="106" t="str">
        <f>IF(DB!D219=0,"",CONCATENATE("  ",DB!E219))</f>
        <v/>
      </c>
      <c r="C218" s="105" t="str">
        <f>IF(DB!D220=0,"",DB!D220)</f>
        <v/>
      </c>
      <c r="D218" s="106" t="str">
        <f>IF(DB!D219=0,"",CONCATENATE("  ",DB!E220))</f>
        <v/>
      </c>
    </row>
    <row r="219" spans="1:5" ht="52.8" x14ac:dyDescent="0.3">
      <c r="A219" s="128" t="str">
        <f>IF(A220="","",IF(ISNUMBER(LOOKUP("Â",Code128(A220),1)),"Error!",Code128(A220)))</f>
        <v/>
      </c>
      <c r="B219" s="128"/>
      <c r="C219" s="128" t="str">
        <f>IF(C220="","",IF(ISNUMBER(LOOKUP("Â",Code128(C220),1)),"Error!",Code128(C220)))</f>
        <v/>
      </c>
      <c r="D219" s="128"/>
    </row>
    <row r="220" spans="1:5" x14ac:dyDescent="0.3">
      <c r="A220" s="105" t="str">
        <f>IF(DB!D221=0,"",DB!D221)</f>
        <v/>
      </c>
      <c r="B220" s="106" t="str">
        <f>IF(DB!D221=0,"",CONCATENATE("  ",DB!E221))</f>
        <v/>
      </c>
      <c r="C220" s="105" t="str">
        <f>IF(DB!D222=0,"",DB!D222)</f>
        <v/>
      </c>
      <c r="D220" s="106" t="str">
        <f>IF(DB!D221=0,"",CONCATENATE("  ",DB!E222))</f>
        <v/>
      </c>
    </row>
    <row r="221" spans="1:5" ht="52.8" x14ac:dyDescent="0.3">
      <c r="A221" s="128" t="str">
        <f>IF(A222="","",IF(ISNUMBER(LOOKUP("Â",Code128(A222),1)),"Error!",Code128(A222)))</f>
        <v/>
      </c>
      <c r="B221" s="128"/>
      <c r="C221" s="128" t="str">
        <f>IF(C222="","",IF(ISNUMBER(LOOKUP("Â",Code128(C222),1)),"Error!",Code128(C222)))</f>
        <v/>
      </c>
      <c r="D221" s="128"/>
    </row>
    <row r="222" spans="1:5" x14ac:dyDescent="0.3">
      <c r="A222" s="105" t="str">
        <f>IF(DB!D223=0,"",DB!D223)</f>
        <v/>
      </c>
      <c r="B222" s="106" t="str">
        <f>IF(DB!D223=0,"",CONCATENATE("  ",DB!E223))</f>
        <v/>
      </c>
      <c r="C222" s="105" t="str">
        <f>IF(DB!D224=0,"",DB!D224)</f>
        <v/>
      </c>
      <c r="D222" s="106" t="str">
        <f>IF(DB!D223=0,"",CONCATENATE("  ",DB!E224))</f>
        <v/>
      </c>
    </row>
    <row r="223" spans="1:5" ht="52.8" x14ac:dyDescent="0.3">
      <c r="A223" s="128" t="str">
        <f>IF(A224="","",IF(ISNUMBER(LOOKUP("Â",Code128(A224),1)),"Error!",Code128(A224)))</f>
        <v/>
      </c>
      <c r="B223" s="128"/>
      <c r="C223" s="128" t="str">
        <f>IF(C224="","",IF(ISNUMBER(LOOKUP("Â",Code128(C224),1)),"Error!",Code128(C224)))</f>
        <v/>
      </c>
      <c r="D223" s="128"/>
    </row>
    <row r="224" spans="1:5" x14ac:dyDescent="0.3">
      <c r="A224" s="105" t="str">
        <f>IF(DB!D225=0,"",DB!D225)</f>
        <v/>
      </c>
      <c r="B224" s="106" t="str">
        <f>IF(DB!D225=0,"",CONCATENATE("  ",DB!E225))</f>
        <v/>
      </c>
      <c r="C224" s="105" t="str">
        <f>IF(DB!D226=0,"",DB!D226)</f>
        <v/>
      </c>
      <c r="D224" s="106" t="str">
        <f>IF(DB!D225=0,"",CONCATENATE("  ",DB!E226))</f>
        <v/>
      </c>
    </row>
    <row r="225" spans="1:4" ht="52.8" x14ac:dyDescent="0.3">
      <c r="A225" s="128" t="str">
        <f>IF(A226="","",IF(ISNUMBER(LOOKUP("Â",Code128(A226),1)),"Error!",Code128(A226)))</f>
        <v/>
      </c>
      <c r="B225" s="128"/>
      <c r="C225" s="128" t="str">
        <f>IF(C226="","",IF(ISNUMBER(LOOKUP("Â",Code128(C226),1)),"Error!",Code128(C226)))</f>
        <v/>
      </c>
      <c r="D225" s="128"/>
    </row>
    <row r="226" spans="1:4" x14ac:dyDescent="0.3">
      <c r="A226" s="105" t="str">
        <f>IF(DB!D227=0,"",DB!D227)</f>
        <v/>
      </c>
      <c r="B226" s="106" t="str">
        <f>IF(DB!D227=0,"",CONCATENATE("  ",DB!E227))</f>
        <v/>
      </c>
      <c r="C226" s="105" t="str">
        <f>IF(DB!D228=0,"",DB!D228)</f>
        <v/>
      </c>
      <c r="D226" s="106" t="str">
        <f>IF(DB!D227=0,"",CONCATENATE("  ",DB!E228))</f>
        <v/>
      </c>
    </row>
    <row r="227" spans="1:4" ht="52.8" x14ac:dyDescent="0.3">
      <c r="A227" s="128" t="str">
        <f>IF(A228="","",IF(ISNUMBER(LOOKUP("Â",Code128(A228),1)),"Error!",Code128(A228)))</f>
        <v/>
      </c>
      <c r="B227" s="128"/>
      <c r="C227" s="128" t="str">
        <f>IF(C228="","",IF(ISNUMBER(LOOKUP("Â",Code128(C228),1)),"Error!",Code128(C228)))</f>
        <v/>
      </c>
      <c r="D227" s="128"/>
    </row>
    <row r="228" spans="1:4" x14ac:dyDescent="0.3">
      <c r="A228" s="105" t="str">
        <f>IF(DB!D229=0,"",DB!D229)</f>
        <v/>
      </c>
      <c r="B228" s="106" t="str">
        <f>IF(DB!D229=0,"",CONCATENATE("  ",DB!E229))</f>
        <v/>
      </c>
      <c r="C228" s="105" t="str">
        <f>IF(DB!D230=0,"",DB!D230)</f>
        <v/>
      </c>
      <c r="D228" s="106" t="str">
        <f>IF(DB!D229=0,"",CONCATENATE("  ",DB!E230))</f>
        <v/>
      </c>
    </row>
    <row r="229" spans="1:4" ht="52.8" x14ac:dyDescent="0.3">
      <c r="A229" s="128" t="str">
        <f>IF(A230="","",IF(ISNUMBER(LOOKUP("Â",Code128(A230),1)),"Error!",Code128(A230)))</f>
        <v/>
      </c>
      <c r="B229" s="128"/>
      <c r="C229" s="128" t="str">
        <f>IF(C230="","",IF(ISNUMBER(LOOKUP("Â",Code128(C230),1)),"Error!",Code128(C230)))</f>
        <v/>
      </c>
      <c r="D229" s="128"/>
    </row>
    <row r="230" spans="1:4" x14ac:dyDescent="0.3">
      <c r="A230" s="105" t="str">
        <f>IF(DB!D231=0,"",DB!D231)</f>
        <v/>
      </c>
      <c r="B230" s="106" t="str">
        <f>IF(DB!D231=0,"",CONCATENATE("  ",DB!E231))</f>
        <v/>
      </c>
      <c r="C230" s="105" t="str">
        <f>IF(DB!D232=0,"",DB!D232)</f>
        <v/>
      </c>
      <c r="D230" s="106" t="str">
        <f>IF(DB!D231=0,"",CONCATENATE("  ",DB!E232))</f>
        <v/>
      </c>
    </row>
    <row r="231" spans="1:4" ht="52.8" x14ac:dyDescent="0.3">
      <c r="A231" s="128" t="str">
        <f>IF(A232="","",IF(ISNUMBER(LOOKUP("Â",Code128(A232),1)),"Error!",Code128(A232)))</f>
        <v/>
      </c>
      <c r="B231" s="128"/>
      <c r="C231" s="128" t="str">
        <f>IF(C232="","",IF(ISNUMBER(LOOKUP("Â",Code128(C232),1)),"Error!",Code128(C232)))</f>
        <v/>
      </c>
      <c r="D231" s="128"/>
    </row>
    <row r="232" spans="1:4" x14ac:dyDescent="0.3">
      <c r="A232" s="105" t="str">
        <f>IF(DB!D233=0,"",DB!D233)</f>
        <v/>
      </c>
      <c r="B232" s="106" t="str">
        <f>IF(DB!D233=0,"",CONCATENATE("  ",DB!E233))</f>
        <v/>
      </c>
      <c r="C232" s="105" t="str">
        <f>IF(DB!D234=0,"",DB!D234)</f>
        <v/>
      </c>
      <c r="D232" s="106" t="str">
        <f>IF(DB!D233=0,"",CONCATENATE("  ",DB!E234))</f>
        <v/>
      </c>
    </row>
    <row r="233" spans="1:4" ht="52.8" x14ac:dyDescent="0.3">
      <c r="A233" s="128" t="str">
        <f>IF(A234="","",IF(ISNUMBER(LOOKUP("Â",Code128(A234),1)),"Error!",Code128(A234)))</f>
        <v/>
      </c>
      <c r="B233" s="128"/>
      <c r="C233" s="128" t="str">
        <f>IF(C234="","",IF(ISNUMBER(LOOKUP("Â",Code128(C234),1)),"Error!",Code128(C234)))</f>
        <v/>
      </c>
      <c r="D233" s="128"/>
    </row>
    <row r="234" spans="1:4" x14ac:dyDescent="0.3">
      <c r="A234" s="105" t="str">
        <f>IF(DB!D235=0,"",DB!D235)</f>
        <v/>
      </c>
      <c r="B234" s="106" t="str">
        <f>IF(DB!D235=0,"",CONCATENATE("  ",DB!E235))</f>
        <v/>
      </c>
      <c r="C234" s="105" t="str">
        <f>IF(DB!D236=0,"",DB!D236)</f>
        <v/>
      </c>
      <c r="D234" s="106" t="str">
        <f>IF(DB!D235=0,"",CONCATENATE("  ",DB!E236))</f>
        <v/>
      </c>
    </row>
    <row r="235" spans="1:4" ht="52.8" x14ac:dyDescent="0.3">
      <c r="A235" s="128" t="str">
        <f>IF(A236="","",IF(ISNUMBER(LOOKUP("Â",Code128(A236),1)),"Error!",Code128(A236)))</f>
        <v/>
      </c>
      <c r="B235" s="128"/>
      <c r="C235" s="128" t="str">
        <f>IF(C236="","",IF(ISNUMBER(LOOKUP("Â",Code128(C236),1)),"Error!",Code128(C236)))</f>
        <v/>
      </c>
      <c r="D235" s="128"/>
    </row>
    <row r="236" spans="1:4" x14ac:dyDescent="0.3">
      <c r="A236" s="105" t="str">
        <f>IF(DB!D237=0,"",DB!D237)</f>
        <v/>
      </c>
      <c r="B236" s="106" t="str">
        <f>IF(DB!D237=0,"",CONCATENATE("  ",DB!E237))</f>
        <v/>
      </c>
      <c r="C236" s="105" t="str">
        <f>IF(DB!D238=0,"",DB!D238)</f>
        <v/>
      </c>
      <c r="D236" s="106" t="str">
        <f>IF(DB!D237=0,"",CONCATENATE("  ",DB!E238))</f>
        <v/>
      </c>
    </row>
    <row r="237" spans="1:4" ht="52.8" x14ac:dyDescent="0.3">
      <c r="A237" s="128" t="str">
        <f>IF(A238="","",IF(ISNUMBER(LOOKUP("Â",Code128(A238),1)),"Error!",Code128(A238)))</f>
        <v/>
      </c>
      <c r="B237" s="128"/>
      <c r="C237" s="128" t="str">
        <f>IF(C238="","",IF(ISNUMBER(LOOKUP("Â",Code128(C238),1)),"Error!",Code128(C238)))</f>
        <v/>
      </c>
      <c r="D237" s="128"/>
    </row>
    <row r="238" spans="1:4" x14ac:dyDescent="0.3">
      <c r="A238" s="105" t="str">
        <f>IF(DB!D239=0,"",DB!D239)</f>
        <v/>
      </c>
      <c r="B238" s="106" t="str">
        <f>IF(DB!D239=0,"",CONCATENATE("  ",DB!E239))</f>
        <v/>
      </c>
      <c r="C238" s="105" t="str">
        <f>IF(DB!D240=0,"",DB!D240)</f>
        <v/>
      </c>
      <c r="D238" s="106" t="str">
        <f>IF(DB!D239=0,"",CONCATENATE("  ",DB!E240))</f>
        <v/>
      </c>
    </row>
    <row r="239" spans="1:4" ht="52.8" x14ac:dyDescent="0.3">
      <c r="A239" s="128" t="str">
        <f>IF(A240="","",IF(ISNUMBER(LOOKUP("Â",Code128(A240),1)),"Error!",Code128(A240)))</f>
        <v/>
      </c>
      <c r="B239" s="128"/>
      <c r="C239" s="128" t="str">
        <f>IF(C240="","",IF(ISNUMBER(LOOKUP("Â",Code128(C240),1)),"Error!",Code128(C240)))</f>
        <v/>
      </c>
      <c r="D239" s="128"/>
    </row>
    <row r="240" spans="1:4" x14ac:dyDescent="0.3">
      <c r="A240" s="105" t="str">
        <f>IF(DB!D241=0,"",DB!D241)</f>
        <v/>
      </c>
      <c r="B240" s="106" t="str">
        <f>IF(DB!D241=0,"",CONCATENATE("  ",DB!E241))</f>
        <v/>
      </c>
      <c r="C240" s="105" t="str">
        <f>IF(DB!D242=0,"",DB!D242)</f>
        <v/>
      </c>
      <c r="D240" s="106" t="str">
        <f>IF(DB!D241=0,"",CONCATENATE("  ",DB!E242))</f>
        <v/>
      </c>
    </row>
    <row r="241" spans="1:4" ht="52.8" x14ac:dyDescent="0.3">
      <c r="A241" s="128" t="str">
        <f>IF(A242="","",IF(ISNUMBER(LOOKUP("Â",Code128(A242),1)),"Error!",Code128(A242)))</f>
        <v/>
      </c>
      <c r="B241" s="128"/>
      <c r="C241" s="128" t="str">
        <f>IF(C242="","",IF(ISNUMBER(LOOKUP("Â",Code128(C242),1)),"Error!",Code128(C242)))</f>
        <v/>
      </c>
      <c r="D241" s="128"/>
    </row>
    <row r="242" spans="1:4" x14ac:dyDescent="0.3">
      <c r="A242" s="105" t="str">
        <f>IF(DB!D243=0,"",DB!D243)</f>
        <v/>
      </c>
      <c r="B242" s="106" t="str">
        <f>IF(DB!D243=0,"",CONCATENATE("  ",DB!E243))</f>
        <v/>
      </c>
      <c r="C242" s="105" t="str">
        <f>IF(DB!D244=0,"",DB!D244)</f>
        <v/>
      </c>
      <c r="D242" s="106" t="str">
        <f>IF(DB!D243=0,"",CONCATENATE("  ",DB!E244))</f>
        <v/>
      </c>
    </row>
    <row r="243" spans="1:4" ht="52.8" x14ac:dyDescent="0.3">
      <c r="A243" s="128" t="str">
        <f>IF(A244="","",IF(ISNUMBER(LOOKUP("Â",Code128(A244),1)),"Error!",Code128(A244)))</f>
        <v/>
      </c>
      <c r="B243" s="128"/>
      <c r="C243" s="128" t="str">
        <f>IF(C244="","",IF(ISNUMBER(LOOKUP("Â",Code128(C244),1)),"Error!",Code128(C244)))</f>
        <v/>
      </c>
      <c r="D243" s="128"/>
    </row>
    <row r="244" spans="1:4" x14ac:dyDescent="0.3">
      <c r="A244" s="105" t="str">
        <f>IF(DB!D245=0,"",DB!D245)</f>
        <v/>
      </c>
      <c r="B244" s="106" t="str">
        <f>IF(DB!D245=0,"",CONCATENATE("  ",DB!E245))</f>
        <v/>
      </c>
      <c r="C244" s="105" t="str">
        <f>IF(DB!D246=0,"",DB!D246)</f>
        <v/>
      </c>
      <c r="D244" s="106" t="str">
        <f>IF(DB!D245=0,"",CONCATENATE("  ",DB!E246))</f>
        <v/>
      </c>
    </row>
    <row r="245" spans="1:4" ht="52.8" x14ac:dyDescent="0.3">
      <c r="A245" s="128" t="str">
        <f>IF(A246="","",IF(ISNUMBER(LOOKUP("Â",Code128(A246),1)),"Error!",Code128(A246)))</f>
        <v/>
      </c>
      <c r="B245" s="128"/>
      <c r="C245" s="128" t="str">
        <f>IF(C246="","",IF(ISNUMBER(LOOKUP("Â",Code128(C246),1)),"Error!",Code128(C246)))</f>
        <v/>
      </c>
      <c r="D245" s="128"/>
    </row>
    <row r="246" spans="1:4" x14ac:dyDescent="0.3">
      <c r="A246" s="105" t="str">
        <f>IF(DB!D247=0,"",DB!D247)</f>
        <v/>
      </c>
      <c r="B246" s="106" t="str">
        <f>IF(DB!D247=0,"",CONCATENATE("  ",DB!E247))</f>
        <v/>
      </c>
      <c r="C246" s="105" t="str">
        <f>IF(DB!D248=0,"",DB!D248)</f>
        <v/>
      </c>
      <c r="D246" s="106" t="str">
        <f>IF(DB!D247=0,"",CONCATENATE("  ",DB!E248))</f>
        <v/>
      </c>
    </row>
    <row r="247" spans="1:4" ht="52.8" x14ac:dyDescent="0.3">
      <c r="A247" s="128" t="str">
        <f>IF(A248="","",IF(ISNUMBER(LOOKUP("Â",Code128(A248),1)),"Error!",Code128(A248)))</f>
        <v/>
      </c>
      <c r="B247" s="128"/>
      <c r="C247" s="128" t="str">
        <f>IF(C248="","",IF(ISNUMBER(LOOKUP("Â",Code128(C248),1)),"Error!",Code128(C248)))</f>
        <v/>
      </c>
      <c r="D247" s="128"/>
    </row>
    <row r="248" spans="1:4" x14ac:dyDescent="0.3">
      <c r="A248" s="105" t="str">
        <f>IF(DB!D249=0,"",DB!D249)</f>
        <v/>
      </c>
      <c r="B248" s="106" t="str">
        <f>IF(DB!D249=0,"",CONCATENATE("  ",DB!E249))</f>
        <v/>
      </c>
      <c r="C248" s="105" t="str">
        <f>IF(DB!D250=0,"",DB!D250)</f>
        <v/>
      </c>
      <c r="D248" s="106" t="str">
        <f>IF(DB!D249=0,"",CONCATENATE("  ",DB!E250))</f>
        <v/>
      </c>
    </row>
    <row r="249" spans="1:4" ht="52.8" x14ac:dyDescent="0.3">
      <c r="A249" s="128" t="str">
        <f>IF(A250="","",IF(ISNUMBER(LOOKUP("Â",Code128(A250),1)),"Error!",Code128(A250)))</f>
        <v/>
      </c>
      <c r="B249" s="128"/>
      <c r="C249" s="128" t="str">
        <f>IF(C250="","",IF(ISNUMBER(LOOKUP("Â",Code128(C250),1)),"Error!",Code128(C250)))</f>
        <v/>
      </c>
      <c r="D249" s="128"/>
    </row>
    <row r="250" spans="1:4" x14ac:dyDescent="0.3">
      <c r="A250" s="105" t="str">
        <f>IF(DB!D251=0,"",DB!D251)</f>
        <v/>
      </c>
      <c r="B250" s="106" t="str">
        <f>IF(DB!D251=0,"",CONCATENATE("  ",DB!E251))</f>
        <v/>
      </c>
      <c r="C250" s="105" t="str">
        <f>IF(DB!D252=0,"",DB!D252)</f>
        <v/>
      </c>
      <c r="D250" s="106" t="str">
        <f>IF(DB!D251=0,"",CONCATENATE("  ",DB!E252))</f>
        <v/>
      </c>
    </row>
    <row r="251" spans="1:4" ht="52.8" x14ac:dyDescent="0.3">
      <c r="A251" s="128" t="str">
        <f>IF(A252="","",IF(ISNUMBER(LOOKUP("Â",Code128(A252),1)),"Error!",Code128(A252)))</f>
        <v/>
      </c>
      <c r="B251" s="128"/>
      <c r="C251" s="128" t="str">
        <f>IF(C252="","",IF(ISNUMBER(LOOKUP("Â",Code128(C252),1)),"Error!",Code128(C252)))</f>
        <v/>
      </c>
      <c r="D251" s="128"/>
    </row>
    <row r="252" spans="1:4" x14ac:dyDescent="0.3">
      <c r="A252" s="105" t="str">
        <f>IF(DB!D253=0,"",DB!D253)</f>
        <v/>
      </c>
      <c r="B252" s="106" t="str">
        <f>IF(DB!D253=0,"",CONCATENATE("  ",DB!E253))</f>
        <v/>
      </c>
      <c r="C252" s="105" t="str">
        <f>IF(DB!D254=0,"",DB!D254)</f>
        <v/>
      </c>
      <c r="D252" s="106" t="str">
        <f>IF(DB!D253=0,"",CONCATENATE("  ",DB!E254))</f>
        <v/>
      </c>
    </row>
    <row r="253" spans="1:4" ht="52.8" x14ac:dyDescent="0.3">
      <c r="A253" s="128" t="str">
        <f>IF(A254="","",IF(ISNUMBER(LOOKUP("Â",Code128(A254),1)),"Error!",Code128(A254)))</f>
        <v/>
      </c>
      <c r="B253" s="128"/>
      <c r="C253" s="128" t="str">
        <f>IF(C254="","",IF(ISNUMBER(LOOKUP("Â",Code128(C254),1)),"Error!",Code128(C254)))</f>
        <v/>
      </c>
      <c r="D253" s="128"/>
    </row>
    <row r="254" spans="1:4" x14ac:dyDescent="0.3">
      <c r="A254" s="105" t="str">
        <f>IF(DB!D255=0,"",DB!D255)</f>
        <v/>
      </c>
      <c r="B254" s="106" t="str">
        <f>IF(DB!D255=0,"",CONCATENATE("  ",DB!E255))</f>
        <v/>
      </c>
      <c r="C254" s="105" t="str">
        <f>IF(DB!D256=0,"",DB!D256)</f>
        <v/>
      </c>
      <c r="D254" s="106" t="str">
        <f>IF(DB!D255=0,"",CONCATENATE("  ",DB!E256))</f>
        <v/>
      </c>
    </row>
    <row r="255" spans="1:4" ht="52.8" x14ac:dyDescent="0.3">
      <c r="A255" s="128" t="str">
        <f>IF(A256="","",IF(ISNUMBER(LOOKUP("Â",Code128(A256),1)),"Error!",Code128(A256)))</f>
        <v/>
      </c>
      <c r="B255" s="128"/>
      <c r="C255" s="128" t="str">
        <f>IF(C256="","",IF(ISNUMBER(LOOKUP("Â",Code128(C256),1)),"Error!",Code128(C256)))</f>
        <v/>
      </c>
      <c r="D255" s="128"/>
    </row>
    <row r="256" spans="1:4" x14ac:dyDescent="0.3">
      <c r="A256" s="105" t="str">
        <f>IF(DB!D257=0,"",DB!D257)</f>
        <v/>
      </c>
      <c r="B256" s="106" t="str">
        <f>IF(DB!D257=0,"",CONCATENATE("  ",DB!E257))</f>
        <v/>
      </c>
      <c r="C256" s="105" t="str">
        <f>IF(DB!D258=0,"",DB!D258)</f>
        <v/>
      </c>
      <c r="D256" s="106" t="str">
        <f>IF(DB!D257=0,"",CONCATENATE("  ",DB!E258))</f>
        <v/>
      </c>
    </row>
    <row r="257" spans="1:4" ht="52.8" x14ac:dyDescent="0.3">
      <c r="A257" s="128" t="str">
        <f>IF(A258="","",IF(ISNUMBER(LOOKUP("Â",Code128(A258),1)),"Error!",Code128(A258)))</f>
        <v/>
      </c>
      <c r="B257" s="128"/>
      <c r="C257" s="128" t="str">
        <f>IF(C258="","",IF(ISNUMBER(LOOKUP("Â",Code128(C258),1)),"Error!",Code128(C258)))</f>
        <v/>
      </c>
      <c r="D257" s="128"/>
    </row>
    <row r="258" spans="1:4" x14ac:dyDescent="0.3">
      <c r="A258" s="105" t="str">
        <f>IF(DB!D259=0,"",DB!D259)</f>
        <v/>
      </c>
      <c r="B258" s="106" t="str">
        <f>IF(DB!D259=0,"",CONCATENATE("  ",DB!E259))</f>
        <v/>
      </c>
      <c r="C258" s="105" t="str">
        <f>IF(DB!D260=0,"",DB!D260)</f>
        <v/>
      </c>
      <c r="D258" s="106" t="str">
        <f>IF(DB!D259=0,"",CONCATENATE("  ",DB!E260))</f>
        <v/>
      </c>
    </row>
    <row r="259" spans="1:4" ht="52.8" x14ac:dyDescent="0.3">
      <c r="A259" s="128" t="str">
        <f>IF(A260="","",IF(ISNUMBER(LOOKUP("Â",Code128(A260),1)),"Error!",Code128(A260)))</f>
        <v/>
      </c>
      <c r="B259" s="128"/>
      <c r="C259" s="128" t="str">
        <f>IF(C260="","",IF(ISNUMBER(LOOKUP("Â",Code128(C260),1)),"Error!",Code128(C260)))</f>
        <v/>
      </c>
      <c r="D259" s="128"/>
    </row>
    <row r="260" spans="1:4" x14ac:dyDescent="0.3">
      <c r="A260" s="105" t="str">
        <f>IF(DB!D261=0,"",DB!D261)</f>
        <v/>
      </c>
      <c r="B260" s="106" t="str">
        <f>IF(DB!D261=0,"",CONCATENATE("  ",DB!E261))</f>
        <v/>
      </c>
      <c r="C260" s="105" t="str">
        <f>IF(DB!D262=0,"",DB!D262)</f>
        <v/>
      </c>
      <c r="D260" s="106" t="str">
        <f>IF(DB!D261=0,"",CONCATENATE("  ",DB!E262))</f>
        <v/>
      </c>
    </row>
    <row r="261" spans="1:4" ht="52.8" x14ac:dyDescent="0.3">
      <c r="A261" s="128" t="str">
        <f>IF(A262="","",IF(ISNUMBER(LOOKUP("Â",Code128(A262),1)),"Error!",Code128(A262)))</f>
        <v/>
      </c>
      <c r="B261" s="128"/>
      <c r="C261" s="128" t="str">
        <f>IF(C262="","",IF(ISNUMBER(LOOKUP("Â",Code128(C262),1)),"Error!",Code128(C262)))</f>
        <v/>
      </c>
      <c r="D261" s="128"/>
    </row>
    <row r="262" spans="1:4" x14ac:dyDescent="0.3">
      <c r="A262" s="105" t="str">
        <f>IF(DB!D263=0,"",DB!D263)</f>
        <v/>
      </c>
      <c r="B262" s="106" t="str">
        <f>IF(DB!D263=0,"",CONCATENATE("  ",DB!E263))</f>
        <v/>
      </c>
      <c r="C262" s="105" t="str">
        <f>IF(DB!D264=0,"",DB!D264)</f>
        <v/>
      </c>
      <c r="D262" s="106" t="str">
        <f>IF(DB!D263=0,"",CONCATENATE("  ",DB!E264))</f>
        <v/>
      </c>
    </row>
    <row r="263" spans="1:4" ht="52.8" x14ac:dyDescent="0.3">
      <c r="A263" s="128" t="str">
        <f>IF(A264="","",IF(ISNUMBER(LOOKUP("Â",Code128(A264),1)),"Error!",Code128(A264)))</f>
        <v/>
      </c>
      <c r="B263" s="128"/>
      <c r="C263" s="128" t="str">
        <f>IF(C264="","",IF(ISNUMBER(LOOKUP("Â",Code128(C264),1)),"Error!",Code128(C264)))</f>
        <v/>
      </c>
      <c r="D263" s="128"/>
    </row>
    <row r="264" spans="1:4" x14ac:dyDescent="0.3">
      <c r="A264" s="105" t="str">
        <f>IF(DB!D265=0,"",DB!D265)</f>
        <v/>
      </c>
      <c r="B264" s="106" t="str">
        <f>IF(DB!D265=0,"",CONCATENATE("  ",DB!E265))</f>
        <v/>
      </c>
      <c r="C264" s="105" t="str">
        <f>IF(DB!D266=0,"",DB!D266)</f>
        <v/>
      </c>
      <c r="D264" s="106" t="str">
        <f>IF(DB!D265=0,"",CONCATENATE("  ",DB!E266))</f>
        <v/>
      </c>
    </row>
    <row r="265" spans="1:4" ht="52.8" x14ac:dyDescent="0.3">
      <c r="A265" s="128" t="str">
        <f>IF(A266="","",IF(ISNUMBER(LOOKUP("Â",Code128(A266),1)),"Error!",Code128(A266)))</f>
        <v/>
      </c>
      <c r="B265" s="128"/>
      <c r="C265" s="128" t="str">
        <f>IF(C266="","",IF(ISNUMBER(LOOKUP("Â",Code128(C266),1)),"Error!",Code128(C266)))</f>
        <v/>
      </c>
      <c r="D265" s="128"/>
    </row>
    <row r="266" spans="1:4" x14ac:dyDescent="0.3">
      <c r="A266" s="105" t="str">
        <f>IF(DB!D267=0,"",DB!D267)</f>
        <v/>
      </c>
      <c r="B266" s="106" t="str">
        <f>IF(DB!D267=0,"",CONCATENATE("  ",DB!E267))</f>
        <v/>
      </c>
      <c r="C266" s="105" t="str">
        <f>IF(DB!D268=0,"",DB!D268)</f>
        <v/>
      </c>
      <c r="D266" s="106" t="str">
        <f>IF(DB!D267=0,"",CONCATENATE("  ",DB!E268))</f>
        <v/>
      </c>
    </row>
    <row r="267" spans="1:4" ht="52.8" x14ac:dyDescent="0.3">
      <c r="A267" s="128" t="str">
        <f>IF(A268="","",IF(ISNUMBER(LOOKUP("Â",Code128(A268),1)),"Error!",Code128(A268)))</f>
        <v/>
      </c>
      <c r="B267" s="128"/>
      <c r="C267" s="128" t="str">
        <f>IF(C268="","",IF(ISNUMBER(LOOKUP("Â",Code128(C268),1)),"Error!",Code128(C268)))</f>
        <v/>
      </c>
      <c r="D267" s="128"/>
    </row>
    <row r="268" spans="1:4" x14ac:dyDescent="0.3">
      <c r="A268" s="105" t="str">
        <f>IF(DB!D269=0,"",DB!D269)</f>
        <v/>
      </c>
      <c r="B268" s="106" t="str">
        <f>IF(DB!D269=0,"",CONCATENATE("  ",DB!E269))</f>
        <v/>
      </c>
      <c r="C268" s="105" t="str">
        <f>IF(DB!D270=0,"",DB!D270)</f>
        <v/>
      </c>
      <c r="D268" s="106" t="str">
        <f>IF(DB!D269=0,"",CONCATENATE("  ",DB!E270))</f>
        <v/>
      </c>
    </row>
    <row r="269" spans="1:4" ht="52.8" x14ac:dyDescent="0.3">
      <c r="A269" s="128" t="str">
        <f>IF(A270="","",IF(ISNUMBER(LOOKUP("Â",Code128(A270),1)),"Error!",Code128(A270)))</f>
        <v/>
      </c>
      <c r="B269" s="128"/>
      <c r="C269" s="128" t="str">
        <f>IF(C270="","",IF(ISNUMBER(LOOKUP("Â",Code128(C270),1)),"Error!",Code128(C270)))</f>
        <v/>
      </c>
      <c r="D269" s="128"/>
    </row>
    <row r="270" spans="1:4" x14ac:dyDescent="0.3">
      <c r="A270" s="105" t="str">
        <f>IF(DB!D271=0,"",DB!D271)</f>
        <v/>
      </c>
      <c r="B270" s="106" t="str">
        <f>IF(DB!D271=0,"",CONCATENATE("  ",DB!E271))</f>
        <v/>
      </c>
      <c r="C270" s="105" t="str">
        <f>IF(DB!D272=0,"",DB!D272)</f>
        <v/>
      </c>
      <c r="D270" s="106" t="str">
        <f>IF(DB!D271=0,"",CONCATENATE("  ",DB!E272))</f>
        <v/>
      </c>
    </row>
    <row r="271" spans="1:4" ht="52.8" x14ac:dyDescent="0.3">
      <c r="A271" s="128" t="str">
        <f>IF(A272="","",IF(ISNUMBER(LOOKUP("Â",Code128(A272),1)),"Error!",Code128(A272)))</f>
        <v/>
      </c>
      <c r="B271" s="128"/>
      <c r="C271" s="128" t="str">
        <f>IF(C272="","",IF(ISNUMBER(LOOKUP("Â",Code128(C272),1)),"Error!",Code128(C272)))</f>
        <v/>
      </c>
      <c r="D271" s="128"/>
    </row>
    <row r="272" spans="1:4" x14ac:dyDescent="0.3">
      <c r="A272" s="105" t="str">
        <f>IF(DB!D273=0,"",DB!D273)</f>
        <v/>
      </c>
      <c r="B272" s="106" t="str">
        <f>IF(DB!D273=0,"",CONCATENATE("  ",DB!E273))</f>
        <v/>
      </c>
      <c r="C272" s="105" t="str">
        <f>IF(DB!D274=0,"",DB!D274)</f>
        <v/>
      </c>
      <c r="D272" s="106" t="str">
        <f>IF(DB!D273=0,"",CONCATENATE("  ",DB!E274))</f>
        <v/>
      </c>
    </row>
    <row r="273" spans="1:4" ht="52.8" x14ac:dyDescent="0.3">
      <c r="A273" s="128" t="str">
        <f>IF(A274="","",IF(ISNUMBER(LOOKUP("Â",Code128(A274),1)),"Error!",Code128(A274)))</f>
        <v/>
      </c>
      <c r="B273" s="128"/>
      <c r="C273" s="128" t="str">
        <f>IF(C274="","",IF(ISNUMBER(LOOKUP("Â",Code128(C274),1)),"Error!",Code128(C274)))</f>
        <v/>
      </c>
      <c r="D273" s="128"/>
    </row>
    <row r="274" spans="1:4" x14ac:dyDescent="0.3">
      <c r="A274" s="105" t="str">
        <f>IF(DB!D275=0,"",DB!D275)</f>
        <v/>
      </c>
      <c r="B274" s="106" t="str">
        <f>IF(DB!D275=0,"",CONCATENATE("  ",DB!E275))</f>
        <v/>
      </c>
      <c r="C274" s="105" t="str">
        <f>IF(DB!D276=0,"",DB!D276)</f>
        <v/>
      </c>
      <c r="D274" s="106" t="str">
        <f>IF(DB!D275=0,"",CONCATENATE("  ",DB!E276))</f>
        <v/>
      </c>
    </row>
    <row r="275" spans="1:4" ht="52.8" x14ac:dyDescent="0.3">
      <c r="A275" s="128" t="str">
        <f>IF(A276="","",IF(ISNUMBER(LOOKUP("Â",Code128(A276),1)),"Error!",Code128(A276)))</f>
        <v/>
      </c>
      <c r="B275" s="128"/>
      <c r="C275" s="128" t="str">
        <f>IF(C276="","",IF(ISNUMBER(LOOKUP("Â",Code128(C276),1)),"Error!",Code128(C276)))</f>
        <v/>
      </c>
      <c r="D275" s="128"/>
    </row>
    <row r="276" spans="1:4" x14ac:dyDescent="0.3">
      <c r="A276" s="105" t="str">
        <f>IF(DB!D277=0,"",DB!D277)</f>
        <v/>
      </c>
      <c r="B276" s="106" t="str">
        <f>IF(DB!D277=0,"",CONCATENATE("  ",DB!E277))</f>
        <v/>
      </c>
      <c r="C276" s="105" t="str">
        <f>IF(DB!D278=0,"",DB!D278)</f>
        <v/>
      </c>
      <c r="D276" s="106" t="str">
        <f>IF(DB!D277=0,"",CONCATENATE("  ",DB!E278))</f>
        <v/>
      </c>
    </row>
    <row r="277" spans="1:4" ht="52.8" x14ac:dyDescent="0.3">
      <c r="A277" s="128" t="str">
        <f>IF(A278="","",IF(ISNUMBER(LOOKUP("Â",Code128(A278),1)),"Error!",Code128(A278)))</f>
        <v/>
      </c>
      <c r="B277" s="128"/>
      <c r="C277" s="128" t="str">
        <f>IF(C278="","",IF(ISNUMBER(LOOKUP("Â",Code128(C278),1)),"Error!",Code128(C278)))</f>
        <v/>
      </c>
      <c r="D277" s="128"/>
    </row>
    <row r="278" spans="1:4" x14ac:dyDescent="0.3">
      <c r="A278" s="105" t="str">
        <f>IF(DB!D279=0,"",DB!D279)</f>
        <v/>
      </c>
      <c r="B278" s="106" t="str">
        <f>IF(DB!D279=0,"",CONCATENATE("  ",DB!E279))</f>
        <v/>
      </c>
      <c r="C278" s="105" t="str">
        <f>IF(DB!D280=0,"",DB!D280)</f>
        <v/>
      </c>
      <c r="D278" s="106" t="str">
        <f>IF(DB!D279=0,"",CONCATENATE("  ",DB!E280))</f>
        <v/>
      </c>
    </row>
    <row r="279" spans="1:4" ht="52.8" x14ac:dyDescent="0.3">
      <c r="A279" s="128" t="str">
        <f>IF(A280="","",IF(ISNUMBER(LOOKUP("Â",Code128(A280),1)),"Error!",Code128(A280)))</f>
        <v/>
      </c>
      <c r="B279" s="128"/>
      <c r="C279" s="128" t="str">
        <f>IF(C280="","",IF(ISNUMBER(LOOKUP("Â",Code128(C280),1)),"Error!",Code128(C280)))</f>
        <v/>
      </c>
      <c r="D279" s="128"/>
    </row>
    <row r="280" spans="1:4" x14ac:dyDescent="0.3">
      <c r="A280" s="105" t="str">
        <f>IF(DB!D281=0,"",DB!D281)</f>
        <v/>
      </c>
      <c r="B280" s="106" t="str">
        <f>IF(DB!D281=0,"",CONCATENATE("  ",DB!E281))</f>
        <v/>
      </c>
      <c r="C280" s="105" t="str">
        <f>IF(DB!D282=0,"",DB!D282)</f>
        <v/>
      </c>
      <c r="D280" s="106" t="str">
        <f>IF(DB!D281=0,"",CONCATENATE("  ",DB!E282))</f>
        <v/>
      </c>
    </row>
    <row r="281" spans="1:4" ht="52.8" x14ac:dyDescent="0.3">
      <c r="A281" s="128" t="str">
        <f>IF(A282="","",IF(ISNUMBER(LOOKUP("Â",Code128(A282),1)),"Error!",Code128(A282)))</f>
        <v/>
      </c>
      <c r="B281" s="128"/>
      <c r="C281" s="128" t="str">
        <f>IF(C282="","",IF(ISNUMBER(LOOKUP("Â",Code128(C282),1)),"Error!",Code128(C282)))</f>
        <v/>
      </c>
      <c r="D281" s="128"/>
    </row>
    <row r="282" spans="1:4" x14ac:dyDescent="0.3">
      <c r="A282" s="105" t="str">
        <f>IF(DB!D283=0,"",DB!D283)</f>
        <v/>
      </c>
      <c r="B282" s="106" t="str">
        <f>IF(DB!D283=0,"",CONCATENATE("  ",DB!E283))</f>
        <v/>
      </c>
      <c r="C282" s="105" t="str">
        <f>IF(DB!D284=0,"",DB!D284)</f>
        <v/>
      </c>
      <c r="D282" s="106" t="str">
        <f>IF(DB!D283=0,"",CONCATENATE("  ",DB!E284))</f>
        <v/>
      </c>
    </row>
    <row r="283" spans="1:4" ht="52.8" x14ac:dyDescent="0.3">
      <c r="A283" s="128" t="str">
        <f>IF(A284="","",IF(ISNUMBER(LOOKUP("Â",Code128(A284),1)),"Error!",Code128(A284)))</f>
        <v/>
      </c>
      <c r="B283" s="128"/>
      <c r="C283" s="128" t="str">
        <f>IF(C284="","",IF(ISNUMBER(LOOKUP("Â",Code128(C284),1)),"Error!",Code128(C284)))</f>
        <v/>
      </c>
      <c r="D283" s="128"/>
    </row>
    <row r="284" spans="1:4" x14ac:dyDescent="0.3">
      <c r="A284" s="105" t="str">
        <f>IF(DB!D285=0,"",DB!D285)</f>
        <v/>
      </c>
      <c r="B284" s="106" t="str">
        <f>IF(DB!D285=0,"",CONCATENATE("  ",DB!E285))</f>
        <v/>
      </c>
      <c r="C284" s="105" t="str">
        <f>IF(DB!D286=0,"",DB!D286)</f>
        <v/>
      </c>
      <c r="D284" s="106" t="str">
        <f>IF(DB!D285=0,"",CONCATENATE("  ",DB!E286))</f>
        <v/>
      </c>
    </row>
    <row r="285" spans="1:4" ht="52.8" x14ac:dyDescent="0.3">
      <c r="A285" s="128" t="str">
        <f>IF(A286="","",IF(ISNUMBER(LOOKUP("Â",Code128(A286),1)),"Error!",Code128(A286)))</f>
        <v/>
      </c>
      <c r="B285" s="128"/>
      <c r="C285" s="128" t="str">
        <f>IF(C286="","",IF(ISNUMBER(LOOKUP("Â",Code128(C286),1)),"Error!",Code128(C286)))</f>
        <v/>
      </c>
      <c r="D285" s="128"/>
    </row>
    <row r="286" spans="1:4" x14ac:dyDescent="0.3">
      <c r="A286" s="105" t="str">
        <f>IF(DB!D287=0,"",DB!D287)</f>
        <v/>
      </c>
      <c r="B286" s="106" t="str">
        <f>IF(DB!D287=0,"",CONCATENATE("  ",DB!E287))</f>
        <v/>
      </c>
      <c r="C286" s="105" t="str">
        <f>IF(DB!D288=0,"",DB!D288)</f>
        <v/>
      </c>
      <c r="D286" s="106" t="str">
        <f>IF(DB!D287=0,"",CONCATENATE("  ",DB!E288))</f>
        <v/>
      </c>
    </row>
    <row r="287" spans="1:4" ht="52.8" x14ac:dyDescent="0.3">
      <c r="A287" s="128" t="str">
        <f>IF(A288="","",IF(ISNUMBER(LOOKUP("Â",Code128(A288),1)),"Error!",Code128(A288)))</f>
        <v/>
      </c>
      <c r="B287" s="128"/>
      <c r="C287" s="128" t="str">
        <f>IF(C288="","",IF(ISNUMBER(LOOKUP("Â",Code128(C288),1)),"Error!",Code128(C288)))</f>
        <v/>
      </c>
      <c r="D287" s="128"/>
    </row>
    <row r="288" spans="1:4" x14ac:dyDescent="0.3">
      <c r="A288" s="105" t="str">
        <f>IF(DB!D289=0,"",DB!D289)</f>
        <v/>
      </c>
      <c r="B288" s="106" t="str">
        <f>IF(DB!D289=0,"",CONCATENATE("  ",DB!E289))</f>
        <v/>
      </c>
      <c r="C288" s="105" t="str">
        <f>IF(DB!D290=0,"",DB!D290)</f>
        <v/>
      </c>
      <c r="D288" s="106" t="str">
        <f>IF(DB!D289=0,"",CONCATENATE("  ",DB!E290))</f>
        <v/>
      </c>
    </row>
    <row r="289" spans="1:4" ht="52.8" x14ac:dyDescent="0.3">
      <c r="A289" s="128" t="str">
        <f>IF(A290="","",IF(ISNUMBER(LOOKUP("Â",Code128(A290),1)),"Error!",Code128(A290)))</f>
        <v/>
      </c>
      <c r="B289" s="128"/>
      <c r="C289" s="128" t="str">
        <f>IF(C290="","",IF(ISNUMBER(LOOKUP("Â",Code128(C290),1)),"Error!",Code128(C290)))</f>
        <v/>
      </c>
      <c r="D289" s="128"/>
    </row>
    <row r="290" spans="1:4" x14ac:dyDescent="0.3">
      <c r="A290" s="105" t="str">
        <f>IF(DB!D291=0,"",DB!D291)</f>
        <v/>
      </c>
      <c r="B290" s="106" t="str">
        <f>IF(DB!D291=0,"",CONCATENATE("  ",DB!E291))</f>
        <v/>
      </c>
      <c r="C290" s="105" t="str">
        <f>IF(DB!D292=0,"",DB!D292)</f>
        <v/>
      </c>
      <c r="D290" s="106" t="str">
        <f>IF(DB!D291=0,"",CONCATENATE("  ",DB!E292))</f>
        <v/>
      </c>
    </row>
    <row r="291" spans="1:4" ht="52.8" x14ac:dyDescent="0.3">
      <c r="A291" s="128" t="str">
        <f>IF(A292="","",IF(ISNUMBER(LOOKUP("Â",Code128(A292),1)),"Error!",Code128(A292)))</f>
        <v/>
      </c>
      <c r="B291" s="128"/>
      <c r="C291" s="128" t="str">
        <f>IF(C292="","",IF(ISNUMBER(LOOKUP("Â",Code128(C292),1)),"Error!",Code128(C292)))</f>
        <v/>
      </c>
      <c r="D291" s="128"/>
    </row>
    <row r="292" spans="1:4" x14ac:dyDescent="0.3">
      <c r="A292" s="105" t="str">
        <f>IF(DB!D293=0,"",DB!D293)</f>
        <v/>
      </c>
      <c r="B292" s="106" t="str">
        <f>IF(DB!D293=0,"",CONCATENATE("  ",DB!E293))</f>
        <v/>
      </c>
      <c r="C292" s="105" t="str">
        <f>IF(DB!D294=0,"",DB!D294)</f>
        <v/>
      </c>
      <c r="D292" s="106" t="str">
        <f>IF(DB!D293=0,"",CONCATENATE("  ",DB!E294))</f>
        <v/>
      </c>
    </row>
    <row r="293" spans="1:4" ht="52.8" x14ac:dyDescent="0.3">
      <c r="A293" s="128" t="str">
        <f>IF(A294="","",IF(ISNUMBER(LOOKUP("Â",Code128(A294),1)),"Error!",Code128(A294)))</f>
        <v/>
      </c>
      <c r="B293" s="128"/>
      <c r="C293" s="128" t="str">
        <f>IF(C294="","",IF(ISNUMBER(LOOKUP("Â",Code128(C294),1)),"Error!",Code128(C294)))</f>
        <v/>
      </c>
      <c r="D293" s="128"/>
    </row>
    <row r="294" spans="1:4" x14ac:dyDescent="0.3">
      <c r="A294" s="105" t="str">
        <f>IF(DB!D295=0,"",DB!D295)</f>
        <v/>
      </c>
      <c r="B294" s="106" t="str">
        <f>IF(DB!D295=0,"",CONCATENATE("  ",DB!E295))</f>
        <v/>
      </c>
      <c r="C294" s="105" t="str">
        <f>IF(DB!D296=0,"",DB!D296)</f>
        <v/>
      </c>
      <c r="D294" s="106" t="str">
        <f>IF(DB!D295=0,"",CONCATENATE("  ",DB!E296))</f>
        <v/>
      </c>
    </row>
    <row r="295" spans="1:4" ht="52.8" x14ac:dyDescent="0.3">
      <c r="A295" s="128" t="str">
        <f>IF(A296="","",IF(ISNUMBER(LOOKUP("Â",Code128(A296),1)),"Error!",Code128(A296)))</f>
        <v/>
      </c>
      <c r="B295" s="128"/>
      <c r="C295" s="128" t="str">
        <f>IF(C296="","",IF(ISNUMBER(LOOKUP("Â",Code128(C296),1)),"Error!",Code128(C296)))</f>
        <v/>
      </c>
      <c r="D295" s="128"/>
    </row>
    <row r="296" spans="1:4" x14ac:dyDescent="0.3">
      <c r="A296" s="105" t="str">
        <f>IF(DB!D297=0,"",DB!D297)</f>
        <v/>
      </c>
      <c r="B296" s="106" t="str">
        <f>IF(DB!D297=0,"",CONCATENATE("  ",DB!E297))</f>
        <v/>
      </c>
      <c r="C296" s="105" t="str">
        <f>IF(DB!D298=0,"",DB!D298)</f>
        <v/>
      </c>
      <c r="D296" s="106" t="str">
        <f>IF(DB!D297=0,"",CONCATENATE("  ",DB!E298))</f>
        <v/>
      </c>
    </row>
    <row r="297" spans="1:4" ht="52.8" x14ac:dyDescent="0.3">
      <c r="A297" s="128" t="str">
        <f>IF(A298="","",IF(ISNUMBER(LOOKUP("Â",Code128(A298),1)),"Error!",Code128(A298)))</f>
        <v/>
      </c>
      <c r="B297" s="128"/>
      <c r="C297" s="128" t="str">
        <f>IF(C298="","",IF(ISNUMBER(LOOKUP("Â",Code128(C298),1)),"Error!",Code128(C298)))</f>
        <v/>
      </c>
      <c r="D297" s="128"/>
    </row>
    <row r="298" spans="1:4" x14ac:dyDescent="0.3">
      <c r="A298" s="105" t="str">
        <f>IF(DB!D299=0,"",DB!D299)</f>
        <v/>
      </c>
      <c r="B298" s="106" t="str">
        <f>IF(DB!D299=0,"",CONCATENATE("  ",DB!E299))</f>
        <v/>
      </c>
      <c r="C298" s="105" t="str">
        <f>IF(DB!D300=0,"",DB!D300)</f>
        <v/>
      </c>
      <c r="D298" s="106" t="str">
        <f>IF(DB!D299=0,"",CONCATENATE("  ",DB!E300))</f>
        <v/>
      </c>
    </row>
    <row r="299" spans="1:4" ht="52.8" x14ac:dyDescent="0.3">
      <c r="A299" s="128" t="str">
        <f>IF(A300="","",IF(ISNUMBER(LOOKUP("Â",Code128(A300),1)),"Error!",Code128(A300)))</f>
        <v/>
      </c>
      <c r="B299" s="128"/>
      <c r="C299" s="128" t="str">
        <f>IF(C300="","",IF(ISNUMBER(LOOKUP("Â",Code128(C300),1)),"Error!",Code128(C300)))</f>
        <v/>
      </c>
      <c r="D299" s="128"/>
    </row>
    <row r="300" spans="1:4" x14ac:dyDescent="0.3">
      <c r="A300" s="105" t="str">
        <f>IF(DB!D301=0,"",DB!D301)</f>
        <v/>
      </c>
      <c r="B300" s="106" t="str">
        <f>IF(DB!D301=0,"",CONCATENATE("  ",DB!E301))</f>
        <v/>
      </c>
      <c r="C300" s="105" t="str">
        <f>IF(DB!D302=0,"",DB!D302)</f>
        <v/>
      </c>
      <c r="D300" s="106" t="str">
        <f>IF(DB!D301=0,"",CONCATENATE("  ",DB!E302))</f>
        <v/>
      </c>
    </row>
    <row r="301" spans="1:4" ht="52.8" x14ac:dyDescent="0.3">
      <c r="A301" s="128" t="str">
        <f>IF(A302="","",IF(ISNUMBER(LOOKUP("Â",Code128(A302),1)),"Error!",Code128(A302)))</f>
        <v/>
      </c>
      <c r="B301" s="128"/>
      <c r="C301" s="128" t="str">
        <f>IF(C302="","",IF(ISNUMBER(LOOKUP("Â",Code128(C302),1)),"Error!",Code128(C302)))</f>
        <v/>
      </c>
      <c r="D301" s="128"/>
    </row>
    <row r="302" spans="1:4" x14ac:dyDescent="0.3">
      <c r="A302" s="105" t="str">
        <f>IF(DB!D303=0,"",DB!D303)</f>
        <v/>
      </c>
      <c r="B302" s="106" t="str">
        <f>IF(DB!D303=0,"",CONCATENATE("  ",DB!E303))</f>
        <v/>
      </c>
      <c r="C302" s="105" t="str">
        <f>IF(DB!D304=0,"",DB!D304)</f>
        <v/>
      </c>
      <c r="D302" s="106" t="str">
        <f>IF(DB!D303=0,"",CONCATENATE("  ",DB!E304))</f>
        <v/>
      </c>
    </row>
    <row r="303" spans="1:4" ht="52.8" x14ac:dyDescent="0.3">
      <c r="A303" s="128" t="str">
        <f>IF(A304="","",IF(ISNUMBER(LOOKUP("Â",Code128(A304),1)),"Error!",Code128(A304)))</f>
        <v/>
      </c>
      <c r="B303" s="128"/>
      <c r="C303" s="128" t="str">
        <f>IF(C304="","",IF(ISNUMBER(LOOKUP("Â",Code128(C304),1)),"Error!",Code128(C304)))</f>
        <v/>
      </c>
      <c r="D303" s="128"/>
    </row>
    <row r="304" spans="1:4" x14ac:dyDescent="0.3">
      <c r="A304" s="105" t="str">
        <f>IF(DB!D305=0,"",DB!D305)</f>
        <v/>
      </c>
      <c r="B304" s="106" t="str">
        <f>IF(DB!D305=0,"",CONCATENATE("  ",DB!E305))</f>
        <v/>
      </c>
      <c r="C304" s="105" t="str">
        <f>IF(DB!D306=0,"",DB!D306)</f>
        <v/>
      </c>
      <c r="D304" s="106" t="str">
        <f>IF(DB!D305=0,"",CONCATENATE("  ",DB!E306))</f>
        <v/>
      </c>
    </row>
    <row r="305" spans="1:4" ht="52.8" x14ac:dyDescent="0.3">
      <c r="A305" s="128" t="str">
        <f>IF(A306="","",IF(ISNUMBER(LOOKUP("Â",Code128(A306),1)),"Error!",Code128(A306)))</f>
        <v/>
      </c>
      <c r="B305" s="128"/>
      <c r="C305" s="128" t="str">
        <f>IF(C306="","",IF(ISNUMBER(LOOKUP("Â",Code128(C306),1)),"Error!",Code128(C306)))</f>
        <v/>
      </c>
      <c r="D305" s="128"/>
    </row>
    <row r="306" spans="1:4" x14ac:dyDescent="0.3">
      <c r="A306" s="105" t="str">
        <f>IF(DB!D307=0,"",DB!D307)</f>
        <v/>
      </c>
      <c r="B306" s="106" t="str">
        <f>IF(DB!D307=0,"",CONCATENATE("  ",DB!E307))</f>
        <v/>
      </c>
      <c r="C306" s="105" t="str">
        <f>IF(DB!D308=0,"",DB!D308)</f>
        <v/>
      </c>
      <c r="D306" s="106" t="str">
        <f>IF(DB!D307=0,"",CONCATENATE("  ",DB!E308))</f>
        <v/>
      </c>
    </row>
    <row r="307" spans="1:4" ht="52.8" x14ac:dyDescent="0.3">
      <c r="A307" s="128" t="str">
        <f>IF(A308="","",IF(ISNUMBER(LOOKUP("Â",Code128(A308),1)),"Error!",Code128(A308)))</f>
        <v/>
      </c>
      <c r="B307" s="128"/>
      <c r="C307" s="128" t="str">
        <f>IF(C308="","",IF(ISNUMBER(LOOKUP("Â",Code128(C308),1)),"Error!",Code128(C308)))</f>
        <v/>
      </c>
      <c r="D307" s="128"/>
    </row>
    <row r="308" spans="1:4" x14ac:dyDescent="0.3">
      <c r="A308" s="105" t="str">
        <f>IF(DB!D309=0,"",DB!D309)</f>
        <v/>
      </c>
      <c r="B308" s="106" t="str">
        <f>IF(DB!D309=0,"",CONCATENATE("  ",DB!E309))</f>
        <v/>
      </c>
      <c r="C308" s="105" t="str">
        <f>IF(DB!D310=0,"",DB!D310)</f>
        <v/>
      </c>
      <c r="D308" s="106" t="str">
        <f>IF(DB!D309=0,"",CONCATENATE("  ",DB!E310))</f>
        <v/>
      </c>
    </row>
    <row r="309" spans="1:4" ht="52.8" x14ac:dyDescent="0.3">
      <c r="A309" s="128" t="str">
        <f>IF(A310="","",IF(ISNUMBER(LOOKUP("Â",Code128(A310),1)),"Error!",Code128(A310)))</f>
        <v/>
      </c>
      <c r="B309" s="128"/>
      <c r="C309" s="128" t="str">
        <f>IF(C310="","",IF(ISNUMBER(LOOKUP("Â",Code128(C310),1)),"Error!",Code128(C310)))</f>
        <v/>
      </c>
      <c r="D309" s="128"/>
    </row>
    <row r="310" spans="1:4" x14ac:dyDescent="0.3">
      <c r="A310" s="105" t="str">
        <f>IF(DB!D311=0,"",DB!D311)</f>
        <v/>
      </c>
      <c r="B310" s="106" t="str">
        <f>IF(DB!D311=0,"",CONCATENATE("  ",DB!E311))</f>
        <v/>
      </c>
      <c r="C310" s="105" t="str">
        <f>IF(DB!D312=0,"",DB!D312)</f>
        <v/>
      </c>
      <c r="D310" s="106" t="str">
        <f>IF(DB!D311=0,"",CONCATENATE("  ",DB!E312))</f>
        <v/>
      </c>
    </row>
    <row r="311" spans="1:4" ht="52.8" x14ac:dyDescent="0.3">
      <c r="A311" s="128" t="str">
        <f>IF(A312="","",IF(ISNUMBER(LOOKUP("Â",Code128(A312),1)),"Error!",Code128(A312)))</f>
        <v/>
      </c>
      <c r="B311" s="128"/>
      <c r="C311" s="128" t="str">
        <f>IF(C312="","",IF(ISNUMBER(LOOKUP("Â",Code128(C312),1)),"Error!",Code128(C312)))</f>
        <v/>
      </c>
      <c r="D311" s="128"/>
    </row>
    <row r="312" spans="1:4" x14ac:dyDescent="0.3">
      <c r="A312" s="105" t="str">
        <f>IF(DB!D313=0,"",DB!D313)</f>
        <v/>
      </c>
      <c r="B312" s="106" t="str">
        <f>IF(DB!D313=0,"",CONCATENATE("  ",DB!E313))</f>
        <v/>
      </c>
      <c r="C312" s="105" t="str">
        <f>IF(DB!D314=0,"",DB!D314)</f>
        <v/>
      </c>
      <c r="D312" s="106" t="str">
        <f>IF(DB!D313=0,"",CONCATENATE("  ",DB!E314))</f>
        <v/>
      </c>
    </row>
    <row r="313" spans="1:4" ht="52.8" x14ac:dyDescent="0.3">
      <c r="A313" s="128" t="str">
        <f>IF(A314="","",IF(ISNUMBER(LOOKUP("Â",Code128(A314),1)),"Error!",Code128(A314)))</f>
        <v/>
      </c>
      <c r="B313" s="128"/>
      <c r="C313" s="128" t="str">
        <f>IF(C314="","",IF(ISNUMBER(LOOKUP("Â",Code128(C314),1)),"Error!",Code128(C314)))</f>
        <v/>
      </c>
      <c r="D313" s="128"/>
    </row>
    <row r="314" spans="1:4" x14ac:dyDescent="0.3">
      <c r="A314" s="105" t="str">
        <f>IF(DB!D315=0,"",DB!D315)</f>
        <v/>
      </c>
      <c r="B314" s="106" t="str">
        <f>IF(DB!D315=0,"",CONCATENATE("  ",DB!E315))</f>
        <v/>
      </c>
      <c r="C314" s="105" t="str">
        <f>IF(DB!D316=0,"",DB!D316)</f>
        <v/>
      </c>
      <c r="D314" s="106" t="str">
        <f>IF(DB!D315=0,"",CONCATENATE("  ",DB!E316))</f>
        <v/>
      </c>
    </row>
    <row r="315" spans="1:4" ht="52.8" x14ac:dyDescent="0.3">
      <c r="A315" s="128" t="str">
        <f>IF(A316="","",IF(ISNUMBER(LOOKUP("Â",Code128(A316),1)),"Error!",Code128(A316)))</f>
        <v/>
      </c>
      <c r="B315" s="128"/>
      <c r="C315" s="128" t="str">
        <f>IF(C316="","",IF(ISNUMBER(LOOKUP("Â",Code128(C316),1)),"Error!",Code128(C316)))</f>
        <v/>
      </c>
      <c r="D315" s="128"/>
    </row>
    <row r="316" spans="1:4" x14ac:dyDescent="0.3">
      <c r="A316" s="105" t="str">
        <f>IF(DB!D317=0,"",DB!D317)</f>
        <v/>
      </c>
      <c r="B316" s="106" t="str">
        <f>IF(DB!D317=0,"",CONCATENATE("  ",DB!E317))</f>
        <v/>
      </c>
      <c r="C316" s="105" t="str">
        <f>IF(DB!D318=0,"",DB!D318)</f>
        <v/>
      </c>
      <c r="D316" s="106" t="str">
        <f>IF(DB!D317=0,"",CONCATENATE("  ",DB!E318))</f>
        <v/>
      </c>
    </row>
    <row r="317" spans="1:4" ht="52.8" x14ac:dyDescent="0.3">
      <c r="A317" s="128" t="str">
        <f>IF(A318="","",IF(ISNUMBER(LOOKUP("Â",Code128(A318),1)),"Error!",Code128(A318)))</f>
        <v/>
      </c>
      <c r="B317" s="128"/>
      <c r="C317" s="128" t="str">
        <f>IF(C318="","",IF(ISNUMBER(LOOKUP("Â",Code128(C318),1)),"Error!",Code128(C318)))</f>
        <v/>
      </c>
      <c r="D317" s="128"/>
    </row>
    <row r="318" spans="1:4" x14ac:dyDescent="0.3">
      <c r="A318" s="105" t="str">
        <f>IF(DB!D319=0,"",DB!D319)</f>
        <v/>
      </c>
      <c r="B318" s="106" t="str">
        <f>IF(DB!D319=0,"",CONCATENATE("  ",DB!E319))</f>
        <v/>
      </c>
      <c r="C318" s="105" t="str">
        <f>IF(DB!D320=0,"",DB!D320)</f>
        <v/>
      </c>
      <c r="D318" s="106" t="str">
        <f>IF(DB!D319=0,"",CONCATENATE("  ",DB!E320))</f>
        <v/>
      </c>
    </row>
    <row r="319" spans="1:4" ht="52.8" x14ac:dyDescent="0.3">
      <c r="A319" s="128" t="str">
        <f>IF(A320="","",IF(ISNUMBER(LOOKUP("Â",Code128(A320),1)),"Error!",Code128(A320)))</f>
        <v/>
      </c>
      <c r="B319" s="128"/>
      <c r="C319" s="128" t="str">
        <f>IF(C320="","",IF(ISNUMBER(LOOKUP("Â",Code128(C320),1)),"Error!",Code128(C320)))</f>
        <v/>
      </c>
      <c r="D319" s="128"/>
    </row>
    <row r="320" spans="1:4" x14ac:dyDescent="0.3">
      <c r="A320" s="105" t="str">
        <f>IF(DB!D321=0,"",DB!D321)</f>
        <v/>
      </c>
      <c r="B320" s="106" t="str">
        <f>IF(DB!D321=0,"",CONCATENATE("  ",DB!E321))</f>
        <v/>
      </c>
      <c r="C320" s="105" t="str">
        <f>IF(DB!D322=0,"",DB!D322)</f>
        <v/>
      </c>
      <c r="D320" s="106" t="str">
        <f>IF(DB!D321=0,"",CONCATENATE("  ",DB!E322))</f>
        <v/>
      </c>
    </row>
    <row r="321" spans="1:4" ht="52.8" x14ac:dyDescent="0.3">
      <c r="A321" s="128" t="str">
        <f>IF(A322="","",IF(ISNUMBER(LOOKUP("Â",Code128(A322),1)),"Error!",Code128(A322)))</f>
        <v/>
      </c>
      <c r="B321" s="128"/>
      <c r="C321" s="128" t="str">
        <f>IF(C322="","",IF(ISNUMBER(LOOKUP("Â",Code128(C322),1)),"Error!",Code128(C322)))</f>
        <v/>
      </c>
      <c r="D321" s="128"/>
    </row>
    <row r="322" spans="1:4" x14ac:dyDescent="0.3">
      <c r="A322" s="105" t="str">
        <f>IF(DB!D323=0,"",DB!D323)</f>
        <v/>
      </c>
      <c r="B322" s="106" t="str">
        <f>IF(DB!D323=0,"",CONCATENATE("  ",DB!E323))</f>
        <v/>
      </c>
      <c r="C322" s="105" t="str">
        <f>IF(DB!D324=0,"",DB!D324)</f>
        <v/>
      </c>
      <c r="D322" s="106" t="str">
        <f>IF(DB!D323=0,"",CONCATENATE("  ",DB!E324))</f>
        <v/>
      </c>
    </row>
    <row r="323" spans="1:4" ht="52.8" x14ac:dyDescent="0.3">
      <c r="A323" s="128" t="str">
        <f>IF(A324="","",IF(ISNUMBER(LOOKUP("Â",Code128(A324),1)),"Error!",Code128(A324)))</f>
        <v/>
      </c>
      <c r="B323" s="128"/>
      <c r="C323" s="128" t="str">
        <f>IF(C324="","",IF(ISNUMBER(LOOKUP("Â",Code128(C324),1)),"Error!",Code128(C324)))</f>
        <v/>
      </c>
      <c r="D323" s="128"/>
    </row>
    <row r="324" spans="1:4" x14ac:dyDescent="0.3">
      <c r="A324" s="105" t="str">
        <f>IF(DB!D325=0,"",DB!D325)</f>
        <v/>
      </c>
      <c r="B324" s="106" t="str">
        <f>IF(DB!D325=0,"",CONCATENATE("  ",DB!E325))</f>
        <v/>
      </c>
      <c r="C324" s="105" t="str">
        <f>IF(DB!D326=0,"",DB!D326)</f>
        <v/>
      </c>
      <c r="D324" s="106" t="str">
        <f>IF(DB!D325=0,"",CONCATENATE("  ",DB!E326))</f>
        <v/>
      </c>
    </row>
    <row r="325" spans="1:4" ht="52.8" x14ac:dyDescent="0.3">
      <c r="A325" s="128" t="str">
        <f>IF(A326="","",IF(ISNUMBER(LOOKUP("Â",Code128(A326),1)),"Error!",Code128(A326)))</f>
        <v/>
      </c>
      <c r="B325" s="128"/>
      <c r="C325" s="128" t="str">
        <f>IF(C326="","",IF(ISNUMBER(LOOKUP("Â",Code128(C326),1)),"Error!",Code128(C326)))</f>
        <v/>
      </c>
      <c r="D325" s="128"/>
    </row>
    <row r="326" spans="1:4" x14ac:dyDescent="0.3">
      <c r="A326" s="105" t="str">
        <f>IF(DB!D327=0,"",DB!D327)</f>
        <v/>
      </c>
      <c r="B326" s="106" t="str">
        <f>IF(DB!D327=0,"",CONCATENATE("  ",DB!E327))</f>
        <v/>
      </c>
      <c r="C326" s="105" t="str">
        <f>IF(DB!D328=0,"",DB!D328)</f>
        <v/>
      </c>
      <c r="D326" s="106" t="str">
        <f>IF(DB!D327=0,"",CONCATENATE("  ",DB!E328))</f>
        <v/>
      </c>
    </row>
    <row r="327" spans="1:4" ht="52.8" x14ac:dyDescent="0.3">
      <c r="A327" s="128" t="str">
        <f>IF(A328="","",IF(ISNUMBER(LOOKUP("Â",Code128(A328),1)),"Error!",Code128(A328)))</f>
        <v/>
      </c>
      <c r="B327" s="128"/>
      <c r="C327" s="128" t="str">
        <f>IF(C328="","",IF(ISNUMBER(LOOKUP("Â",Code128(C328),1)),"Error!",Code128(C328)))</f>
        <v/>
      </c>
      <c r="D327" s="128"/>
    </row>
    <row r="328" spans="1:4" x14ac:dyDescent="0.3">
      <c r="A328" s="105" t="str">
        <f>IF(DB!D329=0,"",DB!D329)</f>
        <v/>
      </c>
      <c r="B328" s="106" t="str">
        <f>IF(DB!D329=0,"",CONCATENATE("  ",DB!E329))</f>
        <v/>
      </c>
      <c r="C328" s="105" t="str">
        <f>IF(DB!D330=0,"",DB!D330)</f>
        <v/>
      </c>
      <c r="D328" s="106" t="str">
        <f>IF(DB!D329=0,"",CONCATENATE("  ",DB!E330))</f>
        <v/>
      </c>
    </row>
    <row r="329" spans="1:4" ht="52.8" x14ac:dyDescent="0.3">
      <c r="A329" s="128" t="str">
        <f>IF(A330="","",IF(ISNUMBER(LOOKUP("Â",Code128(A330),1)),"Error!",Code128(A330)))</f>
        <v/>
      </c>
      <c r="B329" s="128"/>
      <c r="C329" s="128" t="str">
        <f>IF(C330="","",IF(ISNUMBER(LOOKUP("Â",Code128(C330),1)),"Error!",Code128(C330)))</f>
        <v/>
      </c>
      <c r="D329" s="128"/>
    </row>
    <row r="330" spans="1:4" x14ac:dyDescent="0.3">
      <c r="A330" s="105" t="str">
        <f>IF(DB!D331=0,"",DB!D331)</f>
        <v/>
      </c>
      <c r="B330" s="106" t="str">
        <f>IF(DB!D331=0,"",CONCATENATE("  ",DB!E331))</f>
        <v/>
      </c>
      <c r="C330" s="105" t="str">
        <f>IF(DB!D332=0,"",DB!D332)</f>
        <v/>
      </c>
      <c r="D330" s="106" t="str">
        <f>IF(DB!D331=0,"",CONCATENATE("  ",DB!E332))</f>
        <v/>
      </c>
    </row>
    <row r="331" spans="1:4" ht="52.8" x14ac:dyDescent="0.3">
      <c r="A331" s="128" t="str">
        <f>IF(A332="","",IF(ISNUMBER(LOOKUP("Â",Code128(A332),1)),"Error!",Code128(A332)))</f>
        <v/>
      </c>
      <c r="B331" s="128"/>
      <c r="C331" s="128" t="str">
        <f>IF(C332="","",IF(ISNUMBER(LOOKUP("Â",Code128(C332),1)),"Error!",Code128(C332)))</f>
        <v/>
      </c>
      <c r="D331" s="128"/>
    </row>
    <row r="332" spans="1:4" x14ac:dyDescent="0.3">
      <c r="A332" s="105" t="str">
        <f>IF(DB!D333=0,"",DB!D333)</f>
        <v/>
      </c>
      <c r="B332" s="106" t="str">
        <f>IF(DB!D333=0,"",CONCATENATE("  ",DB!E333))</f>
        <v/>
      </c>
      <c r="C332" s="105" t="str">
        <f>IF(DB!D334=0,"",DB!D334)</f>
        <v/>
      </c>
      <c r="D332" s="106" t="str">
        <f>IF(DB!D333=0,"",CONCATENATE("  ",DB!E334))</f>
        <v/>
      </c>
    </row>
    <row r="333" spans="1:4" ht="52.8" x14ac:dyDescent="0.3">
      <c r="A333" s="128" t="str">
        <f>IF(A334="","",IF(ISNUMBER(LOOKUP("Â",Code128(A334),1)),"Error!",Code128(A334)))</f>
        <v/>
      </c>
      <c r="B333" s="128"/>
      <c r="C333" s="128" t="str">
        <f>IF(C334="","",IF(ISNUMBER(LOOKUP("Â",Code128(C334),1)),"Error!",Code128(C334)))</f>
        <v/>
      </c>
      <c r="D333" s="128"/>
    </row>
    <row r="334" spans="1:4" x14ac:dyDescent="0.3">
      <c r="A334" s="105" t="str">
        <f>IF(DB!D335=0,"",DB!D335)</f>
        <v/>
      </c>
      <c r="B334" s="106" t="str">
        <f>IF(DB!D335=0,"",CONCATENATE("  ",DB!E335))</f>
        <v/>
      </c>
      <c r="C334" s="105" t="str">
        <f>IF(DB!D336=0,"",DB!D336)</f>
        <v/>
      </c>
      <c r="D334" s="106" t="str">
        <f>IF(DB!D335=0,"",CONCATENATE("  ",DB!E336))</f>
        <v/>
      </c>
    </row>
    <row r="335" spans="1:4" ht="52.8" x14ac:dyDescent="0.3">
      <c r="A335" s="128" t="str">
        <f>IF(A336="","",IF(ISNUMBER(LOOKUP("Â",Code128(A336),1)),"Error!",Code128(A336)))</f>
        <v/>
      </c>
      <c r="B335" s="128"/>
      <c r="C335" s="128" t="str">
        <f>IF(C336="","",IF(ISNUMBER(LOOKUP("Â",Code128(C336),1)),"Error!",Code128(C336)))</f>
        <v/>
      </c>
      <c r="D335" s="128"/>
    </row>
    <row r="336" spans="1:4" x14ac:dyDescent="0.3">
      <c r="A336" s="105" t="str">
        <f>IF(DB!D337=0,"",DB!D337)</f>
        <v/>
      </c>
      <c r="B336" s="106" t="str">
        <f>IF(DB!D337=0,"",CONCATENATE("  ",DB!E337))</f>
        <v/>
      </c>
      <c r="C336" s="105" t="str">
        <f>IF(DB!D338=0,"",DB!D338)</f>
        <v/>
      </c>
      <c r="D336" s="106" t="str">
        <f>IF(DB!D337=0,"",CONCATENATE("  ",DB!E338))</f>
        <v/>
      </c>
    </row>
    <row r="337" spans="1:4" ht="52.8" x14ac:dyDescent="0.3">
      <c r="A337" s="128" t="str">
        <f>IF(A338="","",IF(ISNUMBER(LOOKUP("Â",Code128(A338),1)),"Error!",Code128(A338)))</f>
        <v/>
      </c>
      <c r="B337" s="128"/>
      <c r="C337" s="128" t="str">
        <f>IF(C338="","",IF(ISNUMBER(LOOKUP("Â",Code128(C338),1)),"Error!",Code128(C338)))</f>
        <v/>
      </c>
      <c r="D337" s="128"/>
    </row>
    <row r="338" spans="1:4" x14ac:dyDescent="0.3">
      <c r="A338" s="105" t="str">
        <f>IF(DB!D339=0,"",DB!D339)</f>
        <v/>
      </c>
      <c r="B338" s="106" t="str">
        <f>IF(DB!D339=0,"",CONCATENATE("  ",DB!E339))</f>
        <v/>
      </c>
      <c r="C338" s="105" t="str">
        <f>IF(DB!D340=0,"",DB!D340)</f>
        <v/>
      </c>
      <c r="D338" s="106" t="str">
        <f>IF(DB!D339=0,"",CONCATENATE("  ",DB!E340))</f>
        <v/>
      </c>
    </row>
    <row r="339" spans="1:4" ht="52.8" x14ac:dyDescent="0.3">
      <c r="A339" s="128" t="str">
        <f>IF(A340="","",IF(ISNUMBER(LOOKUP("Â",Code128(A340),1)),"Error!",Code128(A340)))</f>
        <v/>
      </c>
      <c r="B339" s="128"/>
      <c r="C339" s="128" t="str">
        <f>IF(C340="","",IF(ISNUMBER(LOOKUP("Â",Code128(C340),1)),"Error!",Code128(C340)))</f>
        <v/>
      </c>
      <c r="D339" s="128"/>
    </row>
    <row r="340" spans="1:4" x14ac:dyDescent="0.3">
      <c r="A340" s="105" t="str">
        <f>IF(DB!D341=0,"",DB!D341)</f>
        <v/>
      </c>
      <c r="B340" s="106" t="str">
        <f>IF(DB!D341=0,"",CONCATENATE("  ",DB!E341))</f>
        <v/>
      </c>
      <c r="C340" s="105" t="str">
        <f>IF(DB!D342=0,"",DB!D342)</f>
        <v/>
      </c>
      <c r="D340" s="106" t="str">
        <f>IF(DB!D341=0,"",CONCATENATE("  ",DB!E342))</f>
        <v/>
      </c>
    </row>
    <row r="341" spans="1:4" ht="52.8" x14ac:dyDescent="0.3">
      <c r="A341" s="128" t="str">
        <f>IF(A342="","",IF(ISNUMBER(LOOKUP("Â",Code128(A342),1)),"Error!",Code128(A342)))</f>
        <v/>
      </c>
      <c r="B341" s="128"/>
      <c r="C341" s="128" t="str">
        <f>IF(C342="","",IF(ISNUMBER(LOOKUP("Â",Code128(C342),1)),"Error!",Code128(C342)))</f>
        <v/>
      </c>
      <c r="D341" s="128"/>
    </row>
    <row r="342" spans="1:4" x14ac:dyDescent="0.3">
      <c r="A342" s="105" t="str">
        <f>IF(DB!D343=0,"",DB!D343)</f>
        <v/>
      </c>
      <c r="B342" s="106" t="str">
        <f>IF(DB!D343=0,"",CONCATENATE("  ",DB!E343))</f>
        <v/>
      </c>
      <c r="C342" s="105" t="str">
        <f>IF(DB!D344=0,"",DB!D344)</f>
        <v/>
      </c>
      <c r="D342" s="106" t="str">
        <f>IF(DB!D343=0,"",CONCATENATE("  ",DB!E344))</f>
        <v/>
      </c>
    </row>
    <row r="343" spans="1:4" ht="52.8" x14ac:dyDescent="0.3">
      <c r="A343" s="128" t="str">
        <f>IF(A344="","",IF(ISNUMBER(LOOKUP("Â",Code128(A344),1)),"Error!",Code128(A344)))</f>
        <v/>
      </c>
      <c r="B343" s="128"/>
      <c r="C343" s="128" t="str">
        <f>IF(C344="","",IF(ISNUMBER(LOOKUP("Â",Code128(C344),1)),"Error!",Code128(C344)))</f>
        <v/>
      </c>
      <c r="D343" s="128"/>
    </row>
    <row r="344" spans="1:4" x14ac:dyDescent="0.3">
      <c r="A344" s="105" t="str">
        <f>IF(DB!D345=0,"",DB!D345)</f>
        <v/>
      </c>
      <c r="B344" s="106" t="str">
        <f>IF(DB!D345=0,"",CONCATENATE("  ",DB!E345))</f>
        <v/>
      </c>
      <c r="C344" s="105" t="str">
        <f>IF(DB!D346=0,"",DB!D346)</f>
        <v/>
      </c>
      <c r="D344" s="106" t="str">
        <f>IF(DB!D345=0,"",CONCATENATE("  ",DB!E346))</f>
        <v/>
      </c>
    </row>
    <row r="345" spans="1:4" ht="52.8" x14ac:dyDescent="0.3">
      <c r="A345" s="128" t="str">
        <f>IF(A346="","",IF(ISNUMBER(LOOKUP("Â",Code128(A346),1)),"Error!",Code128(A346)))</f>
        <v/>
      </c>
      <c r="B345" s="128"/>
      <c r="C345" s="128" t="str">
        <f>IF(C346="","",IF(ISNUMBER(LOOKUP("Â",Code128(C346),1)),"Error!",Code128(C346)))</f>
        <v/>
      </c>
      <c r="D345" s="128"/>
    </row>
    <row r="346" spans="1:4" x14ac:dyDescent="0.3">
      <c r="A346" s="105" t="str">
        <f>IF(DB!D347=0,"",DB!D347)</f>
        <v/>
      </c>
      <c r="B346" s="106" t="str">
        <f>IF(DB!D347=0,"",CONCATENATE("  ",DB!E347))</f>
        <v/>
      </c>
      <c r="C346" s="105" t="str">
        <f>IF(DB!D348=0,"",DB!D348)</f>
        <v/>
      </c>
      <c r="D346" s="106" t="str">
        <f>IF(DB!D347=0,"",CONCATENATE("  ",DB!E348))</f>
        <v/>
      </c>
    </row>
    <row r="347" spans="1:4" ht="52.8" x14ac:dyDescent="0.3">
      <c r="A347" s="128" t="str">
        <f>IF(A348="","",IF(ISNUMBER(LOOKUP("Â",Code128(A348),1)),"Error!",Code128(A348)))</f>
        <v/>
      </c>
      <c r="B347" s="128"/>
      <c r="C347" s="128" t="str">
        <f>IF(C348="","",IF(ISNUMBER(LOOKUP("Â",Code128(C348),1)),"Error!",Code128(C348)))</f>
        <v/>
      </c>
      <c r="D347" s="128"/>
    </row>
    <row r="348" spans="1:4" x14ac:dyDescent="0.3">
      <c r="A348" s="105" t="str">
        <f>IF(DB!D349=0,"",DB!D349)</f>
        <v/>
      </c>
      <c r="B348" s="106" t="str">
        <f>IF(DB!D349=0,"",CONCATENATE("  ",DB!E349))</f>
        <v/>
      </c>
      <c r="C348" s="105" t="str">
        <f>IF(DB!D350=0,"",DB!D350)</f>
        <v/>
      </c>
      <c r="D348" s="106" t="str">
        <f>IF(DB!D349=0,"",CONCATENATE("  ",DB!E350))</f>
        <v/>
      </c>
    </row>
    <row r="349" spans="1:4" ht="52.8" x14ac:dyDescent="0.3">
      <c r="A349" s="128" t="str">
        <f>IF(A350="","",IF(ISNUMBER(LOOKUP("Â",Code128(A350),1)),"Error!",Code128(A350)))</f>
        <v/>
      </c>
      <c r="B349" s="128"/>
      <c r="C349" s="128" t="str">
        <f>IF(C350="","",IF(ISNUMBER(LOOKUP("Â",Code128(C350),1)),"Error!",Code128(C350)))</f>
        <v/>
      </c>
      <c r="D349" s="128"/>
    </row>
    <row r="350" spans="1:4" x14ac:dyDescent="0.3">
      <c r="A350" s="105" t="str">
        <f>IF(DB!D351=0,"",DB!D351)</f>
        <v/>
      </c>
      <c r="B350" s="106" t="str">
        <f>IF(DB!D351=0,"",CONCATENATE("  ",DB!E351))</f>
        <v/>
      </c>
      <c r="C350" s="105" t="str">
        <f>IF(DB!D352=0,"",DB!D352)</f>
        <v/>
      </c>
      <c r="D350" s="106" t="str">
        <f>IF(DB!D351=0,"",CONCATENATE("  ",DB!E352))</f>
        <v/>
      </c>
    </row>
    <row r="351" spans="1:4" ht="52.8" x14ac:dyDescent="0.3">
      <c r="A351" s="128" t="str">
        <f>IF(A352="","",IF(ISNUMBER(LOOKUP("Â",Code128(A352),1)),"Error!",Code128(A352)))</f>
        <v/>
      </c>
      <c r="B351" s="128"/>
      <c r="C351" s="128" t="str">
        <f>IF(C352="","",IF(ISNUMBER(LOOKUP("Â",Code128(C352),1)),"Error!",Code128(C352)))</f>
        <v/>
      </c>
      <c r="D351" s="128"/>
    </row>
    <row r="352" spans="1:4" x14ac:dyDescent="0.3">
      <c r="A352" s="105" t="str">
        <f>IF(DB!D353=0,"",DB!D353)</f>
        <v/>
      </c>
      <c r="B352" s="106" t="str">
        <f>IF(DB!D353=0,"",CONCATENATE("  ",DB!E353))</f>
        <v/>
      </c>
      <c r="C352" s="105" t="str">
        <f>IF(DB!D354=0,"",DB!D354)</f>
        <v/>
      </c>
      <c r="D352" s="106" t="str">
        <f>IF(DB!D353=0,"",CONCATENATE("  ",DB!E354))</f>
        <v/>
      </c>
    </row>
    <row r="353" spans="1:4" ht="52.8" x14ac:dyDescent="0.3">
      <c r="A353" s="128" t="str">
        <f>IF(A354="","",IF(ISNUMBER(LOOKUP("Â",Code128(A354),1)),"Error!",Code128(A354)))</f>
        <v/>
      </c>
      <c r="B353" s="128"/>
      <c r="C353" s="128" t="str">
        <f>IF(C354="","",IF(ISNUMBER(LOOKUP("Â",Code128(C354),1)),"Error!",Code128(C354)))</f>
        <v/>
      </c>
      <c r="D353" s="128"/>
    </row>
    <row r="354" spans="1:4" x14ac:dyDescent="0.3">
      <c r="A354" s="105" t="str">
        <f>IF(DB!D355=0,"",DB!D355)</f>
        <v/>
      </c>
      <c r="B354" s="106" t="str">
        <f>IF(DB!D355=0,"",CONCATENATE("  ",DB!E355))</f>
        <v/>
      </c>
      <c r="C354" s="105" t="str">
        <f>IF(DB!D356=0,"",DB!D356)</f>
        <v/>
      </c>
      <c r="D354" s="106" t="str">
        <f>IF(DB!D355=0,"",CONCATENATE("  ",DB!E356))</f>
        <v/>
      </c>
    </row>
    <row r="355" spans="1:4" ht="52.8" x14ac:dyDescent="0.3">
      <c r="A355" s="128" t="str">
        <f>IF(A356="","",IF(ISNUMBER(LOOKUP("Â",Code128(A356),1)),"Error!",Code128(A356)))</f>
        <v/>
      </c>
      <c r="B355" s="128"/>
      <c r="C355" s="128" t="str">
        <f>IF(C356="","",IF(ISNUMBER(LOOKUP("Â",Code128(C356),1)),"Error!",Code128(C356)))</f>
        <v/>
      </c>
      <c r="D355" s="128"/>
    </row>
    <row r="356" spans="1:4" x14ac:dyDescent="0.3">
      <c r="A356" s="105" t="str">
        <f>IF(DB!D357=0,"",DB!D357)</f>
        <v/>
      </c>
      <c r="B356" s="106" t="str">
        <f>IF(DB!D357=0,"",CONCATENATE("  ",DB!E357))</f>
        <v/>
      </c>
      <c r="C356" s="105" t="str">
        <f>IF(DB!D358=0,"",DB!D358)</f>
        <v/>
      </c>
      <c r="D356" s="106" t="str">
        <f>IF(DB!D357=0,"",CONCATENATE("  ",DB!E358))</f>
        <v/>
      </c>
    </row>
    <row r="357" spans="1:4" ht="52.8" x14ac:dyDescent="0.3">
      <c r="A357" s="128" t="str">
        <f>IF(A358="","",IF(ISNUMBER(LOOKUP("Â",Code128(A358),1)),"Error!",Code128(A358)))</f>
        <v/>
      </c>
      <c r="B357" s="128"/>
      <c r="C357" s="128" t="str">
        <f>IF(C358="","",IF(ISNUMBER(LOOKUP("Â",Code128(C358),1)),"Error!",Code128(C358)))</f>
        <v/>
      </c>
      <c r="D357" s="128"/>
    </row>
    <row r="358" spans="1:4" x14ac:dyDescent="0.3">
      <c r="A358" s="105" t="str">
        <f>IF(DB!D359=0,"",DB!D359)</f>
        <v/>
      </c>
      <c r="B358" s="106" t="str">
        <f>IF(DB!D359=0,"",CONCATENATE("  ",DB!E359))</f>
        <v/>
      </c>
      <c r="C358" s="105" t="str">
        <f>IF(DB!D360=0,"",DB!D360)</f>
        <v/>
      </c>
      <c r="D358" s="106" t="str">
        <f>IF(DB!D359=0,"",CONCATENATE("  ",DB!E360))</f>
        <v/>
      </c>
    </row>
    <row r="359" spans="1:4" ht="52.8" x14ac:dyDescent="0.3">
      <c r="A359" s="128" t="str">
        <f>IF(A360="","",IF(ISNUMBER(LOOKUP("Â",Code128(A360),1)),"Error!",Code128(A360)))</f>
        <v/>
      </c>
      <c r="B359" s="128"/>
      <c r="C359" s="128" t="str">
        <f>IF(C360="","",IF(ISNUMBER(LOOKUP("Â",Code128(C360),1)),"Error!",Code128(C360)))</f>
        <v/>
      </c>
      <c r="D359" s="128"/>
    </row>
    <row r="360" spans="1:4" x14ac:dyDescent="0.3">
      <c r="A360" s="105" t="str">
        <f>IF(DB!D361=0,"",DB!D361)</f>
        <v/>
      </c>
      <c r="B360" s="106" t="str">
        <f>IF(DB!D361=0,"",CONCATENATE("  ",DB!E361))</f>
        <v/>
      </c>
      <c r="C360" s="105" t="str">
        <f>IF(DB!D362=0,"",DB!D362)</f>
        <v/>
      </c>
      <c r="D360" s="106" t="str">
        <f>IF(DB!D361=0,"",CONCATENATE("  ",DB!E362))</f>
        <v/>
      </c>
    </row>
    <row r="361" spans="1:4" ht="52.8" x14ac:dyDescent="0.3">
      <c r="A361" s="128" t="str">
        <f>IF(A362="","",IF(ISNUMBER(LOOKUP("Â",Code128(A362),1)),"Error!",Code128(A362)))</f>
        <v/>
      </c>
      <c r="B361" s="128"/>
      <c r="C361" s="128" t="str">
        <f>IF(C362="","",IF(ISNUMBER(LOOKUP("Â",Code128(C362),1)),"Error!",Code128(C362)))</f>
        <v/>
      </c>
      <c r="D361" s="128"/>
    </row>
    <row r="362" spans="1:4" x14ac:dyDescent="0.3">
      <c r="A362" s="105" t="str">
        <f>IF(DB!D363=0,"",DB!D363)</f>
        <v/>
      </c>
      <c r="B362" s="106" t="str">
        <f>IF(DB!D363=0,"",CONCATENATE("  ",DB!E363))</f>
        <v/>
      </c>
      <c r="C362" s="105" t="str">
        <f>IF(DB!D364=0,"",DB!D364)</f>
        <v/>
      </c>
      <c r="D362" s="106" t="str">
        <f>IF(DB!D363=0,"",CONCATENATE("  ",DB!E364))</f>
        <v/>
      </c>
    </row>
    <row r="363" spans="1:4" ht="52.8" x14ac:dyDescent="0.3">
      <c r="A363" s="128" t="str">
        <f>IF(A364="","",IF(ISNUMBER(LOOKUP("Â",Code128(A364),1)),"Error!",Code128(A364)))</f>
        <v/>
      </c>
      <c r="B363" s="128"/>
      <c r="C363" s="128" t="str">
        <f>IF(C364="","",IF(ISNUMBER(LOOKUP("Â",Code128(C364),1)),"Error!",Code128(C364)))</f>
        <v/>
      </c>
      <c r="D363" s="128"/>
    </row>
    <row r="364" spans="1:4" x14ac:dyDescent="0.3">
      <c r="A364" s="105" t="str">
        <f>IF(DB!D365=0,"",DB!D365)</f>
        <v/>
      </c>
      <c r="B364" s="106" t="str">
        <f>IF(DB!D365=0,"",CONCATENATE("  ",DB!E365))</f>
        <v/>
      </c>
      <c r="C364" s="105" t="str">
        <f>IF(DB!D366=0,"",DB!D366)</f>
        <v/>
      </c>
      <c r="D364" s="106" t="str">
        <f>IF(DB!D365=0,"",CONCATENATE("  ",DB!E366))</f>
        <v/>
      </c>
    </row>
    <row r="365" spans="1:4" ht="52.8" x14ac:dyDescent="0.3">
      <c r="A365" s="128" t="str">
        <f>IF(A366="","",IF(ISNUMBER(LOOKUP("Â",Code128(A366),1)),"Error!",Code128(A366)))</f>
        <v/>
      </c>
      <c r="B365" s="128"/>
      <c r="C365" s="128" t="str">
        <f>IF(C366="","",IF(ISNUMBER(LOOKUP("Â",Code128(C366),1)),"Error!",Code128(C366)))</f>
        <v/>
      </c>
      <c r="D365" s="128"/>
    </row>
    <row r="366" spans="1:4" x14ac:dyDescent="0.3">
      <c r="A366" s="105" t="str">
        <f>IF(DB!D367=0,"",DB!D367)</f>
        <v/>
      </c>
      <c r="B366" s="106" t="str">
        <f>IF(DB!D367=0,"",CONCATENATE("  ",DB!E367))</f>
        <v/>
      </c>
      <c r="C366" s="105" t="str">
        <f>IF(DB!D368=0,"",DB!D368)</f>
        <v/>
      </c>
      <c r="D366" s="106" t="str">
        <f>IF(DB!D367=0,"",CONCATENATE("  ",DB!E368))</f>
        <v/>
      </c>
    </row>
    <row r="367" spans="1:4" ht="52.8" x14ac:dyDescent="0.3">
      <c r="A367" s="128" t="str">
        <f>IF(A368="","",IF(ISNUMBER(LOOKUP("Â",Code128(A368),1)),"Error!",Code128(A368)))</f>
        <v/>
      </c>
      <c r="B367" s="128"/>
      <c r="C367" s="128" t="str">
        <f>IF(C368="","",IF(ISNUMBER(LOOKUP("Â",Code128(C368),1)),"Error!",Code128(C368)))</f>
        <v/>
      </c>
      <c r="D367" s="128"/>
    </row>
    <row r="368" spans="1:4" x14ac:dyDescent="0.3">
      <c r="A368" s="105" t="str">
        <f>IF(DB!D369=0,"",DB!D369)</f>
        <v/>
      </c>
      <c r="B368" s="106" t="str">
        <f>IF(DB!D369=0,"",CONCATENATE("  ",DB!E369))</f>
        <v/>
      </c>
      <c r="C368" s="105" t="str">
        <f>IF(DB!D370=0,"",DB!D370)</f>
        <v/>
      </c>
      <c r="D368" s="106" t="str">
        <f>IF(DB!D369=0,"",CONCATENATE("  ",DB!E370))</f>
        <v/>
      </c>
    </row>
    <row r="369" spans="1:4" ht="52.8" x14ac:dyDescent="0.3">
      <c r="A369" s="128" t="str">
        <f>IF(A370="","",IF(ISNUMBER(LOOKUP("Â",Code128(A370),1)),"Error!",Code128(A370)))</f>
        <v/>
      </c>
      <c r="B369" s="128"/>
      <c r="C369" s="128" t="str">
        <f>IF(C370="","",IF(ISNUMBER(LOOKUP("Â",Code128(C370),1)),"Error!",Code128(C370)))</f>
        <v/>
      </c>
      <c r="D369" s="128"/>
    </row>
    <row r="370" spans="1:4" x14ac:dyDescent="0.3">
      <c r="A370" s="105" t="str">
        <f>IF(DB!D371=0,"",DB!D371)</f>
        <v/>
      </c>
      <c r="B370" s="106" t="str">
        <f>IF(DB!D371=0,"",CONCATENATE("  ",DB!E371))</f>
        <v/>
      </c>
      <c r="C370" s="105" t="str">
        <f>IF(DB!D372=0,"",DB!D372)</f>
        <v/>
      </c>
      <c r="D370" s="106" t="str">
        <f>IF(DB!D371=0,"",CONCATENATE("  ",DB!E372))</f>
        <v/>
      </c>
    </row>
    <row r="371" spans="1:4" ht="52.8" x14ac:dyDescent="0.3">
      <c r="A371" s="128" t="str">
        <f>IF(A372="","",IF(ISNUMBER(LOOKUP("Â",Code128(A372),1)),"Error!",Code128(A372)))</f>
        <v/>
      </c>
      <c r="B371" s="128"/>
      <c r="C371" s="128" t="str">
        <f>IF(C372="","",IF(ISNUMBER(LOOKUP("Â",Code128(C372),1)),"Error!",Code128(C372)))</f>
        <v/>
      </c>
      <c r="D371" s="128"/>
    </row>
    <row r="372" spans="1:4" x14ac:dyDescent="0.3">
      <c r="A372" s="105" t="str">
        <f>IF(DB!D373=0,"",DB!D373)</f>
        <v/>
      </c>
      <c r="B372" s="106" t="str">
        <f>IF(DB!D373=0,"",CONCATENATE("  ",DB!E373))</f>
        <v/>
      </c>
      <c r="C372" s="105" t="str">
        <f>IF(DB!D374=0,"",DB!D374)</f>
        <v/>
      </c>
      <c r="D372" s="106" t="str">
        <f>IF(DB!D373=0,"",CONCATENATE("  ",DB!E374))</f>
        <v/>
      </c>
    </row>
    <row r="373" spans="1:4" ht="52.8" x14ac:dyDescent="0.3">
      <c r="A373" s="128" t="str">
        <f>IF(A374="","",IF(ISNUMBER(LOOKUP("Â",Code128(A374),1)),"Error!",Code128(A374)))</f>
        <v/>
      </c>
      <c r="B373" s="128"/>
      <c r="C373" s="128" t="str">
        <f>IF(C374="","",IF(ISNUMBER(LOOKUP("Â",Code128(C374),1)),"Error!",Code128(C374)))</f>
        <v/>
      </c>
      <c r="D373" s="128"/>
    </row>
    <row r="374" spans="1:4" x14ac:dyDescent="0.3">
      <c r="A374" s="105" t="str">
        <f>IF(DB!D375=0,"",DB!D375)</f>
        <v/>
      </c>
      <c r="B374" s="106" t="str">
        <f>IF(DB!D375=0,"",CONCATENATE("  ",DB!E375))</f>
        <v/>
      </c>
      <c r="C374" s="105" t="str">
        <f>IF(DB!D376=0,"",DB!D376)</f>
        <v/>
      </c>
      <c r="D374" s="106" t="str">
        <f>IF(DB!D375=0,"",CONCATENATE("  ",DB!E376))</f>
        <v/>
      </c>
    </row>
    <row r="375" spans="1:4" ht="52.8" x14ac:dyDescent="0.3">
      <c r="A375" s="128" t="str">
        <f>IF(A376="","",IF(ISNUMBER(LOOKUP("Â",Code128(A376),1)),"Error!",Code128(A376)))</f>
        <v/>
      </c>
      <c r="B375" s="128"/>
      <c r="C375" s="128" t="str">
        <f>IF(C376="","",IF(ISNUMBER(LOOKUP("Â",Code128(C376),1)),"Error!",Code128(C376)))</f>
        <v/>
      </c>
      <c r="D375" s="128"/>
    </row>
    <row r="376" spans="1:4" x14ac:dyDescent="0.3">
      <c r="A376" s="105" t="str">
        <f>IF(DB!D377=0,"",DB!D377)</f>
        <v/>
      </c>
      <c r="B376" s="106" t="str">
        <f>IF(DB!D377=0,"",CONCATENATE("  ",DB!E377))</f>
        <v/>
      </c>
      <c r="C376" s="105" t="str">
        <f>IF(DB!D378=0,"",DB!D378)</f>
        <v/>
      </c>
      <c r="D376" s="106" t="str">
        <f>IF(DB!D377=0,"",CONCATENATE("  ",DB!E378))</f>
        <v/>
      </c>
    </row>
    <row r="377" spans="1:4" ht="52.8" x14ac:dyDescent="0.3">
      <c r="A377" s="128" t="str">
        <f>IF(A378="","",IF(ISNUMBER(LOOKUP("Â",Code128(A378),1)),"Error!",Code128(A378)))</f>
        <v/>
      </c>
      <c r="B377" s="128"/>
      <c r="C377" s="128" t="str">
        <f>IF(C378="","",IF(ISNUMBER(LOOKUP("Â",Code128(C378),1)),"Error!",Code128(C378)))</f>
        <v/>
      </c>
      <c r="D377" s="128"/>
    </row>
    <row r="378" spans="1:4" x14ac:dyDescent="0.3">
      <c r="A378" s="105" t="str">
        <f>IF(DB!D379=0,"",DB!D379)</f>
        <v/>
      </c>
      <c r="B378" s="106" t="str">
        <f>IF(DB!D379=0,"",CONCATENATE("  ",DB!E379))</f>
        <v/>
      </c>
      <c r="C378" s="105" t="str">
        <f>IF(DB!D380=0,"",DB!D380)</f>
        <v/>
      </c>
      <c r="D378" s="106" t="str">
        <f>IF(DB!D379=0,"",CONCATENATE("  ",DB!E380))</f>
        <v/>
      </c>
    </row>
    <row r="379" spans="1:4" ht="52.8" x14ac:dyDescent="0.3">
      <c r="A379" s="128" t="str">
        <f>IF(A380="","",IF(ISNUMBER(LOOKUP("Â",Code128(A380),1)),"Error!",Code128(A380)))</f>
        <v/>
      </c>
      <c r="B379" s="128"/>
      <c r="C379" s="128" t="str">
        <f>IF(C380="","",IF(ISNUMBER(LOOKUP("Â",Code128(C380),1)),"Error!",Code128(C380)))</f>
        <v/>
      </c>
      <c r="D379" s="128"/>
    </row>
    <row r="380" spans="1:4" x14ac:dyDescent="0.3">
      <c r="A380" s="105" t="str">
        <f>IF(DB!D381=0,"",DB!D381)</f>
        <v/>
      </c>
      <c r="B380" s="106" t="str">
        <f>IF(DB!D381=0,"",CONCATENATE("  ",DB!E381))</f>
        <v/>
      </c>
      <c r="C380" s="105" t="str">
        <f>IF(DB!D382=0,"",DB!D382)</f>
        <v/>
      </c>
      <c r="D380" s="106" t="str">
        <f>IF(DB!D381=0,"",CONCATENATE("  ",DB!E382))</f>
        <v/>
      </c>
    </row>
    <row r="381" spans="1:4" ht="52.8" x14ac:dyDescent="0.3">
      <c r="A381" s="128" t="str">
        <f>IF(A382="","",IF(ISNUMBER(LOOKUP("Â",Code128(A382),1)),"Error!",Code128(A382)))</f>
        <v/>
      </c>
      <c r="B381" s="128"/>
      <c r="C381" s="128" t="str">
        <f>IF(C382="","",IF(ISNUMBER(LOOKUP("Â",Code128(C382),1)),"Error!",Code128(C382)))</f>
        <v/>
      </c>
      <c r="D381" s="128"/>
    </row>
    <row r="382" spans="1:4" x14ac:dyDescent="0.3">
      <c r="A382" s="105" t="str">
        <f>IF(DB!D383=0,"",DB!D383)</f>
        <v/>
      </c>
      <c r="B382" s="106" t="str">
        <f>IF(DB!D383=0,"",CONCATENATE("  ",DB!E383))</f>
        <v/>
      </c>
      <c r="C382" s="105" t="str">
        <f>IF(DB!D384=0,"",DB!D384)</f>
        <v/>
      </c>
      <c r="D382" s="106" t="str">
        <f>IF(DB!D383=0,"",CONCATENATE("  ",DB!E384))</f>
        <v/>
      </c>
    </row>
    <row r="383" spans="1:4" ht="52.8" x14ac:dyDescent="0.3">
      <c r="A383" s="128" t="str">
        <f>IF(A384="","",IF(ISNUMBER(LOOKUP("Â",Code128(A384),1)),"Error!",Code128(A384)))</f>
        <v/>
      </c>
      <c r="B383" s="128"/>
      <c r="C383" s="128" t="str">
        <f>IF(C384="","",IF(ISNUMBER(LOOKUP("Â",Code128(C384),1)),"Error!",Code128(C384)))</f>
        <v/>
      </c>
      <c r="D383" s="128"/>
    </row>
    <row r="384" spans="1:4" x14ac:dyDescent="0.3">
      <c r="A384" s="105" t="str">
        <f>IF(DB!D385=0,"",DB!D385)</f>
        <v/>
      </c>
      <c r="B384" s="106" t="str">
        <f>IF(DB!D385=0,"",CONCATENATE("  ",DB!E385))</f>
        <v/>
      </c>
      <c r="C384" s="105" t="str">
        <f>IF(DB!D386=0,"",DB!D386)</f>
        <v/>
      </c>
      <c r="D384" s="106" t="str">
        <f>IF(DB!D385=0,"",CONCATENATE("  ",DB!E386))</f>
        <v/>
      </c>
    </row>
    <row r="385" spans="1:4" ht="52.8" x14ac:dyDescent="0.3">
      <c r="A385" s="128" t="str">
        <f>IF(A386="","",IF(ISNUMBER(LOOKUP("Â",Code128(A386),1)),"Error!",Code128(A386)))</f>
        <v/>
      </c>
      <c r="B385" s="128"/>
      <c r="C385" s="128" t="str">
        <f>IF(C386="","",IF(ISNUMBER(LOOKUP("Â",Code128(C386),1)),"Error!",Code128(C386)))</f>
        <v/>
      </c>
      <c r="D385" s="128"/>
    </row>
    <row r="386" spans="1:4" x14ac:dyDescent="0.3">
      <c r="A386" s="105" t="str">
        <f>IF(DB!D387=0,"",DB!D387)</f>
        <v/>
      </c>
      <c r="B386" s="106" t="str">
        <f>IF(DB!D387=0,"",CONCATENATE("  ",DB!E387))</f>
        <v/>
      </c>
      <c r="C386" s="105" t="str">
        <f>IF(DB!D388=0,"",DB!D388)</f>
        <v/>
      </c>
      <c r="D386" s="106" t="str">
        <f>IF(DB!D387=0,"",CONCATENATE("  ",DB!E388))</f>
        <v/>
      </c>
    </row>
    <row r="387" spans="1:4" ht="52.8" x14ac:dyDescent="0.3">
      <c r="A387" s="128" t="str">
        <f>IF(A388="","",IF(ISNUMBER(LOOKUP("Â",Code128(A388),1)),"Error!",Code128(A388)))</f>
        <v/>
      </c>
      <c r="B387" s="128"/>
      <c r="C387" s="128" t="str">
        <f>IF(C388="","",IF(ISNUMBER(LOOKUP("Â",Code128(C388),1)),"Error!",Code128(C388)))</f>
        <v/>
      </c>
      <c r="D387" s="128"/>
    </row>
    <row r="388" spans="1:4" x14ac:dyDescent="0.3">
      <c r="A388" s="105" t="str">
        <f>IF(DB!D389=0,"",DB!D389)</f>
        <v/>
      </c>
      <c r="B388" s="106" t="str">
        <f>IF(DB!D389=0,"",CONCATENATE("  ",DB!E389))</f>
        <v/>
      </c>
      <c r="C388" s="105" t="str">
        <f>IF(DB!D390=0,"",DB!D390)</f>
        <v/>
      </c>
      <c r="D388" s="106" t="str">
        <f>IF(DB!D389=0,"",CONCATENATE("  ",DB!E390))</f>
        <v/>
      </c>
    </row>
    <row r="389" spans="1:4" ht="52.8" x14ac:dyDescent="0.3">
      <c r="A389" s="128" t="str">
        <f>IF(A390="","",IF(ISNUMBER(LOOKUP("Â",Code128(A390),1)),"Error!",Code128(A390)))</f>
        <v/>
      </c>
      <c r="B389" s="128"/>
      <c r="C389" s="128" t="str">
        <f>IF(C390="","",IF(ISNUMBER(LOOKUP("Â",Code128(C390),1)),"Error!",Code128(C390)))</f>
        <v/>
      </c>
      <c r="D389" s="128"/>
    </row>
    <row r="390" spans="1:4" x14ac:dyDescent="0.3">
      <c r="A390" s="105" t="str">
        <f>IF(DB!D391=0,"",DB!D391)</f>
        <v/>
      </c>
      <c r="B390" s="106" t="str">
        <f>IF(DB!D391=0,"",CONCATENATE("  ",DB!E391))</f>
        <v/>
      </c>
      <c r="C390" s="105" t="str">
        <f>IF(DB!D392=0,"",DB!D392)</f>
        <v/>
      </c>
      <c r="D390" s="106" t="str">
        <f>IF(DB!D391=0,"",CONCATENATE("  ",DB!E392))</f>
        <v/>
      </c>
    </row>
    <row r="391" spans="1:4" ht="52.8" x14ac:dyDescent="0.3">
      <c r="A391" s="128" t="str">
        <f>IF(A392="","",IF(ISNUMBER(LOOKUP("Â",Code128(A392),1)),"Error!",Code128(A392)))</f>
        <v/>
      </c>
      <c r="B391" s="128"/>
      <c r="C391" s="128" t="str">
        <f>IF(C392="","",IF(ISNUMBER(LOOKUP("Â",Code128(C392),1)),"Error!",Code128(C392)))</f>
        <v/>
      </c>
      <c r="D391" s="128"/>
    </row>
    <row r="392" spans="1:4" x14ac:dyDescent="0.3">
      <c r="A392" s="105" t="str">
        <f>IF(DB!D393=0,"",DB!D393)</f>
        <v/>
      </c>
      <c r="B392" s="106" t="str">
        <f>IF(DB!D393=0,"",CONCATENATE("  ",DB!E393))</f>
        <v/>
      </c>
      <c r="C392" s="105" t="str">
        <f>IF(DB!D394=0,"",DB!D394)</f>
        <v/>
      </c>
      <c r="D392" s="106" t="str">
        <f>IF(DB!D393=0,"",CONCATENATE("  ",DB!E394))</f>
        <v/>
      </c>
    </row>
    <row r="393" spans="1:4" ht="52.8" x14ac:dyDescent="0.3">
      <c r="A393" s="128" t="str">
        <f>IF(A394="","",IF(ISNUMBER(LOOKUP("Â",Code128(A394),1)),"Error!",Code128(A394)))</f>
        <v/>
      </c>
      <c r="B393" s="128"/>
      <c r="C393" s="128" t="str">
        <f>IF(C394="","",IF(ISNUMBER(LOOKUP("Â",Code128(C394),1)),"Error!",Code128(C394)))</f>
        <v/>
      </c>
      <c r="D393" s="128"/>
    </row>
    <row r="394" spans="1:4" x14ac:dyDescent="0.3">
      <c r="A394" s="105" t="str">
        <f>IF(DB!D395=0,"",DB!D395)</f>
        <v/>
      </c>
      <c r="B394" s="106" t="str">
        <f>IF(DB!D395=0,"",CONCATENATE("  ",DB!E395))</f>
        <v/>
      </c>
      <c r="C394" s="105" t="str">
        <f>IF(DB!D396=0,"",DB!D396)</f>
        <v/>
      </c>
      <c r="D394" s="106" t="str">
        <f>IF(DB!D395=0,"",CONCATENATE("  ",DB!E396))</f>
        <v/>
      </c>
    </row>
    <row r="395" spans="1:4" ht="52.8" x14ac:dyDescent="0.3">
      <c r="A395" s="128" t="str">
        <f>IF(A396="","",IF(ISNUMBER(LOOKUP("Â",Code128(A396),1)),"Error!",Code128(A396)))</f>
        <v/>
      </c>
      <c r="B395" s="128"/>
      <c r="C395" s="128" t="str">
        <f>IF(C396="","",IF(ISNUMBER(LOOKUP("Â",Code128(C396),1)),"Error!",Code128(C396)))</f>
        <v/>
      </c>
      <c r="D395" s="128"/>
    </row>
    <row r="396" spans="1:4" x14ac:dyDescent="0.3">
      <c r="A396" s="105" t="str">
        <f>IF(DB!D397=0,"",DB!D397)</f>
        <v/>
      </c>
      <c r="B396" s="106" t="str">
        <f>IF(DB!D397=0,"",CONCATENATE("  ",DB!E397))</f>
        <v/>
      </c>
      <c r="C396" s="105" t="str">
        <f>IF(DB!D398=0,"",DB!D398)</f>
        <v/>
      </c>
      <c r="D396" s="106" t="str">
        <f>IF(DB!D397=0,"",CONCATENATE("  ",DB!E398))</f>
        <v/>
      </c>
    </row>
    <row r="397" spans="1:4" ht="52.8" x14ac:dyDescent="0.3">
      <c r="A397" s="128" t="str">
        <f>IF(A398="","",IF(ISNUMBER(LOOKUP("Â",Code128(A398),1)),"Error!",Code128(A398)))</f>
        <v/>
      </c>
      <c r="B397" s="128"/>
      <c r="C397" s="128" t="str">
        <f>IF(C398="","",IF(ISNUMBER(LOOKUP("Â",Code128(C398),1)),"Error!",Code128(C398)))</f>
        <v/>
      </c>
      <c r="D397" s="128"/>
    </row>
    <row r="398" spans="1:4" x14ac:dyDescent="0.3">
      <c r="A398" s="105" t="str">
        <f>IF(DB!D399=0,"",DB!D399)</f>
        <v/>
      </c>
      <c r="B398" s="106" t="str">
        <f>IF(DB!D399=0,"",CONCATENATE("  ",DB!E399))</f>
        <v/>
      </c>
      <c r="C398" s="105" t="str">
        <f>IF(DB!D400=0,"",DB!D400)</f>
        <v/>
      </c>
      <c r="D398" s="106" t="str">
        <f>IF(DB!D399=0,"",CONCATENATE("  ",DB!E400))</f>
        <v/>
      </c>
    </row>
    <row r="399" spans="1:4" ht="52.8" x14ac:dyDescent="0.3">
      <c r="A399" s="128" t="str">
        <f>IF(A400="","",IF(ISNUMBER(LOOKUP("Â",Code128(A400),1)),"Error!",Code128(A400)))</f>
        <v/>
      </c>
      <c r="B399" s="128"/>
      <c r="C399" s="128" t="str">
        <f>IF(C400="","",IF(ISNUMBER(LOOKUP("Â",Code128(C400),1)),"Error!",Code128(C400)))</f>
        <v/>
      </c>
      <c r="D399" s="128"/>
    </row>
    <row r="400" spans="1:4" x14ac:dyDescent="0.3">
      <c r="A400" s="105" t="str">
        <f>IF(DB!D401=0,"",DB!D401)</f>
        <v/>
      </c>
      <c r="B400" s="106" t="str">
        <f>IF(DB!D401=0,"",CONCATENATE("  ",DB!E401))</f>
        <v/>
      </c>
      <c r="C400" s="105" t="str">
        <f>IF(DB!D402=0,"",DB!D402)</f>
        <v/>
      </c>
      <c r="D400" s="106" t="str">
        <f>IF(DB!D401=0,"",CONCATENATE("  ",DB!E402))</f>
        <v/>
      </c>
    </row>
    <row r="401" spans="1:4" ht="52.8" x14ac:dyDescent="0.3">
      <c r="A401" s="128" t="str">
        <f>IF(A402="","",IF(ISNUMBER(LOOKUP("Â",Code128(A402),1)),"Error!",Code128(A402)))</f>
        <v/>
      </c>
      <c r="B401" s="128"/>
      <c r="C401" s="128" t="str">
        <f>IF(C402="","",IF(ISNUMBER(LOOKUP("Â",Code128(C402),1)),"Error!",Code128(C402)))</f>
        <v/>
      </c>
      <c r="D401" s="128"/>
    </row>
    <row r="402" spans="1:4" x14ac:dyDescent="0.3">
      <c r="A402" s="105" t="str">
        <f>IF(DB!D403=0,"",DB!D403)</f>
        <v/>
      </c>
      <c r="B402" s="106" t="str">
        <f>IF(DB!D403=0,"",CONCATENATE("  ",DB!E403))</f>
        <v/>
      </c>
      <c r="C402" s="105" t="str">
        <f>IF(DB!D404=0,"",DB!D404)</f>
        <v/>
      </c>
      <c r="D402" s="106" t="str">
        <f>IF(DB!D403=0,"",CONCATENATE("  ",DB!E404))</f>
        <v/>
      </c>
    </row>
    <row r="403" spans="1:4" ht="52.8" x14ac:dyDescent="0.3">
      <c r="A403" s="128" t="str">
        <f>IF(A404="","",IF(ISNUMBER(LOOKUP("Â",Code128(A404),1)),"Error!",Code128(A404)))</f>
        <v/>
      </c>
      <c r="B403" s="128"/>
      <c r="C403" s="128" t="str">
        <f>IF(C404="","",IF(ISNUMBER(LOOKUP("Â",Code128(C404),1)),"Error!",Code128(C404)))</f>
        <v/>
      </c>
      <c r="D403" s="128"/>
    </row>
    <row r="404" spans="1:4" x14ac:dyDescent="0.3">
      <c r="A404" s="105" t="str">
        <f>IF(DB!D405=0,"",DB!D405)</f>
        <v/>
      </c>
      <c r="B404" s="106" t="str">
        <f>IF(DB!D405=0,"",CONCATENATE("  ",DB!E405))</f>
        <v/>
      </c>
      <c r="C404" s="105" t="str">
        <f>IF(DB!D406=0,"",DB!D406)</f>
        <v/>
      </c>
      <c r="D404" s="106" t="str">
        <f>IF(DB!D405=0,"",CONCATENATE("  ",DB!E406))</f>
        <v/>
      </c>
    </row>
    <row r="405" spans="1:4" ht="52.8" x14ac:dyDescent="0.3">
      <c r="A405" s="128" t="str">
        <f>IF(A406="","",IF(ISNUMBER(LOOKUP("Â",Code128(A406),1)),"Error!",Code128(A406)))</f>
        <v/>
      </c>
      <c r="B405" s="128"/>
      <c r="C405" s="128" t="str">
        <f>IF(C406="","",IF(ISNUMBER(LOOKUP("Â",Code128(C406),1)),"Error!",Code128(C406)))</f>
        <v/>
      </c>
      <c r="D405" s="128"/>
    </row>
    <row r="406" spans="1:4" x14ac:dyDescent="0.3">
      <c r="A406" s="105" t="str">
        <f>IF(DB!D407=0,"",DB!D407)</f>
        <v/>
      </c>
      <c r="B406" s="106" t="str">
        <f>IF(DB!D407=0,"",CONCATENATE("  ",DB!E407))</f>
        <v/>
      </c>
      <c r="C406" s="105" t="str">
        <f>IF(DB!D408=0,"",DB!D408)</f>
        <v/>
      </c>
      <c r="D406" s="106" t="str">
        <f>IF(DB!D407=0,"",CONCATENATE("  ",DB!E408))</f>
        <v/>
      </c>
    </row>
    <row r="407" spans="1:4" ht="52.8" x14ac:dyDescent="0.3">
      <c r="A407" s="128" t="str">
        <f>IF(A408="","",IF(ISNUMBER(LOOKUP("Â",Code128(A408),1)),"Error!",Code128(A408)))</f>
        <v/>
      </c>
      <c r="B407" s="128"/>
      <c r="C407" s="128" t="str">
        <f>IF(C408="","",IF(ISNUMBER(LOOKUP("Â",Code128(C408),1)),"Error!",Code128(C408)))</f>
        <v/>
      </c>
      <c r="D407" s="128"/>
    </row>
    <row r="408" spans="1:4" x14ac:dyDescent="0.3">
      <c r="A408" s="105" t="str">
        <f>IF(DB!D409=0,"",DB!D409)</f>
        <v/>
      </c>
      <c r="B408" s="106" t="str">
        <f>IF(DB!D409=0,"",CONCATENATE("  ",DB!E409))</f>
        <v/>
      </c>
      <c r="C408" s="105" t="str">
        <f>IF(DB!D410=0,"",DB!D410)</f>
        <v/>
      </c>
      <c r="D408" s="106" t="str">
        <f>IF(DB!D409=0,"",CONCATENATE("  ",DB!E410))</f>
        <v/>
      </c>
    </row>
    <row r="409" spans="1:4" ht="52.8" x14ac:dyDescent="0.3">
      <c r="A409" s="128" t="str">
        <f>IF(A410="","",IF(ISNUMBER(LOOKUP("Â",Code128(A410),1)),"Error!",Code128(A410)))</f>
        <v/>
      </c>
      <c r="B409" s="128"/>
      <c r="C409" s="128" t="str">
        <f>IF(C410="","",IF(ISNUMBER(LOOKUP("Â",Code128(C410),1)),"Error!",Code128(C410)))</f>
        <v/>
      </c>
      <c r="D409" s="128"/>
    </row>
    <row r="410" spans="1:4" x14ac:dyDescent="0.3">
      <c r="A410" s="105" t="str">
        <f>IF(DB!D411=0,"",DB!D411)</f>
        <v/>
      </c>
      <c r="B410" s="106" t="str">
        <f>IF(DB!D411=0,"",CONCATENATE("  ",DB!E411))</f>
        <v/>
      </c>
      <c r="C410" s="105" t="str">
        <f>IF(DB!D412=0,"",DB!D412)</f>
        <v/>
      </c>
      <c r="D410" s="106" t="str">
        <f>IF(DB!D411=0,"",CONCATENATE("  ",DB!E412))</f>
        <v/>
      </c>
    </row>
    <row r="411" spans="1:4" ht="52.8" x14ac:dyDescent="0.3">
      <c r="A411" s="128" t="str">
        <f>IF(A412="","",IF(ISNUMBER(LOOKUP("Â",Code128(A412),1)),"Error!",Code128(A412)))</f>
        <v/>
      </c>
      <c r="B411" s="128"/>
      <c r="C411" s="128" t="str">
        <f>IF(C412="","",IF(ISNUMBER(LOOKUP("Â",Code128(C412),1)),"Error!",Code128(C412)))</f>
        <v/>
      </c>
      <c r="D411" s="128"/>
    </row>
    <row r="412" spans="1:4" x14ac:dyDescent="0.3">
      <c r="A412" s="105" t="str">
        <f>IF(DB!D413=0,"",DB!D413)</f>
        <v/>
      </c>
      <c r="B412" s="106" t="str">
        <f>IF(DB!D413=0,"",CONCATENATE("  ",DB!E413))</f>
        <v/>
      </c>
      <c r="C412" s="105" t="str">
        <f>IF(DB!D414=0,"",DB!D414)</f>
        <v/>
      </c>
      <c r="D412" s="106" t="str">
        <f>IF(DB!D413=0,"",CONCATENATE("  ",DB!E414))</f>
        <v/>
      </c>
    </row>
    <row r="413" spans="1:4" ht="52.8" x14ac:dyDescent="0.3">
      <c r="A413" s="128" t="str">
        <f>IF(A414="","",IF(ISNUMBER(LOOKUP("Â",Code128(A414),1)),"Error!",Code128(A414)))</f>
        <v/>
      </c>
      <c r="B413" s="128"/>
      <c r="C413" s="128" t="str">
        <f>IF(C414="","",IF(ISNUMBER(LOOKUP("Â",Code128(C414),1)),"Error!",Code128(C414)))</f>
        <v/>
      </c>
      <c r="D413" s="128"/>
    </row>
    <row r="414" spans="1:4" x14ac:dyDescent="0.3">
      <c r="A414" s="105" t="str">
        <f>IF(DB!D415=0,"",DB!D415)</f>
        <v/>
      </c>
      <c r="B414" s="106" t="str">
        <f>IF(DB!D415=0,"",CONCATENATE("  ",DB!E415))</f>
        <v/>
      </c>
      <c r="C414" s="105" t="str">
        <f>IF(DB!D416=0,"",DB!D416)</f>
        <v/>
      </c>
      <c r="D414" s="106" t="str">
        <f>IF(DB!D415=0,"",CONCATENATE("  ",DB!E416))</f>
        <v/>
      </c>
    </row>
    <row r="415" spans="1:4" ht="52.8" x14ac:dyDescent="0.3">
      <c r="A415" s="128" t="str">
        <f>IF(A416="","",IF(ISNUMBER(LOOKUP("Â",Code128(A416),1)),"Error!",Code128(A416)))</f>
        <v/>
      </c>
      <c r="B415" s="128"/>
      <c r="C415" s="128" t="str">
        <f>IF(C416="","",IF(ISNUMBER(LOOKUP("Â",Code128(C416),1)),"Error!",Code128(C416)))</f>
        <v/>
      </c>
      <c r="D415" s="128"/>
    </row>
    <row r="416" spans="1:4" x14ac:dyDescent="0.3">
      <c r="A416" s="105" t="str">
        <f>IF(DB!D417=0,"",DB!D417)</f>
        <v/>
      </c>
      <c r="B416" s="106" t="str">
        <f>IF(DB!D417=0,"",CONCATENATE("  ",DB!E417))</f>
        <v/>
      </c>
      <c r="C416" s="105" t="str">
        <f>IF(DB!D418=0,"",DB!D418)</f>
        <v/>
      </c>
      <c r="D416" s="106" t="str">
        <f>IF(DB!D417=0,"",CONCATENATE("  ",DB!E418))</f>
        <v/>
      </c>
    </row>
    <row r="417" spans="1:4" ht="52.8" x14ac:dyDescent="0.3">
      <c r="A417" s="128" t="str">
        <f>IF(A418="","",IF(ISNUMBER(LOOKUP("Â",Code128(A418),1)),"Error!",Code128(A418)))</f>
        <v/>
      </c>
      <c r="B417" s="128"/>
      <c r="C417" s="128" t="str">
        <f>IF(C418="","",IF(ISNUMBER(LOOKUP("Â",Code128(C418),1)),"Error!",Code128(C418)))</f>
        <v/>
      </c>
      <c r="D417" s="128"/>
    </row>
    <row r="418" spans="1:4" x14ac:dyDescent="0.3">
      <c r="A418" s="105" t="str">
        <f>IF(DB!D419=0,"",DB!D419)</f>
        <v/>
      </c>
      <c r="B418" s="106" t="str">
        <f>IF(DB!D419=0,"",CONCATENATE("  ",DB!E419))</f>
        <v/>
      </c>
      <c r="C418" s="105" t="str">
        <f>IF(DB!D420=0,"",DB!D420)</f>
        <v/>
      </c>
      <c r="D418" s="106" t="str">
        <f>IF(DB!D419=0,"",CONCATENATE("  ",DB!E420))</f>
        <v/>
      </c>
    </row>
    <row r="419" spans="1:4" ht="52.8" x14ac:dyDescent="0.3">
      <c r="A419" s="128" t="str">
        <f>IF(A420="","",IF(ISNUMBER(LOOKUP("Â",Code128(A420),1)),"Error!",Code128(A420)))</f>
        <v/>
      </c>
      <c r="B419" s="128"/>
      <c r="C419" s="128" t="str">
        <f>IF(C420="","",IF(ISNUMBER(LOOKUP("Â",Code128(C420),1)),"Error!",Code128(C420)))</f>
        <v/>
      </c>
      <c r="D419" s="128"/>
    </row>
    <row r="420" spans="1:4" x14ac:dyDescent="0.3">
      <c r="A420" s="105" t="str">
        <f>IF(DB!D421=0,"",DB!D421)</f>
        <v/>
      </c>
      <c r="B420" s="106" t="str">
        <f>IF(DB!D421=0,"",CONCATENATE("  ",DB!E421))</f>
        <v/>
      </c>
      <c r="C420" s="105" t="str">
        <f>IF(DB!D422=0,"",DB!D422)</f>
        <v/>
      </c>
      <c r="D420" s="106" t="str">
        <f>IF(DB!D421=0,"",CONCATENATE("  ",DB!E422))</f>
        <v/>
      </c>
    </row>
    <row r="421" spans="1:4" ht="52.8" x14ac:dyDescent="0.3">
      <c r="A421" s="128" t="str">
        <f>IF(A422="","",IF(ISNUMBER(LOOKUP("Â",Code128(A422),1)),"Error!",Code128(A422)))</f>
        <v/>
      </c>
      <c r="B421" s="128"/>
      <c r="C421" s="128" t="str">
        <f>IF(C422="","",IF(ISNUMBER(LOOKUP("Â",Code128(C422),1)),"Error!",Code128(C422)))</f>
        <v/>
      </c>
      <c r="D421" s="128"/>
    </row>
    <row r="422" spans="1:4" x14ac:dyDescent="0.3">
      <c r="A422" s="105" t="str">
        <f>IF(DB!D423=0,"",DB!D423)</f>
        <v/>
      </c>
      <c r="B422" s="106" t="str">
        <f>IF(DB!D423=0,"",CONCATENATE("  ",DB!E423))</f>
        <v/>
      </c>
      <c r="C422" s="105" t="str">
        <f>IF(DB!D424=0,"",DB!D424)</f>
        <v/>
      </c>
      <c r="D422" s="106" t="str">
        <f>IF(DB!D423=0,"",CONCATENATE("  ",DB!E424))</f>
        <v/>
      </c>
    </row>
    <row r="423" spans="1:4" ht="52.8" x14ac:dyDescent="0.3">
      <c r="A423" s="128" t="str">
        <f>IF(A424="","",IF(ISNUMBER(LOOKUP("Â",Code128(A424),1)),"Error!",Code128(A424)))</f>
        <v/>
      </c>
      <c r="B423" s="128"/>
      <c r="C423" s="128" t="str">
        <f>IF(C424="","",IF(ISNUMBER(LOOKUP("Â",Code128(C424),1)),"Error!",Code128(C424)))</f>
        <v/>
      </c>
      <c r="D423" s="128"/>
    </row>
    <row r="424" spans="1:4" x14ac:dyDescent="0.3">
      <c r="A424" s="105" t="str">
        <f>IF(DB!D425=0,"",DB!D425)</f>
        <v/>
      </c>
      <c r="B424" s="106" t="str">
        <f>IF(DB!D425=0,"",CONCATENATE("  ",DB!E425))</f>
        <v/>
      </c>
      <c r="C424" s="105" t="str">
        <f>IF(DB!D426=0,"",DB!D426)</f>
        <v/>
      </c>
      <c r="D424" s="106" t="str">
        <f>IF(DB!D425=0,"",CONCATENATE("  ",DB!E426))</f>
        <v/>
      </c>
    </row>
    <row r="425" spans="1:4" ht="52.8" x14ac:dyDescent="0.3">
      <c r="A425" s="128" t="str">
        <f>IF(A426="","",IF(ISNUMBER(LOOKUP("Â",Code128(A426),1)),"Error!",Code128(A426)))</f>
        <v/>
      </c>
      <c r="B425" s="128"/>
      <c r="C425" s="128" t="str">
        <f>IF(C426="","",IF(ISNUMBER(LOOKUP("Â",Code128(C426),1)),"Error!",Code128(C426)))</f>
        <v/>
      </c>
      <c r="D425" s="128"/>
    </row>
    <row r="426" spans="1:4" x14ac:dyDescent="0.3">
      <c r="A426" s="105" t="str">
        <f>IF(DB!D427=0,"",DB!D427)</f>
        <v/>
      </c>
      <c r="B426" s="106" t="str">
        <f>IF(DB!D427=0,"",CONCATENATE("  ",DB!E427))</f>
        <v/>
      </c>
      <c r="C426" s="105" t="str">
        <f>IF(DB!D428=0,"",DB!D428)</f>
        <v/>
      </c>
      <c r="D426" s="106" t="str">
        <f>IF(DB!D427=0,"",CONCATENATE("  ",DB!E428))</f>
        <v/>
      </c>
    </row>
    <row r="427" spans="1:4" ht="52.8" x14ac:dyDescent="0.3">
      <c r="A427" s="128" t="str">
        <f>IF(A428="","",IF(ISNUMBER(LOOKUP("Â",Code128(A428),1)),"Error!",Code128(A428)))</f>
        <v/>
      </c>
      <c r="B427" s="128"/>
      <c r="C427" s="128" t="str">
        <f>IF(C428="","",IF(ISNUMBER(LOOKUP("Â",Code128(C428),1)),"Error!",Code128(C428)))</f>
        <v/>
      </c>
      <c r="D427" s="128"/>
    </row>
    <row r="428" spans="1:4" x14ac:dyDescent="0.3">
      <c r="A428" s="105" t="str">
        <f>IF(DB!D429=0,"",DB!D429)</f>
        <v/>
      </c>
      <c r="B428" s="106" t="str">
        <f>IF(DB!D429=0,"",CONCATENATE("  ",DB!E429))</f>
        <v/>
      </c>
      <c r="C428" s="105" t="str">
        <f>IF(DB!D430=0,"",DB!D430)</f>
        <v/>
      </c>
      <c r="D428" s="106" t="str">
        <f>IF(DB!D429=0,"",CONCATENATE("  ",DB!E430))</f>
        <v/>
      </c>
    </row>
    <row r="429" spans="1:4" ht="52.8" x14ac:dyDescent="0.3">
      <c r="A429" s="128" t="str">
        <f>IF(A430="","",IF(ISNUMBER(LOOKUP("Â",Code128(A430),1)),"Error!",Code128(A430)))</f>
        <v/>
      </c>
      <c r="B429" s="128"/>
      <c r="C429" s="128" t="str">
        <f>IF(C430="","",IF(ISNUMBER(LOOKUP("Â",Code128(C430),1)),"Error!",Code128(C430)))</f>
        <v/>
      </c>
      <c r="D429" s="128"/>
    </row>
    <row r="430" spans="1:4" x14ac:dyDescent="0.3">
      <c r="A430" s="105" t="str">
        <f>IF(DB!D431=0,"",DB!D431)</f>
        <v/>
      </c>
      <c r="B430" s="106" t="str">
        <f>IF(DB!D431=0,"",CONCATENATE("  ",DB!E431))</f>
        <v/>
      </c>
      <c r="C430" s="105" t="str">
        <f>IF(DB!D432=0,"",DB!D432)</f>
        <v/>
      </c>
      <c r="D430" s="106" t="str">
        <f>IF(DB!D431=0,"",CONCATENATE("  ",DB!E432))</f>
        <v/>
      </c>
    </row>
    <row r="431" spans="1:4" ht="52.8" x14ac:dyDescent="0.3">
      <c r="A431" s="128" t="str">
        <f>IF(A432="","",IF(ISNUMBER(LOOKUP("Â",Code128(A432),1)),"Error!",Code128(A432)))</f>
        <v/>
      </c>
      <c r="B431" s="128"/>
      <c r="C431" s="128" t="str">
        <f>IF(C432="","",IF(ISNUMBER(LOOKUP("Â",Code128(C432),1)),"Error!",Code128(C432)))</f>
        <v/>
      </c>
      <c r="D431" s="128"/>
    </row>
    <row r="432" spans="1:4" x14ac:dyDescent="0.3">
      <c r="A432" s="105" t="str">
        <f>IF(DB!D433=0,"",DB!D433)</f>
        <v/>
      </c>
      <c r="B432" s="106" t="str">
        <f>IF(DB!D433=0,"",CONCATENATE("  ",DB!E433))</f>
        <v/>
      </c>
      <c r="C432" s="105" t="str">
        <f>IF(DB!D434=0,"",DB!D434)</f>
        <v/>
      </c>
      <c r="D432" s="106" t="str">
        <f>IF(DB!D433=0,"",CONCATENATE("  ",DB!E434))</f>
        <v/>
      </c>
    </row>
    <row r="433" spans="1:4" ht="52.8" x14ac:dyDescent="0.3">
      <c r="A433" s="128" t="str">
        <f>IF(A434="","",IF(ISNUMBER(LOOKUP("Â",Code128(A434),1)),"Error!",Code128(A434)))</f>
        <v/>
      </c>
      <c r="B433" s="128"/>
      <c r="C433" s="128" t="str">
        <f>IF(C434="","",IF(ISNUMBER(LOOKUP("Â",Code128(C434),1)),"Error!",Code128(C434)))</f>
        <v/>
      </c>
      <c r="D433" s="128"/>
    </row>
    <row r="434" spans="1:4" x14ac:dyDescent="0.3">
      <c r="A434" s="105" t="str">
        <f>IF(DB!D435=0,"",DB!D435)</f>
        <v/>
      </c>
      <c r="B434" s="106" t="str">
        <f>IF(DB!D435=0,"",CONCATENATE("  ",DB!E435))</f>
        <v/>
      </c>
      <c r="C434" s="105" t="str">
        <f>IF(DB!D436=0,"",DB!D436)</f>
        <v/>
      </c>
      <c r="D434" s="106" t="str">
        <f>IF(DB!D435=0,"",CONCATENATE("  ",DB!E436))</f>
        <v/>
      </c>
    </row>
    <row r="435" spans="1:4" ht="52.8" x14ac:dyDescent="0.3">
      <c r="A435" s="128" t="str">
        <f>IF(A436="","",IF(ISNUMBER(LOOKUP("Â",Code128(A436),1)),"Error!",Code128(A436)))</f>
        <v/>
      </c>
      <c r="B435" s="128"/>
      <c r="C435" s="128" t="str">
        <f>IF(C436="","",IF(ISNUMBER(LOOKUP("Â",Code128(C436),1)),"Error!",Code128(C436)))</f>
        <v/>
      </c>
      <c r="D435" s="128"/>
    </row>
    <row r="436" spans="1:4" x14ac:dyDescent="0.3">
      <c r="A436" s="105" t="str">
        <f>IF(DB!D437=0,"",DB!D437)</f>
        <v/>
      </c>
      <c r="B436" s="106" t="str">
        <f>IF(DB!D437=0,"",CONCATENATE("  ",DB!E437))</f>
        <v/>
      </c>
      <c r="C436" s="105" t="str">
        <f>IF(DB!D438=0,"",DB!D438)</f>
        <v/>
      </c>
      <c r="D436" s="106" t="str">
        <f>IF(DB!D437=0,"",CONCATENATE("  ",DB!E438))</f>
        <v/>
      </c>
    </row>
    <row r="437" spans="1:4" ht="52.8" x14ac:dyDescent="0.3">
      <c r="A437" s="128" t="str">
        <f>IF(A438="","",IF(ISNUMBER(LOOKUP("Â",Code128(A438),1)),"Error!",Code128(A438)))</f>
        <v/>
      </c>
      <c r="B437" s="128"/>
      <c r="C437" s="128" t="str">
        <f>IF(C438="","",IF(ISNUMBER(LOOKUP("Â",Code128(C438),1)),"Error!",Code128(C438)))</f>
        <v/>
      </c>
      <c r="D437" s="128"/>
    </row>
    <row r="438" spans="1:4" x14ac:dyDescent="0.3">
      <c r="A438" s="105" t="str">
        <f>IF(DB!D439=0,"",DB!D439)</f>
        <v/>
      </c>
      <c r="B438" s="106" t="str">
        <f>IF(DB!D439=0,"",CONCATENATE("  ",DB!E439))</f>
        <v/>
      </c>
      <c r="C438" s="105" t="str">
        <f>IF(DB!D440=0,"",DB!D440)</f>
        <v/>
      </c>
      <c r="D438" s="106" t="str">
        <f>IF(DB!D439=0,"",CONCATENATE("  ",DB!E440))</f>
        <v/>
      </c>
    </row>
    <row r="439" spans="1:4" ht="52.8" x14ac:dyDescent="0.3">
      <c r="A439" s="128" t="str">
        <f>IF(A440="","",IF(ISNUMBER(LOOKUP("Â",Code128(A440),1)),"Error!",Code128(A440)))</f>
        <v/>
      </c>
      <c r="B439" s="128"/>
      <c r="C439" s="128" t="str">
        <f>IF(C440="","",IF(ISNUMBER(LOOKUP("Â",Code128(C440),1)),"Error!",Code128(C440)))</f>
        <v/>
      </c>
      <c r="D439" s="128"/>
    </row>
    <row r="440" spans="1:4" x14ac:dyDescent="0.3">
      <c r="A440" s="105" t="str">
        <f>IF(DB!D441=0,"",DB!D441)</f>
        <v/>
      </c>
      <c r="B440" s="106" t="str">
        <f>IF(DB!D441=0,"",CONCATENATE("  ",DB!E441))</f>
        <v/>
      </c>
      <c r="C440" s="105" t="str">
        <f>IF(DB!D442=0,"",DB!D442)</f>
        <v/>
      </c>
      <c r="D440" s="106" t="str">
        <f>IF(DB!D441=0,"",CONCATENATE("  ",DB!E442))</f>
        <v/>
      </c>
    </row>
    <row r="441" spans="1:4" ht="52.8" x14ac:dyDescent="0.3">
      <c r="A441" s="128" t="str">
        <f>IF(A442="","",IF(ISNUMBER(LOOKUP("Â",Code128(A442),1)),"Error!",Code128(A442)))</f>
        <v/>
      </c>
      <c r="B441" s="128"/>
      <c r="C441" s="128" t="str">
        <f>IF(C442="","",IF(ISNUMBER(LOOKUP("Â",Code128(C442),1)),"Error!",Code128(C442)))</f>
        <v/>
      </c>
      <c r="D441" s="128"/>
    </row>
    <row r="442" spans="1:4" x14ac:dyDescent="0.3">
      <c r="A442" s="105" t="str">
        <f>IF(DB!D443=0,"",DB!D443)</f>
        <v/>
      </c>
      <c r="B442" s="106" t="str">
        <f>IF(DB!D443=0,"",CONCATENATE("  ",DB!E443))</f>
        <v/>
      </c>
      <c r="C442" s="105" t="str">
        <f>IF(DB!D444=0,"",DB!D444)</f>
        <v/>
      </c>
      <c r="D442" s="106" t="str">
        <f>IF(DB!D443=0,"",CONCATENATE("  ",DB!E444))</f>
        <v/>
      </c>
    </row>
    <row r="443" spans="1:4" ht="52.8" x14ac:dyDescent="0.3">
      <c r="A443" s="128" t="str">
        <f>IF(A444="","",IF(ISNUMBER(LOOKUP("Â",Code128(A444),1)),"Error!",Code128(A444)))</f>
        <v/>
      </c>
      <c r="B443" s="128"/>
      <c r="C443" s="128" t="str">
        <f>IF(C444="","",IF(ISNUMBER(LOOKUP("Â",Code128(C444),1)),"Error!",Code128(C444)))</f>
        <v/>
      </c>
      <c r="D443" s="128"/>
    </row>
    <row r="444" spans="1:4" x14ac:dyDescent="0.3">
      <c r="A444" s="105" t="str">
        <f>IF(DB!D445=0,"",DB!D445)</f>
        <v/>
      </c>
      <c r="B444" s="106" t="str">
        <f>IF(DB!D445=0,"",CONCATENATE("  ",DB!E445))</f>
        <v/>
      </c>
      <c r="C444" s="105" t="str">
        <f>IF(DB!D446=0,"",DB!D446)</f>
        <v/>
      </c>
      <c r="D444" s="106" t="str">
        <f>IF(DB!D445=0,"",CONCATENATE("  ",DB!E446))</f>
        <v/>
      </c>
    </row>
    <row r="445" spans="1:4" ht="52.8" x14ac:dyDescent="0.3">
      <c r="A445" s="128" t="str">
        <f>IF(A446="","",IF(ISNUMBER(LOOKUP("Â",Code128(A446),1)),"Error!",Code128(A446)))</f>
        <v/>
      </c>
      <c r="B445" s="128"/>
      <c r="C445" s="128" t="str">
        <f>IF(C446="","",IF(ISNUMBER(LOOKUP("Â",Code128(C446),1)),"Error!",Code128(C446)))</f>
        <v/>
      </c>
      <c r="D445" s="128"/>
    </row>
    <row r="446" spans="1:4" x14ac:dyDescent="0.3">
      <c r="A446" s="105" t="str">
        <f>IF(DB!D447=0,"",DB!D447)</f>
        <v/>
      </c>
      <c r="B446" s="106" t="str">
        <f>IF(DB!D447=0,"",CONCATENATE("  ",DB!E447))</f>
        <v/>
      </c>
      <c r="C446" s="105" t="str">
        <f>IF(DB!D448=0,"",DB!D448)</f>
        <v/>
      </c>
      <c r="D446" s="106" t="str">
        <f>IF(DB!D447=0,"",CONCATENATE("  ",DB!E448))</f>
        <v/>
      </c>
    </row>
    <row r="447" spans="1:4" ht="52.8" x14ac:dyDescent="0.3">
      <c r="A447" s="128" t="str">
        <f>IF(A448="","",IF(ISNUMBER(LOOKUP("Â",Code128(A448),1)),"Error!",Code128(A448)))</f>
        <v/>
      </c>
      <c r="B447" s="128"/>
      <c r="C447" s="128" t="str">
        <f>IF(C448="","",IF(ISNUMBER(LOOKUP("Â",Code128(C448),1)),"Error!",Code128(C448)))</f>
        <v/>
      </c>
      <c r="D447" s="128"/>
    </row>
    <row r="448" spans="1:4" x14ac:dyDescent="0.3">
      <c r="A448" s="105" t="str">
        <f>IF(DB!D449=0,"",DB!D449)</f>
        <v/>
      </c>
      <c r="B448" s="106" t="str">
        <f>IF(DB!D449=0,"",CONCATENATE("  ",DB!E449))</f>
        <v/>
      </c>
      <c r="C448" s="105" t="str">
        <f>IF(DB!D450=0,"",DB!D450)</f>
        <v/>
      </c>
      <c r="D448" s="106" t="str">
        <f>IF(DB!D449=0,"",CONCATENATE("  ",DB!E450))</f>
        <v/>
      </c>
    </row>
    <row r="449" spans="1:4" ht="52.8" x14ac:dyDescent="0.3">
      <c r="A449" s="128" t="str">
        <f>IF(A450="","",IF(ISNUMBER(LOOKUP("Â",Code128(A450),1)),"Error!",Code128(A450)))</f>
        <v/>
      </c>
      <c r="B449" s="128"/>
      <c r="C449" s="128" t="str">
        <f>IF(C450="","",IF(ISNUMBER(LOOKUP("Â",Code128(C450),1)),"Error!",Code128(C450)))</f>
        <v/>
      </c>
      <c r="D449" s="128"/>
    </row>
    <row r="450" spans="1:4" x14ac:dyDescent="0.3">
      <c r="A450" s="105" t="str">
        <f>IF(DB!D451=0,"",DB!D451)</f>
        <v/>
      </c>
      <c r="B450" s="106" t="str">
        <f>IF(DB!D451=0,"",CONCATENATE("  ",DB!E451))</f>
        <v/>
      </c>
      <c r="C450" s="105" t="str">
        <f>IF(DB!D452=0,"",DB!D452)</f>
        <v/>
      </c>
      <c r="D450" s="106" t="str">
        <f>IF(DB!D451=0,"",CONCATENATE("  ",DB!E452))</f>
        <v/>
      </c>
    </row>
    <row r="451" spans="1:4" ht="52.8" x14ac:dyDescent="0.3">
      <c r="A451" s="128" t="str">
        <f>IF(A452="","",IF(ISNUMBER(LOOKUP("Â",Code128(A452),1)),"Error!",Code128(A452)))</f>
        <v/>
      </c>
      <c r="B451" s="128"/>
      <c r="C451" s="128" t="str">
        <f>IF(C452="","",IF(ISNUMBER(LOOKUP("Â",Code128(C452),1)),"Error!",Code128(C452)))</f>
        <v/>
      </c>
      <c r="D451" s="128"/>
    </row>
    <row r="452" spans="1:4" x14ac:dyDescent="0.3">
      <c r="A452" s="105" t="str">
        <f>IF(DB!D453=0,"",DB!D453)</f>
        <v/>
      </c>
      <c r="B452" s="106" t="str">
        <f>IF(DB!D453=0,"",CONCATENATE("  ",DB!E453))</f>
        <v/>
      </c>
      <c r="C452" s="105" t="str">
        <f>IF(DB!D454=0,"",DB!D454)</f>
        <v/>
      </c>
      <c r="D452" s="106" t="str">
        <f>IF(DB!D453=0,"",CONCATENATE("  ",DB!E454))</f>
        <v/>
      </c>
    </row>
    <row r="453" spans="1:4" ht="52.8" x14ac:dyDescent="0.3">
      <c r="A453" s="128" t="str">
        <f>IF(A454="","",IF(ISNUMBER(LOOKUP("Â",Code128(A454),1)),"Error!",Code128(A454)))</f>
        <v/>
      </c>
      <c r="B453" s="128"/>
      <c r="C453" s="128" t="str">
        <f>IF(C454="","",IF(ISNUMBER(LOOKUP("Â",Code128(C454),1)),"Error!",Code128(C454)))</f>
        <v/>
      </c>
      <c r="D453" s="128"/>
    </row>
    <row r="454" spans="1:4" x14ac:dyDescent="0.3">
      <c r="A454" s="105" t="str">
        <f>IF(DB!D455=0,"",DB!D455)</f>
        <v/>
      </c>
      <c r="B454" s="106" t="str">
        <f>IF(DB!D455=0,"",CONCATENATE("  ",DB!E455))</f>
        <v/>
      </c>
      <c r="C454" s="105" t="str">
        <f>IF(DB!D456=0,"",DB!D456)</f>
        <v/>
      </c>
      <c r="D454" s="106" t="str">
        <f>IF(DB!D455=0,"",CONCATENATE("  ",DB!E456))</f>
        <v/>
      </c>
    </row>
    <row r="455" spans="1:4" ht="52.8" x14ac:dyDescent="0.3">
      <c r="A455" s="128" t="str">
        <f>IF(A456="","",IF(ISNUMBER(LOOKUP("Â",Code128(A456),1)),"Error!",Code128(A456)))</f>
        <v/>
      </c>
      <c r="B455" s="128"/>
      <c r="C455" s="128" t="str">
        <f>IF(C456="","",IF(ISNUMBER(LOOKUP("Â",Code128(C456),1)),"Error!",Code128(C456)))</f>
        <v/>
      </c>
      <c r="D455" s="128"/>
    </row>
    <row r="456" spans="1:4" x14ac:dyDescent="0.3">
      <c r="A456" s="105" t="str">
        <f>IF(DB!D457=0,"",DB!D457)</f>
        <v/>
      </c>
      <c r="B456" s="106" t="str">
        <f>IF(DB!D457=0,"",CONCATENATE("  ",DB!E457))</f>
        <v/>
      </c>
      <c r="C456" s="105" t="str">
        <f>IF(DB!D458=0,"",DB!D458)</f>
        <v/>
      </c>
      <c r="D456" s="106" t="str">
        <f>IF(DB!D457=0,"",CONCATENATE("  ",DB!E458))</f>
        <v/>
      </c>
    </row>
    <row r="457" spans="1:4" ht="52.8" x14ac:dyDescent="0.3">
      <c r="A457" s="128" t="str">
        <f>IF(A458="","",IF(ISNUMBER(LOOKUP("Â",Code128(A458),1)),"Error!",Code128(A458)))</f>
        <v/>
      </c>
      <c r="B457" s="128"/>
      <c r="C457" s="128" t="str">
        <f>IF(C458="","",IF(ISNUMBER(LOOKUP("Â",Code128(C458),1)),"Error!",Code128(C458)))</f>
        <v/>
      </c>
      <c r="D457" s="128"/>
    </row>
    <row r="458" spans="1:4" x14ac:dyDescent="0.3">
      <c r="A458" s="105" t="str">
        <f>IF(DB!D459=0,"",DB!D459)</f>
        <v/>
      </c>
      <c r="B458" s="106" t="str">
        <f>IF(DB!D459=0,"",CONCATENATE("  ",DB!E459))</f>
        <v/>
      </c>
      <c r="C458" s="105" t="str">
        <f>IF(DB!D460=0,"",DB!D460)</f>
        <v/>
      </c>
      <c r="D458" s="106" t="str">
        <f>IF(DB!D459=0,"",CONCATENATE("  ",DB!E460))</f>
        <v/>
      </c>
    </row>
    <row r="459" spans="1:4" ht="52.8" x14ac:dyDescent="0.3">
      <c r="A459" s="128" t="str">
        <f>IF(A460="","",IF(ISNUMBER(LOOKUP("Â",Code128(A460),1)),"Error!",Code128(A460)))</f>
        <v/>
      </c>
      <c r="B459" s="128"/>
      <c r="C459" s="128" t="str">
        <f>IF(C460="","",IF(ISNUMBER(LOOKUP("Â",Code128(C460),1)),"Error!",Code128(C460)))</f>
        <v/>
      </c>
      <c r="D459" s="128"/>
    </row>
    <row r="460" spans="1:4" x14ac:dyDescent="0.3">
      <c r="A460" s="105" t="str">
        <f>IF(DB!D461=0,"",DB!D461)</f>
        <v/>
      </c>
      <c r="B460" s="106" t="str">
        <f>IF(DB!D461=0,"",CONCATENATE("  ",DB!E461))</f>
        <v/>
      </c>
      <c r="C460" s="105" t="str">
        <f>IF(DB!D462=0,"",DB!D462)</f>
        <v/>
      </c>
      <c r="D460" s="106" t="str">
        <f>IF(DB!D461=0,"",CONCATENATE("  ",DB!E462))</f>
        <v/>
      </c>
    </row>
    <row r="461" spans="1:4" ht="52.8" x14ac:dyDescent="0.3">
      <c r="A461" s="128" t="str">
        <f>IF(A462="","",IF(ISNUMBER(LOOKUP("Â",Code128(A462),1)),"Error!",Code128(A462)))</f>
        <v/>
      </c>
      <c r="B461" s="128"/>
      <c r="C461" s="128" t="str">
        <f>IF(C462="","",IF(ISNUMBER(LOOKUP("Â",Code128(C462),1)),"Error!",Code128(C462)))</f>
        <v/>
      </c>
      <c r="D461" s="128"/>
    </row>
    <row r="462" spans="1:4" x14ac:dyDescent="0.3">
      <c r="A462" s="105" t="str">
        <f>IF(DB!D463=0,"",DB!D463)</f>
        <v/>
      </c>
      <c r="B462" s="106" t="str">
        <f>IF(DB!D463=0,"",CONCATENATE("  ",DB!E463))</f>
        <v/>
      </c>
      <c r="C462" s="105" t="str">
        <f>IF(DB!D464=0,"",DB!D464)</f>
        <v/>
      </c>
      <c r="D462" s="106" t="str">
        <f>IF(DB!D463=0,"",CONCATENATE("  ",DB!E464))</f>
        <v/>
      </c>
    </row>
    <row r="463" spans="1:4" ht="52.8" x14ac:dyDescent="0.3">
      <c r="A463" s="128" t="str">
        <f>IF(A464="","",IF(ISNUMBER(LOOKUP("Â",Code128(A464),1)),"Error!",Code128(A464)))</f>
        <v/>
      </c>
      <c r="B463" s="128"/>
      <c r="C463" s="128" t="str">
        <f>IF(C464="","",IF(ISNUMBER(LOOKUP("Â",Code128(C464),1)),"Error!",Code128(C464)))</f>
        <v/>
      </c>
      <c r="D463" s="128"/>
    </row>
    <row r="464" spans="1:4" x14ac:dyDescent="0.3">
      <c r="A464" s="105" t="str">
        <f>IF(DB!D465=0,"",DB!D465)</f>
        <v/>
      </c>
      <c r="B464" s="106" t="str">
        <f>IF(DB!D465=0,"",CONCATENATE("  ",DB!E465))</f>
        <v/>
      </c>
      <c r="C464" s="105" t="str">
        <f>IF(DB!D466=0,"",DB!D466)</f>
        <v/>
      </c>
      <c r="D464" s="106" t="str">
        <f>IF(DB!D465=0,"",CONCATENATE("  ",DB!E466))</f>
        <v/>
      </c>
    </row>
    <row r="465" spans="1:4" ht="52.8" x14ac:dyDescent="0.3">
      <c r="A465" s="128" t="str">
        <f>IF(A466="","",IF(ISNUMBER(LOOKUP("Â",Code128(A466),1)),"Error!",Code128(A466)))</f>
        <v/>
      </c>
      <c r="B465" s="128"/>
      <c r="C465" s="128" t="str">
        <f>IF(C466="","",IF(ISNUMBER(LOOKUP("Â",Code128(C466),1)),"Error!",Code128(C466)))</f>
        <v/>
      </c>
      <c r="D465" s="128"/>
    </row>
    <row r="466" spans="1:4" x14ac:dyDescent="0.3">
      <c r="A466" s="105" t="str">
        <f>IF(DB!D467=0,"",DB!D467)</f>
        <v/>
      </c>
      <c r="B466" s="106" t="str">
        <f>IF(DB!D467=0,"",CONCATENATE("  ",DB!E467))</f>
        <v/>
      </c>
      <c r="C466" s="105" t="str">
        <f>IF(DB!D468=0,"",DB!D468)</f>
        <v/>
      </c>
      <c r="D466" s="106" t="str">
        <f>IF(DB!D467=0,"",CONCATENATE("  ",DB!E468))</f>
        <v/>
      </c>
    </row>
    <row r="467" spans="1:4" ht="52.8" x14ac:dyDescent="0.3">
      <c r="A467" s="128" t="str">
        <f>IF(A468="","",IF(ISNUMBER(LOOKUP("Â",Code128(A468),1)),"Error!",Code128(A468)))</f>
        <v/>
      </c>
      <c r="B467" s="128"/>
      <c r="C467" s="128" t="str">
        <f>IF(C468="","",IF(ISNUMBER(LOOKUP("Â",Code128(C468),1)),"Error!",Code128(C468)))</f>
        <v/>
      </c>
      <c r="D467" s="128"/>
    </row>
    <row r="468" spans="1:4" x14ac:dyDescent="0.3">
      <c r="A468" s="105" t="str">
        <f>IF(DB!D469=0,"",DB!D469)</f>
        <v/>
      </c>
      <c r="B468" s="106" t="str">
        <f>IF(DB!D469=0,"",CONCATENATE("  ",DB!E469))</f>
        <v/>
      </c>
      <c r="C468" s="105" t="str">
        <f>IF(DB!D470=0,"",DB!D470)</f>
        <v/>
      </c>
      <c r="D468" s="106" t="str">
        <f>IF(DB!D469=0,"",CONCATENATE("  ",DB!E470))</f>
        <v/>
      </c>
    </row>
    <row r="469" spans="1:4" ht="52.8" x14ac:dyDescent="0.3">
      <c r="A469" s="128" t="str">
        <f>IF(A470="","",IF(ISNUMBER(LOOKUP("Â",Code128(A470),1)),"Error!",Code128(A470)))</f>
        <v/>
      </c>
      <c r="B469" s="128"/>
      <c r="C469" s="128" t="str">
        <f>IF(C470="","",IF(ISNUMBER(LOOKUP("Â",Code128(C470),1)),"Error!",Code128(C470)))</f>
        <v/>
      </c>
      <c r="D469" s="128"/>
    </row>
    <row r="470" spans="1:4" x14ac:dyDescent="0.3">
      <c r="A470" s="105" t="str">
        <f>IF(DB!D471=0,"",DB!D471)</f>
        <v/>
      </c>
      <c r="B470" s="106" t="str">
        <f>IF(DB!D471=0,"",CONCATENATE("  ",DB!E471))</f>
        <v/>
      </c>
      <c r="C470" s="105" t="str">
        <f>IF(DB!D472=0,"",DB!D472)</f>
        <v/>
      </c>
      <c r="D470" s="106" t="str">
        <f>IF(DB!D471=0,"",CONCATENATE("  ",DB!E472))</f>
        <v/>
      </c>
    </row>
    <row r="471" spans="1:4" ht="52.8" x14ac:dyDescent="0.3">
      <c r="A471" s="128" t="str">
        <f>IF(A472="","",IF(ISNUMBER(LOOKUP("Â",Code128(A472),1)),"Error!",Code128(A472)))</f>
        <v/>
      </c>
      <c r="B471" s="128"/>
      <c r="C471" s="128" t="str">
        <f>IF(C472="","",IF(ISNUMBER(LOOKUP("Â",Code128(C472),1)),"Error!",Code128(C472)))</f>
        <v/>
      </c>
      <c r="D471" s="128"/>
    </row>
    <row r="472" spans="1:4" x14ac:dyDescent="0.3">
      <c r="A472" s="105" t="str">
        <f>IF(DB!D473=0,"",DB!D473)</f>
        <v/>
      </c>
      <c r="B472" s="106" t="str">
        <f>IF(DB!D473=0,"",CONCATENATE("  ",DB!E473))</f>
        <v/>
      </c>
      <c r="C472" s="105" t="str">
        <f>IF(DB!D474=0,"",DB!D474)</f>
        <v/>
      </c>
      <c r="D472" s="106" t="str">
        <f>IF(DB!D473=0,"",CONCATENATE("  ",DB!E474))</f>
        <v/>
      </c>
    </row>
    <row r="473" spans="1:4" ht="52.8" x14ac:dyDescent="0.3">
      <c r="A473" s="128" t="str">
        <f>IF(A474="","",IF(ISNUMBER(LOOKUP("Â",Code128(A474),1)),"Error!",Code128(A474)))</f>
        <v/>
      </c>
      <c r="B473" s="128"/>
      <c r="C473" s="128" t="str">
        <f>IF(C474="","",IF(ISNUMBER(LOOKUP("Â",Code128(C474),1)),"Error!",Code128(C474)))</f>
        <v/>
      </c>
      <c r="D473" s="128"/>
    </row>
    <row r="474" spans="1:4" x14ac:dyDescent="0.3">
      <c r="A474" s="105" t="str">
        <f>IF(DB!D475=0,"",DB!D475)</f>
        <v/>
      </c>
      <c r="B474" s="106" t="str">
        <f>IF(DB!D475=0,"",CONCATENATE("  ",DB!E475))</f>
        <v/>
      </c>
      <c r="C474" s="105" t="str">
        <f>IF(DB!D476=0,"",DB!D476)</f>
        <v/>
      </c>
      <c r="D474" s="106" t="str">
        <f>IF(DB!D475=0,"",CONCATENATE("  ",DB!E476))</f>
        <v/>
      </c>
    </row>
    <row r="475" spans="1:4" ht="52.8" x14ac:dyDescent="0.3">
      <c r="A475" s="128" t="str">
        <f>IF(A476="","",IF(ISNUMBER(LOOKUP("Â",Code128(A476),1)),"Error!",Code128(A476)))</f>
        <v/>
      </c>
      <c r="B475" s="128"/>
      <c r="C475" s="128" t="str">
        <f>IF(C476="","",IF(ISNUMBER(LOOKUP("Â",Code128(C476),1)),"Error!",Code128(C476)))</f>
        <v/>
      </c>
      <c r="D475" s="128"/>
    </row>
    <row r="476" spans="1:4" x14ac:dyDescent="0.3">
      <c r="A476" s="105" t="str">
        <f>IF(DB!D477=0,"",DB!D477)</f>
        <v/>
      </c>
      <c r="B476" s="106" t="str">
        <f>IF(DB!D477=0,"",CONCATENATE("  ",DB!E477))</f>
        <v/>
      </c>
      <c r="C476" s="105" t="str">
        <f>IF(DB!D478=0,"",DB!D478)</f>
        <v/>
      </c>
      <c r="D476" s="106" t="str">
        <f>IF(DB!D477=0,"",CONCATENATE("  ",DB!E478))</f>
        <v/>
      </c>
    </row>
    <row r="477" spans="1:4" ht="52.8" x14ac:dyDescent="0.3">
      <c r="A477" s="128" t="str">
        <f>IF(A478="","",IF(ISNUMBER(LOOKUP("Â",Code128(A478),1)),"Error!",Code128(A478)))</f>
        <v/>
      </c>
      <c r="B477" s="128"/>
      <c r="C477" s="128" t="str">
        <f>IF(C478="","",IF(ISNUMBER(LOOKUP("Â",Code128(C478),1)),"Error!",Code128(C478)))</f>
        <v/>
      </c>
      <c r="D477" s="128"/>
    </row>
    <row r="478" spans="1:4" x14ac:dyDescent="0.3">
      <c r="A478" s="105" t="str">
        <f>IF(DB!D479=0,"",DB!D479)</f>
        <v/>
      </c>
      <c r="B478" s="106" t="str">
        <f>IF(DB!D479=0,"",CONCATENATE("  ",DB!E479))</f>
        <v/>
      </c>
      <c r="C478" s="105" t="str">
        <f>IF(DB!D480=0,"",DB!D480)</f>
        <v/>
      </c>
      <c r="D478" s="106" t="str">
        <f>IF(DB!D479=0,"",CONCATENATE("  ",DB!E480))</f>
        <v/>
      </c>
    </row>
    <row r="479" spans="1:4" ht="52.8" x14ac:dyDescent="0.3">
      <c r="A479" s="128" t="str">
        <f>IF(A480="","",IF(ISNUMBER(LOOKUP("Â",Code128(A480),1)),"Error!",Code128(A480)))</f>
        <v/>
      </c>
      <c r="B479" s="128"/>
      <c r="C479" s="128" t="str">
        <f>IF(C480="","",IF(ISNUMBER(LOOKUP("Â",Code128(C480),1)),"Error!",Code128(C480)))</f>
        <v/>
      </c>
      <c r="D479" s="128"/>
    </row>
    <row r="480" spans="1:4" x14ac:dyDescent="0.3">
      <c r="A480" s="105" t="str">
        <f>IF(DB!D481=0,"",DB!D481)</f>
        <v/>
      </c>
      <c r="B480" s="106" t="str">
        <f>IF(DB!D481=0,"",CONCATENATE("  ",DB!E481))</f>
        <v/>
      </c>
      <c r="C480" s="105" t="str">
        <f>IF(DB!D482=0,"",DB!D482)</f>
        <v/>
      </c>
      <c r="D480" s="106" t="str">
        <f>IF(DB!D481=0,"",CONCATENATE("  ",DB!E482))</f>
        <v/>
      </c>
    </row>
    <row r="481" spans="1:4" ht="52.8" x14ac:dyDescent="0.3">
      <c r="A481" s="128" t="str">
        <f>IF(A482="","",IF(ISNUMBER(LOOKUP("Â",Code128(A482),1)),"Error!",Code128(A482)))</f>
        <v/>
      </c>
      <c r="B481" s="128"/>
      <c r="C481" s="128" t="str">
        <f>IF(C482="","",IF(ISNUMBER(LOOKUP("Â",Code128(C482),1)),"Error!",Code128(C482)))</f>
        <v/>
      </c>
      <c r="D481" s="128"/>
    </row>
    <row r="482" spans="1:4" x14ac:dyDescent="0.3">
      <c r="A482" s="105" t="str">
        <f>IF(DB!D483=0,"",DB!D483)</f>
        <v/>
      </c>
      <c r="B482" s="106" t="str">
        <f>IF(DB!D483=0,"",CONCATENATE("  ",DB!E483))</f>
        <v/>
      </c>
      <c r="C482" s="105" t="str">
        <f>IF(DB!D484=0,"",DB!D484)</f>
        <v/>
      </c>
      <c r="D482" s="106" t="str">
        <f>IF(DB!D483=0,"",CONCATENATE("  ",DB!E484))</f>
        <v/>
      </c>
    </row>
    <row r="483" spans="1:4" ht="52.8" x14ac:dyDescent="0.3">
      <c r="A483" s="128" t="str">
        <f>IF(A484="","",IF(ISNUMBER(LOOKUP("Â",Code128(A484),1)),"Error!",Code128(A484)))</f>
        <v/>
      </c>
      <c r="B483" s="128"/>
      <c r="C483" s="128" t="str">
        <f>IF(C484="","",IF(ISNUMBER(LOOKUP("Â",Code128(C484),1)),"Error!",Code128(C484)))</f>
        <v/>
      </c>
      <c r="D483" s="128"/>
    </row>
    <row r="484" spans="1:4" x14ac:dyDescent="0.3">
      <c r="A484" s="105" t="str">
        <f>IF(DB!D485=0,"",DB!D485)</f>
        <v/>
      </c>
      <c r="B484" s="106" t="str">
        <f>IF(DB!D485=0,"",CONCATENATE("  ",DB!E485))</f>
        <v/>
      </c>
      <c r="C484" s="105" t="str">
        <f>IF(DB!D486=0,"",DB!D486)</f>
        <v/>
      </c>
      <c r="D484" s="106" t="str">
        <f>IF(DB!D485=0,"",CONCATENATE("  ",DB!E486))</f>
        <v/>
      </c>
    </row>
    <row r="485" spans="1:4" ht="52.8" x14ac:dyDescent="0.3">
      <c r="A485" s="128" t="str">
        <f>IF(A486="","",IF(ISNUMBER(LOOKUP("Â",Code128(A486),1)),"Error!",Code128(A486)))</f>
        <v/>
      </c>
      <c r="B485" s="128"/>
      <c r="C485" s="128" t="str">
        <f>IF(C486="","",IF(ISNUMBER(LOOKUP("Â",Code128(C486),1)),"Error!",Code128(C486)))</f>
        <v/>
      </c>
      <c r="D485" s="128"/>
    </row>
    <row r="486" spans="1:4" x14ac:dyDescent="0.3">
      <c r="A486" s="105" t="str">
        <f>IF(DB!D487=0,"",DB!D487)</f>
        <v/>
      </c>
      <c r="B486" s="106" t="str">
        <f>IF(DB!D487=0,"",CONCATENATE("  ",DB!E487))</f>
        <v/>
      </c>
      <c r="C486" s="105" t="str">
        <f>IF(DB!D488=0,"",DB!D488)</f>
        <v/>
      </c>
      <c r="D486" s="106" t="str">
        <f>IF(DB!D487=0,"",CONCATENATE("  ",DB!E488))</f>
        <v/>
      </c>
    </row>
    <row r="487" spans="1:4" ht="52.8" x14ac:dyDescent="0.3">
      <c r="A487" s="128" t="str">
        <f>IF(A488="","",IF(ISNUMBER(LOOKUP("Â",Code128(A488),1)),"Error!",Code128(A488)))</f>
        <v/>
      </c>
      <c r="B487" s="128"/>
      <c r="C487" s="128" t="str">
        <f>IF(C488="","",IF(ISNUMBER(LOOKUP("Â",Code128(C488),1)),"Error!",Code128(C488)))</f>
        <v/>
      </c>
      <c r="D487" s="128"/>
    </row>
    <row r="488" spans="1:4" x14ac:dyDescent="0.3">
      <c r="A488" s="105" t="str">
        <f>IF(DB!D489=0,"",DB!D489)</f>
        <v/>
      </c>
      <c r="B488" s="106" t="str">
        <f>IF(DB!D489=0,"",CONCATENATE("  ",DB!E489))</f>
        <v/>
      </c>
      <c r="C488" s="105" t="str">
        <f>IF(DB!D490=0,"",DB!D490)</f>
        <v/>
      </c>
      <c r="D488" s="106" t="str">
        <f>IF(DB!D489=0,"",CONCATENATE("  ",DB!E490))</f>
        <v/>
      </c>
    </row>
    <row r="489" spans="1:4" ht="52.8" x14ac:dyDescent="0.3">
      <c r="A489" s="128" t="str">
        <f>IF(A490="","",IF(ISNUMBER(LOOKUP("Â",Code128(A490),1)),"Error!",Code128(A490)))</f>
        <v/>
      </c>
      <c r="B489" s="128"/>
      <c r="C489" s="128" t="str">
        <f>IF(C490="","",IF(ISNUMBER(LOOKUP("Â",Code128(C490),1)),"Error!",Code128(C490)))</f>
        <v/>
      </c>
      <c r="D489" s="128"/>
    </row>
    <row r="490" spans="1:4" x14ac:dyDescent="0.3">
      <c r="A490" s="105" t="str">
        <f>IF(DB!D491=0,"",DB!D491)</f>
        <v/>
      </c>
      <c r="B490" s="106" t="str">
        <f>IF(DB!D491=0,"",CONCATENATE("  ",DB!E491))</f>
        <v/>
      </c>
      <c r="C490" s="105" t="str">
        <f>IF(DB!D492=0,"",DB!D492)</f>
        <v/>
      </c>
      <c r="D490" s="106" t="str">
        <f>IF(DB!D491=0,"",CONCATENATE("  ",DB!E492))</f>
        <v/>
      </c>
    </row>
    <row r="491" spans="1:4" ht="52.8" x14ac:dyDescent="0.3">
      <c r="A491" s="128" t="str">
        <f>IF(A492="","",IF(ISNUMBER(LOOKUP("Â",Code128(A492),1)),"Error!",Code128(A492)))</f>
        <v/>
      </c>
      <c r="B491" s="128"/>
      <c r="C491" s="128" t="str">
        <f>IF(C492="","",IF(ISNUMBER(LOOKUP("Â",Code128(C492),1)),"Error!",Code128(C492)))</f>
        <v/>
      </c>
      <c r="D491" s="128"/>
    </row>
    <row r="492" spans="1:4" x14ac:dyDescent="0.3">
      <c r="A492" s="105" t="str">
        <f>IF(DB!D493=0,"",DB!D493)</f>
        <v/>
      </c>
      <c r="B492" s="106" t="str">
        <f>IF(DB!D493=0,"",CONCATENATE("  ",DB!E493))</f>
        <v/>
      </c>
      <c r="C492" s="105" t="str">
        <f>IF(DB!D494=0,"",DB!D494)</f>
        <v/>
      </c>
      <c r="D492" s="106" t="str">
        <f>IF(DB!D493=0,"",CONCATENATE("  ",DB!E494))</f>
        <v/>
      </c>
    </row>
    <row r="493" spans="1:4" ht="52.8" x14ac:dyDescent="0.3">
      <c r="A493" s="128" t="str">
        <f>IF(A494="","",IF(ISNUMBER(LOOKUP("Â",Code128(A494),1)),"Error!",Code128(A494)))</f>
        <v/>
      </c>
      <c r="B493" s="128"/>
      <c r="C493" s="128" t="str">
        <f>IF(C494="","",IF(ISNUMBER(LOOKUP("Â",Code128(C494),1)),"Error!",Code128(C494)))</f>
        <v/>
      </c>
      <c r="D493" s="128"/>
    </row>
    <row r="494" spans="1:4" x14ac:dyDescent="0.3">
      <c r="A494" s="105" t="str">
        <f>IF(DB!D495=0,"",DB!D495)</f>
        <v/>
      </c>
      <c r="B494" s="106" t="str">
        <f>IF(DB!D495=0,"",CONCATENATE("  ",DB!E495))</f>
        <v/>
      </c>
      <c r="C494" s="105" t="str">
        <f>IF(DB!D496=0,"",DB!D496)</f>
        <v/>
      </c>
      <c r="D494" s="106" t="str">
        <f>IF(DB!D495=0,"",CONCATENATE("  ",DB!E496))</f>
        <v/>
      </c>
    </row>
    <row r="495" spans="1:4" ht="52.8" x14ac:dyDescent="0.3">
      <c r="A495" s="128" t="str">
        <f>IF(A496="","",IF(ISNUMBER(LOOKUP("Â",Code128(A496),1)),"Error!",Code128(A496)))</f>
        <v/>
      </c>
      <c r="B495" s="128"/>
      <c r="C495" s="128" t="str">
        <f>IF(C496="","",IF(ISNUMBER(LOOKUP("Â",Code128(C496),1)),"Error!",Code128(C496)))</f>
        <v/>
      </c>
      <c r="D495" s="128"/>
    </row>
    <row r="496" spans="1:4" x14ac:dyDescent="0.3">
      <c r="A496" s="105" t="str">
        <f>IF(DB!D497=0,"",DB!D497)</f>
        <v/>
      </c>
      <c r="B496" s="106" t="str">
        <f>IF(DB!D497=0,"",CONCATENATE("  ",DB!E497))</f>
        <v/>
      </c>
      <c r="C496" s="105" t="str">
        <f>IF(DB!D498=0,"",DB!D498)</f>
        <v/>
      </c>
      <c r="D496" s="106" t="str">
        <f>IF(DB!D497=0,"",CONCATENATE("  ",DB!E498))</f>
        <v/>
      </c>
    </row>
    <row r="497" spans="1:4" ht="52.8" x14ac:dyDescent="0.3">
      <c r="A497" s="128" t="str">
        <f>IF(A498="","",IF(ISNUMBER(LOOKUP("Â",Code128(A498),1)),"Error!",Code128(A498)))</f>
        <v/>
      </c>
      <c r="B497" s="128"/>
      <c r="C497" s="128" t="str">
        <f>IF(C498="","",IF(ISNUMBER(LOOKUP("Â",Code128(C498),1)),"Error!",Code128(C498)))</f>
        <v/>
      </c>
      <c r="D497" s="128"/>
    </row>
    <row r="498" spans="1:4" x14ac:dyDescent="0.3">
      <c r="A498" s="105" t="str">
        <f>IF(DB!D499=0,"",DB!D499)</f>
        <v/>
      </c>
      <c r="B498" s="106" t="str">
        <f>IF(DB!D499=0,"",CONCATENATE("  ",DB!E499))</f>
        <v/>
      </c>
      <c r="C498" s="105" t="str">
        <f>IF(DB!D500=0,"",DB!D500)</f>
        <v/>
      </c>
      <c r="D498" s="106" t="str">
        <f>IF(DB!D499=0,"",CONCATENATE("  ",DB!E500))</f>
        <v/>
      </c>
    </row>
    <row r="499" spans="1:4" ht="52.8" x14ac:dyDescent="0.3">
      <c r="A499" s="128" t="str">
        <f>IF(A500="","",IF(ISNUMBER(LOOKUP("Â",Code128(A500),1)),"Error!",Code128(A500)))</f>
        <v/>
      </c>
      <c r="B499" s="128"/>
      <c r="C499" s="128" t="str">
        <f>IF(C500="","",IF(ISNUMBER(LOOKUP("Â",Code128(C500),1)),"Error!",Code128(C500)))</f>
        <v/>
      </c>
      <c r="D499" s="128"/>
    </row>
    <row r="500" spans="1:4" hidden="1" x14ac:dyDescent="0.3">
      <c r="A500" s="105" t="str">
        <f>IF(DB!D501=0,"",DB!D501)</f>
        <v/>
      </c>
      <c r="B500" s="106" t="str">
        <f>IF(DB!D501=0,"",CONCATENATE("  ",DB!E501))</f>
        <v/>
      </c>
      <c r="C500" s="105" t="str">
        <f>IF(DB!D502=0,"",DB!D502)</f>
        <v/>
      </c>
      <c r="D500" s="106" t="str">
        <f>IF(DB!D501=0,"",CONCATENATE("  ",DB!E502))</f>
        <v/>
      </c>
    </row>
    <row r="501" spans="1:4" hidden="1" x14ac:dyDescent="0.3"/>
    <row r="502" spans="1:4" hidden="1" x14ac:dyDescent="0.3"/>
    <row r="503" spans="1:4" hidden="1" x14ac:dyDescent="0.3"/>
    <row r="504" spans="1:4" hidden="1" x14ac:dyDescent="0.3"/>
    <row r="505" spans="1:4" hidden="1" x14ac:dyDescent="0.3"/>
    <row r="506" spans="1:4" hidden="1" x14ac:dyDescent="0.3"/>
    <row r="507" spans="1:4" hidden="1" x14ac:dyDescent="0.3"/>
    <row r="508" spans="1:4" hidden="1" x14ac:dyDescent="0.3"/>
    <row r="509" spans="1:4" hidden="1" x14ac:dyDescent="0.3"/>
    <row r="510" spans="1:4" hidden="1" x14ac:dyDescent="0.3"/>
    <row r="511" spans="1:4" hidden="1" x14ac:dyDescent="0.3"/>
    <row r="512" spans="1:4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  <row r="5003" hidden="1" x14ac:dyDescent="0.3"/>
    <row r="5004" hidden="1" x14ac:dyDescent="0.3"/>
    <row r="5005" hidden="1" x14ac:dyDescent="0.3"/>
    <row r="5006" hidden="1" x14ac:dyDescent="0.3"/>
    <row r="5007" hidden="1" x14ac:dyDescent="0.3"/>
    <row r="5008" hidden="1" x14ac:dyDescent="0.3"/>
    <row r="5009" hidden="1" x14ac:dyDescent="0.3"/>
    <row r="5010" hidden="1" x14ac:dyDescent="0.3"/>
    <row r="5011" hidden="1" x14ac:dyDescent="0.3"/>
    <row r="5012" hidden="1" x14ac:dyDescent="0.3"/>
    <row r="5013" hidden="1" x14ac:dyDescent="0.3"/>
    <row r="5014" hidden="1" x14ac:dyDescent="0.3"/>
    <row r="5015" hidden="1" x14ac:dyDescent="0.3"/>
    <row r="5016" hidden="1" x14ac:dyDescent="0.3"/>
    <row r="5017" hidden="1" x14ac:dyDescent="0.3"/>
    <row r="5018" hidden="1" x14ac:dyDescent="0.3"/>
    <row r="5019" hidden="1" x14ac:dyDescent="0.3"/>
    <row r="5020" hidden="1" x14ac:dyDescent="0.3"/>
    <row r="5021" hidden="1" x14ac:dyDescent="0.3"/>
    <row r="5022" hidden="1" x14ac:dyDescent="0.3"/>
    <row r="5023" hidden="1" x14ac:dyDescent="0.3"/>
    <row r="5024" hidden="1" x14ac:dyDescent="0.3"/>
    <row r="5025" hidden="1" x14ac:dyDescent="0.3"/>
    <row r="5026" hidden="1" x14ac:dyDescent="0.3"/>
    <row r="5027" hidden="1" x14ac:dyDescent="0.3"/>
    <row r="5028" hidden="1" x14ac:dyDescent="0.3"/>
    <row r="5029" hidden="1" x14ac:dyDescent="0.3"/>
    <row r="5030" hidden="1" x14ac:dyDescent="0.3"/>
    <row r="5031" hidden="1" x14ac:dyDescent="0.3"/>
    <row r="5032" hidden="1" x14ac:dyDescent="0.3"/>
    <row r="5033" hidden="1" x14ac:dyDescent="0.3"/>
    <row r="5034" hidden="1" x14ac:dyDescent="0.3"/>
    <row r="5035" hidden="1" x14ac:dyDescent="0.3"/>
    <row r="5036" hidden="1" x14ac:dyDescent="0.3"/>
    <row r="5037" hidden="1" x14ac:dyDescent="0.3"/>
    <row r="5038" hidden="1" x14ac:dyDescent="0.3"/>
    <row r="5039" hidden="1" x14ac:dyDescent="0.3"/>
    <row r="5040" hidden="1" x14ac:dyDescent="0.3"/>
    <row r="5041" hidden="1" x14ac:dyDescent="0.3"/>
    <row r="5042" hidden="1" x14ac:dyDescent="0.3"/>
    <row r="5043" hidden="1" x14ac:dyDescent="0.3"/>
    <row r="5044" hidden="1" x14ac:dyDescent="0.3"/>
    <row r="5045" hidden="1" x14ac:dyDescent="0.3"/>
    <row r="5046" hidden="1" x14ac:dyDescent="0.3"/>
    <row r="5047" hidden="1" x14ac:dyDescent="0.3"/>
    <row r="5048" hidden="1" x14ac:dyDescent="0.3"/>
    <row r="5049" hidden="1" x14ac:dyDescent="0.3"/>
    <row r="5050" hidden="1" x14ac:dyDescent="0.3"/>
    <row r="5051" hidden="1" x14ac:dyDescent="0.3"/>
    <row r="5052" hidden="1" x14ac:dyDescent="0.3"/>
    <row r="5053" hidden="1" x14ac:dyDescent="0.3"/>
    <row r="5054" hidden="1" x14ac:dyDescent="0.3"/>
    <row r="5055" hidden="1" x14ac:dyDescent="0.3"/>
    <row r="5056" hidden="1" x14ac:dyDescent="0.3"/>
    <row r="5057" hidden="1" x14ac:dyDescent="0.3"/>
    <row r="5058" hidden="1" x14ac:dyDescent="0.3"/>
    <row r="5059" hidden="1" x14ac:dyDescent="0.3"/>
    <row r="5060" hidden="1" x14ac:dyDescent="0.3"/>
    <row r="5061" hidden="1" x14ac:dyDescent="0.3"/>
    <row r="5062" hidden="1" x14ac:dyDescent="0.3"/>
    <row r="5063" hidden="1" x14ac:dyDescent="0.3"/>
    <row r="5064" hidden="1" x14ac:dyDescent="0.3"/>
    <row r="5065" hidden="1" x14ac:dyDescent="0.3"/>
    <row r="5066" hidden="1" x14ac:dyDescent="0.3"/>
    <row r="5067" hidden="1" x14ac:dyDescent="0.3"/>
    <row r="5068" hidden="1" x14ac:dyDescent="0.3"/>
    <row r="5069" hidden="1" x14ac:dyDescent="0.3"/>
    <row r="5070" hidden="1" x14ac:dyDescent="0.3"/>
    <row r="5071" hidden="1" x14ac:dyDescent="0.3"/>
    <row r="5072" hidden="1" x14ac:dyDescent="0.3"/>
    <row r="5073" hidden="1" x14ac:dyDescent="0.3"/>
    <row r="5074" hidden="1" x14ac:dyDescent="0.3"/>
    <row r="5075" hidden="1" x14ac:dyDescent="0.3"/>
    <row r="5076" hidden="1" x14ac:dyDescent="0.3"/>
    <row r="5077" hidden="1" x14ac:dyDescent="0.3"/>
    <row r="5078" hidden="1" x14ac:dyDescent="0.3"/>
    <row r="5079" hidden="1" x14ac:dyDescent="0.3"/>
    <row r="5080" hidden="1" x14ac:dyDescent="0.3"/>
    <row r="5081" hidden="1" x14ac:dyDescent="0.3"/>
    <row r="5082" hidden="1" x14ac:dyDescent="0.3"/>
    <row r="5083" hidden="1" x14ac:dyDescent="0.3"/>
    <row r="5084" hidden="1" x14ac:dyDescent="0.3"/>
    <row r="5085" hidden="1" x14ac:dyDescent="0.3"/>
    <row r="5086" hidden="1" x14ac:dyDescent="0.3"/>
    <row r="5087" hidden="1" x14ac:dyDescent="0.3"/>
    <row r="5088" hidden="1" x14ac:dyDescent="0.3"/>
    <row r="5089" hidden="1" x14ac:dyDescent="0.3"/>
    <row r="5090" hidden="1" x14ac:dyDescent="0.3"/>
    <row r="5091" hidden="1" x14ac:dyDescent="0.3"/>
    <row r="5092" hidden="1" x14ac:dyDescent="0.3"/>
    <row r="5093" hidden="1" x14ac:dyDescent="0.3"/>
    <row r="5094" hidden="1" x14ac:dyDescent="0.3"/>
    <row r="5095" hidden="1" x14ac:dyDescent="0.3"/>
    <row r="5096" hidden="1" x14ac:dyDescent="0.3"/>
    <row r="5097" hidden="1" x14ac:dyDescent="0.3"/>
    <row r="5098" hidden="1" x14ac:dyDescent="0.3"/>
    <row r="5099" hidden="1" x14ac:dyDescent="0.3"/>
    <row r="5100" hidden="1" x14ac:dyDescent="0.3"/>
    <row r="5101" hidden="1" x14ac:dyDescent="0.3"/>
    <row r="5102" hidden="1" x14ac:dyDescent="0.3"/>
    <row r="5103" hidden="1" x14ac:dyDescent="0.3"/>
    <row r="5104" hidden="1" x14ac:dyDescent="0.3"/>
    <row r="5105" hidden="1" x14ac:dyDescent="0.3"/>
    <row r="5106" hidden="1" x14ac:dyDescent="0.3"/>
    <row r="5107" hidden="1" x14ac:dyDescent="0.3"/>
    <row r="5108" hidden="1" x14ac:dyDescent="0.3"/>
    <row r="5109" hidden="1" x14ac:dyDescent="0.3"/>
    <row r="5110" hidden="1" x14ac:dyDescent="0.3"/>
    <row r="5111" hidden="1" x14ac:dyDescent="0.3"/>
    <row r="5112" hidden="1" x14ac:dyDescent="0.3"/>
    <row r="5113" hidden="1" x14ac:dyDescent="0.3"/>
    <row r="5114" hidden="1" x14ac:dyDescent="0.3"/>
    <row r="5115" hidden="1" x14ac:dyDescent="0.3"/>
    <row r="5116" hidden="1" x14ac:dyDescent="0.3"/>
    <row r="5117" hidden="1" x14ac:dyDescent="0.3"/>
    <row r="5118" hidden="1" x14ac:dyDescent="0.3"/>
    <row r="5119" hidden="1" x14ac:dyDescent="0.3"/>
    <row r="5120" hidden="1" x14ac:dyDescent="0.3"/>
    <row r="5121" hidden="1" x14ac:dyDescent="0.3"/>
    <row r="5122" hidden="1" x14ac:dyDescent="0.3"/>
    <row r="5123" hidden="1" x14ac:dyDescent="0.3"/>
    <row r="5124" hidden="1" x14ac:dyDescent="0.3"/>
    <row r="5125" hidden="1" x14ac:dyDescent="0.3"/>
    <row r="5126" hidden="1" x14ac:dyDescent="0.3"/>
    <row r="5127" hidden="1" x14ac:dyDescent="0.3"/>
    <row r="5128" hidden="1" x14ac:dyDescent="0.3"/>
    <row r="5129" hidden="1" x14ac:dyDescent="0.3"/>
    <row r="5130" hidden="1" x14ac:dyDescent="0.3"/>
    <row r="5131" hidden="1" x14ac:dyDescent="0.3"/>
    <row r="5132" hidden="1" x14ac:dyDescent="0.3"/>
    <row r="5133" hidden="1" x14ac:dyDescent="0.3"/>
    <row r="5134" hidden="1" x14ac:dyDescent="0.3"/>
    <row r="5135" hidden="1" x14ac:dyDescent="0.3"/>
    <row r="5136" hidden="1" x14ac:dyDescent="0.3"/>
    <row r="5137" hidden="1" x14ac:dyDescent="0.3"/>
    <row r="5138" hidden="1" x14ac:dyDescent="0.3"/>
    <row r="5139" hidden="1" x14ac:dyDescent="0.3"/>
    <row r="5140" hidden="1" x14ac:dyDescent="0.3"/>
    <row r="5141" hidden="1" x14ac:dyDescent="0.3"/>
    <row r="5142" hidden="1" x14ac:dyDescent="0.3"/>
    <row r="5143" hidden="1" x14ac:dyDescent="0.3"/>
    <row r="5144" hidden="1" x14ac:dyDescent="0.3"/>
    <row r="5145" hidden="1" x14ac:dyDescent="0.3"/>
    <row r="5146" hidden="1" x14ac:dyDescent="0.3"/>
    <row r="5147" hidden="1" x14ac:dyDescent="0.3"/>
    <row r="5148" hidden="1" x14ac:dyDescent="0.3"/>
    <row r="5149" hidden="1" x14ac:dyDescent="0.3"/>
    <row r="5150" hidden="1" x14ac:dyDescent="0.3"/>
    <row r="5151" hidden="1" x14ac:dyDescent="0.3"/>
    <row r="5152" hidden="1" x14ac:dyDescent="0.3"/>
    <row r="5153" hidden="1" x14ac:dyDescent="0.3"/>
    <row r="5154" hidden="1" x14ac:dyDescent="0.3"/>
    <row r="5155" hidden="1" x14ac:dyDescent="0.3"/>
    <row r="5156" hidden="1" x14ac:dyDescent="0.3"/>
    <row r="5157" hidden="1" x14ac:dyDescent="0.3"/>
    <row r="5158" hidden="1" x14ac:dyDescent="0.3"/>
    <row r="5159" hidden="1" x14ac:dyDescent="0.3"/>
    <row r="5160" hidden="1" x14ac:dyDescent="0.3"/>
    <row r="5161" hidden="1" x14ac:dyDescent="0.3"/>
    <row r="5162" hidden="1" x14ac:dyDescent="0.3"/>
    <row r="5163" hidden="1" x14ac:dyDescent="0.3"/>
    <row r="5164" hidden="1" x14ac:dyDescent="0.3"/>
    <row r="5165" hidden="1" x14ac:dyDescent="0.3"/>
    <row r="5166" hidden="1" x14ac:dyDescent="0.3"/>
    <row r="5167" hidden="1" x14ac:dyDescent="0.3"/>
    <row r="5168" hidden="1" x14ac:dyDescent="0.3"/>
    <row r="5169" hidden="1" x14ac:dyDescent="0.3"/>
    <row r="5170" hidden="1" x14ac:dyDescent="0.3"/>
    <row r="5171" hidden="1" x14ac:dyDescent="0.3"/>
    <row r="5172" hidden="1" x14ac:dyDescent="0.3"/>
    <row r="5173" hidden="1" x14ac:dyDescent="0.3"/>
    <row r="5174" hidden="1" x14ac:dyDescent="0.3"/>
    <row r="5175" hidden="1" x14ac:dyDescent="0.3"/>
    <row r="5176" hidden="1" x14ac:dyDescent="0.3"/>
    <row r="5177" hidden="1" x14ac:dyDescent="0.3"/>
    <row r="5178" hidden="1" x14ac:dyDescent="0.3"/>
    <row r="5179" hidden="1" x14ac:dyDescent="0.3"/>
    <row r="5180" hidden="1" x14ac:dyDescent="0.3"/>
    <row r="5181" hidden="1" x14ac:dyDescent="0.3"/>
    <row r="5182" hidden="1" x14ac:dyDescent="0.3"/>
    <row r="5183" hidden="1" x14ac:dyDescent="0.3"/>
    <row r="5184" hidden="1" x14ac:dyDescent="0.3"/>
    <row r="5185" hidden="1" x14ac:dyDescent="0.3"/>
    <row r="5186" hidden="1" x14ac:dyDescent="0.3"/>
    <row r="5187" hidden="1" x14ac:dyDescent="0.3"/>
    <row r="5188" hidden="1" x14ac:dyDescent="0.3"/>
    <row r="5189" hidden="1" x14ac:dyDescent="0.3"/>
    <row r="5190" hidden="1" x14ac:dyDescent="0.3"/>
    <row r="5191" hidden="1" x14ac:dyDescent="0.3"/>
    <row r="5192" hidden="1" x14ac:dyDescent="0.3"/>
    <row r="5193" hidden="1" x14ac:dyDescent="0.3"/>
    <row r="5194" hidden="1" x14ac:dyDescent="0.3"/>
    <row r="5195" hidden="1" x14ac:dyDescent="0.3"/>
    <row r="5196" hidden="1" x14ac:dyDescent="0.3"/>
    <row r="5197" hidden="1" x14ac:dyDescent="0.3"/>
    <row r="5198" hidden="1" x14ac:dyDescent="0.3"/>
    <row r="5199" hidden="1" x14ac:dyDescent="0.3"/>
    <row r="5200" hidden="1" x14ac:dyDescent="0.3"/>
    <row r="5201" hidden="1" x14ac:dyDescent="0.3"/>
    <row r="5202" hidden="1" x14ac:dyDescent="0.3"/>
    <row r="5203" hidden="1" x14ac:dyDescent="0.3"/>
    <row r="5204" hidden="1" x14ac:dyDescent="0.3"/>
    <row r="5205" hidden="1" x14ac:dyDescent="0.3"/>
    <row r="5206" hidden="1" x14ac:dyDescent="0.3"/>
    <row r="5207" hidden="1" x14ac:dyDescent="0.3"/>
    <row r="5208" hidden="1" x14ac:dyDescent="0.3"/>
    <row r="5209" hidden="1" x14ac:dyDescent="0.3"/>
    <row r="5210" hidden="1" x14ac:dyDescent="0.3"/>
    <row r="5211" hidden="1" x14ac:dyDescent="0.3"/>
    <row r="5212" hidden="1" x14ac:dyDescent="0.3"/>
    <row r="5213" hidden="1" x14ac:dyDescent="0.3"/>
    <row r="5214" hidden="1" x14ac:dyDescent="0.3"/>
    <row r="5215" hidden="1" x14ac:dyDescent="0.3"/>
    <row r="5216" hidden="1" x14ac:dyDescent="0.3"/>
    <row r="5217" hidden="1" x14ac:dyDescent="0.3"/>
    <row r="5218" hidden="1" x14ac:dyDescent="0.3"/>
    <row r="5219" hidden="1" x14ac:dyDescent="0.3"/>
    <row r="5220" hidden="1" x14ac:dyDescent="0.3"/>
    <row r="5221" hidden="1" x14ac:dyDescent="0.3"/>
    <row r="5222" hidden="1" x14ac:dyDescent="0.3"/>
    <row r="5223" hidden="1" x14ac:dyDescent="0.3"/>
    <row r="5224" hidden="1" x14ac:dyDescent="0.3"/>
    <row r="5225" hidden="1" x14ac:dyDescent="0.3"/>
    <row r="5226" hidden="1" x14ac:dyDescent="0.3"/>
    <row r="5227" hidden="1" x14ac:dyDescent="0.3"/>
    <row r="5228" hidden="1" x14ac:dyDescent="0.3"/>
    <row r="5229" hidden="1" x14ac:dyDescent="0.3"/>
    <row r="5230" hidden="1" x14ac:dyDescent="0.3"/>
    <row r="5231" hidden="1" x14ac:dyDescent="0.3"/>
    <row r="5232" hidden="1" x14ac:dyDescent="0.3"/>
    <row r="5233" hidden="1" x14ac:dyDescent="0.3"/>
    <row r="5234" hidden="1" x14ac:dyDescent="0.3"/>
    <row r="5235" hidden="1" x14ac:dyDescent="0.3"/>
    <row r="5236" hidden="1" x14ac:dyDescent="0.3"/>
    <row r="5237" hidden="1" x14ac:dyDescent="0.3"/>
    <row r="5238" hidden="1" x14ac:dyDescent="0.3"/>
    <row r="5239" hidden="1" x14ac:dyDescent="0.3"/>
    <row r="5240" hidden="1" x14ac:dyDescent="0.3"/>
    <row r="5241" hidden="1" x14ac:dyDescent="0.3"/>
    <row r="5242" hidden="1" x14ac:dyDescent="0.3"/>
    <row r="5243" hidden="1" x14ac:dyDescent="0.3"/>
    <row r="5244" hidden="1" x14ac:dyDescent="0.3"/>
    <row r="5245" hidden="1" x14ac:dyDescent="0.3"/>
    <row r="5246" hidden="1" x14ac:dyDescent="0.3"/>
    <row r="5247" hidden="1" x14ac:dyDescent="0.3"/>
    <row r="5248" hidden="1" x14ac:dyDescent="0.3"/>
    <row r="5249" hidden="1" x14ac:dyDescent="0.3"/>
    <row r="5250" hidden="1" x14ac:dyDescent="0.3"/>
    <row r="5251" hidden="1" x14ac:dyDescent="0.3"/>
    <row r="5252" hidden="1" x14ac:dyDescent="0.3"/>
    <row r="5253" hidden="1" x14ac:dyDescent="0.3"/>
    <row r="5254" hidden="1" x14ac:dyDescent="0.3"/>
    <row r="5255" hidden="1" x14ac:dyDescent="0.3"/>
    <row r="5256" hidden="1" x14ac:dyDescent="0.3"/>
    <row r="5257" hidden="1" x14ac:dyDescent="0.3"/>
    <row r="5258" hidden="1" x14ac:dyDescent="0.3"/>
    <row r="5259" hidden="1" x14ac:dyDescent="0.3"/>
    <row r="5260" hidden="1" x14ac:dyDescent="0.3"/>
    <row r="5261" hidden="1" x14ac:dyDescent="0.3"/>
    <row r="5262" hidden="1" x14ac:dyDescent="0.3"/>
    <row r="5263" hidden="1" x14ac:dyDescent="0.3"/>
    <row r="5264" hidden="1" x14ac:dyDescent="0.3"/>
    <row r="5265" hidden="1" x14ac:dyDescent="0.3"/>
    <row r="5266" hidden="1" x14ac:dyDescent="0.3"/>
    <row r="5267" hidden="1" x14ac:dyDescent="0.3"/>
    <row r="5268" hidden="1" x14ac:dyDescent="0.3"/>
    <row r="5269" hidden="1" x14ac:dyDescent="0.3"/>
    <row r="5270" hidden="1" x14ac:dyDescent="0.3"/>
    <row r="5271" hidden="1" x14ac:dyDescent="0.3"/>
    <row r="5272" hidden="1" x14ac:dyDescent="0.3"/>
    <row r="5273" hidden="1" x14ac:dyDescent="0.3"/>
    <row r="5274" hidden="1" x14ac:dyDescent="0.3"/>
    <row r="5275" hidden="1" x14ac:dyDescent="0.3"/>
    <row r="5276" hidden="1" x14ac:dyDescent="0.3"/>
    <row r="5277" hidden="1" x14ac:dyDescent="0.3"/>
    <row r="5278" hidden="1" x14ac:dyDescent="0.3"/>
    <row r="5279" hidden="1" x14ac:dyDescent="0.3"/>
    <row r="5280" hidden="1" x14ac:dyDescent="0.3"/>
    <row r="5281" hidden="1" x14ac:dyDescent="0.3"/>
    <row r="5282" hidden="1" x14ac:dyDescent="0.3"/>
    <row r="5283" hidden="1" x14ac:dyDescent="0.3"/>
    <row r="5284" hidden="1" x14ac:dyDescent="0.3"/>
    <row r="5285" hidden="1" x14ac:dyDescent="0.3"/>
    <row r="5286" hidden="1" x14ac:dyDescent="0.3"/>
    <row r="5287" hidden="1" x14ac:dyDescent="0.3"/>
    <row r="5288" hidden="1" x14ac:dyDescent="0.3"/>
    <row r="5289" hidden="1" x14ac:dyDescent="0.3"/>
    <row r="5290" hidden="1" x14ac:dyDescent="0.3"/>
    <row r="5291" hidden="1" x14ac:dyDescent="0.3"/>
    <row r="5292" hidden="1" x14ac:dyDescent="0.3"/>
    <row r="5293" hidden="1" x14ac:dyDescent="0.3"/>
    <row r="5294" hidden="1" x14ac:dyDescent="0.3"/>
    <row r="5295" hidden="1" x14ac:dyDescent="0.3"/>
    <row r="5296" hidden="1" x14ac:dyDescent="0.3"/>
    <row r="5297" hidden="1" x14ac:dyDescent="0.3"/>
    <row r="5298" hidden="1" x14ac:dyDescent="0.3"/>
    <row r="5299" hidden="1" x14ac:dyDescent="0.3"/>
    <row r="5300" hidden="1" x14ac:dyDescent="0.3"/>
    <row r="5301" hidden="1" x14ac:dyDescent="0.3"/>
    <row r="5302" hidden="1" x14ac:dyDescent="0.3"/>
    <row r="5303" hidden="1" x14ac:dyDescent="0.3"/>
    <row r="5304" hidden="1" x14ac:dyDescent="0.3"/>
    <row r="5305" hidden="1" x14ac:dyDescent="0.3"/>
    <row r="5306" hidden="1" x14ac:dyDescent="0.3"/>
    <row r="5307" hidden="1" x14ac:dyDescent="0.3"/>
    <row r="5308" hidden="1" x14ac:dyDescent="0.3"/>
    <row r="5309" hidden="1" x14ac:dyDescent="0.3"/>
    <row r="5310" hidden="1" x14ac:dyDescent="0.3"/>
    <row r="5311" hidden="1" x14ac:dyDescent="0.3"/>
    <row r="5312" hidden="1" x14ac:dyDescent="0.3"/>
    <row r="5313" hidden="1" x14ac:dyDescent="0.3"/>
    <row r="5314" hidden="1" x14ac:dyDescent="0.3"/>
    <row r="5315" hidden="1" x14ac:dyDescent="0.3"/>
    <row r="5316" hidden="1" x14ac:dyDescent="0.3"/>
    <row r="5317" hidden="1" x14ac:dyDescent="0.3"/>
    <row r="5318" hidden="1" x14ac:dyDescent="0.3"/>
    <row r="5319" hidden="1" x14ac:dyDescent="0.3"/>
    <row r="5320" hidden="1" x14ac:dyDescent="0.3"/>
    <row r="5321" hidden="1" x14ac:dyDescent="0.3"/>
    <row r="5322" hidden="1" x14ac:dyDescent="0.3"/>
    <row r="5323" hidden="1" x14ac:dyDescent="0.3"/>
    <row r="5324" hidden="1" x14ac:dyDescent="0.3"/>
    <row r="5325" hidden="1" x14ac:dyDescent="0.3"/>
    <row r="5326" hidden="1" x14ac:dyDescent="0.3"/>
    <row r="5327" hidden="1" x14ac:dyDescent="0.3"/>
    <row r="5328" hidden="1" x14ac:dyDescent="0.3"/>
    <row r="5329" hidden="1" x14ac:dyDescent="0.3"/>
    <row r="5330" hidden="1" x14ac:dyDescent="0.3"/>
    <row r="5331" hidden="1" x14ac:dyDescent="0.3"/>
    <row r="5332" hidden="1" x14ac:dyDescent="0.3"/>
    <row r="5333" hidden="1" x14ac:dyDescent="0.3"/>
    <row r="5334" hidden="1" x14ac:dyDescent="0.3"/>
    <row r="5335" hidden="1" x14ac:dyDescent="0.3"/>
    <row r="5336" hidden="1" x14ac:dyDescent="0.3"/>
    <row r="5337" hidden="1" x14ac:dyDescent="0.3"/>
    <row r="5338" hidden="1" x14ac:dyDescent="0.3"/>
    <row r="5339" hidden="1" x14ac:dyDescent="0.3"/>
    <row r="5340" hidden="1" x14ac:dyDescent="0.3"/>
    <row r="5341" hidden="1" x14ac:dyDescent="0.3"/>
    <row r="5342" hidden="1" x14ac:dyDescent="0.3"/>
    <row r="5343" hidden="1" x14ac:dyDescent="0.3"/>
    <row r="5344" hidden="1" x14ac:dyDescent="0.3"/>
    <row r="5345" hidden="1" x14ac:dyDescent="0.3"/>
    <row r="5346" hidden="1" x14ac:dyDescent="0.3"/>
    <row r="5347" hidden="1" x14ac:dyDescent="0.3"/>
    <row r="5348" hidden="1" x14ac:dyDescent="0.3"/>
    <row r="5349" hidden="1" x14ac:dyDescent="0.3"/>
    <row r="5350" hidden="1" x14ac:dyDescent="0.3"/>
    <row r="5351" hidden="1" x14ac:dyDescent="0.3"/>
    <row r="5352" hidden="1" x14ac:dyDescent="0.3"/>
    <row r="5353" hidden="1" x14ac:dyDescent="0.3"/>
    <row r="5354" hidden="1" x14ac:dyDescent="0.3"/>
    <row r="5355" hidden="1" x14ac:dyDescent="0.3"/>
    <row r="5356" hidden="1" x14ac:dyDescent="0.3"/>
    <row r="5357" hidden="1" x14ac:dyDescent="0.3"/>
    <row r="5358" hidden="1" x14ac:dyDescent="0.3"/>
    <row r="5359" hidden="1" x14ac:dyDescent="0.3"/>
    <row r="5360" hidden="1" x14ac:dyDescent="0.3"/>
    <row r="5361" hidden="1" x14ac:dyDescent="0.3"/>
    <row r="5362" hidden="1" x14ac:dyDescent="0.3"/>
    <row r="5363" hidden="1" x14ac:dyDescent="0.3"/>
    <row r="5364" hidden="1" x14ac:dyDescent="0.3"/>
    <row r="5365" hidden="1" x14ac:dyDescent="0.3"/>
    <row r="5366" hidden="1" x14ac:dyDescent="0.3"/>
    <row r="5367" hidden="1" x14ac:dyDescent="0.3"/>
    <row r="5368" hidden="1" x14ac:dyDescent="0.3"/>
    <row r="5369" hidden="1" x14ac:dyDescent="0.3"/>
    <row r="5370" hidden="1" x14ac:dyDescent="0.3"/>
    <row r="5371" hidden="1" x14ac:dyDescent="0.3"/>
    <row r="5372" hidden="1" x14ac:dyDescent="0.3"/>
    <row r="5373" hidden="1" x14ac:dyDescent="0.3"/>
    <row r="5374" hidden="1" x14ac:dyDescent="0.3"/>
    <row r="5375" hidden="1" x14ac:dyDescent="0.3"/>
    <row r="5376" hidden="1" x14ac:dyDescent="0.3"/>
    <row r="5377" hidden="1" x14ac:dyDescent="0.3"/>
    <row r="5378" hidden="1" x14ac:dyDescent="0.3"/>
    <row r="5379" hidden="1" x14ac:dyDescent="0.3"/>
    <row r="5380" hidden="1" x14ac:dyDescent="0.3"/>
    <row r="5381" hidden="1" x14ac:dyDescent="0.3"/>
    <row r="5382" hidden="1" x14ac:dyDescent="0.3"/>
    <row r="5383" hidden="1" x14ac:dyDescent="0.3"/>
    <row r="5384" hidden="1" x14ac:dyDescent="0.3"/>
    <row r="5385" hidden="1" x14ac:dyDescent="0.3"/>
    <row r="5386" hidden="1" x14ac:dyDescent="0.3"/>
    <row r="5387" hidden="1" x14ac:dyDescent="0.3"/>
    <row r="5388" hidden="1" x14ac:dyDescent="0.3"/>
    <row r="5389" hidden="1" x14ac:dyDescent="0.3"/>
    <row r="5390" hidden="1" x14ac:dyDescent="0.3"/>
    <row r="5391" hidden="1" x14ac:dyDescent="0.3"/>
    <row r="5392" hidden="1" x14ac:dyDescent="0.3"/>
    <row r="5393" hidden="1" x14ac:dyDescent="0.3"/>
    <row r="5394" hidden="1" x14ac:dyDescent="0.3"/>
    <row r="5395" hidden="1" x14ac:dyDescent="0.3"/>
    <row r="5396" hidden="1" x14ac:dyDescent="0.3"/>
    <row r="5397" hidden="1" x14ac:dyDescent="0.3"/>
    <row r="5398" hidden="1" x14ac:dyDescent="0.3"/>
    <row r="5399" hidden="1" x14ac:dyDescent="0.3"/>
    <row r="5400" hidden="1" x14ac:dyDescent="0.3"/>
    <row r="5401" hidden="1" x14ac:dyDescent="0.3"/>
    <row r="5402" hidden="1" x14ac:dyDescent="0.3"/>
    <row r="5403" hidden="1" x14ac:dyDescent="0.3"/>
    <row r="5404" hidden="1" x14ac:dyDescent="0.3"/>
    <row r="5405" hidden="1" x14ac:dyDescent="0.3"/>
    <row r="5406" hidden="1" x14ac:dyDescent="0.3"/>
    <row r="5407" hidden="1" x14ac:dyDescent="0.3"/>
    <row r="5408" hidden="1" x14ac:dyDescent="0.3"/>
    <row r="5409" hidden="1" x14ac:dyDescent="0.3"/>
    <row r="5410" hidden="1" x14ac:dyDescent="0.3"/>
    <row r="5411" hidden="1" x14ac:dyDescent="0.3"/>
    <row r="5412" hidden="1" x14ac:dyDescent="0.3"/>
    <row r="5413" hidden="1" x14ac:dyDescent="0.3"/>
    <row r="5414" hidden="1" x14ac:dyDescent="0.3"/>
    <row r="5415" hidden="1" x14ac:dyDescent="0.3"/>
    <row r="5416" hidden="1" x14ac:dyDescent="0.3"/>
    <row r="5417" hidden="1" x14ac:dyDescent="0.3"/>
    <row r="5418" hidden="1" x14ac:dyDescent="0.3"/>
    <row r="5419" hidden="1" x14ac:dyDescent="0.3"/>
    <row r="5420" hidden="1" x14ac:dyDescent="0.3"/>
    <row r="5421" hidden="1" x14ac:dyDescent="0.3"/>
    <row r="5422" hidden="1" x14ac:dyDescent="0.3"/>
    <row r="5423" hidden="1" x14ac:dyDescent="0.3"/>
    <row r="5424" hidden="1" x14ac:dyDescent="0.3"/>
    <row r="5425" hidden="1" x14ac:dyDescent="0.3"/>
    <row r="5426" hidden="1" x14ac:dyDescent="0.3"/>
    <row r="5427" hidden="1" x14ac:dyDescent="0.3"/>
    <row r="5428" hidden="1" x14ac:dyDescent="0.3"/>
    <row r="5429" hidden="1" x14ac:dyDescent="0.3"/>
    <row r="5430" hidden="1" x14ac:dyDescent="0.3"/>
    <row r="5431" hidden="1" x14ac:dyDescent="0.3"/>
    <row r="5432" hidden="1" x14ac:dyDescent="0.3"/>
    <row r="5433" hidden="1" x14ac:dyDescent="0.3"/>
    <row r="5434" hidden="1" x14ac:dyDescent="0.3"/>
    <row r="5435" hidden="1" x14ac:dyDescent="0.3"/>
    <row r="5436" hidden="1" x14ac:dyDescent="0.3"/>
    <row r="5437" hidden="1" x14ac:dyDescent="0.3"/>
    <row r="5438" hidden="1" x14ac:dyDescent="0.3"/>
    <row r="5439" hidden="1" x14ac:dyDescent="0.3"/>
    <row r="5440" hidden="1" x14ac:dyDescent="0.3"/>
    <row r="5441" hidden="1" x14ac:dyDescent="0.3"/>
    <row r="5442" hidden="1" x14ac:dyDescent="0.3"/>
    <row r="5443" hidden="1" x14ac:dyDescent="0.3"/>
    <row r="5444" hidden="1" x14ac:dyDescent="0.3"/>
    <row r="5445" hidden="1" x14ac:dyDescent="0.3"/>
    <row r="5446" hidden="1" x14ac:dyDescent="0.3"/>
    <row r="5447" hidden="1" x14ac:dyDescent="0.3"/>
    <row r="5448" hidden="1" x14ac:dyDescent="0.3"/>
    <row r="5449" hidden="1" x14ac:dyDescent="0.3"/>
    <row r="5450" hidden="1" x14ac:dyDescent="0.3"/>
    <row r="5451" hidden="1" x14ac:dyDescent="0.3"/>
    <row r="5452" hidden="1" x14ac:dyDescent="0.3"/>
    <row r="5453" hidden="1" x14ac:dyDescent="0.3"/>
    <row r="5454" hidden="1" x14ac:dyDescent="0.3"/>
    <row r="5455" hidden="1" x14ac:dyDescent="0.3"/>
    <row r="5456" hidden="1" x14ac:dyDescent="0.3"/>
    <row r="5457" hidden="1" x14ac:dyDescent="0.3"/>
    <row r="5458" hidden="1" x14ac:dyDescent="0.3"/>
    <row r="5459" hidden="1" x14ac:dyDescent="0.3"/>
    <row r="5460" hidden="1" x14ac:dyDescent="0.3"/>
    <row r="5461" hidden="1" x14ac:dyDescent="0.3"/>
    <row r="5462" hidden="1" x14ac:dyDescent="0.3"/>
    <row r="5463" hidden="1" x14ac:dyDescent="0.3"/>
    <row r="5464" hidden="1" x14ac:dyDescent="0.3"/>
    <row r="5465" hidden="1" x14ac:dyDescent="0.3"/>
    <row r="5466" hidden="1" x14ac:dyDescent="0.3"/>
    <row r="5467" hidden="1" x14ac:dyDescent="0.3"/>
    <row r="5468" hidden="1" x14ac:dyDescent="0.3"/>
    <row r="5469" hidden="1" x14ac:dyDescent="0.3"/>
    <row r="5470" hidden="1" x14ac:dyDescent="0.3"/>
    <row r="5471" hidden="1" x14ac:dyDescent="0.3"/>
    <row r="5472" hidden="1" x14ac:dyDescent="0.3"/>
    <row r="5473" hidden="1" x14ac:dyDescent="0.3"/>
    <row r="5474" hidden="1" x14ac:dyDescent="0.3"/>
    <row r="5475" hidden="1" x14ac:dyDescent="0.3"/>
    <row r="5476" hidden="1" x14ac:dyDescent="0.3"/>
    <row r="5477" hidden="1" x14ac:dyDescent="0.3"/>
    <row r="5478" hidden="1" x14ac:dyDescent="0.3"/>
    <row r="5479" hidden="1" x14ac:dyDescent="0.3"/>
    <row r="5480" hidden="1" x14ac:dyDescent="0.3"/>
    <row r="5481" hidden="1" x14ac:dyDescent="0.3"/>
    <row r="5482" hidden="1" x14ac:dyDescent="0.3"/>
    <row r="5483" hidden="1" x14ac:dyDescent="0.3"/>
    <row r="5484" hidden="1" x14ac:dyDescent="0.3"/>
    <row r="5485" hidden="1" x14ac:dyDescent="0.3"/>
    <row r="5486" hidden="1" x14ac:dyDescent="0.3"/>
    <row r="5487" hidden="1" x14ac:dyDescent="0.3"/>
    <row r="5488" hidden="1" x14ac:dyDescent="0.3"/>
    <row r="5489" hidden="1" x14ac:dyDescent="0.3"/>
    <row r="5490" hidden="1" x14ac:dyDescent="0.3"/>
    <row r="5491" hidden="1" x14ac:dyDescent="0.3"/>
    <row r="5492" hidden="1" x14ac:dyDescent="0.3"/>
    <row r="5493" hidden="1" x14ac:dyDescent="0.3"/>
    <row r="5494" hidden="1" x14ac:dyDescent="0.3"/>
    <row r="5495" hidden="1" x14ac:dyDescent="0.3"/>
    <row r="5496" hidden="1" x14ac:dyDescent="0.3"/>
    <row r="5497" hidden="1" x14ac:dyDescent="0.3"/>
    <row r="5498" hidden="1" x14ac:dyDescent="0.3"/>
    <row r="5499" hidden="1" x14ac:dyDescent="0.3"/>
    <row r="5500" hidden="1" x14ac:dyDescent="0.3"/>
    <row r="5501" hidden="1" x14ac:dyDescent="0.3"/>
    <row r="5502" hidden="1" x14ac:dyDescent="0.3"/>
    <row r="5503" hidden="1" x14ac:dyDescent="0.3"/>
    <row r="5504" hidden="1" x14ac:dyDescent="0.3"/>
    <row r="5505" hidden="1" x14ac:dyDescent="0.3"/>
    <row r="5506" hidden="1" x14ac:dyDescent="0.3"/>
    <row r="5507" hidden="1" x14ac:dyDescent="0.3"/>
    <row r="5508" hidden="1" x14ac:dyDescent="0.3"/>
    <row r="5509" hidden="1" x14ac:dyDescent="0.3"/>
    <row r="5510" hidden="1" x14ac:dyDescent="0.3"/>
    <row r="5511" hidden="1" x14ac:dyDescent="0.3"/>
    <row r="5512" hidden="1" x14ac:dyDescent="0.3"/>
    <row r="5513" hidden="1" x14ac:dyDescent="0.3"/>
    <row r="5514" hidden="1" x14ac:dyDescent="0.3"/>
    <row r="5515" hidden="1" x14ac:dyDescent="0.3"/>
    <row r="5516" hidden="1" x14ac:dyDescent="0.3"/>
    <row r="5517" hidden="1" x14ac:dyDescent="0.3"/>
    <row r="5518" hidden="1" x14ac:dyDescent="0.3"/>
    <row r="5519" hidden="1" x14ac:dyDescent="0.3"/>
    <row r="5520" hidden="1" x14ac:dyDescent="0.3"/>
    <row r="5521" hidden="1" x14ac:dyDescent="0.3"/>
    <row r="5522" hidden="1" x14ac:dyDescent="0.3"/>
    <row r="5523" hidden="1" x14ac:dyDescent="0.3"/>
    <row r="5524" hidden="1" x14ac:dyDescent="0.3"/>
    <row r="5525" hidden="1" x14ac:dyDescent="0.3"/>
    <row r="5526" hidden="1" x14ac:dyDescent="0.3"/>
    <row r="5527" hidden="1" x14ac:dyDescent="0.3"/>
    <row r="5528" hidden="1" x14ac:dyDescent="0.3"/>
    <row r="5529" hidden="1" x14ac:dyDescent="0.3"/>
    <row r="5530" hidden="1" x14ac:dyDescent="0.3"/>
    <row r="5531" hidden="1" x14ac:dyDescent="0.3"/>
    <row r="5532" hidden="1" x14ac:dyDescent="0.3"/>
    <row r="5533" hidden="1" x14ac:dyDescent="0.3"/>
    <row r="5534" hidden="1" x14ac:dyDescent="0.3"/>
    <row r="5535" hidden="1" x14ac:dyDescent="0.3"/>
    <row r="5536" hidden="1" x14ac:dyDescent="0.3"/>
    <row r="5537" hidden="1" x14ac:dyDescent="0.3"/>
    <row r="5538" hidden="1" x14ac:dyDescent="0.3"/>
    <row r="5539" hidden="1" x14ac:dyDescent="0.3"/>
    <row r="5540" hidden="1" x14ac:dyDescent="0.3"/>
    <row r="5541" hidden="1" x14ac:dyDescent="0.3"/>
    <row r="5542" hidden="1" x14ac:dyDescent="0.3"/>
    <row r="5543" hidden="1" x14ac:dyDescent="0.3"/>
    <row r="5544" hidden="1" x14ac:dyDescent="0.3"/>
    <row r="5545" hidden="1" x14ac:dyDescent="0.3"/>
    <row r="5546" hidden="1" x14ac:dyDescent="0.3"/>
    <row r="5547" hidden="1" x14ac:dyDescent="0.3"/>
    <row r="5548" hidden="1" x14ac:dyDescent="0.3"/>
    <row r="5549" hidden="1" x14ac:dyDescent="0.3"/>
    <row r="5550" hidden="1" x14ac:dyDescent="0.3"/>
    <row r="5551" hidden="1" x14ac:dyDescent="0.3"/>
    <row r="5552" hidden="1" x14ac:dyDescent="0.3"/>
    <row r="5553" hidden="1" x14ac:dyDescent="0.3"/>
    <row r="5554" hidden="1" x14ac:dyDescent="0.3"/>
    <row r="5555" hidden="1" x14ac:dyDescent="0.3"/>
    <row r="5556" hidden="1" x14ac:dyDescent="0.3"/>
    <row r="5557" hidden="1" x14ac:dyDescent="0.3"/>
    <row r="5558" hidden="1" x14ac:dyDescent="0.3"/>
    <row r="5559" hidden="1" x14ac:dyDescent="0.3"/>
    <row r="5560" hidden="1" x14ac:dyDescent="0.3"/>
    <row r="5561" hidden="1" x14ac:dyDescent="0.3"/>
    <row r="5562" hidden="1" x14ac:dyDescent="0.3"/>
    <row r="5563" hidden="1" x14ac:dyDescent="0.3"/>
    <row r="5564" hidden="1" x14ac:dyDescent="0.3"/>
    <row r="5565" hidden="1" x14ac:dyDescent="0.3"/>
    <row r="5566" hidden="1" x14ac:dyDescent="0.3"/>
    <row r="5567" hidden="1" x14ac:dyDescent="0.3"/>
    <row r="5568" hidden="1" x14ac:dyDescent="0.3"/>
    <row r="5569" hidden="1" x14ac:dyDescent="0.3"/>
    <row r="5570" hidden="1" x14ac:dyDescent="0.3"/>
    <row r="5571" hidden="1" x14ac:dyDescent="0.3"/>
    <row r="5572" hidden="1" x14ac:dyDescent="0.3"/>
    <row r="5573" hidden="1" x14ac:dyDescent="0.3"/>
    <row r="5574" hidden="1" x14ac:dyDescent="0.3"/>
    <row r="5575" hidden="1" x14ac:dyDescent="0.3"/>
    <row r="5576" hidden="1" x14ac:dyDescent="0.3"/>
    <row r="5577" hidden="1" x14ac:dyDescent="0.3"/>
    <row r="5578" hidden="1" x14ac:dyDescent="0.3"/>
    <row r="5579" hidden="1" x14ac:dyDescent="0.3"/>
    <row r="5580" hidden="1" x14ac:dyDescent="0.3"/>
    <row r="5581" hidden="1" x14ac:dyDescent="0.3"/>
    <row r="5582" hidden="1" x14ac:dyDescent="0.3"/>
    <row r="5583" hidden="1" x14ac:dyDescent="0.3"/>
    <row r="5584" hidden="1" x14ac:dyDescent="0.3"/>
    <row r="5585" hidden="1" x14ac:dyDescent="0.3"/>
    <row r="5586" hidden="1" x14ac:dyDescent="0.3"/>
    <row r="5587" hidden="1" x14ac:dyDescent="0.3"/>
    <row r="5588" hidden="1" x14ac:dyDescent="0.3"/>
    <row r="5589" hidden="1" x14ac:dyDescent="0.3"/>
    <row r="5590" hidden="1" x14ac:dyDescent="0.3"/>
    <row r="5591" hidden="1" x14ac:dyDescent="0.3"/>
    <row r="5592" hidden="1" x14ac:dyDescent="0.3"/>
    <row r="5593" hidden="1" x14ac:dyDescent="0.3"/>
    <row r="5594" hidden="1" x14ac:dyDescent="0.3"/>
    <row r="5595" hidden="1" x14ac:dyDescent="0.3"/>
    <row r="5596" hidden="1" x14ac:dyDescent="0.3"/>
    <row r="5597" hidden="1" x14ac:dyDescent="0.3"/>
    <row r="5598" hidden="1" x14ac:dyDescent="0.3"/>
    <row r="5599" hidden="1" x14ac:dyDescent="0.3"/>
    <row r="5600" hidden="1" x14ac:dyDescent="0.3"/>
    <row r="5601" hidden="1" x14ac:dyDescent="0.3"/>
    <row r="5602" hidden="1" x14ac:dyDescent="0.3"/>
    <row r="5603" hidden="1" x14ac:dyDescent="0.3"/>
    <row r="5604" hidden="1" x14ac:dyDescent="0.3"/>
    <row r="5605" hidden="1" x14ac:dyDescent="0.3"/>
    <row r="5606" hidden="1" x14ac:dyDescent="0.3"/>
    <row r="5607" hidden="1" x14ac:dyDescent="0.3"/>
    <row r="5608" hidden="1" x14ac:dyDescent="0.3"/>
    <row r="5609" hidden="1" x14ac:dyDescent="0.3"/>
    <row r="5610" hidden="1" x14ac:dyDescent="0.3"/>
    <row r="5611" hidden="1" x14ac:dyDescent="0.3"/>
    <row r="5612" hidden="1" x14ac:dyDescent="0.3"/>
    <row r="5613" hidden="1" x14ac:dyDescent="0.3"/>
    <row r="5614" hidden="1" x14ac:dyDescent="0.3"/>
    <row r="5615" hidden="1" x14ac:dyDescent="0.3"/>
    <row r="5616" hidden="1" x14ac:dyDescent="0.3"/>
    <row r="5617" hidden="1" x14ac:dyDescent="0.3"/>
    <row r="5618" hidden="1" x14ac:dyDescent="0.3"/>
    <row r="5619" hidden="1" x14ac:dyDescent="0.3"/>
    <row r="5620" hidden="1" x14ac:dyDescent="0.3"/>
    <row r="5621" hidden="1" x14ac:dyDescent="0.3"/>
    <row r="5622" hidden="1" x14ac:dyDescent="0.3"/>
    <row r="5623" hidden="1" x14ac:dyDescent="0.3"/>
    <row r="5624" hidden="1" x14ac:dyDescent="0.3"/>
    <row r="5625" hidden="1" x14ac:dyDescent="0.3"/>
    <row r="5626" hidden="1" x14ac:dyDescent="0.3"/>
    <row r="5627" hidden="1" x14ac:dyDescent="0.3"/>
    <row r="5628" hidden="1" x14ac:dyDescent="0.3"/>
    <row r="5629" hidden="1" x14ac:dyDescent="0.3"/>
    <row r="5630" hidden="1" x14ac:dyDescent="0.3"/>
    <row r="5631" hidden="1" x14ac:dyDescent="0.3"/>
    <row r="5632" hidden="1" x14ac:dyDescent="0.3"/>
    <row r="5633" hidden="1" x14ac:dyDescent="0.3"/>
    <row r="5634" hidden="1" x14ac:dyDescent="0.3"/>
    <row r="5635" hidden="1" x14ac:dyDescent="0.3"/>
    <row r="5636" hidden="1" x14ac:dyDescent="0.3"/>
    <row r="5637" hidden="1" x14ac:dyDescent="0.3"/>
    <row r="5638" hidden="1" x14ac:dyDescent="0.3"/>
    <row r="5639" hidden="1" x14ac:dyDescent="0.3"/>
    <row r="5640" hidden="1" x14ac:dyDescent="0.3"/>
    <row r="5641" hidden="1" x14ac:dyDescent="0.3"/>
    <row r="5642" hidden="1" x14ac:dyDescent="0.3"/>
    <row r="5643" hidden="1" x14ac:dyDescent="0.3"/>
    <row r="5644" hidden="1" x14ac:dyDescent="0.3"/>
    <row r="5645" hidden="1" x14ac:dyDescent="0.3"/>
    <row r="5646" hidden="1" x14ac:dyDescent="0.3"/>
    <row r="5647" hidden="1" x14ac:dyDescent="0.3"/>
    <row r="5648" hidden="1" x14ac:dyDescent="0.3"/>
    <row r="5649" hidden="1" x14ac:dyDescent="0.3"/>
    <row r="5650" hidden="1" x14ac:dyDescent="0.3"/>
    <row r="5651" hidden="1" x14ac:dyDescent="0.3"/>
    <row r="5652" hidden="1" x14ac:dyDescent="0.3"/>
    <row r="5653" hidden="1" x14ac:dyDescent="0.3"/>
    <row r="5654" hidden="1" x14ac:dyDescent="0.3"/>
    <row r="5655" hidden="1" x14ac:dyDescent="0.3"/>
    <row r="5656" hidden="1" x14ac:dyDescent="0.3"/>
    <row r="5657" hidden="1" x14ac:dyDescent="0.3"/>
    <row r="5658" hidden="1" x14ac:dyDescent="0.3"/>
    <row r="5659" hidden="1" x14ac:dyDescent="0.3"/>
    <row r="5660" hidden="1" x14ac:dyDescent="0.3"/>
    <row r="5661" hidden="1" x14ac:dyDescent="0.3"/>
    <row r="5662" hidden="1" x14ac:dyDescent="0.3"/>
    <row r="5663" hidden="1" x14ac:dyDescent="0.3"/>
    <row r="5664" hidden="1" x14ac:dyDescent="0.3"/>
    <row r="5665" hidden="1" x14ac:dyDescent="0.3"/>
    <row r="5666" hidden="1" x14ac:dyDescent="0.3"/>
    <row r="5667" hidden="1" x14ac:dyDescent="0.3"/>
    <row r="5668" hidden="1" x14ac:dyDescent="0.3"/>
    <row r="5669" hidden="1" x14ac:dyDescent="0.3"/>
    <row r="5670" hidden="1" x14ac:dyDescent="0.3"/>
    <row r="5671" hidden="1" x14ac:dyDescent="0.3"/>
    <row r="5672" hidden="1" x14ac:dyDescent="0.3"/>
    <row r="5673" hidden="1" x14ac:dyDescent="0.3"/>
    <row r="5674" hidden="1" x14ac:dyDescent="0.3"/>
    <row r="5675" hidden="1" x14ac:dyDescent="0.3"/>
    <row r="5676" hidden="1" x14ac:dyDescent="0.3"/>
    <row r="5677" hidden="1" x14ac:dyDescent="0.3"/>
    <row r="5678" hidden="1" x14ac:dyDescent="0.3"/>
    <row r="5679" hidden="1" x14ac:dyDescent="0.3"/>
    <row r="5680" hidden="1" x14ac:dyDescent="0.3"/>
    <row r="5681" hidden="1" x14ac:dyDescent="0.3"/>
    <row r="5682" hidden="1" x14ac:dyDescent="0.3"/>
    <row r="5683" hidden="1" x14ac:dyDescent="0.3"/>
    <row r="5684" hidden="1" x14ac:dyDescent="0.3"/>
    <row r="5685" hidden="1" x14ac:dyDescent="0.3"/>
    <row r="5686" hidden="1" x14ac:dyDescent="0.3"/>
    <row r="5687" hidden="1" x14ac:dyDescent="0.3"/>
    <row r="5688" hidden="1" x14ac:dyDescent="0.3"/>
    <row r="5689" hidden="1" x14ac:dyDescent="0.3"/>
    <row r="5690" hidden="1" x14ac:dyDescent="0.3"/>
    <row r="5691" hidden="1" x14ac:dyDescent="0.3"/>
    <row r="5692" hidden="1" x14ac:dyDescent="0.3"/>
    <row r="5693" hidden="1" x14ac:dyDescent="0.3"/>
    <row r="5694" hidden="1" x14ac:dyDescent="0.3"/>
    <row r="5695" hidden="1" x14ac:dyDescent="0.3"/>
    <row r="5696" hidden="1" x14ac:dyDescent="0.3"/>
    <row r="5697" hidden="1" x14ac:dyDescent="0.3"/>
    <row r="5698" hidden="1" x14ac:dyDescent="0.3"/>
    <row r="5699" hidden="1" x14ac:dyDescent="0.3"/>
    <row r="5700" hidden="1" x14ac:dyDescent="0.3"/>
    <row r="5701" hidden="1" x14ac:dyDescent="0.3"/>
    <row r="5702" hidden="1" x14ac:dyDescent="0.3"/>
    <row r="5703" hidden="1" x14ac:dyDescent="0.3"/>
    <row r="5704" hidden="1" x14ac:dyDescent="0.3"/>
    <row r="5705" hidden="1" x14ac:dyDescent="0.3"/>
    <row r="5706" hidden="1" x14ac:dyDescent="0.3"/>
    <row r="5707" hidden="1" x14ac:dyDescent="0.3"/>
    <row r="5708" hidden="1" x14ac:dyDescent="0.3"/>
    <row r="5709" hidden="1" x14ac:dyDescent="0.3"/>
    <row r="5710" hidden="1" x14ac:dyDescent="0.3"/>
    <row r="5711" hidden="1" x14ac:dyDescent="0.3"/>
    <row r="5712" hidden="1" x14ac:dyDescent="0.3"/>
    <row r="5713" hidden="1" x14ac:dyDescent="0.3"/>
    <row r="5714" hidden="1" x14ac:dyDescent="0.3"/>
    <row r="5715" hidden="1" x14ac:dyDescent="0.3"/>
    <row r="5716" hidden="1" x14ac:dyDescent="0.3"/>
    <row r="5717" hidden="1" x14ac:dyDescent="0.3"/>
    <row r="5718" hidden="1" x14ac:dyDescent="0.3"/>
    <row r="5719" hidden="1" x14ac:dyDescent="0.3"/>
    <row r="5720" hidden="1" x14ac:dyDescent="0.3"/>
    <row r="5721" hidden="1" x14ac:dyDescent="0.3"/>
    <row r="5722" hidden="1" x14ac:dyDescent="0.3"/>
    <row r="5723" hidden="1" x14ac:dyDescent="0.3"/>
    <row r="5724" hidden="1" x14ac:dyDescent="0.3"/>
    <row r="5725" hidden="1" x14ac:dyDescent="0.3"/>
    <row r="5726" hidden="1" x14ac:dyDescent="0.3"/>
    <row r="5727" hidden="1" x14ac:dyDescent="0.3"/>
    <row r="5728" hidden="1" x14ac:dyDescent="0.3"/>
    <row r="5729" hidden="1" x14ac:dyDescent="0.3"/>
    <row r="5730" hidden="1" x14ac:dyDescent="0.3"/>
    <row r="5731" hidden="1" x14ac:dyDescent="0.3"/>
    <row r="5732" hidden="1" x14ac:dyDescent="0.3"/>
    <row r="5733" hidden="1" x14ac:dyDescent="0.3"/>
    <row r="5734" hidden="1" x14ac:dyDescent="0.3"/>
    <row r="5735" hidden="1" x14ac:dyDescent="0.3"/>
    <row r="5736" hidden="1" x14ac:dyDescent="0.3"/>
    <row r="5737" hidden="1" x14ac:dyDescent="0.3"/>
    <row r="5738" hidden="1" x14ac:dyDescent="0.3"/>
    <row r="5739" hidden="1" x14ac:dyDescent="0.3"/>
    <row r="5740" hidden="1" x14ac:dyDescent="0.3"/>
    <row r="5741" hidden="1" x14ac:dyDescent="0.3"/>
    <row r="5742" hidden="1" x14ac:dyDescent="0.3"/>
    <row r="5743" hidden="1" x14ac:dyDescent="0.3"/>
    <row r="5744" hidden="1" x14ac:dyDescent="0.3"/>
    <row r="5745" hidden="1" x14ac:dyDescent="0.3"/>
    <row r="5746" hidden="1" x14ac:dyDescent="0.3"/>
    <row r="5747" hidden="1" x14ac:dyDescent="0.3"/>
    <row r="5748" hidden="1" x14ac:dyDescent="0.3"/>
    <row r="5749" hidden="1" x14ac:dyDescent="0.3"/>
    <row r="5750" hidden="1" x14ac:dyDescent="0.3"/>
    <row r="5751" hidden="1" x14ac:dyDescent="0.3"/>
    <row r="5752" hidden="1" x14ac:dyDescent="0.3"/>
    <row r="5753" hidden="1" x14ac:dyDescent="0.3"/>
    <row r="5754" hidden="1" x14ac:dyDescent="0.3"/>
    <row r="5755" hidden="1" x14ac:dyDescent="0.3"/>
    <row r="5756" hidden="1" x14ac:dyDescent="0.3"/>
    <row r="5757" hidden="1" x14ac:dyDescent="0.3"/>
    <row r="5758" hidden="1" x14ac:dyDescent="0.3"/>
    <row r="5759" hidden="1" x14ac:dyDescent="0.3"/>
    <row r="5760" hidden="1" x14ac:dyDescent="0.3"/>
    <row r="5761" hidden="1" x14ac:dyDescent="0.3"/>
    <row r="5762" hidden="1" x14ac:dyDescent="0.3"/>
    <row r="5763" hidden="1" x14ac:dyDescent="0.3"/>
    <row r="5764" hidden="1" x14ac:dyDescent="0.3"/>
    <row r="5765" hidden="1" x14ac:dyDescent="0.3"/>
    <row r="5766" hidden="1" x14ac:dyDescent="0.3"/>
    <row r="5767" hidden="1" x14ac:dyDescent="0.3"/>
    <row r="5768" hidden="1" x14ac:dyDescent="0.3"/>
    <row r="5769" hidden="1" x14ac:dyDescent="0.3"/>
    <row r="5770" hidden="1" x14ac:dyDescent="0.3"/>
    <row r="5771" hidden="1" x14ac:dyDescent="0.3"/>
    <row r="5772" hidden="1" x14ac:dyDescent="0.3"/>
    <row r="5773" hidden="1" x14ac:dyDescent="0.3"/>
    <row r="5774" hidden="1" x14ac:dyDescent="0.3"/>
    <row r="5775" hidden="1" x14ac:dyDescent="0.3"/>
    <row r="5776" hidden="1" x14ac:dyDescent="0.3"/>
    <row r="5777" hidden="1" x14ac:dyDescent="0.3"/>
    <row r="5778" hidden="1" x14ac:dyDescent="0.3"/>
    <row r="5779" hidden="1" x14ac:dyDescent="0.3"/>
    <row r="5780" hidden="1" x14ac:dyDescent="0.3"/>
    <row r="5781" hidden="1" x14ac:dyDescent="0.3"/>
    <row r="5782" hidden="1" x14ac:dyDescent="0.3"/>
    <row r="5783" hidden="1" x14ac:dyDescent="0.3"/>
    <row r="5784" hidden="1" x14ac:dyDescent="0.3"/>
    <row r="5785" hidden="1" x14ac:dyDescent="0.3"/>
    <row r="5786" hidden="1" x14ac:dyDescent="0.3"/>
    <row r="5787" hidden="1" x14ac:dyDescent="0.3"/>
    <row r="5788" hidden="1" x14ac:dyDescent="0.3"/>
    <row r="5789" hidden="1" x14ac:dyDescent="0.3"/>
    <row r="5790" hidden="1" x14ac:dyDescent="0.3"/>
    <row r="5791" hidden="1" x14ac:dyDescent="0.3"/>
    <row r="5792" hidden="1" x14ac:dyDescent="0.3"/>
    <row r="5793" hidden="1" x14ac:dyDescent="0.3"/>
    <row r="5794" hidden="1" x14ac:dyDescent="0.3"/>
    <row r="5795" hidden="1" x14ac:dyDescent="0.3"/>
    <row r="5796" hidden="1" x14ac:dyDescent="0.3"/>
    <row r="5797" hidden="1" x14ac:dyDescent="0.3"/>
    <row r="5798" hidden="1" x14ac:dyDescent="0.3"/>
    <row r="5799" hidden="1" x14ac:dyDescent="0.3"/>
    <row r="5800" hidden="1" x14ac:dyDescent="0.3"/>
    <row r="5801" hidden="1" x14ac:dyDescent="0.3"/>
    <row r="5802" hidden="1" x14ac:dyDescent="0.3"/>
    <row r="5803" hidden="1" x14ac:dyDescent="0.3"/>
    <row r="5804" hidden="1" x14ac:dyDescent="0.3"/>
    <row r="5805" hidden="1" x14ac:dyDescent="0.3"/>
    <row r="5806" hidden="1" x14ac:dyDescent="0.3"/>
    <row r="5807" hidden="1" x14ac:dyDescent="0.3"/>
    <row r="5808" hidden="1" x14ac:dyDescent="0.3"/>
    <row r="5809" hidden="1" x14ac:dyDescent="0.3"/>
    <row r="5810" hidden="1" x14ac:dyDescent="0.3"/>
    <row r="5811" hidden="1" x14ac:dyDescent="0.3"/>
    <row r="5812" hidden="1" x14ac:dyDescent="0.3"/>
    <row r="5813" hidden="1" x14ac:dyDescent="0.3"/>
    <row r="5814" hidden="1" x14ac:dyDescent="0.3"/>
    <row r="5815" hidden="1" x14ac:dyDescent="0.3"/>
    <row r="5816" hidden="1" x14ac:dyDescent="0.3"/>
    <row r="5817" hidden="1" x14ac:dyDescent="0.3"/>
    <row r="5818" hidden="1" x14ac:dyDescent="0.3"/>
    <row r="5819" hidden="1" x14ac:dyDescent="0.3"/>
    <row r="5820" hidden="1" x14ac:dyDescent="0.3"/>
    <row r="5821" hidden="1" x14ac:dyDescent="0.3"/>
    <row r="5822" hidden="1" x14ac:dyDescent="0.3"/>
    <row r="5823" hidden="1" x14ac:dyDescent="0.3"/>
    <row r="5824" hidden="1" x14ac:dyDescent="0.3"/>
    <row r="5825" hidden="1" x14ac:dyDescent="0.3"/>
    <row r="5826" hidden="1" x14ac:dyDescent="0.3"/>
    <row r="5827" hidden="1" x14ac:dyDescent="0.3"/>
    <row r="5828" hidden="1" x14ac:dyDescent="0.3"/>
    <row r="5829" hidden="1" x14ac:dyDescent="0.3"/>
    <row r="5830" hidden="1" x14ac:dyDescent="0.3"/>
    <row r="5831" hidden="1" x14ac:dyDescent="0.3"/>
    <row r="5832" hidden="1" x14ac:dyDescent="0.3"/>
    <row r="5833" hidden="1" x14ac:dyDescent="0.3"/>
    <row r="5834" hidden="1" x14ac:dyDescent="0.3"/>
    <row r="5835" hidden="1" x14ac:dyDescent="0.3"/>
    <row r="5836" hidden="1" x14ac:dyDescent="0.3"/>
    <row r="5837" hidden="1" x14ac:dyDescent="0.3"/>
    <row r="5838" hidden="1" x14ac:dyDescent="0.3"/>
    <row r="5839" hidden="1" x14ac:dyDescent="0.3"/>
    <row r="5840" hidden="1" x14ac:dyDescent="0.3"/>
    <row r="5841" hidden="1" x14ac:dyDescent="0.3"/>
    <row r="5842" hidden="1" x14ac:dyDescent="0.3"/>
    <row r="5843" hidden="1" x14ac:dyDescent="0.3"/>
    <row r="5844" hidden="1" x14ac:dyDescent="0.3"/>
    <row r="5845" hidden="1" x14ac:dyDescent="0.3"/>
    <row r="5846" hidden="1" x14ac:dyDescent="0.3"/>
    <row r="5847" hidden="1" x14ac:dyDescent="0.3"/>
    <row r="5848" hidden="1" x14ac:dyDescent="0.3"/>
    <row r="5849" hidden="1" x14ac:dyDescent="0.3"/>
    <row r="5850" hidden="1" x14ac:dyDescent="0.3"/>
    <row r="5851" hidden="1" x14ac:dyDescent="0.3"/>
    <row r="5852" hidden="1" x14ac:dyDescent="0.3"/>
    <row r="5853" hidden="1" x14ac:dyDescent="0.3"/>
    <row r="5854" hidden="1" x14ac:dyDescent="0.3"/>
    <row r="5855" hidden="1" x14ac:dyDescent="0.3"/>
    <row r="5856" hidden="1" x14ac:dyDescent="0.3"/>
    <row r="5857" hidden="1" x14ac:dyDescent="0.3"/>
    <row r="5858" hidden="1" x14ac:dyDescent="0.3"/>
    <row r="5859" hidden="1" x14ac:dyDescent="0.3"/>
    <row r="5860" hidden="1" x14ac:dyDescent="0.3"/>
    <row r="5861" hidden="1" x14ac:dyDescent="0.3"/>
    <row r="5862" hidden="1" x14ac:dyDescent="0.3"/>
    <row r="5863" hidden="1" x14ac:dyDescent="0.3"/>
    <row r="5864" hidden="1" x14ac:dyDescent="0.3"/>
    <row r="5865" hidden="1" x14ac:dyDescent="0.3"/>
    <row r="5866" hidden="1" x14ac:dyDescent="0.3"/>
    <row r="5867" hidden="1" x14ac:dyDescent="0.3"/>
    <row r="5868" hidden="1" x14ac:dyDescent="0.3"/>
    <row r="5869" hidden="1" x14ac:dyDescent="0.3"/>
    <row r="5870" hidden="1" x14ac:dyDescent="0.3"/>
    <row r="5871" hidden="1" x14ac:dyDescent="0.3"/>
    <row r="5872" hidden="1" x14ac:dyDescent="0.3"/>
    <row r="5873" hidden="1" x14ac:dyDescent="0.3"/>
    <row r="5874" hidden="1" x14ac:dyDescent="0.3"/>
    <row r="5875" hidden="1" x14ac:dyDescent="0.3"/>
    <row r="5876" hidden="1" x14ac:dyDescent="0.3"/>
    <row r="5877" hidden="1" x14ac:dyDescent="0.3"/>
    <row r="5878" hidden="1" x14ac:dyDescent="0.3"/>
    <row r="5879" hidden="1" x14ac:dyDescent="0.3"/>
    <row r="5880" hidden="1" x14ac:dyDescent="0.3"/>
    <row r="5881" hidden="1" x14ac:dyDescent="0.3"/>
    <row r="5882" hidden="1" x14ac:dyDescent="0.3"/>
    <row r="5883" hidden="1" x14ac:dyDescent="0.3"/>
    <row r="5884" hidden="1" x14ac:dyDescent="0.3"/>
    <row r="5885" hidden="1" x14ac:dyDescent="0.3"/>
    <row r="5886" hidden="1" x14ac:dyDescent="0.3"/>
    <row r="5887" hidden="1" x14ac:dyDescent="0.3"/>
    <row r="5888" hidden="1" x14ac:dyDescent="0.3"/>
    <row r="5889" hidden="1" x14ac:dyDescent="0.3"/>
    <row r="5890" hidden="1" x14ac:dyDescent="0.3"/>
    <row r="5891" hidden="1" x14ac:dyDescent="0.3"/>
    <row r="5892" hidden="1" x14ac:dyDescent="0.3"/>
    <row r="5893" hidden="1" x14ac:dyDescent="0.3"/>
    <row r="5894" hidden="1" x14ac:dyDescent="0.3"/>
    <row r="5895" hidden="1" x14ac:dyDescent="0.3"/>
    <row r="5896" hidden="1" x14ac:dyDescent="0.3"/>
    <row r="5897" hidden="1" x14ac:dyDescent="0.3"/>
    <row r="5898" hidden="1" x14ac:dyDescent="0.3"/>
    <row r="5899" hidden="1" x14ac:dyDescent="0.3"/>
    <row r="5900" hidden="1" x14ac:dyDescent="0.3"/>
    <row r="5901" hidden="1" x14ac:dyDescent="0.3"/>
    <row r="5902" hidden="1" x14ac:dyDescent="0.3"/>
    <row r="5903" hidden="1" x14ac:dyDescent="0.3"/>
    <row r="5904" hidden="1" x14ac:dyDescent="0.3"/>
    <row r="5905" hidden="1" x14ac:dyDescent="0.3"/>
    <row r="5906" hidden="1" x14ac:dyDescent="0.3"/>
    <row r="5907" hidden="1" x14ac:dyDescent="0.3"/>
    <row r="5908" hidden="1" x14ac:dyDescent="0.3"/>
    <row r="5909" hidden="1" x14ac:dyDescent="0.3"/>
    <row r="5910" hidden="1" x14ac:dyDescent="0.3"/>
    <row r="5911" hidden="1" x14ac:dyDescent="0.3"/>
    <row r="5912" hidden="1" x14ac:dyDescent="0.3"/>
    <row r="5913" hidden="1" x14ac:dyDescent="0.3"/>
    <row r="5914" hidden="1" x14ac:dyDescent="0.3"/>
    <row r="5915" hidden="1" x14ac:dyDescent="0.3"/>
    <row r="5916" hidden="1" x14ac:dyDescent="0.3"/>
    <row r="5917" hidden="1" x14ac:dyDescent="0.3"/>
    <row r="5918" hidden="1" x14ac:dyDescent="0.3"/>
    <row r="5919" hidden="1" x14ac:dyDescent="0.3"/>
    <row r="5920" hidden="1" x14ac:dyDescent="0.3"/>
    <row r="5921" hidden="1" x14ac:dyDescent="0.3"/>
    <row r="5922" hidden="1" x14ac:dyDescent="0.3"/>
    <row r="5923" hidden="1" x14ac:dyDescent="0.3"/>
    <row r="5924" hidden="1" x14ac:dyDescent="0.3"/>
    <row r="5925" hidden="1" x14ac:dyDescent="0.3"/>
    <row r="5926" hidden="1" x14ac:dyDescent="0.3"/>
    <row r="5927" hidden="1" x14ac:dyDescent="0.3"/>
    <row r="5928" hidden="1" x14ac:dyDescent="0.3"/>
    <row r="5929" hidden="1" x14ac:dyDescent="0.3"/>
    <row r="5930" hidden="1" x14ac:dyDescent="0.3"/>
    <row r="5931" hidden="1" x14ac:dyDescent="0.3"/>
    <row r="5932" hidden="1" x14ac:dyDescent="0.3"/>
    <row r="5933" hidden="1" x14ac:dyDescent="0.3"/>
    <row r="5934" hidden="1" x14ac:dyDescent="0.3"/>
    <row r="5935" hidden="1" x14ac:dyDescent="0.3"/>
    <row r="5936" hidden="1" x14ac:dyDescent="0.3"/>
    <row r="5937" hidden="1" x14ac:dyDescent="0.3"/>
    <row r="5938" hidden="1" x14ac:dyDescent="0.3"/>
    <row r="5939" hidden="1" x14ac:dyDescent="0.3"/>
    <row r="5940" hidden="1" x14ac:dyDescent="0.3"/>
    <row r="5941" hidden="1" x14ac:dyDescent="0.3"/>
    <row r="5942" hidden="1" x14ac:dyDescent="0.3"/>
    <row r="5943" hidden="1" x14ac:dyDescent="0.3"/>
    <row r="5944" hidden="1" x14ac:dyDescent="0.3"/>
    <row r="5945" hidden="1" x14ac:dyDescent="0.3"/>
    <row r="5946" hidden="1" x14ac:dyDescent="0.3"/>
    <row r="5947" hidden="1" x14ac:dyDescent="0.3"/>
    <row r="5948" hidden="1" x14ac:dyDescent="0.3"/>
    <row r="5949" hidden="1" x14ac:dyDescent="0.3"/>
    <row r="5950" hidden="1" x14ac:dyDescent="0.3"/>
    <row r="5951" hidden="1" x14ac:dyDescent="0.3"/>
    <row r="5952" hidden="1" x14ac:dyDescent="0.3"/>
    <row r="5953" hidden="1" x14ac:dyDescent="0.3"/>
    <row r="5954" hidden="1" x14ac:dyDescent="0.3"/>
    <row r="5955" hidden="1" x14ac:dyDescent="0.3"/>
    <row r="5956" hidden="1" x14ac:dyDescent="0.3"/>
    <row r="5957" hidden="1" x14ac:dyDescent="0.3"/>
    <row r="5958" hidden="1" x14ac:dyDescent="0.3"/>
    <row r="5959" hidden="1" x14ac:dyDescent="0.3"/>
    <row r="5960" hidden="1" x14ac:dyDescent="0.3"/>
    <row r="5961" hidden="1" x14ac:dyDescent="0.3"/>
    <row r="5962" hidden="1" x14ac:dyDescent="0.3"/>
    <row r="5963" hidden="1" x14ac:dyDescent="0.3"/>
    <row r="5964" hidden="1" x14ac:dyDescent="0.3"/>
    <row r="5965" hidden="1" x14ac:dyDescent="0.3"/>
    <row r="5966" hidden="1" x14ac:dyDescent="0.3"/>
    <row r="5967" hidden="1" x14ac:dyDescent="0.3"/>
    <row r="5968" hidden="1" x14ac:dyDescent="0.3"/>
    <row r="5969" hidden="1" x14ac:dyDescent="0.3"/>
    <row r="5970" hidden="1" x14ac:dyDescent="0.3"/>
    <row r="5971" hidden="1" x14ac:dyDescent="0.3"/>
    <row r="5972" hidden="1" x14ac:dyDescent="0.3"/>
    <row r="5973" hidden="1" x14ac:dyDescent="0.3"/>
    <row r="5974" hidden="1" x14ac:dyDescent="0.3"/>
    <row r="5975" hidden="1" x14ac:dyDescent="0.3"/>
    <row r="5976" hidden="1" x14ac:dyDescent="0.3"/>
    <row r="5977" hidden="1" x14ac:dyDescent="0.3"/>
    <row r="5978" hidden="1" x14ac:dyDescent="0.3"/>
    <row r="5979" hidden="1" x14ac:dyDescent="0.3"/>
    <row r="5980" hidden="1" x14ac:dyDescent="0.3"/>
    <row r="5981" hidden="1" x14ac:dyDescent="0.3"/>
    <row r="5982" hidden="1" x14ac:dyDescent="0.3"/>
    <row r="5983" hidden="1" x14ac:dyDescent="0.3"/>
    <row r="5984" hidden="1" x14ac:dyDescent="0.3"/>
    <row r="5985" hidden="1" x14ac:dyDescent="0.3"/>
    <row r="5986" hidden="1" x14ac:dyDescent="0.3"/>
    <row r="5987" hidden="1" x14ac:dyDescent="0.3"/>
    <row r="5988" hidden="1" x14ac:dyDescent="0.3"/>
    <row r="5989" hidden="1" x14ac:dyDescent="0.3"/>
    <row r="5990" hidden="1" x14ac:dyDescent="0.3"/>
    <row r="5991" hidden="1" x14ac:dyDescent="0.3"/>
    <row r="5992" hidden="1" x14ac:dyDescent="0.3"/>
    <row r="5993" hidden="1" x14ac:dyDescent="0.3"/>
    <row r="5994" hidden="1" x14ac:dyDescent="0.3"/>
    <row r="5995" hidden="1" x14ac:dyDescent="0.3"/>
    <row r="5996" hidden="1" x14ac:dyDescent="0.3"/>
    <row r="5997" hidden="1" x14ac:dyDescent="0.3"/>
    <row r="5998" hidden="1" x14ac:dyDescent="0.3"/>
    <row r="5999" hidden="1" x14ac:dyDescent="0.3"/>
    <row r="6000" hidden="1" x14ac:dyDescent="0.3"/>
    <row r="6001" hidden="1" x14ac:dyDescent="0.3"/>
    <row r="6002" hidden="1" x14ac:dyDescent="0.3"/>
    <row r="6003" hidden="1" x14ac:dyDescent="0.3"/>
    <row r="6004" hidden="1" x14ac:dyDescent="0.3"/>
    <row r="6005" hidden="1" x14ac:dyDescent="0.3"/>
    <row r="6006" hidden="1" x14ac:dyDescent="0.3"/>
    <row r="6007" hidden="1" x14ac:dyDescent="0.3"/>
    <row r="6008" hidden="1" x14ac:dyDescent="0.3"/>
    <row r="6009" hidden="1" x14ac:dyDescent="0.3"/>
    <row r="6010" hidden="1" x14ac:dyDescent="0.3"/>
    <row r="6011" hidden="1" x14ac:dyDescent="0.3"/>
    <row r="6012" hidden="1" x14ac:dyDescent="0.3"/>
    <row r="6013" hidden="1" x14ac:dyDescent="0.3"/>
    <row r="6014" hidden="1" x14ac:dyDescent="0.3"/>
    <row r="6015" hidden="1" x14ac:dyDescent="0.3"/>
    <row r="6016" hidden="1" x14ac:dyDescent="0.3"/>
    <row r="6017" hidden="1" x14ac:dyDescent="0.3"/>
    <row r="6018" hidden="1" x14ac:dyDescent="0.3"/>
    <row r="6019" hidden="1" x14ac:dyDescent="0.3"/>
    <row r="6020" hidden="1" x14ac:dyDescent="0.3"/>
    <row r="6021" hidden="1" x14ac:dyDescent="0.3"/>
    <row r="6022" hidden="1" x14ac:dyDescent="0.3"/>
    <row r="6023" hidden="1" x14ac:dyDescent="0.3"/>
    <row r="6024" hidden="1" x14ac:dyDescent="0.3"/>
    <row r="6025" hidden="1" x14ac:dyDescent="0.3"/>
    <row r="6026" hidden="1" x14ac:dyDescent="0.3"/>
    <row r="6027" hidden="1" x14ac:dyDescent="0.3"/>
    <row r="6028" hidden="1" x14ac:dyDescent="0.3"/>
    <row r="6029" hidden="1" x14ac:dyDescent="0.3"/>
    <row r="6030" hidden="1" x14ac:dyDescent="0.3"/>
    <row r="6031" hidden="1" x14ac:dyDescent="0.3"/>
    <row r="6032" hidden="1" x14ac:dyDescent="0.3"/>
    <row r="6033" hidden="1" x14ac:dyDescent="0.3"/>
    <row r="6034" hidden="1" x14ac:dyDescent="0.3"/>
    <row r="6035" hidden="1" x14ac:dyDescent="0.3"/>
    <row r="6036" hidden="1" x14ac:dyDescent="0.3"/>
    <row r="6037" hidden="1" x14ac:dyDescent="0.3"/>
    <row r="6038" hidden="1" x14ac:dyDescent="0.3"/>
    <row r="6039" hidden="1" x14ac:dyDescent="0.3"/>
    <row r="6040" hidden="1" x14ac:dyDescent="0.3"/>
    <row r="6041" hidden="1" x14ac:dyDescent="0.3"/>
    <row r="6042" hidden="1" x14ac:dyDescent="0.3"/>
    <row r="6043" hidden="1" x14ac:dyDescent="0.3"/>
    <row r="6044" hidden="1" x14ac:dyDescent="0.3"/>
    <row r="6045" hidden="1" x14ac:dyDescent="0.3"/>
    <row r="6046" hidden="1" x14ac:dyDescent="0.3"/>
    <row r="6047" hidden="1" x14ac:dyDescent="0.3"/>
    <row r="6048" hidden="1" x14ac:dyDescent="0.3"/>
    <row r="6049" hidden="1" x14ac:dyDescent="0.3"/>
    <row r="6050" hidden="1" x14ac:dyDescent="0.3"/>
    <row r="6051" hidden="1" x14ac:dyDescent="0.3"/>
    <row r="6052" hidden="1" x14ac:dyDescent="0.3"/>
    <row r="6053" hidden="1" x14ac:dyDescent="0.3"/>
    <row r="6054" hidden="1" x14ac:dyDescent="0.3"/>
    <row r="6055" hidden="1" x14ac:dyDescent="0.3"/>
    <row r="6056" hidden="1" x14ac:dyDescent="0.3"/>
    <row r="6057" hidden="1" x14ac:dyDescent="0.3"/>
    <row r="6058" hidden="1" x14ac:dyDescent="0.3"/>
    <row r="6059" hidden="1" x14ac:dyDescent="0.3"/>
    <row r="6060" hidden="1" x14ac:dyDescent="0.3"/>
    <row r="6061" hidden="1" x14ac:dyDescent="0.3"/>
    <row r="6062" hidden="1" x14ac:dyDescent="0.3"/>
    <row r="6063" hidden="1" x14ac:dyDescent="0.3"/>
    <row r="6064" hidden="1" x14ac:dyDescent="0.3"/>
    <row r="6065" hidden="1" x14ac:dyDescent="0.3"/>
    <row r="6066" hidden="1" x14ac:dyDescent="0.3"/>
    <row r="6067" hidden="1" x14ac:dyDescent="0.3"/>
    <row r="6068" hidden="1" x14ac:dyDescent="0.3"/>
    <row r="6069" hidden="1" x14ac:dyDescent="0.3"/>
    <row r="6070" hidden="1" x14ac:dyDescent="0.3"/>
    <row r="6071" hidden="1" x14ac:dyDescent="0.3"/>
    <row r="6072" hidden="1" x14ac:dyDescent="0.3"/>
    <row r="6073" hidden="1" x14ac:dyDescent="0.3"/>
    <row r="6074" hidden="1" x14ac:dyDescent="0.3"/>
    <row r="6075" hidden="1" x14ac:dyDescent="0.3"/>
    <row r="6076" hidden="1" x14ac:dyDescent="0.3"/>
    <row r="6077" hidden="1" x14ac:dyDescent="0.3"/>
    <row r="6078" hidden="1" x14ac:dyDescent="0.3"/>
    <row r="6079" hidden="1" x14ac:dyDescent="0.3"/>
    <row r="6080" hidden="1" x14ac:dyDescent="0.3"/>
    <row r="6081" hidden="1" x14ac:dyDescent="0.3"/>
    <row r="6082" hidden="1" x14ac:dyDescent="0.3"/>
    <row r="6083" hidden="1" x14ac:dyDescent="0.3"/>
    <row r="6084" hidden="1" x14ac:dyDescent="0.3"/>
    <row r="6085" hidden="1" x14ac:dyDescent="0.3"/>
    <row r="6086" hidden="1" x14ac:dyDescent="0.3"/>
    <row r="6087" hidden="1" x14ac:dyDescent="0.3"/>
    <row r="6088" hidden="1" x14ac:dyDescent="0.3"/>
    <row r="6089" hidden="1" x14ac:dyDescent="0.3"/>
    <row r="6090" hidden="1" x14ac:dyDescent="0.3"/>
    <row r="6091" hidden="1" x14ac:dyDescent="0.3"/>
    <row r="6092" hidden="1" x14ac:dyDescent="0.3"/>
    <row r="6093" hidden="1" x14ac:dyDescent="0.3"/>
    <row r="6094" hidden="1" x14ac:dyDescent="0.3"/>
    <row r="6095" hidden="1" x14ac:dyDescent="0.3"/>
    <row r="6096" hidden="1" x14ac:dyDescent="0.3"/>
    <row r="6097" hidden="1" x14ac:dyDescent="0.3"/>
    <row r="6098" hidden="1" x14ac:dyDescent="0.3"/>
    <row r="6099" hidden="1" x14ac:dyDescent="0.3"/>
    <row r="6100" hidden="1" x14ac:dyDescent="0.3"/>
    <row r="6101" hidden="1" x14ac:dyDescent="0.3"/>
    <row r="6102" hidden="1" x14ac:dyDescent="0.3"/>
    <row r="6103" hidden="1" x14ac:dyDescent="0.3"/>
    <row r="6104" hidden="1" x14ac:dyDescent="0.3"/>
    <row r="6105" hidden="1" x14ac:dyDescent="0.3"/>
    <row r="6106" hidden="1" x14ac:dyDescent="0.3"/>
    <row r="6107" hidden="1" x14ac:dyDescent="0.3"/>
    <row r="6108" hidden="1" x14ac:dyDescent="0.3"/>
    <row r="6109" hidden="1" x14ac:dyDescent="0.3"/>
    <row r="6110" hidden="1" x14ac:dyDescent="0.3"/>
    <row r="6111" hidden="1" x14ac:dyDescent="0.3"/>
    <row r="6112" hidden="1" x14ac:dyDescent="0.3"/>
    <row r="6113" hidden="1" x14ac:dyDescent="0.3"/>
    <row r="6114" hidden="1" x14ac:dyDescent="0.3"/>
    <row r="6115" hidden="1" x14ac:dyDescent="0.3"/>
    <row r="6116" hidden="1" x14ac:dyDescent="0.3"/>
    <row r="6117" hidden="1" x14ac:dyDescent="0.3"/>
    <row r="6118" hidden="1" x14ac:dyDescent="0.3"/>
    <row r="6119" hidden="1" x14ac:dyDescent="0.3"/>
    <row r="6120" hidden="1" x14ac:dyDescent="0.3"/>
    <row r="6121" hidden="1" x14ac:dyDescent="0.3"/>
    <row r="6122" hidden="1" x14ac:dyDescent="0.3"/>
    <row r="6123" hidden="1" x14ac:dyDescent="0.3"/>
    <row r="6124" hidden="1" x14ac:dyDescent="0.3"/>
    <row r="6125" hidden="1" x14ac:dyDescent="0.3"/>
    <row r="6126" hidden="1" x14ac:dyDescent="0.3"/>
    <row r="6127" hidden="1" x14ac:dyDescent="0.3"/>
    <row r="6128" hidden="1" x14ac:dyDescent="0.3"/>
    <row r="6129" hidden="1" x14ac:dyDescent="0.3"/>
    <row r="6130" hidden="1" x14ac:dyDescent="0.3"/>
    <row r="6131" hidden="1" x14ac:dyDescent="0.3"/>
    <row r="6132" hidden="1" x14ac:dyDescent="0.3"/>
    <row r="6133" hidden="1" x14ac:dyDescent="0.3"/>
    <row r="6134" hidden="1" x14ac:dyDescent="0.3"/>
    <row r="6135" hidden="1" x14ac:dyDescent="0.3"/>
    <row r="6136" hidden="1" x14ac:dyDescent="0.3"/>
    <row r="6137" hidden="1" x14ac:dyDescent="0.3"/>
    <row r="6138" hidden="1" x14ac:dyDescent="0.3"/>
    <row r="6139" hidden="1" x14ac:dyDescent="0.3"/>
    <row r="6140" hidden="1" x14ac:dyDescent="0.3"/>
    <row r="6141" hidden="1" x14ac:dyDescent="0.3"/>
    <row r="6142" hidden="1" x14ac:dyDescent="0.3"/>
    <row r="6143" hidden="1" x14ac:dyDescent="0.3"/>
    <row r="6144" hidden="1" x14ac:dyDescent="0.3"/>
    <row r="6145" hidden="1" x14ac:dyDescent="0.3"/>
    <row r="6146" hidden="1" x14ac:dyDescent="0.3"/>
    <row r="6147" hidden="1" x14ac:dyDescent="0.3"/>
    <row r="6148" hidden="1" x14ac:dyDescent="0.3"/>
    <row r="6149" hidden="1" x14ac:dyDescent="0.3"/>
    <row r="6150" hidden="1" x14ac:dyDescent="0.3"/>
    <row r="6151" hidden="1" x14ac:dyDescent="0.3"/>
    <row r="6152" hidden="1" x14ac:dyDescent="0.3"/>
    <row r="6153" hidden="1" x14ac:dyDescent="0.3"/>
    <row r="6154" hidden="1" x14ac:dyDescent="0.3"/>
    <row r="6155" hidden="1" x14ac:dyDescent="0.3"/>
    <row r="6156" hidden="1" x14ac:dyDescent="0.3"/>
    <row r="6157" hidden="1" x14ac:dyDescent="0.3"/>
    <row r="6158" hidden="1" x14ac:dyDescent="0.3"/>
    <row r="6159" hidden="1" x14ac:dyDescent="0.3"/>
    <row r="6160" hidden="1" x14ac:dyDescent="0.3"/>
    <row r="6161" hidden="1" x14ac:dyDescent="0.3"/>
    <row r="6162" hidden="1" x14ac:dyDescent="0.3"/>
    <row r="6163" hidden="1" x14ac:dyDescent="0.3"/>
    <row r="6164" hidden="1" x14ac:dyDescent="0.3"/>
    <row r="6165" hidden="1" x14ac:dyDescent="0.3"/>
    <row r="6166" hidden="1" x14ac:dyDescent="0.3"/>
    <row r="6167" hidden="1" x14ac:dyDescent="0.3"/>
    <row r="6168" hidden="1" x14ac:dyDescent="0.3"/>
    <row r="6169" hidden="1" x14ac:dyDescent="0.3"/>
    <row r="6170" hidden="1" x14ac:dyDescent="0.3"/>
    <row r="6171" hidden="1" x14ac:dyDescent="0.3"/>
    <row r="6172" hidden="1" x14ac:dyDescent="0.3"/>
    <row r="6173" hidden="1" x14ac:dyDescent="0.3"/>
    <row r="6174" hidden="1" x14ac:dyDescent="0.3"/>
    <row r="6175" hidden="1" x14ac:dyDescent="0.3"/>
    <row r="6176" hidden="1" x14ac:dyDescent="0.3"/>
    <row r="6177" hidden="1" x14ac:dyDescent="0.3"/>
    <row r="6178" hidden="1" x14ac:dyDescent="0.3"/>
    <row r="6179" hidden="1" x14ac:dyDescent="0.3"/>
    <row r="6180" hidden="1" x14ac:dyDescent="0.3"/>
    <row r="6181" hidden="1" x14ac:dyDescent="0.3"/>
    <row r="6182" hidden="1" x14ac:dyDescent="0.3"/>
    <row r="6183" hidden="1" x14ac:dyDescent="0.3"/>
    <row r="6184" hidden="1" x14ac:dyDescent="0.3"/>
    <row r="6185" hidden="1" x14ac:dyDescent="0.3"/>
    <row r="6186" hidden="1" x14ac:dyDescent="0.3"/>
    <row r="6187" hidden="1" x14ac:dyDescent="0.3"/>
    <row r="6188" hidden="1" x14ac:dyDescent="0.3"/>
    <row r="6189" hidden="1" x14ac:dyDescent="0.3"/>
    <row r="6190" hidden="1" x14ac:dyDescent="0.3"/>
    <row r="6191" hidden="1" x14ac:dyDescent="0.3"/>
    <row r="6192" hidden="1" x14ac:dyDescent="0.3"/>
    <row r="6193" hidden="1" x14ac:dyDescent="0.3"/>
    <row r="6194" hidden="1" x14ac:dyDescent="0.3"/>
    <row r="6195" hidden="1" x14ac:dyDescent="0.3"/>
    <row r="6196" hidden="1" x14ac:dyDescent="0.3"/>
    <row r="6197" hidden="1" x14ac:dyDescent="0.3"/>
    <row r="6198" hidden="1" x14ac:dyDescent="0.3"/>
    <row r="6199" hidden="1" x14ac:dyDescent="0.3"/>
    <row r="6200" hidden="1" x14ac:dyDescent="0.3"/>
    <row r="6201" hidden="1" x14ac:dyDescent="0.3"/>
    <row r="6202" hidden="1" x14ac:dyDescent="0.3"/>
    <row r="6203" hidden="1" x14ac:dyDescent="0.3"/>
    <row r="6204" hidden="1" x14ac:dyDescent="0.3"/>
    <row r="6205" hidden="1" x14ac:dyDescent="0.3"/>
    <row r="6206" hidden="1" x14ac:dyDescent="0.3"/>
    <row r="6207" hidden="1" x14ac:dyDescent="0.3"/>
    <row r="6208" hidden="1" x14ac:dyDescent="0.3"/>
    <row r="6209" hidden="1" x14ac:dyDescent="0.3"/>
    <row r="6210" hidden="1" x14ac:dyDescent="0.3"/>
    <row r="6211" hidden="1" x14ac:dyDescent="0.3"/>
    <row r="6212" hidden="1" x14ac:dyDescent="0.3"/>
    <row r="6213" hidden="1" x14ac:dyDescent="0.3"/>
    <row r="6214" hidden="1" x14ac:dyDescent="0.3"/>
    <row r="6215" hidden="1" x14ac:dyDescent="0.3"/>
    <row r="6216" hidden="1" x14ac:dyDescent="0.3"/>
    <row r="6217" hidden="1" x14ac:dyDescent="0.3"/>
    <row r="6218" hidden="1" x14ac:dyDescent="0.3"/>
    <row r="6219" hidden="1" x14ac:dyDescent="0.3"/>
    <row r="6220" hidden="1" x14ac:dyDescent="0.3"/>
    <row r="6221" hidden="1" x14ac:dyDescent="0.3"/>
    <row r="6222" hidden="1" x14ac:dyDescent="0.3"/>
    <row r="6223" hidden="1" x14ac:dyDescent="0.3"/>
    <row r="6224" hidden="1" x14ac:dyDescent="0.3"/>
    <row r="6225" hidden="1" x14ac:dyDescent="0.3"/>
    <row r="6226" hidden="1" x14ac:dyDescent="0.3"/>
    <row r="6227" hidden="1" x14ac:dyDescent="0.3"/>
    <row r="6228" hidden="1" x14ac:dyDescent="0.3"/>
    <row r="6229" hidden="1" x14ac:dyDescent="0.3"/>
    <row r="6230" hidden="1" x14ac:dyDescent="0.3"/>
    <row r="6231" hidden="1" x14ac:dyDescent="0.3"/>
    <row r="6232" hidden="1" x14ac:dyDescent="0.3"/>
    <row r="6233" hidden="1" x14ac:dyDescent="0.3"/>
    <row r="6234" hidden="1" x14ac:dyDescent="0.3"/>
    <row r="6235" hidden="1" x14ac:dyDescent="0.3"/>
    <row r="6236" hidden="1" x14ac:dyDescent="0.3"/>
    <row r="6237" hidden="1" x14ac:dyDescent="0.3"/>
    <row r="6238" hidden="1" x14ac:dyDescent="0.3"/>
    <row r="6239" hidden="1" x14ac:dyDescent="0.3"/>
    <row r="6240" hidden="1" x14ac:dyDescent="0.3"/>
    <row r="6241" hidden="1" x14ac:dyDescent="0.3"/>
    <row r="6242" hidden="1" x14ac:dyDescent="0.3"/>
    <row r="6243" hidden="1" x14ac:dyDescent="0.3"/>
    <row r="6244" hidden="1" x14ac:dyDescent="0.3"/>
    <row r="6245" hidden="1" x14ac:dyDescent="0.3"/>
    <row r="6246" hidden="1" x14ac:dyDescent="0.3"/>
    <row r="6247" hidden="1" x14ac:dyDescent="0.3"/>
    <row r="6248" hidden="1" x14ac:dyDescent="0.3"/>
    <row r="6249" hidden="1" x14ac:dyDescent="0.3"/>
    <row r="6250" hidden="1" x14ac:dyDescent="0.3"/>
    <row r="6251" hidden="1" x14ac:dyDescent="0.3"/>
    <row r="6252" hidden="1" x14ac:dyDescent="0.3"/>
    <row r="6253" hidden="1" x14ac:dyDescent="0.3"/>
    <row r="6254" hidden="1" x14ac:dyDescent="0.3"/>
    <row r="6255" hidden="1" x14ac:dyDescent="0.3"/>
    <row r="6256" hidden="1" x14ac:dyDescent="0.3"/>
    <row r="6257" hidden="1" x14ac:dyDescent="0.3"/>
    <row r="6258" hidden="1" x14ac:dyDescent="0.3"/>
    <row r="6259" hidden="1" x14ac:dyDescent="0.3"/>
    <row r="6260" hidden="1" x14ac:dyDescent="0.3"/>
    <row r="6261" hidden="1" x14ac:dyDescent="0.3"/>
    <row r="6262" hidden="1" x14ac:dyDescent="0.3"/>
    <row r="6263" hidden="1" x14ac:dyDescent="0.3"/>
    <row r="6264" hidden="1" x14ac:dyDescent="0.3"/>
    <row r="6265" hidden="1" x14ac:dyDescent="0.3"/>
    <row r="6266" hidden="1" x14ac:dyDescent="0.3"/>
    <row r="6267" hidden="1" x14ac:dyDescent="0.3"/>
    <row r="6268" hidden="1" x14ac:dyDescent="0.3"/>
    <row r="6269" hidden="1" x14ac:dyDescent="0.3"/>
    <row r="6270" hidden="1" x14ac:dyDescent="0.3"/>
    <row r="6271" hidden="1" x14ac:dyDescent="0.3"/>
    <row r="6272" hidden="1" x14ac:dyDescent="0.3"/>
    <row r="6273" hidden="1" x14ac:dyDescent="0.3"/>
    <row r="6274" hidden="1" x14ac:dyDescent="0.3"/>
    <row r="6275" hidden="1" x14ac:dyDescent="0.3"/>
    <row r="6276" hidden="1" x14ac:dyDescent="0.3"/>
    <row r="6277" hidden="1" x14ac:dyDescent="0.3"/>
    <row r="6278" hidden="1" x14ac:dyDescent="0.3"/>
    <row r="6279" hidden="1" x14ac:dyDescent="0.3"/>
    <row r="6280" hidden="1" x14ac:dyDescent="0.3"/>
    <row r="6281" hidden="1" x14ac:dyDescent="0.3"/>
    <row r="6282" hidden="1" x14ac:dyDescent="0.3"/>
    <row r="6283" hidden="1" x14ac:dyDescent="0.3"/>
    <row r="6284" hidden="1" x14ac:dyDescent="0.3"/>
    <row r="6285" hidden="1" x14ac:dyDescent="0.3"/>
    <row r="6286" hidden="1" x14ac:dyDescent="0.3"/>
    <row r="6287" hidden="1" x14ac:dyDescent="0.3"/>
    <row r="6288" hidden="1" x14ac:dyDescent="0.3"/>
    <row r="6289" hidden="1" x14ac:dyDescent="0.3"/>
    <row r="6290" hidden="1" x14ac:dyDescent="0.3"/>
    <row r="6291" hidden="1" x14ac:dyDescent="0.3"/>
    <row r="6292" hidden="1" x14ac:dyDescent="0.3"/>
    <row r="6293" hidden="1" x14ac:dyDescent="0.3"/>
    <row r="6294" hidden="1" x14ac:dyDescent="0.3"/>
    <row r="6295" hidden="1" x14ac:dyDescent="0.3"/>
    <row r="6296" hidden="1" x14ac:dyDescent="0.3"/>
    <row r="6297" hidden="1" x14ac:dyDescent="0.3"/>
    <row r="6298" hidden="1" x14ac:dyDescent="0.3"/>
    <row r="6299" hidden="1" x14ac:dyDescent="0.3"/>
    <row r="6300" hidden="1" x14ac:dyDescent="0.3"/>
    <row r="6301" hidden="1" x14ac:dyDescent="0.3"/>
    <row r="6302" hidden="1" x14ac:dyDescent="0.3"/>
    <row r="6303" hidden="1" x14ac:dyDescent="0.3"/>
    <row r="6304" hidden="1" x14ac:dyDescent="0.3"/>
    <row r="6305" hidden="1" x14ac:dyDescent="0.3"/>
    <row r="6306" hidden="1" x14ac:dyDescent="0.3"/>
    <row r="6307" hidden="1" x14ac:dyDescent="0.3"/>
    <row r="6308" hidden="1" x14ac:dyDescent="0.3"/>
    <row r="6309" hidden="1" x14ac:dyDescent="0.3"/>
    <row r="6310" hidden="1" x14ac:dyDescent="0.3"/>
    <row r="6311" hidden="1" x14ac:dyDescent="0.3"/>
    <row r="6312" hidden="1" x14ac:dyDescent="0.3"/>
    <row r="6313" hidden="1" x14ac:dyDescent="0.3"/>
    <row r="6314" hidden="1" x14ac:dyDescent="0.3"/>
    <row r="6315" hidden="1" x14ac:dyDescent="0.3"/>
    <row r="6316" hidden="1" x14ac:dyDescent="0.3"/>
    <row r="6317" hidden="1" x14ac:dyDescent="0.3"/>
    <row r="6318" hidden="1" x14ac:dyDescent="0.3"/>
    <row r="6319" hidden="1" x14ac:dyDescent="0.3"/>
    <row r="6320" hidden="1" x14ac:dyDescent="0.3"/>
    <row r="6321" hidden="1" x14ac:dyDescent="0.3"/>
    <row r="6322" hidden="1" x14ac:dyDescent="0.3"/>
    <row r="6323" hidden="1" x14ac:dyDescent="0.3"/>
    <row r="6324" hidden="1" x14ac:dyDescent="0.3"/>
    <row r="6325" hidden="1" x14ac:dyDescent="0.3"/>
    <row r="6326" hidden="1" x14ac:dyDescent="0.3"/>
    <row r="6327" hidden="1" x14ac:dyDescent="0.3"/>
    <row r="6328" hidden="1" x14ac:dyDescent="0.3"/>
    <row r="6329" hidden="1" x14ac:dyDescent="0.3"/>
    <row r="6330" hidden="1" x14ac:dyDescent="0.3"/>
    <row r="6331" hidden="1" x14ac:dyDescent="0.3"/>
    <row r="6332" hidden="1" x14ac:dyDescent="0.3"/>
    <row r="6333" hidden="1" x14ac:dyDescent="0.3"/>
    <row r="6334" hidden="1" x14ac:dyDescent="0.3"/>
    <row r="6335" hidden="1" x14ac:dyDescent="0.3"/>
    <row r="6336" hidden="1" x14ac:dyDescent="0.3"/>
    <row r="6337" hidden="1" x14ac:dyDescent="0.3"/>
    <row r="6338" hidden="1" x14ac:dyDescent="0.3"/>
    <row r="6339" hidden="1" x14ac:dyDescent="0.3"/>
    <row r="6340" hidden="1" x14ac:dyDescent="0.3"/>
    <row r="6341" hidden="1" x14ac:dyDescent="0.3"/>
    <row r="6342" hidden="1" x14ac:dyDescent="0.3"/>
    <row r="6343" hidden="1" x14ac:dyDescent="0.3"/>
    <row r="6344" hidden="1" x14ac:dyDescent="0.3"/>
    <row r="6345" hidden="1" x14ac:dyDescent="0.3"/>
    <row r="6346" hidden="1" x14ac:dyDescent="0.3"/>
    <row r="6347" hidden="1" x14ac:dyDescent="0.3"/>
    <row r="6348" hidden="1" x14ac:dyDescent="0.3"/>
    <row r="6349" hidden="1" x14ac:dyDescent="0.3"/>
    <row r="6350" hidden="1" x14ac:dyDescent="0.3"/>
    <row r="6351" hidden="1" x14ac:dyDescent="0.3"/>
    <row r="6352" hidden="1" x14ac:dyDescent="0.3"/>
    <row r="6353" hidden="1" x14ac:dyDescent="0.3"/>
    <row r="6354" hidden="1" x14ac:dyDescent="0.3"/>
    <row r="6355" hidden="1" x14ac:dyDescent="0.3"/>
    <row r="6356" hidden="1" x14ac:dyDescent="0.3"/>
    <row r="6357" hidden="1" x14ac:dyDescent="0.3"/>
    <row r="6358" hidden="1" x14ac:dyDescent="0.3"/>
    <row r="6359" hidden="1" x14ac:dyDescent="0.3"/>
    <row r="6360" hidden="1" x14ac:dyDescent="0.3"/>
    <row r="6361" hidden="1" x14ac:dyDescent="0.3"/>
    <row r="6362" hidden="1" x14ac:dyDescent="0.3"/>
    <row r="6363" hidden="1" x14ac:dyDescent="0.3"/>
    <row r="6364" hidden="1" x14ac:dyDescent="0.3"/>
    <row r="6365" hidden="1" x14ac:dyDescent="0.3"/>
    <row r="6366" hidden="1" x14ac:dyDescent="0.3"/>
    <row r="6367" hidden="1" x14ac:dyDescent="0.3"/>
    <row r="6368" hidden="1" x14ac:dyDescent="0.3"/>
    <row r="6369" hidden="1" x14ac:dyDescent="0.3"/>
    <row r="6370" hidden="1" x14ac:dyDescent="0.3"/>
    <row r="6371" hidden="1" x14ac:dyDescent="0.3"/>
    <row r="6372" hidden="1" x14ac:dyDescent="0.3"/>
    <row r="6373" hidden="1" x14ac:dyDescent="0.3"/>
    <row r="6374" hidden="1" x14ac:dyDescent="0.3"/>
    <row r="6375" hidden="1" x14ac:dyDescent="0.3"/>
    <row r="6376" hidden="1" x14ac:dyDescent="0.3"/>
    <row r="6377" hidden="1" x14ac:dyDescent="0.3"/>
    <row r="6378" hidden="1" x14ac:dyDescent="0.3"/>
    <row r="6379" hidden="1" x14ac:dyDescent="0.3"/>
    <row r="6380" hidden="1" x14ac:dyDescent="0.3"/>
    <row r="6381" hidden="1" x14ac:dyDescent="0.3"/>
    <row r="6382" hidden="1" x14ac:dyDescent="0.3"/>
    <row r="6383" hidden="1" x14ac:dyDescent="0.3"/>
    <row r="6384" hidden="1" x14ac:dyDescent="0.3"/>
    <row r="6385" hidden="1" x14ac:dyDescent="0.3"/>
    <row r="6386" hidden="1" x14ac:dyDescent="0.3"/>
    <row r="6387" hidden="1" x14ac:dyDescent="0.3"/>
    <row r="6388" hidden="1" x14ac:dyDescent="0.3"/>
    <row r="6389" hidden="1" x14ac:dyDescent="0.3"/>
    <row r="6390" hidden="1" x14ac:dyDescent="0.3"/>
    <row r="6391" hidden="1" x14ac:dyDescent="0.3"/>
    <row r="6392" hidden="1" x14ac:dyDescent="0.3"/>
    <row r="6393" hidden="1" x14ac:dyDescent="0.3"/>
    <row r="6394" hidden="1" x14ac:dyDescent="0.3"/>
    <row r="6395" hidden="1" x14ac:dyDescent="0.3"/>
    <row r="6396" hidden="1" x14ac:dyDescent="0.3"/>
    <row r="6397" hidden="1" x14ac:dyDescent="0.3"/>
    <row r="6398" hidden="1" x14ac:dyDescent="0.3"/>
    <row r="6399" hidden="1" x14ac:dyDescent="0.3"/>
    <row r="6400" hidden="1" x14ac:dyDescent="0.3"/>
    <row r="6401" hidden="1" x14ac:dyDescent="0.3"/>
    <row r="6402" hidden="1" x14ac:dyDescent="0.3"/>
    <row r="6403" hidden="1" x14ac:dyDescent="0.3"/>
    <row r="6404" hidden="1" x14ac:dyDescent="0.3"/>
    <row r="6405" hidden="1" x14ac:dyDescent="0.3"/>
    <row r="6406" hidden="1" x14ac:dyDescent="0.3"/>
    <row r="6407" hidden="1" x14ac:dyDescent="0.3"/>
    <row r="6408" hidden="1" x14ac:dyDescent="0.3"/>
    <row r="6409" hidden="1" x14ac:dyDescent="0.3"/>
    <row r="6410" hidden="1" x14ac:dyDescent="0.3"/>
    <row r="6411" hidden="1" x14ac:dyDescent="0.3"/>
    <row r="6412" hidden="1" x14ac:dyDescent="0.3"/>
    <row r="6413" hidden="1" x14ac:dyDescent="0.3"/>
    <row r="6414" hidden="1" x14ac:dyDescent="0.3"/>
    <row r="6415" hidden="1" x14ac:dyDescent="0.3"/>
    <row r="6416" hidden="1" x14ac:dyDescent="0.3"/>
    <row r="6417" hidden="1" x14ac:dyDescent="0.3"/>
    <row r="6418" hidden="1" x14ac:dyDescent="0.3"/>
    <row r="6419" hidden="1" x14ac:dyDescent="0.3"/>
    <row r="6420" hidden="1" x14ac:dyDescent="0.3"/>
    <row r="6421" hidden="1" x14ac:dyDescent="0.3"/>
    <row r="6422" hidden="1" x14ac:dyDescent="0.3"/>
    <row r="6423" hidden="1" x14ac:dyDescent="0.3"/>
    <row r="6424" hidden="1" x14ac:dyDescent="0.3"/>
    <row r="6425" hidden="1" x14ac:dyDescent="0.3"/>
    <row r="6426" hidden="1" x14ac:dyDescent="0.3"/>
    <row r="6427" hidden="1" x14ac:dyDescent="0.3"/>
    <row r="6428" hidden="1" x14ac:dyDescent="0.3"/>
    <row r="6429" hidden="1" x14ac:dyDescent="0.3"/>
    <row r="6430" hidden="1" x14ac:dyDescent="0.3"/>
    <row r="6431" hidden="1" x14ac:dyDescent="0.3"/>
    <row r="6432" hidden="1" x14ac:dyDescent="0.3"/>
    <row r="6433" hidden="1" x14ac:dyDescent="0.3"/>
    <row r="6434" hidden="1" x14ac:dyDescent="0.3"/>
    <row r="6435" hidden="1" x14ac:dyDescent="0.3"/>
    <row r="6436" hidden="1" x14ac:dyDescent="0.3"/>
    <row r="6437" hidden="1" x14ac:dyDescent="0.3"/>
    <row r="6438" hidden="1" x14ac:dyDescent="0.3"/>
    <row r="6439" hidden="1" x14ac:dyDescent="0.3"/>
    <row r="6440" hidden="1" x14ac:dyDescent="0.3"/>
    <row r="6441" hidden="1" x14ac:dyDescent="0.3"/>
    <row r="6442" hidden="1" x14ac:dyDescent="0.3"/>
    <row r="6443" hidden="1" x14ac:dyDescent="0.3"/>
    <row r="6444" hidden="1" x14ac:dyDescent="0.3"/>
    <row r="6445" hidden="1" x14ac:dyDescent="0.3"/>
    <row r="6446" hidden="1" x14ac:dyDescent="0.3"/>
    <row r="6447" hidden="1" x14ac:dyDescent="0.3"/>
    <row r="6448" hidden="1" x14ac:dyDescent="0.3"/>
    <row r="6449" hidden="1" x14ac:dyDescent="0.3"/>
    <row r="6450" hidden="1" x14ac:dyDescent="0.3"/>
    <row r="6451" hidden="1" x14ac:dyDescent="0.3"/>
    <row r="6452" hidden="1" x14ac:dyDescent="0.3"/>
    <row r="6453" hidden="1" x14ac:dyDescent="0.3"/>
    <row r="6454" hidden="1" x14ac:dyDescent="0.3"/>
    <row r="6455" hidden="1" x14ac:dyDescent="0.3"/>
    <row r="6456" hidden="1" x14ac:dyDescent="0.3"/>
    <row r="6457" hidden="1" x14ac:dyDescent="0.3"/>
    <row r="6458" hidden="1" x14ac:dyDescent="0.3"/>
    <row r="6459" hidden="1" x14ac:dyDescent="0.3"/>
    <row r="6460" hidden="1" x14ac:dyDescent="0.3"/>
    <row r="6461" hidden="1" x14ac:dyDescent="0.3"/>
    <row r="6462" hidden="1" x14ac:dyDescent="0.3"/>
    <row r="6463" hidden="1" x14ac:dyDescent="0.3"/>
    <row r="6464" hidden="1" x14ac:dyDescent="0.3"/>
    <row r="6465" hidden="1" x14ac:dyDescent="0.3"/>
    <row r="6466" hidden="1" x14ac:dyDescent="0.3"/>
    <row r="6467" hidden="1" x14ac:dyDescent="0.3"/>
    <row r="6468" hidden="1" x14ac:dyDescent="0.3"/>
    <row r="6469" hidden="1" x14ac:dyDescent="0.3"/>
    <row r="6470" hidden="1" x14ac:dyDescent="0.3"/>
    <row r="6471" hidden="1" x14ac:dyDescent="0.3"/>
    <row r="6472" hidden="1" x14ac:dyDescent="0.3"/>
    <row r="6473" hidden="1" x14ac:dyDescent="0.3"/>
    <row r="6474" hidden="1" x14ac:dyDescent="0.3"/>
    <row r="6475" hidden="1" x14ac:dyDescent="0.3"/>
    <row r="6476" hidden="1" x14ac:dyDescent="0.3"/>
    <row r="6477" hidden="1" x14ac:dyDescent="0.3"/>
    <row r="6478" hidden="1" x14ac:dyDescent="0.3"/>
    <row r="6479" hidden="1" x14ac:dyDescent="0.3"/>
    <row r="6480" hidden="1" x14ac:dyDescent="0.3"/>
    <row r="6481" hidden="1" x14ac:dyDescent="0.3"/>
    <row r="6482" hidden="1" x14ac:dyDescent="0.3"/>
    <row r="6483" hidden="1" x14ac:dyDescent="0.3"/>
    <row r="6484" hidden="1" x14ac:dyDescent="0.3"/>
    <row r="6485" hidden="1" x14ac:dyDescent="0.3"/>
    <row r="6486" hidden="1" x14ac:dyDescent="0.3"/>
    <row r="6487" hidden="1" x14ac:dyDescent="0.3"/>
    <row r="6488" hidden="1" x14ac:dyDescent="0.3"/>
    <row r="6489" hidden="1" x14ac:dyDescent="0.3"/>
    <row r="6490" hidden="1" x14ac:dyDescent="0.3"/>
    <row r="6491" hidden="1" x14ac:dyDescent="0.3"/>
    <row r="6492" hidden="1" x14ac:dyDescent="0.3"/>
    <row r="6493" hidden="1" x14ac:dyDescent="0.3"/>
    <row r="6494" hidden="1" x14ac:dyDescent="0.3"/>
    <row r="6495" hidden="1" x14ac:dyDescent="0.3"/>
    <row r="6496" hidden="1" x14ac:dyDescent="0.3"/>
    <row r="6497" hidden="1" x14ac:dyDescent="0.3"/>
    <row r="6498" hidden="1" x14ac:dyDescent="0.3"/>
    <row r="6499" hidden="1" x14ac:dyDescent="0.3"/>
    <row r="6500" hidden="1" x14ac:dyDescent="0.3"/>
    <row r="6501" hidden="1" x14ac:dyDescent="0.3"/>
    <row r="6502" hidden="1" x14ac:dyDescent="0.3"/>
    <row r="6503" hidden="1" x14ac:dyDescent="0.3"/>
    <row r="6504" hidden="1" x14ac:dyDescent="0.3"/>
    <row r="6505" hidden="1" x14ac:dyDescent="0.3"/>
    <row r="6506" hidden="1" x14ac:dyDescent="0.3"/>
    <row r="6507" hidden="1" x14ac:dyDescent="0.3"/>
    <row r="6508" hidden="1" x14ac:dyDescent="0.3"/>
    <row r="6509" hidden="1" x14ac:dyDescent="0.3"/>
    <row r="6510" hidden="1" x14ac:dyDescent="0.3"/>
    <row r="6511" hidden="1" x14ac:dyDescent="0.3"/>
    <row r="6512" hidden="1" x14ac:dyDescent="0.3"/>
    <row r="6513" hidden="1" x14ac:dyDescent="0.3"/>
    <row r="6514" hidden="1" x14ac:dyDescent="0.3"/>
    <row r="6515" hidden="1" x14ac:dyDescent="0.3"/>
    <row r="6516" hidden="1" x14ac:dyDescent="0.3"/>
    <row r="6517" hidden="1" x14ac:dyDescent="0.3"/>
    <row r="6518" hidden="1" x14ac:dyDescent="0.3"/>
    <row r="6519" hidden="1" x14ac:dyDescent="0.3"/>
    <row r="6520" hidden="1" x14ac:dyDescent="0.3"/>
    <row r="6521" hidden="1" x14ac:dyDescent="0.3"/>
    <row r="6522" hidden="1" x14ac:dyDescent="0.3"/>
    <row r="6523" hidden="1" x14ac:dyDescent="0.3"/>
    <row r="6524" hidden="1" x14ac:dyDescent="0.3"/>
    <row r="6525" hidden="1" x14ac:dyDescent="0.3"/>
    <row r="6526" hidden="1" x14ac:dyDescent="0.3"/>
    <row r="6527" hidden="1" x14ac:dyDescent="0.3"/>
    <row r="6528" hidden="1" x14ac:dyDescent="0.3"/>
    <row r="6529" hidden="1" x14ac:dyDescent="0.3"/>
    <row r="6530" hidden="1" x14ac:dyDescent="0.3"/>
    <row r="6531" hidden="1" x14ac:dyDescent="0.3"/>
    <row r="6532" hidden="1" x14ac:dyDescent="0.3"/>
    <row r="6533" hidden="1" x14ac:dyDescent="0.3"/>
    <row r="6534" hidden="1" x14ac:dyDescent="0.3"/>
    <row r="6535" hidden="1" x14ac:dyDescent="0.3"/>
    <row r="6536" hidden="1" x14ac:dyDescent="0.3"/>
    <row r="6537" hidden="1" x14ac:dyDescent="0.3"/>
    <row r="6538" hidden="1" x14ac:dyDescent="0.3"/>
    <row r="6539" hidden="1" x14ac:dyDescent="0.3"/>
    <row r="6540" hidden="1" x14ac:dyDescent="0.3"/>
    <row r="6541" hidden="1" x14ac:dyDescent="0.3"/>
    <row r="6542" hidden="1" x14ac:dyDescent="0.3"/>
    <row r="6543" hidden="1" x14ac:dyDescent="0.3"/>
    <row r="6544" hidden="1" x14ac:dyDescent="0.3"/>
    <row r="6545" hidden="1" x14ac:dyDescent="0.3"/>
    <row r="6546" hidden="1" x14ac:dyDescent="0.3"/>
    <row r="6547" hidden="1" x14ac:dyDescent="0.3"/>
    <row r="6548" hidden="1" x14ac:dyDescent="0.3"/>
    <row r="6549" hidden="1" x14ac:dyDescent="0.3"/>
    <row r="6550" hidden="1" x14ac:dyDescent="0.3"/>
    <row r="6551" hidden="1" x14ac:dyDescent="0.3"/>
    <row r="6552" hidden="1" x14ac:dyDescent="0.3"/>
    <row r="6553" hidden="1" x14ac:dyDescent="0.3"/>
    <row r="6554" hidden="1" x14ac:dyDescent="0.3"/>
    <row r="6555" hidden="1" x14ac:dyDescent="0.3"/>
    <row r="6556" hidden="1" x14ac:dyDescent="0.3"/>
    <row r="6557" hidden="1" x14ac:dyDescent="0.3"/>
    <row r="6558" hidden="1" x14ac:dyDescent="0.3"/>
    <row r="6559" hidden="1" x14ac:dyDescent="0.3"/>
    <row r="6560" hidden="1" x14ac:dyDescent="0.3"/>
    <row r="6561" hidden="1" x14ac:dyDescent="0.3"/>
    <row r="6562" hidden="1" x14ac:dyDescent="0.3"/>
    <row r="6563" hidden="1" x14ac:dyDescent="0.3"/>
    <row r="6564" hidden="1" x14ac:dyDescent="0.3"/>
    <row r="6565" hidden="1" x14ac:dyDescent="0.3"/>
    <row r="6566" hidden="1" x14ac:dyDescent="0.3"/>
    <row r="6567" hidden="1" x14ac:dyDescent="0.3"/>
    <row r="6568" hidden="1" x14ac:dyDescent="0.3"/>
    <row r="6569" hidden="1" x14ac:dyDescent="0.3"/>
    <row r="6570" hidden="1" x14ac:dyDescent="0.3"/>
    <row r="6571" hidden="1" x14ac:dyDescent="0.3"/>
    <row r="6572" hidden="1" x14ac:dyDescent="0.3"/>
    <row r="6573" hidden="1" x14ac:dyDescent="0.3"/>
    <row r="6574" hidden="1" x14ac:dyDescent="0.3"/>
    <row r="6575" hidden="1" x14ac:dyDescent="0.3"/>
    <row r="6576" hidden="1" x14ac:dyDescent="0.3"/>
    <row r="6577" hidden="1" x14ac:dyDescent="0.3"/>
    <row r="6578" hidden="1" x14ac:dyDescent="0.3"/>
    <row r="6579" hidden="1" x14ac:dyDescent="0.3"/>
    <row r="6580" hidden="1" x14ac:dyDescent="0.3"/>
    <row r="6581" hidden="1" x14ac:dyDescent="0.3"/>
    <row r="6582" hidden="1" x14ac:dyDescent="0.3"/>
    <row r="6583" hidden="1" x14ac:dyDescent="0.3"/>
    <row r="6584" hidden="1" x14ac:dyDescent="0.3"/>
    <row r="6585" hidden="1" x14ac:dyDescent="0.3"/>
    <row r="6586" hidden="1" x14ac:dyDescent="0.3"/>
    <row r="6587" hidden="1" x14ac:dyDescent="0.3"/>
    <row r="6588" hidden="1" x14ac:dyDescent="0.3"/>
    <row r="6589" hidden="1" x14ac:dyDescent="0.3"/>
    <row r="6590" hidden="1" x14ac:dyDescent="0.3"/>
    <row r="6591" hidden="1" x14ac:dyDescent="0.3"/>
    <row r="6592" hidden="1" x14ac:dyDescent="0.3"/>
    <row r="6593" hidden="1" x14ac:dyDescent="0.3"/>
    <row r="6594" hidden="1" x14ac:dyDescent="0.3"/>
    <row r="6595" hidden="1" x14ac:dyDescent="0.3"/>
    <row r="6596" hidden="1" x14ac:dyDescent="0.3"/>
    <row r="6597" hidden="1" x14ac:dyDescent="0.3"/>
    <row r="6598" hidden="1" x14ac:dyDescent="0.3"/>
    <row r="6599" hidden="1" x14ac:dyDescent="0.3"/>
    <row r="6600" hidden="1" x14ac:dyDescent="0.3"/>
    <row r="6601" hidden="1" x14ac:dyDescent="0.3"/>
    <row r="6602" hidden="1" x14ac:dyDescent="0.3"/>
    <row r="6603" hidden="1" x14ac:dyDescent="0.3"/>
    <row r="6604" hidden="1" x14ac:dyDescent="0.3"/>
    <row r="6605" hidden="1" x14ac:dyDescent="0.3"/>
    <row r="6606" hidden="1" x14ac:dyDescent="0.3"/>
    <row r="6607" hidden="1" x14ac:dyDescent="0.3"/>
    <row r="6608" hidden="1" x14ac:dyDescent="0.3"/>
    <row r="6609" hidden="1" x14ac:dyDescent="0.3"/>
    <row r="6610" hidden="1" x14ac:dyDescent="0.3"/>
    <row r="6611" hidden="1" x14ac:dyDescent="0.3"/>
    <row r="6612" hidden="1" x14ac:dyDescent="0.3"/>
    <row r="6613" hidden="1" x14ac:dyDescent="0.3"/>
    <row r="6614" hidden="1" x14ac:dyDescent="0.3"/>
    <row r="6615" hidden="1" x14ac:dyDescent="0.3"/>
    <row r="6616" hidden="1" x14ac:dyDescent="0.3"/>
    <row r="6617" hidden="1" x14ac:dyDescent="0.3"/>
    <row r="6618" hidden="1" x14ac:dyDescent="0.3"/>
    <row r="6619" hidden="1" x14ac:dyDescent="0.3"/>
    <row r="6620" hidden="1" x14ac:dyDescent="0.3"/>
    <row r="6621" hidden="1" x14ac:dyDescent="0.3"/>
    <row r="6622" hidden="1" x14ac:dyDescent="0.3"/>
    <row r="6623" hidden="1" x14ac:dyDescent="0.3"/>
    <row r="6624" hidden="1" x14ac:dyDescent="0.3"/>
    <row r="6625" hidden="1" x14ac:dyDescent="0.3"/>
    <row r="6626" hidden="1" x14ac:dyDescent="0.3"/>
    <row r="6627" hidden="1" x14ac:dyDescent="0.3"/>
    <row r="6628" hidden="1" x14ac:dyDescent="0.3"/>
    <row r="6629" hidden="1" x14ac:dyDescent="0.3"/>
    <row r="6630" hidden="1" x14ac:dyDescent="0.3"/>
    <row r="6631" hidden="1" x14ac:dyDescent="0.3"/>
    <row r="6632" hidden="1" x14ac:dyDescent="0.3"/>
    <row r="6633" hidden="1" x14ac:dyDescent="0.3"/>
    <row r="6634" hidden="1" x14ac:dyDescent="0.3"/>
    <row r="6635" hidden="1" x14ac:dyDescent="0.3"/>
    <row r="6636" hidden="1" x14ac:dyDescent="0.3"/>
    <row r="6637" hidden="1" x14ac:dyDescent="0.3"/>
    <row r="6638" hidden="1" x14ac:dyDescent="0.3"/>
    <row r="6639" hidden="1" x14ac:dyDescent="0.3"/>
    <row r="6640" hidden="1" x14ac:dyDescent="0.3"/>
    <row r="6641" hidden="1" x14ac:dyDescent="0.3"/>
    <row r="6642" hidden="1" x14ac:dyDescent="0.3"/>
    <row r="6643" hidden="1" x14ac:dyDescent="0.3"/>
    <row r="6644" hidden="1" x14ac:dyDescent="0.3"/>
    <row r="6645" hidden="1" x14ac:dyDescent="0.3"/>
    <row r="6646" hidden="1" x14ac:dyDescent="0.3"/>
    <row r="6647" hidden="1" x14ac:dyDescent="0.3"/>
    <row r="6648" hidden="1" x14ac:dyDescent="0.3"/>
    <row r="6649" hidden="1" x14ac:dyDescent="0.3"/>
    <row r="6650" hidden="1" x14ac:dyDescent="0.3"/>
    <row r="6651" hidden="1" x14ac:dyDescent="0.3"/>
    <row r="6652" hidden="1" x14ac:dyDescent="0.3"/>
    <row r="6653" hidden="1" x14ac:dyDescent="0.3"/>
    <row r="6654" hidden="1" x14ac:dyDescent="0.3"/>
    <row r="6655" hidden="1" x14ac:dyDescent="0.3"/>
    <row r="6656" hidden="1" x14ac:dyDescent="0.3"/>
    <row r="6657" hidden="1" x14ac:dyDescent="0.3"/>
    <row r="6658" hidden="1" x14ac:dyDescent="0.3"/>
    <row r="6659" hidden="1" x14ac:dyDescent="0.3"/>
    <row r="6660" hidden="1" x14ac:dyDescent="0.3"/>
    <row r="6661" hidden="1" x14ac:dyDescent="0.3"/>
    <row r="6662" hidden="1" x14ac:dyDescent="0.3"/>
    <row r="6663" hidden="1" x14ac:dyDescent="0.3"/>
    <row r="6664" hidden="1" x14ac:dyDescent="0.3"/>
    <row r="6665" hidden="1" x14ac:dyDescent="0.3"/>
    <row r="6666" hidden="1" x14ac:dyDescent="0.3"/>
    <row r="6667" hidden="1" x14ac:dyDescent="0.3"/>
    <row r="6668" hidden="1" x14ac:dyDescent="0.3"/>
    <row r="6669" hidden="1" x14ac:dyDescent="0.3"/>
    <row r="6670" hidden="1" x14ac:dyDescent="0.3"/>
    <row r="6671" hidden="1" x14ac:dyDescent="0.3"/>
    <row r="6672" hidden="1" x14ac:dyDescent="0.3"/>
    <row r="6673" hidden="1" x14ac:dyDescent="0.3"/>
    <row r="6674" hidden="1" x14ac:dyDescent="0.3"/>
    <row r="6675" hidden="1" x14ac:dyDescent="0.3"/>
    <row r="6676" hidden="1" x14ac:dyDescent="0.3"/>
    <row r="6677" hidden="1" x14ac:dyDescent="0.3"/>
    <row r="6678" hidden="1" x14ac:dyDescent="0.3"/>
    <row r="6679" hidden="1" x14ac:dyDescent="0.3"/>
    <row r="6680" hidden="1" x14ac:dyDescent="0.3"/>
    <row r="6681" hidden="1" x14ac:dyDescent="0.3"/>
    <row r="6682" hidden="1" x14ac:dyDescent="0.3"/>
    <row r="6683" hidden="1" x14ac:dyDescent="0.3"/>
    <row r="6684" hidden="1" x14ac:dyDescent="0.3"/>
    <row r="6685" hidden="1" x14ac:dyDescent="0.3"/>
    <row r="6686" hidden="1" x14ac:dyDescent="0.3"/>
    <row r="6687" hidden="1" x14ac:dyDescent="0.3"/>
    <row r="6688" hidden="1" x14ac:dyDescent="0.3"/>
    <row r="6689" hidden="1" x14ac:dyDescent="0.3"/>
    <row r="6690" hidden="1" x14ac:dyDescent="0.3"/>
    <row r="6691" hidden="1" x14ac:dyDescent="0.3"/>
    <row r="6692" hidden="1" x14ac:dyDescent="0.3"/>
    <row r="6693" hidden="1" x14ac:dyDescent="0.3"/>
    <row r="6694" hidden="1" x14ac:dyDescent="0.3"/>
    <row r="6695" hidden="1" x14ac:dyDescent="0.3"/>
    <row r="6696" hidden="1" x14ac:dyDescent="0.3"/>
    <row r="6697" hidden="1" x14ac:dyDescent="0.3"/>
    <row r="6698" hidden="1" x14ac:dyDescent="0.3"/>
    <row r="6699" hidden="1" x14ac:dyDescent="0.3"/>
    <row r="6700" hidden="1" x14ac:dyDescent="0.3"/>
    <row r="6701" hidden="1" x14ac:dyDescent="0.3"/>
    <row r="6702" hidden="1" x14ac:dyDescent="0.3"/>
    <row r="6703" hidden="1" x14ac:dyDescent="0.3"/>
    <row r="6704" hidden="1" x14ac:dyDescent="0.3"/>
    <row r="6705" hidden="1" x14ac:dyDescent="0.3"/>
    <row r="6706" hidden="1" x14ac:dyDescent="0.3"/>
    <row r="6707" hidden="1" x14ac:dyDescent="0.3"/>
    <row r="6708" hidden="1" x14ac:dyDescent="0.3"/>
    <row r="6709" hidden="1" x14ac:dyDescent="0.3"/>
    <row r="6710" hidden="1" x14ac:dyDescent="0.3"/>
    <row r="6711" hidden="1" x14ac:dyDescent="0.3"/>
    <row r="6712" hidden="1" x14ac:dyDescent="0.3"/>
    <row r="6713" hidden="1" x14ac:dyDescent="0.3"/>
    <row r="6714" hidden="1" x14ac:dyDescent="0.3"/>
    <row r="6715" hidden="1" x14ac:dyDescent="0.3"/>
    <row r="6716" hidden="1" x14ac:dyDescent="0.3"/>
    <row r="6717" hidden="1" x14ac:dyDescent="0.3"/>
    <row r="6718" hidden="1" x14ac:dyDescent="0.3"/>
    <row r="6719" hidden="1" x14ac:dyDescent="0.3"/>
    <row r="6720" hidden="1" x14ac:dyDescent="0.3"/>
    <row r="6721" hidden="1" x14ac:dyDescent="0.3"/>
    <row r="6722" hidden="1" x14ac:dyDescent="0.3"/>
    <row r="6723" hidden="1" x14ac:dyDescent="0.3"/>
    <row r="6724" hidden="1" x14ac:dyDescent="0.3"/>
    <row r="6725" hidden="1" x14ac:dyDescent="0.3"/>
    <row r="6726" hidden="1" x14ac:dyDescent="0.3"/>
    <row r="6727" hidden="1" x14ac:dyDescent="0.3"/>
    <row r="6728" hidden="1" x14ac:dyDescent="0.3"/>
    <row r="6729" hidden="1" x14ac:dyDescent="0.3"/>
    <row r="6730" hidden="1" x14ac:dyDescent="0.3"/>
    <row r="6731" hidden="1" x14ac:dyDescent="0.3"/>
    <row r="6732" hidden="1" x14ac:dyDescent="0.3"/>
    <row r="6733" hidden="1" x14ac:dyDescent="0.3"/>
    <row r="6734" hidden="1" x14ac:dyDescent="0.3"/>
    <row r="6735" hidden="1" x14ac:dyDescent="0.3"/>
    <row r="6736" hidden="1" x14ac:dyDescent="0.3"/>
    <row r="6737" hidden="1" x14ac:dyDescent="0.3"/>
    <row r="6738" hidden="1" x14ac:dyDescent="0.3"/>
    <row r="6739" hidden="1" x14ac:dyDescent="0.3"/>
    <row r="6740" hidden="1" x14ac:dyDescent="0.3"/>
    <row r="6741" hidden="1" x14ac:dyDescent="0.3"/>
    <row r="6742" hidden="1" x14ac:dyDescent="0.3"/>
    <row r="6743" hidden="1" x14ac:dyDescent="0.3"/>
    <row r="6744" hidden="1" x14ac:dyDescent="0.3"/>
    <row r="6745" hidden="1" x14ac:dyDescent="0.3"/>
    <row r="6746" hidden="1" x14ac:dyDescent="0.3"/>
    <row r="6747" hidden="1" x14ac:dyDescent="0.3"/>
    <row r="6748" hidden="1" x14ac:dyDescent="0.3"/>
    <row r="6749" hidden="1" x14ac:dyDescent="0.3"/>
    <row r="6750" hidden="1" x14ac:dyDescent="0.3"/>
    <row r="6751" hidden="1" x14ac:dyDescent="0.3"/>
    <row r="6752" hidden="1" x14ac:dyDescent="0.3"/>
    <row r="6753" hidden="1" x14ac:dyDescent="0.3"/>
    <row r="6754" hidden="1" x14ac:dyDescent="0.3"/>
    <row r="6755" hidden="1" x14ac:dyDescent="0.3"/>
    <row r="6756" hidden="1" x14ac:dyDescent="0.3"/>
    <row r="6757" hidden="1" x14ac:dyDescent="0.3"/>
    <row r="6758" hidden="1" x14ac:dyDescent="0.3"/>
    <row r="6759" hidden="1" x14ac:dyDescent="0.3"/>
    <row r="6760" hidden="1" x14ac:dyDescent="0.3"/>
    <row r="6761" hidden="1" x14ac:dyDescent="0.3"/>
    <row r="6762" hidden="1" x14ac:dyDescent="0.3"/>
    <row r="6763" hidden="1" x14ac:dyDescent="0.3"/>
    <row r="6764" hidden="1" x14ac:dyDescent="0.3"/>
    <row r="6765" hidden="1" x14ac:dyDescent="0.3"/>
    <row r="6766" hidden="1" x14ac:dyDescent="0.3"/>
    <row r="6767" hidden="1" x14ac:dyDescent="0.3"/>
    <row r="6768" hidden="1" x14ac:dyDescent="0.3"/>
    <row r="6769" hidden="1" x14ac:dyDescent="0.3"/>
    <row r="6770" hidden="1" x14ac:dyDescent="0.3"/>
    <row r="6771" hidden="1" x14ac:dyDescent="0.3"/>
    <row r="6772" hidden="1" x14ac:dyDescent="0.3"/>
    <row r="6773" hidden="1" x14ac:dyDescent="0.3"/>
    <row r="6774" hidden="1" x14ac:dyDescent="0.3"/>
    <row r="6775" hidden="1" x14ac:dyDescent="0.3"/>
    <row r="6776" hidden="1" x14ac:dyDescent="0.3"/>
    <row r="6777" hidden="1" x14ac:dyDescent="0.3"/>
    <row r="6778" hidden="1" x14ac:dyDescent="0.3"/>
    <row r="6779" hidden="1" x14ac:dyDescent="0.3"/>
    <row r="6780" hidden="1" x14ac:dyDescent="0.3"/>
    <row r="6781" hidden="1" x14ac:dyDescent="0.3"/>
    <row r="6782" hidden="1" x14ac:dyDescent="0.3"/>
    <row r="6783" hidden="1" x14ac:dyDescent="0.3"/>
    <row r="6784" hidden="1" x14ac:dyDescent="0.3"/>
    <row r="6785" hidden="1" x14ac:dyDescent="0.3"/>
    <row r="6786" hidden="1" x14ac:dyDescent="0.3"/>
    <row r="6787" hidden="1" x14ac:dyDescent="0.3"/>
    <row r="6788" hidden="1" x14ac:dyDescent="0.3"/>
    <row r="6789" hidden="1" x14ac:dyDescent="0.3"/>
    <row r="6790" hidden="1" x14ac:dyDescent="0.3"/>
    <row r="6791" hidden="1" x14ac:dyDescent="0.3"/>
    <row r="6792" hidden="1" x14ac:dyDescent="0.3"/>
    <row r="6793" hidden="1" x14ac:dyDescent="0.3"/>
    <row r="6794" hidden="1" x14ac:dyDescent="0.3"/>
    <row r="6795" hidden="1" x14ac:dyDescent="0.3"/>
    <row r="6796" hidden="1" x14ac:dyDescent="0.3"/>
    <row r="6797" hidden="1" x14ac:dyDescent="0.3"/>
    <row r="6798" hidden="1" x14ac:dyDescent="0.3"/>
    <row r="6799" hidden="1" x14ac:dyDescent="0.3"/>
    <row r="6800" hidden="1" x14ac:dyDescent="0.3"/>
    <row r="6801" hidden="1" x14ac:dyDescent="0.3"/>
    <row r="6802" hidden="1" x14ac:dyDescent="0.3"/>
    <row r="6803" hidden="1" x14ac:dyDescent="0.3"/>
    <row r="6804" hidden="1" x14ac:dyDescent="0.3"/>
    <row r="6805" hidden="1" x14ac:dyDescent="0.3"/>
    <row r="6806" hidden="1" x14ac:dyDescent="0.3"/>
    <row r="6807" hidden="1" x14ac:dyDescent="0.3"/>
    <row r="6808" hidden="1" x14ac:dyDescent="0.3"/>
    <row r="6809" hidden="1" x14ac:dyDescent="0.3"/>
    <row r="6810" hidden="1" x14ac:dyDescent="0.3"/>
    <row r="6811" hidden="1" x14ac:dyDescent="0.3"/>
    <row r="6812" hidden="1" x14ac:dyDescent="0.3"/>
    <row r="6813" hidden="1" x14ac:dyDescent="0.3"/>
    <row r="6814" hidden="1" x14ac:dyDescent="0.3"/>
    <row r="6815" hidden="1" x14ac:dyDescent="0.3"/>
    <row r="6816" hidden="1" x14ac:dyDescent="0.3"/>
    <row r="6817" hidden="1" x14ac:dyDescent="0.3"/>
    <row r="6818" hidden="1" x14ac:dyDescent="0.3"/>
    <row r="6819" hidden="1" x14ac:dyDescent="0.3"/>
    <row r="6820" hidden="1" x14ac:dyDescent="0.3"/>
    <row r="6821" hidden="1" x14ac:dyDescent="0.3"/>
    <row r="6822" hidden="1" x14ac:dyDescent="0.3"/>
    <row r="6823" hidden="1" x14ac:dyDescent="0.3"/>
    <row r="6824" hidden="1" x14ac:dyDescent="0.3"/>
    <row r="6825" hidden="1" x14ac:dyDescent="0.3"/>
    <row r="6826" hidden="1" x14ac:dyDescent="0.3"/>
    <row r="6827" hidden="1" x14ac:dyDescent="0.3"/>
    <row r="6828" hidden="1" x14ac:dyDescent="0.3"/>
    <row r="6829" hidden="1" x14ac:dyDescent="0.3"/>
    <row r="6830" hidden="1" x14ac:dyDescent="0.3"/>
    <row r="6831" hidden="1" x14ac:dyDescent="0.3"/>
    <row r="6832" hidden="1" x14ac:dyDescent="0.3"/>
    <row r="6833" hidden="1" x14ac:dyDescent="0.3"/>
    <row r="6834" hidden="1" x14ac:dyDescent="0.3"/>
    <row r="6835" hidden="1" x14ac:dyDescent="0.3"/>
    <row r="6836" hidden="1" x14ac:dyDescent="0.3"/>
    <row r="6837" hidden="1" x14ac:dyDescent="0.3"/>
    <row r="6838" hidden="1" x14ac:dyDescent="0.3"/>
    <row r="6839" hidden="1" x14ac:dyDescent="0.3"/>
    <row r="6840" hidden="1" x14ac:dyDescent="0.3"/>
    <row r="6841" hidden="1" x14ac:dyDescent="0.3"/>
    <row r="6842" hidden="1" x14ac:dyDescent="0.3"/>
    <row r="6843" hidden="1" x14ac:dyDescent="0.3"/>
    <row r="6844" hidden="1" x14ac:dyDescent="0.3"/>
    <row r="6845" hidden="1" x14ac:dyDescent="0.3"/>
    <row r="6846" hidden="1" x14ac:dyDescent="0.3"/>
    <row r="6847" hidden="1" x14ac:dyDescent="0.3"/>
    <row r="6848" hidden="1" x14ac:dyDescent="0.3"/>
    <row r="6849" hidden="1" x14ac:dyDescent="0.3"/>
    <row r="6850" hidden="1" x14ac:dyDescent="0.3"/>
    <row r="6851" hidden="1" x14ac:dyDescent="0.3"/>
    <row r="6852" hidden="1" x14ac:dyDescent="0.3"/>
    <row r="6853" hidden="1" x14ac:dyDescent="0.3"/>
    <row r="6854" hidden="1" x14ac:dyDescent="0.3"/>
    <row r="6855" hidden="1" x14ac:dyDescent="0.3"/>
    <row r="6856" hidden="1" x14ac:dyDescent="0.3"/>
    <row r="6857" hidden="1" x14ac:dyDescent="0.3"/>
    <row r="6858" hidden="1" x14ac:dyDescent="0.3"/>
    <row r="6859" hidden="1" x14ac:dyDescent="0.3"/>
    <row r="6860" hidden="1" x14ac:dyDescent="0.3"/>
    <row r="6861" hidden="1" x14ac:dyDescent="0.3"/>
    <row r="6862" hidden="1" x14ac:dyDescent="0.3"/>
    <row r="6863" hidden="1" x14ac:dyDescent="0.3"/>
    <row r="6864" hidden="1" x14ac:dyDescent="0.3"/>
    <row r="6865" hidden="1" x14ac:dyDescent="0.3"/>
    <row r="6866" hidden="1" x14ac:dyDescent="0.3"/>
    <row r="6867" hidden="1" x14ac:dyDescent="0.3"/>
    <row r="6868" hidden="1" x14ac:dyDescent="0.3"/>
    <row r="6869" hidden="1" x14ac:dyDescent="0.3"/>
    <row r="6870" hidden="1" x14ac:dyDescent="0.3"/>
    <row r="6871" hidden="1" x14ac:dyDescent="0.3"/>
    <row r="6872" hidden="1" x14ac:dyDescent="0.3"/>
    <row r="6873" hidden="1" x14ac:dyDescent="0.3"/>
    <row r="6874" hidden="1" x14ac:dyDescent="0.3"/>
    <row r="6875" hidden="1" x14ac:dyDescent="0.3"/>
    <row r="6876" hidden="1" x14ac:dyDescent="0.3"/>
    <row r="6877" hidden="1" x14ac:dyDescent="0.3"/>
    <row r="6878" hidden="1" x14ac:dyDescent="0.3"/>
    <row r="6879" hidden="1" x14ac:dyDescent="0.3"/>
    <row r="6880" hidden="1" x14ac:dyDescent="0.3"/>
    <row r="6881" hidden="1" x14ac:dyDescent="0.3"/>
    <row r="6882" hidden="1" x14ac:dyDescent="0.3"/>
    <row r="6883" hidden="1" x14ac:dyDescent="0.3"/>
    <row r="6884" hidden="1" x14ac:dyDescent="0.3"/>
    <row r="6885" hidden="1" x14ac:dyDescent="0.3"/>
    <row r="6886" hidden="1" x14ac:dyDescent="0.3"/>
    <row r="6887" hidden="1" x14ac:dyDescent="0.3"/>
    <row r="6888" hidden="1" x14ac:dyDescent="0.3"/>
    <row r="6889" hidden="1" x14ac:dyDescent="0.3"/>
    <row r="6890" hidden="1" x14ac:dyDescent="0.3"/>
    <row r="6891" hidden="1" x14ac:dyDescent="0.3"/>
    <row r="6892" hidden="1" x14ac:dyDescent="0.3"/>
    <row r="6893" hidden="1" x14ac:dyDescent="0.3"/>
    <row r="6894" hidden="1" x14ac:dyDescent="0.3"/>
    <row r="6895" hidden="1" x14ac:dyDescent="0.3"/>
    <row r="6896" hidden="1" x14ac:dyDescent="0.3"/>
    <row r="6897" hidden="1" x14ac:dyDescent="0.3"/>
    <row r="6898" hidden="1" x14ac:dyDescent="0.3"/>
    <row r="6899" hidden="1" x14ac:dyDescent="0.3"/>
    <row r="6900" hidden="1" x14ac:dyDescent="0.3"/>
    <row r="6901" hidden="1" x14ac:dyDescent="0.3"/>
    <row r="6902" hidden="1" x14ac:dyDescent="0.3"/>
    <row r="6903" hidden="1" x14ac:dyDescent="0.3"/>
    <row r="6904" hidden="1" x14ac:dyDescent="0.3"/>
    <row r="6905" hidden="1" x14ac:dyDescent="0.3"/>
    <row r="6906" hidden="1" x14ac:dyDescent="0.3"/>
    <row r="6907" hidden="1" x14ac:dyDescent="0.3"/>
    <row r="6908" hidden="1" x14ac:dyDescent="0.3"/>
    <row r="6909" hidden="1" x14ac:dyDescent="0.3"/>
    <row r="6910" hidden="1" x14ac:dyDescent="0.3"/>
    <row r="6911" hidden="1" x14ac:dyDescent="0.3"/>
    <row r="6912" hidden="1" x14ac:dyDescent="0.3"/>
    <row r="6913" hidden="1" x14ac:dyDescent="0.3"/>
    <row r="6914" hidden="1" x14ac:dyDescent="0.3"/>
    <row r="6915" hidden="1" x14ac:dyDescent="0.3"/>
    <row r="6916" hidden="1" x14ac:dyDescent="0.3"/>
    <row r="6917" hidden="1" x14ac:dyDescent="0.3"/>
    <row r="6918" hidden="1" x14ac:dyDescent="0.3"/>
    <row r="6919" hidden="1" x14ac:dyDescent="0.3"/>
    <row r="6920" hidden="1" x14ac:dyDescent="0.3"/>
    <row r="6921" hidden="1" x14ac:dyDescent="0.3"/>
    <row r="6922" hidden="1" x14ac:dyDescent="0.3"/>
    <row r="6923" hidden="1" x14ac:dyDescent="0.3"/>
    <row r="6924" hidden="1" x14ac:dyDescent="0.3"/>
    <row r="6925" hidden="1" x14ac:dyDescent="0.3"/>
    <row r="6926" hidden="1" x14ac:dyDescent="0.3"/>
    <row r="6927" hidden="1" x14ac:dyDescent="0.3"/>
    <row r="6928" hidden="1" x14ac:dyDescent="0.3"/>
    <row r="6929" hidden="1" x14ac:dyDescent="0.3"/>
    <row r="6930" hidden="1" x14ac:dyDescent="0.3"/>
    <row r="6931" hidden="1" x14ac:dyDescent="0.3"/>
    <row r="6932" hidden="1" x14ac:dyDescent="0.3"/>
    <row r="6933" hidden="1" x14ac:dyDescent="0.3"/>
    <row r="6934" hidden="1" x14ac:dyDescent="0.3"/>
    <row r="6935" hidden="1" x14ac:dyDescent="0.3"/>
    <row r="6936" hidden="1" x14ac:dyDescent="0.3"/>
    <row r="6937" hidden="1" x14ac:dyDescent="0.3"/>
    <row r="6938" hidden="1" x14ac:dyDescent="0.3"/>
    <row r="6939" hidden="1" x14ac:dyDescent="0.3"/>
    <row r="6940" hidden="1" x14ac:dyDescent="0.3"/>
    <row r="6941" hidden="1" x14ac:dyDescent="0.3"/>
    <row r="6942" hidden="1" x14ac:dyDescent="0.3"/>
    <row r="6943" hidden="1" x14ac:dyDescent="0.3"/>
    <row r="6944" hidden="1" x14ac:dyDescent="0.3"/>
    <row r="6945" hidden="1" x14ac:dyDescent="0.3"/>
    <row r="6946" hidden="1" x14ac:dyDescent="0.3"/>
    <row r="6947" hidden="1" x14ac:dyDescent="0.3"/>
    <row r="6948" hidden="1" x14ac:dyDescent="0.3"/>
    <row r="6949" hidden="1" x14ac:dyDescent="0.3"/>
    <row r="6950" hidden="1" x14ac:dyDescent="0.3"/>
    <row r="6951" hidden="1" x14ac:dyDescent="0.3"/>
    <row r="6952" hidden="1" x14ac:dyDescent="0.3"/>
    <row r="6953" hidden="1" x14ac:dyDescent="0.3"/>
    <row r="6954" hidden="1" x14ac:dyDescent="0.3"/>
    <row r="6955" hidden="1" x14ac:dyDescent="0.3"/>
    <row r="6956" hidden="1" x14ac:dyDescent="0.3"/>
    <row r="6957" hidden="1" x14ac:dyDescent="0.3"/>
    <row r="6958" hidden="1" x14ac:dyDescent="0.3"/>
    <row r="6959" hidden="1" x14ac:dyDescent="0.3"/>
    <row r="6960" hidden="1" x14ac:dyDescent="0.3"/>
    <row r="6961" hidden="1" x14ac:dyDescent="0.3"/>
    <row r="6962" hidden="1" x14ac:dyDescent="0.3"/>
    <row r="6963" hidden="1" x14ac:dyDescent="0.3"/>
    <row r="6964" hidden="1" x14ac:dyDescent="0.3"/>
    <row r="6965" hidden="1" x14ac:dyDescent="0.3"/>
    <row r="6966" hidden="1" x14ac:dyDescent="0.3"/>
    <row r="6967" hidden="1" x14ac:dyDescent="0.3"/>
    <row r="6968" hidden="1" x14ac:dyDescent="0.3"/>
    <row r="6969" hidden="1" x14ac:dyDescent="0.3"/>
    <row r="6970" hidden="1" x14ac:dyDescent="0.3"/>
    <row r="6971" hidden="1" x14ac:dyDescent="0.3"/>
    <row r="6972" hidden="1" x14ac:dyDescent="0.3"/>
    <row r="6973" hidden="1" x14ac:dyDescent="0.3"/>
    <row r="6974" hidden="1" x14ac:dyDescent="0.3"/>
    <row r="6975" hidden="1" x14ac:dyDescent="0.3"/>
    <row r="6976" hidden="1" x14ac:dyDescent="0.3"/>
    <row r="6977" hidden="1" x14ac:dyDescent="0.3"/>
    <row r="6978" hidden="1" x14ac:dyDescent="0.3"/>
    <row r="6979" hidden="1" x14ac:dyDescent="0.3"/>
    <row r="6980" hidden="1" x14ac:dyDescent="0.3"/>
    <row r="6981" hidden="1" x14ac:dyDescent="0.3"/>
    <row r="6982" hidden="1" x14ac:dyDescent="0.3"/>
    <row r="6983" hidden="1" x14ac:dyDescent="0.3"/>
    <row r="6984" hidden="1" x14ac:dyDescent="0.3"/>
    <row r="6985" hidden="1" x14ac:dyDescent="0.3"/>
    <row r="6986" hidden="1" x14ac:dyDescent="0.3"/>
    <row r="6987" hidden="1" x14ac:dyDescent="0.3"/>
    <row r="6988" hidden="1" x14ac:dyDescent="0.3"/>
    <row r="6989" hidden="1" x14ac:dyDescent="0.3"/>
    <row r="6990" hidden="1" x14ac:dyDescent="0.3"/>
    <row r="6991" hidden="1" x14ac:dyDescent="0.3"/>
    <row r="6992" hidden="1" x14ac:dyDescent="0.3"/>
    <row r="6993" hidden="1" x14ac:dyDescent="0.3"/>
    <row r="6994" hidden="1" x14ac:dyDescent="0.3"/>
    <row r="6995" hidden="1" x14ac:dyDescent="0.3"/>
    <row r="6996" hidden="1" x14ac:dyDescent="0.3"/>
    <row r="6997" hidden="1" x14ac:dyDescent="0.3"/>
    <row r="6998" hidden="1" x14ac:dyDescent="0.3"/>
    <row r="6999" hidden="1" x14ac:dyDescent="0.3"/>
    <row r="7000" hidden="1" x14ac:dyDescent="0.3"/>
    <row r="7001" hidden="1" x14ac:dyDescent="0.3"/>
    <row r="7002" hidden="1" x14ac:dyDescent="0.3"/>
    <row r="7003" hidden="1" x14ac:dyDescent="0.3"/>
    <row r="7004" hidden="1" x14ac:dyDescent="0.3"/>
    <row r="7005" hidden="1" x14ac:dyDescent="0.3"/>
    <row r="7006" hidden="1" x14ac:dyDescent="0.3"/>
    <row r="7007" hidden="1" x14ac:dyDescent="0.3"/>
    <row r="7008" hidden="1" x14ac:dyDescent="0.3"/>
    <row r="7009" hidden="1" x14ac:dyDescent="0.3"/>
    <row r="7010" hidden="1" x14ac:dyDescent="0.3"/>
    <row r="7011" hidden="1" x14ac:dyDescent="0.3"/>
    <row r="7012" hidden="1" x14ac:dyDescent="0.3"/>
    <row r="7013" hidden="1" x14ac:dyDescent="0.3"/>
    <row r="7014" hidden="1" x14ac:dyDescent="0.3"/>
    <row r="7015" hidden="1" x14ac:dyDescent="0.3"/>
    <row r="7016" hidden="1" x14ac:dyDescent="0.3"/>
    <row r="7017" hidden="1" x14ac:dyDescent="0.3"/>
    <row r="7018" hidden="1" x14ac:dyDescent="0.3"/>
    <row r="7019" hidden="1" x14ac:dyDescent="0.3"/>
    <row r="7020" hidden="1" x14ac:dyDescent="0.3"/>
    <row r="7021" hidden="1" x14ac:dyDescent="0.3"/>
    <row r="7022" hidden="1" x14ac:dyDescent="0.3"/>
    <row r="7023" hidden="1" x14ac:dyDescent="0.3"/>
    <row r="7024" hidden="1" x14ac:dyDescent="0.3"/>
    <row r="7025" hidden="1" x14ac:dyDescent="0.3"/>
    <row r="7026" hidden="1" x14ac:dyDescent="0.3"/>
    <row r="7027" hidden="1" x14ac:dyDescent="0.3"/>
    <row r="7028" hidden="1" x14ac:dyDescent="0.3"/>
    <row r="7029" hidden="1" x14ac:dyDescent="0.3"/>
    <row r="7030" hidden="1" x14ac:dyDescent="0.3"/>
    <row r="7031" hidden="1" x14ac:dyDescent="0.3"/>
    <row r="7032" hidden="1" x14ac:dyDescent="0.3"/>
    <row r="7033" hidden="1" x14ac:dyDescent="0.3"/>
    <row r="7034" hidden="1" x14ac:dyDescent="0.3"/>
    <row r="7035" hidden="1" x14ac:dyDescent="0.3"/>
    <row r="7036" hidden="1" x14ac:dyDescent="0.3"/>
    <row r="7037" hidden="1" x14ac:dyDescent="0.3"/>
    <row r="7038" hidden="1" x14ac:dyDescent="0.3"/>
    <row r="7039" hidden="1" x14ac:dyDescent="0.3"/>
    <row r="7040" hidden="1" x14ac:dyDescent="0.3"/>
    <row r="7041" hidden="1" x14ac:dyDescent="0.3"/>
    <row r="7042" hidden="1" x14ac:dyDescent="0.3"/>
    <row r="7043" hidden="1" x14ac:dyDescent="0.3"/>
    <row r="7044" hidden="1" x14ac:dyDescent="0.3"/>
    <row r="7045" hidden="1" x14ac:dyDescent="0.3"/>
    <row r="7046" hidden="1" x14ac:dyDescent="0.3"/>
    <row r="7047" hidden="1" x14ac:dyDescent="0.3"/>
    <row r="7048" hidden="1" x14ac:dyDescent="0.3"/>
    <row r="7049" hidden="1" x14ac:dyDescent="0.3"/>
    <row r="7050" hidden="1" x14ac:dyDescent="0.3"/>
    <row r="7051" hidden="1" x14ac:dyDescent="0.3"/>
    <row r="7052" hidden="1" x14ac:dyDescent="0.3"/>
    <row r="7053" hidden="1" x14ac:dyDescent="0.3"/>
    <row r="7054" hidden="1" x14ac:dyDescent="0.3"/>
    <row r="7055" hidden="1" x14ac:dyDescent="0.3"/>
    <row r="7056" hidden="1" x14ac:dyDescent="0.3"/>
    <row r="7057" hidden="1" x14ac:dyDescent="0.3"/>
    <row r="7058" hidden="1" x14ac:dyDescent="0.3"/>
    <row r="7059" hidden="1" x14ac:dyDescent="0.3"/>
    <row r="7060" hidden="1" x14ac:dyDescent="0.3"/>
    <row r="7061" hidden="1" x14ac:dyDescent="0.3"/>
    <row r="7062" hidden="1" x14ac:dyDescent="0.3"/>
    <row r="7063" hidden="1" x14ac:dyDescent="0.3"/>
    <row r="7064" hidden="1" x14ac:dyDescent="0.3"/>
    <row r="7065" hidden="1" x14ac:dyDescent="0.3"/>
    <row r="7066" hidden="1" x14ac:dyDescent="0.3"/>
    <row r="7067" hidden="1" x14ac:dyDescent="0.3"/>
    <row r="7068" hidden="1" x14ac:dyDescent="0.3"/>
    <row r="7069" hidden="1" x14ac:dyDescent="0.3"/>
    <row r="7070" hidden="1" x14ac:dyDescent="0.3"/>
    <row r="7071" hidden="1" x14ac:dyDescent="0.3"/>
    <row r="7072" hidden="1" x14ac:dyDescent="0.3"/>
    <row r="7073" hidden="1" x14ac:dyDescent="0.3"/>
    <row r="7074" hidden="1" x14ac:dyDescent="0.3"/>
    <row r="7075" hidden="1" x14ac:dyDescent="0.3"/>
    <row r="7076" hidden="1" x14ac:dyDescent="0.3"/>
    <row r="7077" hidden="1" x14ac:dyDescent="0.3"/>
    <row r="7078" hidden="1" x14ac:dyDescent="0.3"/>
    <row r="7079" hidden="1" x14ac:dyDescent="0.3"/>
    <row r="7080" hidden="1" x14ac:dyDescent="0.3"/>
    <row r="7081" hidden="1" x14ac:dyDescent="0.3"/>
    <row r="7082" hidden="1" x14ac:dyDescent="0.3"/>
    <row r="7083" hidden="1" x14ac:dyDescent="0.3"/>
    <row r="7084" hidden="1" x14ac:dyDescent="0.3"/>
    <row r="7085" hidden="1" x14ac:dyDescent="0.3"/>
    <row r="7086" hidden="1" x14ac:dyDescent="0.3"/>
    <row r="7087" hidden="1" x14ac:dyDescent="0.3"/>
    <row r="7088" hidden="1" x14ac:dyDescent="0.3"/>
    <row r="7089" hidden="1" x14ac:dyDescent="0.3"/>
    <row r="7090" hidden="1" x14ac:dyDescent="0.3"/>
    <row r="7091" hidden="1" x14ac:dyDescent="0.3"/>
    <row r="7092" hidden="1" x14ac:dyDescent="0.3"/>
    <row r="7093" hidden="1" x14ac:dyDescent="0.3"/>
    <row r="7094" hidden="1" x14ac:dyDescent="0.3"/>
    <row r="7095" hidden="1" x14ac:dyDescent="0.3"/>
    <row r="7096" hidden="1" x14ac:dyDescent="0.3"/>
    <row r="7097" hidden="1" x14ac:dyDescent="0.3"/>
    <row r="7098" hidden="1" x14ac:dyDescent="0.3"/>
    <row r="7099" hidden="1" x14ac:dyDescent="0.3"/>
    <row r="7100" hidden="1" x14ac:dyDescent="0.3"/>
    <row r="7101" hidden="1" x14ac:dyDescent="0.3"/>
    <row r="7102" hidden="1" x14ac:dyDescent="0.3"/>
    <row r="7103" hidden="1" x14ac:dyDescent="0.3"/>
    <row r="7104" hidden="1" x14ac:dyDescent="0.3"/>
    <row r="7105" hidden="1" x14ac:dyDescent="0.3"/>
    <row r="7106" hidden="1" x14ac:dyDescent="0.3"/>
    <row r="7107" hidden="1" x14ac:dyDescent="0.3"/>
    <row r="7108" hidden="1" x14ac:dyDescent="0.3"/>
    <row r="7109" hidden="1" x14ac:dyDescent="0.3"/>
    <row r="7110" hidden="1" x14ac:dyDescent="0.3"/>
    <row r="7111" hidden="1" x14ac:dyDescent="0.3"/>
    <row r="7112" hidden="1" x14ac:dyDescent="0.3"/>
    <row r="7113" hidden="1" x14ac:dyDescent="0.3"/>
    <row r="7114" hidden="1" x14ac:dyDescent="0.3"/>
    <row r="7115" hidden="1" x14ac:dyDescent="0.3"/>
    <row r="7116" hidden="1" x14ac:dyDescent="0.3"/>
    <row r="7117" hidden="1" x14ac:dyDescent="0.3"/>
    <row r="7118" hidden="1" x14ac:dyDescent="0.3"/>
    <row r="7119" hidden="1" x14ac:dyDescent="0.3"/>
    <row r="7120" hidden="1" x14ac:dyDescent="0.3"/>
    <row r="7121" hidden="1" x14ac:dyDescent="0.3"/>
    <row r="7122" hidden="1" x14ac:dyDescent="0.3"/>
    <row r="7123" hidden="1" x14ac:dyDescent="0.3"/>
    <row r="7124" hidden="1" x14ac:dyDescent="0.3"/>
    <row r="7125" hidden="1" x14ac:dyDescent="0.3"/>
    <row r="7126" hidden="1" x14ac:dyDescent="0.3"/>
    <row r="7127" hidden="1" x14ac:dyDescent="0.3"/>
    <row r="7128" hidden="1" x14ac:dyDescent="0.3"/>
    <row r="7129" hidden="1" x14ac:dyDescent="0.3"/>
    <row r="7130" hidden="1" x14ac:dyDescent="0.3"/>
    <row r="7131" hidden="1" x14ac:dyDescent="0.3"/>
    <row r="7132" hidden="1" x14ac:dyDescent="0.3"/>
    <row r="7133" hidden="1" x14ac:dyDescent="0.3"/>
    <row r="7134" hidden="1" x14ac:dyDescent="0.3"/>
    <row r="7135" hidden="1" x14ac:dyDescent="0.3"/>
    <row r="7136" hidden="1" x14ac:dyDescent="0.3"/>
    <row r="7137" hidden="1" x14ac:dyDescent="0.3"/>
    <row r="7138" hidden="1" x14ac:dyDescent="0.3"/>
    <row r="7139" hidden="1" x14ac:dyDescent="0.3"/>
    <row r="7140" hidden="1" x14ac:dyDescent="0.3"/>
    <row r="7141" hidden="1" x14ac:dyDescent="0.3"/>
    <row r="7142" hidden="1" x14ac:dyDescent="0.3"/>
    <row r="7143" hidden="1" x14ac:dyDescent="0.3"/>
    <row r="7144" hidden="1" x14ac:dyDescent="0.3"/>
    <row r="7145" hidden="1" x14ac:dyDescent="0.3"/>
    <row r="7146" hidden="1" x14ac:dyDescent="0.3"/>
    <row r="7147" hidden="1" x14ac:dyDescent="0.3"/>
    <row r="7148" hidden="1" x14ac:dyDescent="0.3"/>
    <row r="7149" hidden="1" x14ac:dyDescent="0.3"/>
    <row r="7150" hidden="1" x14ac:dyDescent="0.3"/>
    <row r="7151" hidden="1" x14ac:dyDescent="0.3"/>
    <row r="7152" hidden="1" x14ac:dyDescent="0.3"/>
    <row r="7153" hidden="1" x14ac:dyDescent="0.3"/>
    <row r="7154" hidden="1" x14ac:dyDescent="0.3"/>
    <row r="7155" hidden="1" x14ac:dyDescent="0.3"/>
    <row r="7156" hidden="1" x14ac:dyDescent="0.3"/>
    <row r="7157" hidden="1" x14ac:dyDescent="0.3"/>
    <row r="7158" hidden="1" x14ac:dyDescent="0.3"/>
    <row r="7159" hidden="1" x14ac:dyDescent="0.3"/>
    <row r="7160" hidden="1" x14ac:dyDescent="0.3"/>
    <row r="7161" hidden="1" x14ac:dyDescent="0.3"/>
    <row r="7162" hidden="1" x14ac:dyDescent="0.3"/>
    <row r="7163" hidden="1" x14ac:dyDescent="0.3"/>
    <row r="7164" hidden="1" x14ac:dyDescent="0.3"/>
    <row r="7165" hidden="1" x14ac:dyDescent="0.3"/>
    <row r="7166" hidden="1" x14ac:dyDescent="0.3"/>
    <row r="7167" hidden="1" x14ac:dyDescent="0.3"/>
    <row r="7168" hidden="1" x14ac:dyDescent="0.3"/>
    <row r="7169" hidden="1" x14ac:dyDescent="0.3"/>
    <row r="7170" hidden="1" x14ac:dyDescent="0.3"/>
    <row r="7171" hidden="1" x14ac:dyDescent="0.3"/>
    <row r="7172" hidden="1" x14ac:dyDescent="0.3"/>
    <row r="7173" hidden="1" x14ac:dyDescent="0.3"/>
    <row r="7174" hidden="1" x14ac:dyDescent="0.3"/>
    <row r="7175" hidden="1" x14ac:dyDescent="0.3"/>
    <row r="7176" hidden="1" x14ac:dyDescent="0.3"/>
    <row r="7177" hidden="1" x14ac:dyDescent="0.3"/>
    <row r="7178" hidden="1" x14ac:dyDescent="0.3"/>
    <row r="7179" hidden="1" x14ac:dyDescent="0.3"/>
    <row r="7180" hidden="1" x14ac:dyDescent="0.3"/>
    <row r="7181" hidden="1" x14ac:dyDescent="0.3"/>
    <row r="7182" hidden="1" x14ac:dyDescent="0.3"/>
    <row r="7183" hidden="1" x14ac:dyDescent="0.3"/>
    <row r="7184" hidden="1" x14ac:dyDescent="0.3"/>
    <row r="7185" hidden="1" x14ac:dyDescent="0.3"/>
    <row r="7186" hidden="1" x14ac:dyDescent="0.3"/>
    <row r="7187" hidden="1" x14ac:dyDescent="0.3"/>
    <row r="7188" hidden="1" x14ac:dyDescent="0.3"/>
    <row r="7189" hidden="1" x14ac:dyDescent="0.3"/>
    <row r="7190" hidden="1" x14ac:dyDescent="0.3"/>
    <row r="7191" hidden="1" x14ac:dyDescent="0.3"/>
    <row r="7192" hidden="1" x14ac:dyDescent="0.3"/>
    <row r="7193" hidden="1" x14ac:dyDescent="0.3"/>
    <row r="7194" hidden="1" x14ac:dyDescent="0.3"/>
    <row r="7195" hidden="1" x14ac:dyDescent="0.3"/>
    <row r="7196" hidden="1" x14ac:dyDescent="0.3"/>
    <row r="7197" hidden="1" x14ac:dyDescent="0.3"/>
    <row r="7198" hidden="1" x14ac:dyDescent="0.3"/>
    <row r="7199" hidden="1" x14ac:dyDescent="0.3"/>
    <row r="7200" hidden="1" x14ac:dyDescent="0.3"/>
    <row r="7201" hidden="1" x14ac:dyDescent="0.3"/>
    <row r="7202" hidden="1" x14ac:dyDescent="0.3"/>
    <row r="7203" hidden="1" x14ac:dyDescent="0.3"/>
    <row r="7204" hidden="1" x14ac:dyDescent="0.3"/>
    <row r="7205" hidden="1" x14ac:dyDescent="0.3"/>
    <row r="7206" hidden="1" x14ac:dyDescent="0.3"/>
    <row r="7207" hidden="1" x14ac:dyDescent="0.3"/>
    <row r="7208" hidden="1" x14ac:dyDescent="0.3"/>
    <row r="7209" hidden="1" x14ac:dyDescent="0.3"/>
    <row r="7210" hidden="1" x14ac:dyDescent="0.3"/>
    <row r="7211" hidden="1" x14ac:dyDescent="0.3"/>
    <row r="7212" hidden="1" x14ac:dyDescent="0.3"/>
    <row r="7213" hidden="1" x14ac:dyDescent="0.3"/>
    <row r="7214" hidden="1" x14ac:dyDescent="0.3"/>
    <row r="7215" hidden="1" x14ac:dyDescent="0.3"/>
    <row r="7216" hidden="1" x14ac:dyDescent="0.3"/>
    <row r="7217" hidden="1" x14ac:dyDescent="0.3"/>
    <row r="7218" hidden="1" x14ac:dyDescent="0.3"/>
    <row r="7219" hidden="1" x14ac:dyDescent="0.3"/>
    <row r="7220" hidden="1" x14ac:dyDescent="0.3"/>
    <row r="7221" hidden="1" x14ac:dyDescent="0.3"/>
    <row r="7222" hidden="1" x14ac:dyDescent="0.3"/>
    <row r="7223" hidden="1" x14ac:dyDescent="0.3"/>
    <row r="7224" hidden="1" x14ac:dyDescent="0.3"/>
    <row r="7225" hidden="1" x14ac:dyDescent="0.3"/>
    <row r="7226" hidden="1" x14ac:dyDescent="0.3"/>
    <row r="7227" hidden="1" x14ac:dyDescent="0.3"/>
    <row r="7228" hidden="1" x14ac:dyDescent="0.3"/>
    <row r="7229" hidden="1" x14ac:dyDescent="0.3"/>
    <row r="7230" hidden="1" x14ac:dyDescent="0.3"/>
    <row r="7231" hidden="1" x14ac:dyDescent="0.3"/>
    <row r="7232" hidden="1" x14ac:dyDescent="0.3"/>
    <row r="7233" hidden="1" x14ac:dyDescent="0.3"/>
    <row r="7234" hidden="1" x14ac:dyDescent="0.3"/>
    <row r="7235" hidden="1" x14ac:dyDescent="0.3"/>
    <row r="7236" hidden="1" x14ac:dyDescent="0.3"/>
    <row r="7237" hidden="1" x14ac:dyDescent="0.3"/>
    <row r="7238" hidden="1" x14ac:dyDescent="0.3"/>
    <row r="7239" hidden="1" x14ac:dyDescent="0.3"/>
    <row r="7240" hidden="1" x14ac:dyDescent="0.3"/>
    <row r="7241" hidden="1" x14ac:dyDescent="0.3"/>
    <row r="7242" hidden="1" x14ac:dyDescent="0.3"/>
    <row r="7243" hidden="1" x14ac:dyDescent="0.3"/>
    <row r="7244" hidden="1" x14ac:dyDescent="0.3"/>
    <row r="7245" hidden="1" x14ac:dyDescent="0.3"/>
    <row r="7246" hidden="1" x14ac:dyDescent="0.3"/>
    <row r="7247" hidden="1" x14ac:dyDescent="0.3"/>
    <row r="7248" hidden="1" x14ac:dyDescent="0.3"/>
    <row r="7249" hidden="1" x14ac:dyDescent="0.3"/>
    <row r="7250" hidden="1" x14ac:dyDescent="0.3"/>
    <row r="7251" hidden="1" x14ac:dyDescent="0.3"/>
    <row r="7252" hidden="1" x14ac:dyDescent="0.3"/>
    <row r="7253" hidden="1" x14ac:dyDescent="0.3"/>
    <row r="7254" hidden="1" x14ac:dyDescent="0.3"/>
    <row r="7255" hidden="1" x14ac:dyDescent="0.3"/>
    <row r="7256" hidden="1" x14ac:dyDescent="0.3"/>
    <row r="7257" hidden="1" x14ac:dyDescent="0.3"/>
    <row r="7258" hidden="1" x14ac:dyDescent="0.3"/>
    <row r="7259" hidden="1" x14ac:dyDescent="0.3"/>
    <row r="7260" hidden="1" x14ac:dyDescent="0.3"/>
    <row r="7261" hidden="1" x14ac:dyDescent="0.3"/>
    <row r="7262" hidden="1" x14ac:dyDescent="0.3"/>
    <row r="7263" hidden="1" x14ac:dyDescent="0.3"/>
    <row r="7264" hidden="1" x14ac:dyDescent="0.3"/>
    <row r="7265" hidden="1" x14ac:dyDescent="0.3"/>
    <row r="7266" hidden="1" x14ac:dyDescent="0.3"/>
    <row r="7267" hidden="1" x14ac:dyDescent="0.3"/>
    <row r="7268" hidden="1" x14ac:dyDescent="0.3"/>
    <row r="7269" hidden="1" x14ac:dyDescent="0.3"/>
    <row r="7270" hidden="1" x14ac:dyDescent="0.3"/>
    <row r="7271" hidden="1" x14ac:dyDescent="0.3"/>
    <row r="7272" hidden="1" x14ac:dyDescent="0.3"/>
    <row r="7273" hidden="1" x14ac:dyDescent="0.3"/>
    <row r="7274" hidden="1" x14ac:dyDescent="0.3"/>
    <row r="7275" hidden="1" x14ac:dyDescent="0.3"/>
    <row r="7276" hidden="1" x14ac:dyDescent="0.3"/>
    <row r="7277" hidden="1" x14ac:dyDescent="0.3"/>
    <row r="7278" hidden="1" x14ac:dyDescent="0.3"/>
    <row r="7279" hidden="1" x14ac:dyDescent="0.3"/>
    <row r="7280" hidden="1" x14ac:dyDescent="0.3"/>
    <row r="7281" hidden="1" x14ac:dyDescent="0.3"/>
    <row r="7282" hidden="1" x14ac:dyDescent="0.3"/>
    <row r="7283" hidden="1" x14ac:dyDescent="0.3"/>
    <row r="7284" hidden="1" x14ac:dyDescent="0.3"/>
    <row r="7285" hidden="1" x14ac:dyDescent="0.3"/>
    <row r="7286" hidden="1" x14ac:dyDescent="0.3"/>
    <row r="7287" hidden="1" x14ac:dyDescent="0.3"/>
    <row r="7288" hidden="1" x14ac:dyDescent="0.3"/>
    <row r="7289" hidden="1" x14ac:dyDescent="0.3"/>
    <row r="7290" hidden="1" x14ac:dyDescent="0.3"/>
    <row r="7291" hidden="1" x14ac:dyDescent="0.3"/>
    <row r="7292" hidden="1" x14ac:dyDescent="0.3"/>
    <row r="7293" hidden="1" x14ac:dyDescent="0.3"/>
    <row r="7294" hidden="1" x14ac:dyDescent="0.3"/>
    <row r="7295" hidden="1" x14ac:dyDescent="0.3"/>
    <row r="7296" hidden="1" x14ac:dyDescent="0.3"/>
    <row r="7297" hidden="1" x14ac:dyDescent="0.3"/>
    <row r="7298" hidden="1" x14ac:dyDescent="0.3"/>
    <row r="7299" hidden="1" x14ac:dyDescent="0.3"/>
    <row r="7300" hidden="1" x14ac:dyDescent="0.3"/>
    <row r="7301" hidden="1" x14ac:dyDescent="0.3"/>
    <row r="7302" hidden="1" x14ac:dyDescent="0.3"/>
    <row r="7303" hidden="1" x14ac:dyDescent="0.3"/>
    <row r="7304" hidden="1" x14ac:dyDescent="0.3"/>
    <row r="7305" hidden="1" x14ac:dyDescent="0.3"/>
    <row r="7306" hidden="1" x14ac:dyDescent="0.3"/>
    <row r="7307" hidden="1" x14ac:dyDescent="0.3"/>
    <row r="7308" hidden="1" x14ac:dyDescent="0.3"/>
    <row r="7309" hidden="1" x14ac:dyDescent="0.3"/>
    <row r="7310" hidden="1" x14ac:dyDescent="0.3"/>
    <row r="7311" hidden="1" x14ac:dyDescent="0.3"/>
    <row r="7312" hidden="1" x14ac:dyDescent="0.3"/>
    <row r="7313" hidden="1" x14ac:dyDescent="0.3"/>
    <row r="7314" hidden="1" x14ac:dyDescent="0.3"/>
    <row r="7315" hidden="1" x14ac:dyDescent="0.3"/>
    <row r="7316" hidden="1" x14ac:dyDescent="0.3"/>
    <row r="7317" hidden="1" x14ac:dyDescent="0.3"/>
    <row r="7318" hidden="1" x14ac:dyDescent="0.3"/>
    <row r="7319" hidden="1" x14ac:dyDescent="0.3"/>
    <row r="7320" hidden="1" x14ac:dyDescent="0.3"/>
    <row r="7321" hidden="1" x14ac:dyDescent="0.3"/>
    <row r="7322" hidden="1" x14ac:dyDescent="0.3"/>
    <row r="7323" hidden="1" x14ac:dyDescent="0.3"/>
    <row r="7324" hidden="1" x14ac:dyDescent="0.3"/>
    <row r="7325" hidden="1" x14ac:dyDescent="0.3"/>
    <row r="7326" hidden="1" x14ac:dyDescent="0.3"/>
    <row r="7327" hidden="1" x14ac:dyDescent="0.3"/>
    <row r="7328" hidden="1" x14ac:dyDescent="0.3"/>
    <row r="7329" hidden="1" x14ac:dyDescent="0.3"/>
    <row r="7330" hidden="1" x14ac:dyDescent="0.3"/>
    <row r="7331" hidden="1" x14ac:dyDescent="0.3"/>
    <row r="7332" hidden="1" x14ac:dyDescent="0.3"/>
    <row r="7333" hidden="1" x14ac:dyDescent="0.3"/>
    <row r="7334" hidden="1" x14ac:dyDescent="0.3"/>
    <row r="7335" hidden="1" x14ac:dyDescent="0.3"/>
    <row r="7336" hidden="1" x14ac:dyDescent="0.3"/>
    <row r="7337" hidden="1" x14ac:dyDescent="0.3"/>
    <row r="7338" hidden="1" x14ac:dyDescent="0.3"/>
    <row r="7339" hidden="1" x14ac:dyDescent="0.3"/>
    <row r="7340" hidden="1" x14ac:dyDescent="0.3"/>
    <row r="7341" hidden="1" x14ac:dyDescent="0.3"/>
    <row r="7342" hidden="1" x14ac:dyDescent="0.3"/>
    <row r="7343" hidden="1" x14ac:dyDescent="0.3"/>
    <row r="7344" hidden="1" x14ac:dyDescent="0.3"/>
    <row r="7345" hidden="1" x14ac:dyDescent="0.3"/>
    <row r="7346" hidden="1" x14ac:dyDescent="0.3"/>
    <row r="7347" hidden="1" x14ac:dyDescent="0.3"/>
    <row r="7348" hidden="1" x14ac:dyDescent="0.3"/>
    <row r="7349" hidden="1" x14ac:dyDescent="0.3"/>
    <row r="7350" hidden="1" x14ac:dyDescent="0.3"/>
    <row r="7351" hidden="1" x14ac:dyDescent="0.3"/>
    <row r="7352" hidden="1" x14ac:dyDescent="0.3"/>
    <row r="7353" hidden="1" x14ac:dyDescent="0.3"/>
    <row r="7354" hidden="1" x14ac:dyDescent="0.3"/>
    <row r="7355" hidden="1" x14ac:dyDescent="0.3"/>
    <row r="7356" hidden="1" x14ac:dyDescent="0.3"/>
    <row r="7357" hidden="1" x14ac:dyDescent="0.3"/>
    <row r="7358" hidden="1" x14ac:dyDescent="0.3"/>
    <row r="7359" hidden="1" x14ac:dyDescent="0.3"/>
    <row r="7360" hidden="1" x14ac:dyDescent="0.3"/>
    <row r="7361" hidden="1" x14ac:dyDescent="0.3"/>
    <row r="7362" hidden="1" x14ac:dyDescent="0.3"/>
    <row r="7363" hidden="1" x14ac:dyDescent="0.3"/>
    <row r="7364" hidden="1" x14ac:dyDescent="0.3"/>
    <row r="7365" hidden="1" x14ac:dyDescent="0.3"/>
    <row r="7366" hidden="1" x14ac:dyDescent="0.3"/>
    <row r="7367" hidden="1" x14ac:dyDescent="0.3"/>
    <row r="7368" hidden="1" x14ac:dyDescent="0.3"/>
    <row r="7369" hidden="1" x14ac:dyDescent="0.3"/>
    <row r="7370" hidden="1" x14ac:dyDescent="0.3"/>
    <row r="7371" hidden="1" x14ac:dyDescent="0.3"/>
    <row r="7372" hidden="1" x14ac:dyDescent="0.3"/>
    <row r="7373" hidden="1" x14ac:dyDescent="0.3"/>
    <row r="7374" hidden="1" x14ac:dyDescent="0.3"/>
    <row r="7375" hidden="1" x14ac:dyDescent="0.3"/>
    <row r="7376" hidden="1" x14ac:dyDescent="0.3"/>
    <row r="7377" hidden="1" x14ac:dyDescent="0.3"/>
    <row r="7378" hidden="1" x14ac:dyDescent="0.3"/>
    <row r="7379" hidden="1" x14ac:dyDescent="0.3"/>
    <row r="7380" hidden="1" x14ac:dyDescent="0.3"/>
    <row r="7381" hidden="1" x14ac:dyDescent="0.3"/>
    <row r="7382" hidden="1" x14ac:dyDescent="0.3"/>
    <row r="7383" hidden="1" x14ac:dyDescent="0.3"/>
    <row r="7384" hidden="1" x14ac:dyDescent="0.3"/>
    <row r="7385" hidden="1" x14ac:dyDescent="0.3"/>
    <row r="7386" hidden="1" x14ac:dyDescent="0.3"/>
    <row r="7387" hidden="1" x14ac:dyDescent="0.3"/>
    <row r="7388" hidden="1" x14ac:dyDescent="0.3"/>
    <row r="7389" hidden="1" x14ac:dyDescent="0.3"/>
    <row r="7390" hidden="1" x14ac:dyDescent="0.3"/>
    <row r="7391" hidden="1" x14ac:dyDescent="0.3"/>
    <row r="7392" hidden="1" x14ac:dyDescent="0.3"/>
    <row r="7393" hidden="1" x14ac:dyDescent="0.3"/>
    <row r="7394" hidden="1" x14ac:dyDescent="0.3"/>
    <row r="7395" hidden="1" x14ac:dyDescent="0.3"/>
    <row r="7396" hidden="1" x14ac:dyDescent="0.3"/>
    <row r="7397" hidden="1" x14ac:dyDescent="0.3"/>
    <row r="7398" hidden="1" x14ac:dyDescent="0.3"/>
    <row r="7399" hidden="1" x14ac:dyDescent="0.3"/>
    <row r="7400" hidden="1" x14ac:dyDescent="0.3"/>
    <row r="7401" hidden="1" x14ac:dyDescent="0.3"/>
    <row r="7402" hidden="1" x14ac:dyDescent="0.3"/>
    <row r="7403" hidden="1" x14ac:dyDescent="0.3"/>
    <row r="7404" hidden="1" x14ac:dyDescent="0.3"/>
    <row r="7405" hidden="1" x14ac:dyDescent="0.3"/>
    <row r="7406" hidden="1" x14ac:dyDescent="0.3"/>
    <row r="7407" hidden="1" x14ac:dyDescent="0.3"/>
    <row r="7408" hidden="1" x14ac:dyDescent="0.3"/>
    <row r="7409" hidden="1" x14ac:dyDescent="0.3"/>
    <row r="7410" hidden="1" x14ac:dyDescent="0.3"/>
    <row r="7411" hidden="1" x14ac:dyDescent="0.3"/>
    <row r="7412" hidden="1" x14ac:dyDescent="0.3"/>
    <row r="7413" hidden="1" x14ac:dyDescent="0.3"/>
    <row r="7414" hidden="1" x14ac:dyDescent="0.3"/>
    <row r="7415" hidden="1" x14ac:dyDescent="0.3"/>
    <row r="7416" hidden="1" x14ac:dyDescent="0.3"/>
    <row r="7417" hidden="1" x14ac:dyDescent="0.3"/>
    <row r="7418" hidden="1" x14ac:dyDescent="0.3"/>
    <row r="7419" hidden="1" x14ac:dyDescent="0.3"/>
    <row r="7420" hidden="1" x14ac:dyDescent="0.3"/>
    <row r="7421" hidden="1" x14ac:dyDescent="0.3"/>
    <row r="7422" hidden="1" x14ac:dyDescent="0.3"/>
    <row r="7423" hidden="1" x14ac:dyDescent="0.3"/>
    <row r="7424" hidden="1" x14ac:dyDescent="0.3"/>
    <row r="7425" hidden="1" x14ac:dyDescent="0.3"/>
    <row r="7426" hidden="1" x14ac:dyDescent="0.3"/>
    <row r="7427" hidden="1" x14ac:dyDescent="0.3"/>
    <row r="7428" hidden="1" x14ac:dyDescent="0.3"/>
    <row r="7429" hidden="1" x14ac:dyDescent="0.3"/>
    <row r="7430" hidden="1" x14ac:dyDescent="0.3"/>
    <row r="7431" hidden="1" x14ac:dyDescent="0.3"/>
    <row r="7432" hidden="1" x14ac:dyDescent="0.3"/>
    <row r="7433" hidden="1" x14ac:dyDescent="0.3"/>
    <row r="7434" hidden="1" x14ac:dyDescent="0.3"/>
    <row r="7435" hidden="1" x14ac:dyDescent="0.3"/>
    <row r="7436" hidden="1" x14ac:dyDescent="0.3"/>
    <row r="7437" hidden="1" x14ac:dyDescent="0.3"/>
    <row r="7438" hidden="1" x14ac:dyDescent="0.3"/>
    <row r="7439" hidden="1" x14ac:dyDescent="0.3"/>
    <row r="7440" hidden="1" x14ac:dyDescent="0.3"/>
    <row r="7441" hidden="1" x14ac:dyDescent="0.3"/>
    <row r="7442" hidden="1" x14ac:dyDescent="0.3"/>
    <row r="7443" hidden="1" x14ac:dyDescent="0.3"/>
    <row r="7444" hidden="1" x14ac:dyDescent="0.3"/>
    <row r="7445" hidden="1" x14ac:dyDescent="0.3"/>
    <row r="7446" hidden="1" x14ac:dyDescent="0.3"/>
    <row r="7447" hidden="1" x14ac:dyDescent="0.3"/>
    <row r="7448" hidden="1" x14ac:dyDescent="0.3"/>
    <row r="7449" hidden="1" x14ac:dyDescent="0.3"/>
    <row r="7450" hidden="1" x14ac:dyDescent="0.3"/>
    <row r="7451" hidden="1" x14ac:dyDescent="0.3"/>
    <row r="7452" hidden="1" x14ac:dyDescent="0.3"/>
    <row r="7453" hidden="1" x14ac:dyDescent="0.3"/>
    <row r="7454" hidden="1" x14ac:dyDescent="0.3"/>
    <row r="7455" hidden="1" x14ac:dyDescent="0.3"/>
    <row r="7456" hidden="1" x14ac:dyDescent="0.3"/>
    <row r="7457" hidden="1" x14ac:dyDescent="0.3"/>
    <row r="7458" hidden="1" x14ac:dyDescent="0.3"/>
    <row r="7459" hidden="1" x14ac:dyDescent="0.3"/>
    <row r="7460" hidden="1" x14ac:dyDescent="0.3"/>
    <row r="7461" hidden="1" x14ac:dyDescent="0.3"/>
    <row r="7462" hidden="1" x14ac:dyDescent="0.3"/>
    <row r="7463" hidden="1" x14ac:dyDescent="0.3"/>
    <row r="7464" hidden="1" x14ac:dyDescent="0.3"/>
    <row r="7465" hidden="1" x14ac:dyDescent="0.3"/>
    <row r="7466" hidden="1" x14ac:dyDescent="0.3"/>
    <row r="7467" hidden="1" x14ac:dyDescent="0.3"/>
    <row r="7468" hidden="1" x14ac:dyDescent="0.3"/>
    <row r="7469" hidden="1" x14ac:dyDescent="0.3"/>
    <row r="7470" hidden="1" x14ac:dyDescent="0.3"/>
    <row r="7471" hidden="1" x14ac:dyDescent="0.3"/>
    <row r="7472" hidden="1" x14ac:dyDescent="0.3"/>
    <row r="7473" hidden="1" x14ac:dyDescent="0.3"/>
    <row r="7474" hidden="1" x14ac:dyDescent="0.3"/>
    <row r="7475" hidden="1" x14ac:dyDescent="0.3"/>
    <row r="7476" hidden="1" x14ac:dyDescent="0.3"/>
    <row r="7477" hidden="1" x14ac:dyDescent="0.3"/>
    <row r="7478" hidden="1" x14ac:dyDescent="0.3"/>
    <row r="7479" hidden="1" x14ac:dyDescent="0.3"/>
    <row r="7480" hidden="1" x14ac:dyDescent="0.3"/>
    <row r="7481" hidden="1" x14ac:dyDescent="0.3"/>
    <row r="7482" hidden="1" x14ac:dyDescent="0.3"/>
    <row r="7483" hidden="1" x14ac:dyDescent="0.3"/>
    <row r="7484" hidden="1" x14ac:dyDescent="0.3"/>
    <row r="7485" hidden="1" x14ac:dyDescent="0.3"/>
    <row r="7486" hidden="1" x14ac:dyDescent="0.3"/>
    <row r="7487" hidden="1" x14ac:dyDescent="0.3"/>
    <row r="7488" hidden="1" x14ac:dyDescent="0.3"/>
    <row r="7489" hidden="1" x14ac:dyDescent="0.3"/>
    <row r="7490" hidden="1" x14ac:dyDescent="0.3"/>
    <row r="7491" hidden="1" x14ac:dyDescent="0.3"/>
    <row r="7492" hidden="1" x14ac:dyDescent="0.3"/>
    <row r="7493" hidden="1" x14ac:dyDescent="0.3"/>
    <row r="7494" hidden="1" x14ac:dyDescent="0.3"/>
    <row r="7495" hidden="1" x14ac:dyDescent="0.3"/>
    <row r="7496" hidden="1" x14ac:dyDescent="0.3"/>
    <row r="7497" hidden="1" x14ac:dyDescent="0.3"/>
    <row r="7498" hidden="1" x14ac:dyDescent="0.3"/>
    <row r="7499" hidden="1" x14ac:dyDescent="0.3"/>
    <row r="7500" hidden="1" x14ac:dyDescent="0.3"/>
    <row r="7501" hidden="1" x14ac:dyDescent="0.3"/>
    <row r="7502" hidden="1" x14ac:dyDescent="0.3"/>
    <row r="7503" hidden="1" x14ac:dyDescent="0.3"/>
    <row r="7504" hidden="1" x14ac:dyDescent="0.3"/>
    <row r="7505" hidden="1" x14ac:dyDescent="0.3"/>
    <row r="7506" hidden="1" x14ac:dyDescent="0.3"/>
    <row r="7507" hidden="1" x14ac:dyDescent="0.3"/>
    <row r="7508" hidden="1" x14ac:dyDescent="0.3"/>
    <row r="7509" hidden="1" x14ac:dyDescent="0.3"/>
    <row r="7510" hidden="1" x14ac:dyDescent="0.3"/>
    <row r="7511" hidden="1" x14ac:dyDescent="0.3"/>
    <row r="7512" hidden="1" x14ac:dyDescent="0.3"/>
    <row r="7513" hidden="1" x14ac:dyDescent="0.3"/>
    <row r="7514" hidden="1" x14ac:dyDescent="0.3"/>
    <row r="7515" hidden="1" x14ac:dyDescent="0.3"/>
    <row r="7516" hidden="1" x14ac:dyDescent="0.3"/>
    <row r="7517" hidden="1" x14ac:dyDescent="0.3"/>
    <row r="7518" hidden="1" x14ac:dyDescent="0.3"/>
    <row r="7519" hidden="1" x14ac:dyDescent="0.3"/>
    <row r="7520" hidden="1" x14ac:dyDescent="0.3"/>
    <row r="7521" hidden="1" x14ac:dyDescent="0.3"/>
    <row r="7522" hidden="1" x14ac:dyDescent="0.3"/>
    <row r="7523" hidden="1" x14ac:dyDescent="0.3"/>
    <row r="7524" hidden="1" x14ac:dyDescent="0.3"/>
    <row r="7525" hidden="1" x14ac:dyDescent="0.3"/>
    <row r="7526" hidden="1" x14ac:dyDescent="0.3"/>
    <row r="7527" hidden="1" x14ac:dyDescent="0.3"/>
    <row r="7528" hidden="1" x14ac:dyDescent="0.3"/>
    <row r="7529" hidden="1" x14ac:dyDescent="0.3"/>
    <row r="7530" hidden="1" x14ac:dyDescent="0.3"/>
    <row r="7531" hidden="1" x14ac:dyDescent="0.3"/>
    <row r="7532" hidden="1" x14ac:dyDescent="0.3"/>
    <row r="7533" hidden="1" x14ac:dyDescent="0.3"/>
    <row r="7534" hidden="1" x14ac:dyDescent="0.3"/>
    <row r="7535" hidden="1" x14ac:dyDescent="0.3"/>
    <row r="7536" hidden="1" x14ac:dyDescent="0.3"/>
    <row r="7537" hidden="1" x14ac:dyDescent="0.3"/>
    <row r="7538" hidden="1" x14ac:dyDescent="0.3"/>
    <row r="7539" hidden="1" x14ac:dyDescent="0.3"/>
    <row r="7540" hidden="1" x14ac:dyDescent="0.3"/>
    <row r="7541" hidden="1" x14ac:dyDescent="0.3"/>
    <row r="7542" hidden="1" x14ac:dyDescent="0.3"/>
    <row r="7543" hidden="1" x14ac:dyDescent="0.3"/>
    <row r="7544" hidden="1" x14ac:dyDescent="0.3"/>
    <row r="7545" hidden="1" x14ac:dyDescent="0.3"/>
    <row r="7546" hidden="1" x14ac:dyDescent="0.3"/>
    <row r="7547" hidden="1" x14ac:dyDescent="0.3"/>
    <row r="7548" hidden="1" x14ac:dyDescent="0.3"/>
    <row r="7549" hidden="1" x14ac:dyDescent="0.3"/>
    <row r="7550" hidden="1" x14ac:dyDescent="0.3"/>
    <row r="7551" hidden="1" x14ac:dyDescent="0.3"/>
    <row r="7552" hidden="1" x14ac:dyDescent="0.3"/>
    <row r="7553" hidden="1" x14ac:dyDescent="0.3"/>
    <row r="7554" hidden="1" x14ac:dyDescent="0.3"/>
    <row r="7555" hidden="1" x14ac:dyDescent="0.3"/>
    <row r="7556" hidden="1" x14ac:dyDescent="0.3"/>
    <row r="7557" hidden="1" x14ac:dyDescent="0.3"/>
    <row r="7558" hidden="1" x14ac:dyDescent="0.3"/>
    <row r="7559" hidden="1" x14ac:dyDescent="0.3"/>
    <row r="7560" hidden="1" x14ac:dyDescent="0.3"/>
    <row r="7561" hidden="1" x14ac:dyDescent="0.3"/>
    <row r="7562" hidden="1" x14ac:dyDescent="0.3"/>
    <row r="7563" hidden="1" x14ac:dyDescent="0.3"/>
    <row r="7564" hidden="1" x14ac:dyDescent="0.3"/>
    <row r="7565" hidden="1" x14ac:dyDescent="0.3"/>
    <row r="7566" hidden="1" x14ac:dyDescent="0.3"/>
    <row r="7567" hidden="1" x14ac:dyDescent="0.3"/>
    <row r="7568" hidden="1" x14ac:dyDescent="0.3"/>
    <row r="7569" hidden="1" x14ac:dyDescent="0.3"/>
    <row r="7570" hidden="1" x14ac:dyDescent="0.3"/>
    <row r="7571" hidden="1" x14ac:dyDescent="0.3"/>
    <row r="7572" hidden="1" x14ac:dyDescent="0.3"/>
    <row r="7573" hidden="1" x14ac:dyDescent="0.3"/>
    <row r="7574" hidden="1" x14ac:dyDescent="0.3"/>
    <row r="7575" hidden="1" x14ac:dyDescent="0.3"/>
    <row r="7576" hidden="1" x14ac:dyDescent="0.3"/>
    <row r="7577" hidden="1" x14ac:dyDescent="0.3"/>
    <row r="7578" hidden="1" x14ac:dyDescent="0.3"/>
    <row r="7579" hidden="1" x14ac:dyDescent="0.3"/>
    <row r="7580" hidden="1" x14ac:dyDescent="0.3"/>
    <row r="7581" hidden="1" x14ac:dyDescent="0.3"/>
    <row r="7582" hidden="1" x14ac:dyDescent="0.3"/>
    <row r="7583" hidden="1" x14ac:dyDescent="0.3"/>
    <row r="7584" hidden="1" x14ac:dyDescent="0.3"/>
    <row r="7585" hidden="1" x14ac:dyDescent="0.3"/>
    <row r="7586" hidden="1" x14ac:dyDescent="0.3"/>
    <row r="7587" hidden="1" x14ac:dyDescent="0.3"/>
    <row r="7588" hidden="1" x14ac:dyDescent="0.3"/>
    <row r="7589" hidden="1" x14ac:dyDescent="0.3"/>
    <row r="7590" hidden="1" x14ac:dyDescent="0.3"/>
    <row r="7591" hidden="1" x14ac:dyDescent="0.3"/>
    <row r="7592" hidden="1" x14ac:dyDescent="0.3"/>
    <row r="7593" hidden="1" x14ac:dyDescent="0.3"/>
    <row r="7594" hidden="1" x14ac:dyDescent="0.3"/>
    <row r="7595" hidden="1" x14ac:dyDescent="0.3"/>
    <row r="7596" hidden="1" x14ac:dyDescent="0.3"/>
    <row r="7597" hidden="1" x14ac:dyDescent="0.3"/>
    <row r="7598" hidden="1" x14ac:dyDescent="0.3"/>
    <row r="7599" hidden="1" x14ac:dyDescent="0.3"/>
    <row r="7600" hidden="1" x14ac:dyDescent="0.3"/>
    <row r="7601" hidden="1" x14ac:dyDescent="0.3"/>
    <row r="7602" hidden="1" x14ac:dyDescent="0.3"/>
    <row r="7603" hidden="1" x14ac:dyDescent="0.3"/>
    <row r="7604" hidden="1" x14ac:dyDescent="0.3"/>
    <row r="7605" hidden="1" x14ac:dyDescent="0.3"/>
    <row r="7606" hidden="1" x14ac:dyDescent="0.3"/>
    <row r="7607" hidden="1" x14ac:dyDescent="0.3"/>
    <row r="7608" hidden="1" x14ac:dyDescent="0.3"/>
    <row r="7609" hidden="1" x14ac:dyDescent="0.3"/>
    <row r="7610" hidden="1" x14ac:dyDescent="0.3"/>
    <row r="7611" hidden="1" x14ac:dyDescent="0.3"/>
    <row r="7612" hidden="1" x14ac:dyDescent="0.3"/>
    <row r="7613" hidden="1" x14ac:dyDescent="0.3"/>
    <row r="7614" hidden="1" x14ac:dyDescent="0.3"/>
    <row r="7615" hidden="1" x14ac:dyDescent="0.3"/>
    <row r="7616" hidden="1" x14ac:dyDescent="0.3"/>
    <row r="7617" hidden="1" x14ac:dyDescent="0.3"/>
    <row r="7618" hidden="1" x14ac:dyDescent="0.3"/>
    <row r="7619" hidden="1" x14ac:dyDescent="0.3"/>
    <row r="7620" hidden="1" x14ac:dyDescent="0.3"/>
    <row r="7621" hidden="1" x14ac:dyDescent="0.3"/>
    <row r="7622" hidden="1" x14ac:dyDescent="0.3"/>
    <row r="7623" hidden="1" x14ac:dyDescent="0.3"/>
    <row r="7624" hidden="1" x14ac:dyDescent="0.3"/>
    <row r="7625" hidden="1" x14ac:dyDescent="0.3"/>
    <row r="7626" hidden="1" x14ac:dyDescent="0.3"/>
    <row r="7627" hidden="1" x14ac:dyDescent="0.3"/>
    <row r="7628" hidden="1" x14ac:dyDescent="0.3"/>
    <row r="7629" hidden="1" x14ac:dyDescent="0.3"/>
    <row r="7630" hidden="1" x14ac:dyDescent="0.3"/>
    <row r="7631" hidden="1" x14ac:dyDescent="0.3"/>
    <row r="7632" hidden="1" x14ac:dyDescent="0.3"/>
    <row r="7633" hidden="1" x14ac:dyDescent="0.3"/>
    <row r="7634" hidden="1" x14ac:dyDescent="0.3"/>
    <row r="7635" hidden="1" x14ac:dyDescent="0.3"/>
    <row r="7636" hidden="1" x14ac:dyDescent="0.3"/>
    <row r="7637" hidden="1" x14ac:dyDescent="0.3"/>
    <row r="7638" hidden="1" x14ac:dyDescent="0.3"/>
    <row r="7639" hidden="1" x14ac:dyDescent="0.3"/>
    <row r="7640" hidden="1" x14ac:dyDescent="0.3"/>
    <row r="7641" hidden="1" x14ac:dyDescent="0.3"/>
    <row r="7642" hidden="1" x14ac:dyDescent="0.3"/>
    <row r="7643" hidden="1" x14ac:dyDescent="0.3"/>
    <row r="7644" hidden="1" x14ac:dyDescent="0.3"/>
    <row r="7645" hidden="1" x14ac:dyDescent="0.3"/>
    <row r="7646" hidden="1" x14ac:dyDescent="0.3"/>
    <row r="7647" hidden="1" x14ac:dyDescent="0.3"/>
    <row r="7648" hidden="1" x14ac:dyDescent="0.3"/>
    <row r="7649" hidden="1" x14ac:dyDescent="0.3"/>
    <row r="7650" hidden="1" x14ac:dyDescent="0.3"/>
    <row r="7651" hidden="1" x14ac:dyDescent="0.3"/>
    <row r="7652" hidden="1" x14ac:dyDescent="0.3"/>
    <row r="7653" hidden="1" x14ac:dyDescent="0.3"/>
    <row r="7654" hidden="1" x14ac:dyDescent="0.3"/>
    <row r="7655" hidden="1" x14ac:dyDescent="0.3"/>
    <row r="7656" hidden="1" x14ac:dyDescent="0.3"/>
    <row r="7657" hidden="1" x14ac:dyDescent="0.3"/>
    <row r="7658" hidden="1" x14ac:dyDescent="0.3"/>
    <row r="7659" hidden="1" x14ac:dyDescent="0.3"/>
    <row r="7660" hidden="1" x14ac:dyDescent="0.3"/>
    <row r="7661" hidden="1" x14ac:dyDescent="0.3"/>
    <row r="7662" hidden="1" x14ac:dyDescent="0.3"/>
    <row r="7663" hidden="1" x14ac:dyDescent="0.3"/>
    <row r="7664" hidden="1" x14ac:dyDescent="0.3"/>
    <row r="7665" hidden="1" x14ac:dyDescent="0.3"/>
    <row r="7666" hidden="1" x14ac:dyDescent="0.3"/>
    <row r="7667" hidden="1" x14ac:dyDescent="0.3"/>
    <row r="7668" hidden="1" x14ac:dyDescent="0.3"/>
    <row r="7669" hidden="1" x14ac:dyDescent="0.3"/>
    <row r="7670" hidden="1" x14ac:dyDescent="0.3"/>
    <row r="7671" hidden="1" x14ac:dyDescent="0.3"/>
    <row r="7672" hidden="1" x14ac:dyDescent="0.3"/>
    <row r="7673" hidden="1" x14ac:dyDescent="0.3"/>
    <row r="7674" hidden="1" x14ac:dyDescent="0.3"/>
    <row r="7675" hidden="1" x14ac:dyDescent="0.3"/>
    <row r="7676" hidden="1" x14ac:dyDescent="0.3"/>
    <row r="7677" hidden="1" x14ac:dyDescent="0.3"/>
    <row r="7678" hidden="1" x14ac:dyDescent="0.3"/>
    <row r="7679" hidden="1" x14ac:dyDescent="0.3"/>
    <row r="7680" hidden="1" x14ac:dyDescent="0.3"/>
    <row r="7681" hidden="1" x14ac:dyDescent="0.3"/>
    <row r="7682" hidden="1" x14ac:dyDescent="0.3"/>
    <row r="7683" hidden="1" x14ac:dyDescent="0.3"/>
    <row r="7684" hidden="1" x14ac:dyDescent="0.3"/>
    <row r="7685" hidden="1" x14ac:dyDescent="0.3"/>
    <row r="7686" hidden="1" x14ac:dyDescent="0.3"/>
    <row r="7687" hidden="1" x14ac:dyDescent="0.3"/>
    <row r="7688" hidden="1" x14ac:dyDescent="0.3"/>
    <row r="7689" hidden="1" x14ac:dyDescent="0.3"/>
    <row r="7690" hidden="1" x14ac:dyDescent="0.3"/>
    <row r="7691" hidden="1" x14ac:dyDescent="0.3"/>
    <row r="7692" hidden="1" x14ac:dyDescent="0.3"/>
    <row r="7693" hidden="1" x14ac:dyDescent="0.3"/>
    <row r="7694" hidden="1" x14ac:dyDescent="0.3"/>
    <row r="7695" hidden="1" x14ac:dyDescent="0.3"/>
    <row r="7696" hidden="1" x14ac:dyDescent="0.3"/>
    <row r="7697" hidden="1" x14ac:dyDescent="0.3"/>
    <row r="7698" hidden="1" x14ac:dyDescent="0.3"/>
    <row r="7699" hidden="1" x14ac:dyDescent="0.3"/>
    <row r="7700" hidden="1" x14ac:dyDescent="0.3"/>
    <row r="7701" hidden="1" x14ac:dyDescent="0.3"/>
    <row r="7702" hidden="1" x14ac:dyDescent="0.3"/>
    <row r="7703" hidden="1" x14ac:dyDescent="0.3"/>
    <row r="7704" hidden="1" x14ac:dyDescent="0.3"/>
    <row r="7705" hidden="1" x14ac:dyDescent="0.3"/>
    <row r="7706" hidden="1" x14ac:dyDescent="0.3"/>
    <row r="7707" hidden="1" x14ac:dyDescent="0.3"/>
    <row r="7708" hidden="1" x14ac:dyDescent="0.3"/>
    <row r="7709" hidden="1" x14ac:dyDescent="0.3"/>
    <row r="7710" hidden="1" x14ac:dyDescent="0.3"/>
    <row r="7711" hidden="1" x14ac:dyDescent="0.3"/>
    <row r="7712" hidden="1" x14ac:dyDescent="0.3"/>
    <row r="7713" hidden="1" x14ac:dyDescent="0.3"/>
    <row r="7714" hidden="1" x14ac:dyDescent="0.3"/>
    <row r="7715" hidden="1" x14ac:dyDescent="0.3"/>
    <row r="7716" hidden="1" x14ac:dyDescent="0.3"/>
    <row r="7717" hidden="1" x14ac:dyDescent="0.3"/>
    <row r="7718" hidden="1" x14ac:dyDescent="0.3"/>
    <row r="7719" hidden="1" x14ac:dyDescent="0.3"/>
    <row r="7720" hidden="1" x14ac:dyDescent="0.3"/>
    <row r="7721" hidden="1" x14ac:dyDescent="0.3"/>
    <row r="7722" hidden="1" x14ac:dyDescent="0.3"/>
    <row r="7723" hidden="1" x14ac:dyDescent="0.3"/>
    <row r="7724" hidden="1" x14ac:dyDescent="0.3"/>
    <row r="7725" hidden="1" x14ac:dyDescent="0.3"/>
    <row r="7726" hidden="1" x14ac:dyDescent="0.3"/>
    <row r="7727" hidden="1" x14ac:dyDescent="0.3"/>
    <row r="7728" hidden="1" x14ac:dyDescent="0.3"/>
    <row r="7729" hidden="1" x14ac:dyDescent="0.3"/>
    <row r="7730" hidden="1" x14ac:dyDescent="0.3"/>
    <row r="7731" hidden="1" x14ac:dyDescent="0.3"/>
    <row r="7732" hidden="1" x14ac:dyDescent="0.3"/>
    <row r="7733" hidden="1" x14ac:dyDescent="0.3"/>
    <row r="7734" hidden="1" x14ac:dyDescent="0.3"/>
    <row r="7735" hidden="1" x14ac:dyDescent="0.3"/>
    <row r="7736" hidden="1" x14ac:dyDescent="0.3"/>
    <row r="7737" hidden="1" x14ac:dyDescent="0.3"/>
    <row r="7738" hidden="1" x14ac:dyDescent="0.3"/>
    <row r="7739" hidden="1" x14ac:dyDescent="0.3"/>
    <row r="7740" hidden="1" x14ac:dyDescent="0.3"/>
    <row r="7741" hidden="1" x14ac:dyDescent="0.3"/>
    <row r="7742" hidden="1" x14ac:dyDescent="0.3"/>
    <row r="7743" hidden="1" x14ac:dyDescent="0.3"/>
    <row r="7744" hidden="1" x14ac:dyDescent="0.3"/>
    <row r="7745" hidden="1" x14ac:dyDescent="0.3"/>
    <row r="7746" hidden="1" x14ac:dyDescent="0.3"/>
    <row r="7747" hidden="1" x14ac:dyDescent="0.3"/>
    <row r="7748" hidden="1" x14ac:dyDescent="0.3"/>
    <row r="7749" hidden="1" x14ac:dyDescent="0.3"/>
    <row r="7750" hidden="1" x14ac:dyDescent="0.3"/>
    <row r="7751" hidden="1" x14ac:dyDescent="0.3"/>
    <row r="7752" hidden="1" x14ac:dyDescent="0.3"/>
    <row r="7753" hidden="1" x14ac:dyDescent="0.3"/>
    <row r="7754" hidden="1" x14ac:dyDescent="0.3"/>
    <row r="7755" hidden="1" x14ac:dyDescent="0.3"/>
    <row r="7756" hidden="1" x14ac:dyDescent="0.3"/>
    <row r="7757" hidden="1" x14ac:dyDescent="0.3"/>
    <row r="7758" hidden="1" x14ac:dyDescent="0.3"/>
    <row r="7759" hidden="1" x14ac:dyDescent="0.3"/>
    <row r="7760" hidden="1" x14ac:dyDescent="0.3"/>
    <row r="7761" hidden="1" x14ac:dyDescent="0.3"/>
    <row r="7762" hidden="1" x14ac:dyDescent="0.3"/>
    <row r="7763" hidden="1" x14ac:dyDescent="0.3"/>
    <row r="7764" hidden="1" x14ac:dyDescent="0.3"/>
    <row r="7765" hidden="1" x14ac:dyDescent="0.3"/>
    <row r="7766" hidden="1" x14ac:dyDescent="0.3"/>
    <row r="7767" hidden="1" x14ac:dyDescent="0.3"/>
    <row r="7768" hidden="1" x14ac:dyDescent="0.3"/>
    <row r="7769" hidden="1" x14ac:dyDescent="0.3"/>
    <row r="7770" hidden="1" x14ac:dyDescent="0.3"/>
    <row r="7771" hidden="1" x14ac:dyDescent="0.3"/>
    <row r="7772" hidden="1" x14ac:dyDescent="0.3"/>
    <row r="7773" hidden="1" x14ac:dyDescent="0.3"/>
    <row r="7774" hidden="1" x14ac:dyDescent="0.3"/>
    <row r="7775" hidden="1" x14ac:dyDescent="0.3"/>
    <row r="7776" hidden="1" x14ac:dyDescent="0.3"/>
    <row r="7777" hidden="1" x14ac:dyDescent="0.3"/>
    <row r="7778" hidden="1" x14ac:dyDescent="0.3"/>
    <row r="7779" hidden="1" x14ac:dyDescent="0.3"/>
    <row r="7780" hidden="1" x14ac:dyDescent="0.3"/>
    <row r="7781" hidden="1" x14ac:dyDescent="0.3"/>
    <row r="7782" hidden="1" x14ac:dyDescent="0.3"/>
    <row r="7783" hidden="1" x14ac:dyDescent="0.3"/>
    <row r="7784" hidden="1" x14ac:dyDescent="0.3"/>
    <row r="7785" hidden="1" x14ac:dyDescent="0.3"/>
    <row r="7786" hidden="1" x14ac:dyDescent="0.3"/>
    <row r="7787" hidden="1" x14ac:dyDescent="0.3"/>
    <row r="7788" hidden="1" x14ac:dyDescent="0.3"/>
    <row r="7789" hidden="1" x14ac:dyDescent="0.3"/>
    <row r="7790" hidden="1" x14ac:dyDescent="0.3"/>
    <row r="7791" hidden="1" x14ac:dyDescent="0.3"/>
    <row r="7792" hidden="1" x14ac:dyDescent="0.3"/>
    <row r="7793" hidden="1" x14ac:dyDescent="0.3"/>
    <row r="7794" hidden="1" x14ac:dyDescent="0.3"/>
    <row r="7795" hidden="1" x14ac:dyDescent="0.3"/>
    <row r="7796" hidden="1" x14ac:dyDescent="0.3"/>
    <row r="7797" hidden="1" x14ac:dyDescent="0.3"/>
    <row r="7798" hidden="1" x14ac:dyDescent="0.3"/>
    <row r="7799" hidden="1" x14ac:dyDescent="0.3"/>
    <row r="7800" hidden="1" x14ac:dyDescent="0.3"/>
    <row r="7801" hidden="1" x14ac:dyDescent="0.3"/>
    <row r="7802" hidden="1" x14ac:dyDescent="0.3"/>
    <row r="7803" hidden="1" x14ac:dyDescent="0.3"/>
    <row r="7804" hidden="1" x14ac:dyDescent="0.3"/>
    <row r="7805" hidden="1" x14ac:dyDescent="0.3"/>
    <row r="7806" hidden="1" x14ac:dyDescent="0.3"/>
    <row r="7807" hidden="1" x14ac:dyDescent="0.3"/>
    <row r="7808" hidden="1" x14ac:dyDescent="0.3"/>
    <row r="7809" hidden="1" x14ac:dyDescent="0.3"/>
    <row r="7810" hidden="1" x14ac:dyDescent="0.3"/>
    <row r="7811" hidden="1" x14ac:dyDescent="0.3"/>
    <row r="7812" hidden="1" x14ac:dyDescent="0.3"/>
    <row r="7813" hidden="1" x14ac:dyDescent="0.3"/>
    <row r="7814" hidden="1" x14ac:dyDescent="0.3"/>
    <row r="7815" hidden="1" x14ac:dyDescent="0.3"/>
    <row r="7816" hidden="1" x14ac:dyDescent="0.3"/>
    <row r="7817" hidden="1" x14ac:dyDescent="0.3"/>
    <row r="7818" hidden="1" x14ac:dyDescent="0.3"/>
    <row r="7819" hidden="1" x14ac:dyDescent="0.3"/>
    <row r="7820" hidden="1" x14ac:dyDescent="0.3"/>
    <row r="7821" hidden="1" x14ac:dyDescent="0.3"/>
    <row r="7822" hidden="1" x14ac:dyDescent="0.3"/>
    <row r="7823" hidden="1" x14ac:dyDescent="0.3"/>
    <row r="7824" hidden="1" x14ac:dyDescent="0.3"/>
    <row r="7825" hidden="1" x14ac:dyDescent="0.3"/>
    <row r="7826" hidden="1" x14ac:dyDescent="0.3"/>
    <row r="7827" hidden="1" x14ac:dyDescent="0.3"/>
    <row r="7828" hidden="1" x14ac:dyDescent="0.3"/>
    <row r="7829" hidden="1" x14ac:dyDescent="0.3"/>
    <row r="7830" hidden="1" x14ac:dyDescent="0.3"/>
    <row r="7831" hidden="1" x14ac:dyDescent="0.3"/>
    <row r="7832" hidden="1" x14ac:dyDescent="0.3"/>
    <row r="7833" hidden="1" x14ac:dyDescent="0.3"/>
    <row r="7834" hidden="1" x14ac:dyDescent="0.3"/>
    <row r="7835" hidden="1" x14ac:dyDescent="0.3"/>
    <row r="7836" hidden="1" x14ac:dyDescent="0.3"/>
    <row r="7837" hidden="1" x14ac:dyDescent="0.3"/>
    <row r="7838" hidden="1" x14ac:dyDescent="0.3"/>
    <row r="7839" hidden="1" x14ac:dyDescent="0.3"/>
    <row r="7840" hidden="1" x14ac:dyDescent="0.3"/>
    <row r="7841" hidden="1" x14ac:dyDescent="0.3"/>
    <row r="7842" hidden="1" x14ac:dyDescent="0.3"/>
    <row r="7843" hidden="1" x14ac:dyDescent="0.3"/>
    <row r="7844" hidden="1" x14ac:dyDescent="0.3"/>
    <row r="7845" hidden="1" x14ac:dyDescent="0.3"/>
    <row r="7846" hidden="1" x14ac:dyDescent="0.3"/>
    <row r="7847" hidden="1" x14ac:dyDescent="0.3"/>
    <row r="7848" hidden="1" x14ac:dyDescent="0.3"/>
    <row r="7849" hidden="1" x14ac:dyDescent="0.3"/>
    <row r="7850" hidden="1" x14ac:dyDescent="0.3"/>
    <row r="7851" hidden="1" x14ac:dyDescent="0.3"/>
    <row r="7852" hidden="1" x14ac:dyDescent="0.3"/>
    <row r="7853" hidden="1" x14ac:dyDescent="0.3"/>
    <row r="7854" hidden="1" x14ac:dyDescent="0.3"/>
    <row r="7855" hidden="1" x14ac:dyDescent="0.3"/>
    <row r="7856" hidden="1" x14ac:dyDescent="0.3"/>
    <row r="7857" hidden="1" x14ac:dyDescent="0.3"/>
    <row r="7858" hidden="1" x14ac:dyDescent="0.3"/>
    <row r="7859" hidden="1" x14ac:dyDescent="0.3"/>
    <row r="7860" hidden="1" x14ac:dyDescent="0.3"/>
    <row r="7861" hidden="1" x14ac:dyDescent="0.3"/>
    <row r="7862" hidden="1" x14ac:dyDescent="0.3"/>
    <row r="7863" hidden="1" x14ac:dyDescent="0.3"/>
    <row r="7864" hidden="1" x14ac:dyDescent="0.3"/>
    <row r="7865" hidden="1" x14ac:dyDescent="0.3"/>
    <row r="7866" hidden="1" x14ac:dyDescent="0.3"/>
    <row r="7867" hidden="1" x14ac:dyDescent="0.3"/>
    <row r="7868" hidden="1" x14ac:dyDescent="0.3"/>
    <row r="7869" hidden="1" x14ac:dyDescent="0.3"/>
    <row r="7870" hidden="1" x14ac:dyDescent="0.3"/>
    <row r="7871" hidden="1" x14ac:dyDescent="0.3"/>
    <row r="7872" hidden="1" x14ac:dyDescent="0.3"/>
    <row r="7873" hidden="1" x14ac:dyDescent="0.3"/>
    <row r="7874" hidden="1" x14ac:dyDescent="0.3"/>
    <row r="7875" hidden="1" x14ac:dyDescent="0.3"/>
    <row r="7876" hidden="1" x14ac:dyDescent="0.3"/>
    <row r="7877" hidden="1" x14ac:dyDescent="0.3"/>
    <row r="7878" hidden="1" x14ac:dyDescent="0.3"/>
    <row r="7879" hidden="1" x14ac:dyDescent="0.3"/>
    <row r="7880" hidden="1" x14ac:dyDescent="0.3"/>
    <row r="7881" hidden="1" x14ac:dyDescent="0.3"/>
    <row r="7882" hidden="1" x14ac:dyDescent="0.3"/>
    <row r="7883" hidden="1" x14ac:dyDescent="0.3"/>
    <row r="7884" hidden="1" x14ac:dyDescent="0.3"/>
    <row r="7885" hidden="1" x14ac:dyDescent="0.3"/>
    <row r="7886" hidden="1" x14ac:dyDescent="0.3"/>
    <row r="7887" hidden="1" x14ac:dyDescent="0.3"/>
    <row r="7888" hidden="1" x14ac:dyDescent="0.3"/>
    <row r="7889" hidden="1" x14ac:dyDescent="0.3"/>
    <row r="7890" hidden="1" x14ac:dyDescent="0.3"/>
    <row r="7891" hidden="1" x14ac:dyDescent="0.3"/>
    <row r="7892" hidden="1" x14ac:dyDescent="0.3"/>
    <row r="7893" hidden="1" x14ac:dyDescent="0.3"/>
    <row r="7894" hidden="1" x14ac:dyDescent="0.3"/>
    <row r="7895" hidden="1" x14ac:dyDescent="0.3"/>
    <row r="7896" hidden="1" x14ac:dyDescent="0.3"/>
    <row r="7897" hidden="1" x14ac:dyDescent="0.3"/>
    <row r="7898" hidden="1" x14ac:dyDescent="0.3"/>
    <row r="7899" hidden="1" x14ac:dyDescent="0.3"/>
    <row r="7900" hidden="1" x14ac:dyDescent="0.3"/>
    <row r="7901" hidden="1" x14ac:dyDescent="0.3"/>
    <row r="7902" hidden="1" x14ac:dyDescent="0.3"/>
    <row r="7903" hidden="1" x14ac:dyDescent="0.3"/>
    <row r="7904" hidden="1" x14ac:dyDescent="0.3"/>
    <row r="7905" hidden="1" x14ac:dyDescent="0.3"/>
    <row r="7906" hidden="1" x14ac:dyDescent="0.3"/>
    <row r="7907" hidden="1" x14ac:dyDescent="0.3"/>
    <row r="7908" hidden="1" x14ac:dyDescent="0.3"/>
    <row r="7909" hidden="1" x14ac:dyDescent="0.3"/>
    <row r="7910" hidden="1" x14ac:dyDescent="0.3"/>
    <row r="7911" hidden="1" x14ac:dyDescent="0.3"/>
    <row r="7912" hidden="1" x14ac:dyDescent="0.3"/>
    <row r="7913" hidden="1" x14ac:dyDescent="0.3"/>
    <row r="7914" hidden="1" x14ac:dyDescent="0.3"/>
    <row r="7915" hidden="1" x14ac:dyDescent="0.3"/>
    <row r="7916" hidden="1" x14ac:dyDescent="0.3"/>
    <row r="7917" hidden="1" x14ac:dyDescent="0.3"/>
    <row r="7918" hidden="1" x14ac:dyDescent="0.3"/>
    <row r="7919" hidden="1" x14ac:dyDescent="0.3"/>
    <row r="7920" hidden="1" x14ac:dyDescent="0.3"/>
    <row r="7921" hidden="1" x14ac:dyDescent="0.3"/>
    <row r="7922" hidden="1" x14ac:dyDescent="0.3"/>
    <row r="7923" hidden="1" x14ac:dyDescent="0.3"/>
    <row r="7924" hidden="1" x14ac:dyDescent="0.3"/>
    <row r="7925" hidden="1" x14ac:dyDescent="0.3"/>
    <row r="7926" hidden="1" x14ac:dyDescent="0.3"/>
    <row r="7927" hidden="1" x14ac:dyDescent="0.3"/>
    <row r="7928" hidden="1" x14ac:dyDescent="0.3"/>
    <row r="7929" hidden="1" x14ac:dyDescent="0.3"/>
    <row r="7930" hidden="1" x14ac:dyDescent="0.3"/>
    <row r="7931" hidden="1" x14ac:dyDescent="0.3"/>
    <row r="7932" hidden="1" x14ac:dyDescent="0.3"/>
    <row r="7933" hidden="1" x14ac:dyDescent="0.3"/>
    <row r="7934" hidden="1" x14ac:dyDescent="0.3"/>
    <row r="7935" hidden="1" x14ac:dyDescent="0.3"/>
    <row r="7936" hidden="1" x14ac:dyDescent="0.3"/>
    <row r="7937" hidden="1" x14ac:dyDescent="0.3"/>
    <row r="7938" hidden="1" x14ac:dyDescent="0.3"/>
    <row r="7939" hidden="1" x14ac:dyDescent="0.3"/>
    <row r="7940" hidden="1" x14ac:dyDescent="0.3"/>
    <row r="7941" hidden="1" x14ac:dyDescent="0.3"/>
    <row r="7942" hidden="1" x14ac:dyDescent="0.3"/>
    <row r="7943" hidden="1" x14ac:dyDescent="0.3"/>
    <row r="7944" hidden="1" x14ac:dyDescent="0.3"/>
    <row r="7945" hidden="1" x14ac:dyDescent="0.3"/>
    <row r="7946" hidden="1" x14ac:dyDescent="0.3"/>
    <row r="7947" hidden="1" x14ac:dyDescent="0.3"/>
    <row r="7948" hidden="1" x14ac:dyDescent="0.3"/>
    <row r="7949" hidden="1" x14ac:dyDescent="0.3"/>
    <row r="7950" hidden="1" x14ac:dyDescent="0.3"/>
    <row r="7951" hidden="1" x14ac:dyDescent="0.3"/>
    <row r="7952" hidden="1" x14ac:dyDescent="0.3"/>
    <row r="7953" hidden="1" x14ac:dyDescent="0.3"/>
    <row r="7954" hidden="1" x14ac:dyDescent="0.3"/>
    <row r="7955" hidden="1" x14ac:dyDescent="0.3"/>
    <row r="7956" hidden="1" x14ac:dyDescent="0.3"/>
    <row r="7957" hidden="1" x14ac:dyDescent="0.3"/>
    <row r="7958" hidden="1" x14ac:dyDescent="0.3"/>
    <row r="7959" hidden="1" x14ac:dyDescent="0.3"/>
    <row r="7960" hidden="1" x14ac:dyDescent="0.3"/>
    <row r="7961" hidden="1" x14ac:dyDescent="0.3"/>
    <row r="7962" hidden="1" x14ac:dyDescent="0.3"/>
    <row r="7963" hidden="1" x14ac:dyDescent="0.3"/>
    <row r="7964" hidden="1" x14ac:dyDescent="0.3"/>
    <row r="7965" hidden="1" x14ac:dyDescent="0.3"/>
    <row r="7966" hidden="1" x14ac:dyDescent="0.3"/>
    <row r="7967" hidden="1" x14ac:dyDescent="0.3"/>
    <row r="7968" hidden="1" x14ac:dyDescent="0.3"/>
    <row r="7969" hidden="1" x14ac:dyDescent="0.3"/>
    <row r="7970" hidden="1" x14ac:dyDescent="0.3"/>
    <row r="7971" hidden="1" x14ac:dyDescent="0.3"/>
    <row r="7972" hidden="1" x14ac:dyDescent="0.3"/>
    <row r="7973" hidden="1" x14ac:dyDescent="0.3"/>
    <row r="7974" hidden="1" x14ac:dyDescent="0.3"/>
    <row r="7975" hidden="1" x14ac:dyDescent="0.3"/>
    <row r="7976" hidden="1" x14ac:dyDescent="0.3"/>
    <row r="7977" hidden="1" x14ac:dyDescent="0.3"/>
    <row r="7978" hidden="1" x14ac:dyDescent="0.3"/>
    <row r="7979" hidden="1" x14ac:dyDescent="0.3"/>
    <row r="7980" hidden="1" x14ac:dyDescent="0.3"/>
    <row r="7981" hidden="1" x14ac:dyDescent="0.3"/>
    <row r="7982" hidden="1" x14ac:dyDescent="0.3"/>
    <row r="7983" hidden="1" x14ac:dyDescent="0.3"/>
    <row r="7984" hidden="1" x14ac:dyDescent="0.3"/>
    <row r="7985" hidden="1" x14ac:dyDescent="0.3"/>
    <row r="7986" hidden="1" x14ac:dyDescent="0.3"/>
    <row r="7987" hidden="1" x14ac:dyDescent="0.3"/>
    <row r="7988" hidden="1" x14ac:dyDescent="0.3"/>
    <row r="7989" hidden="1" x14ac:dyDescent="0.3"/>
    <row r="7990" hidden="1" x14ac:dyDescent="0.3"/>
    <row r="7991" hidden="1" x14ac:dyDescent="0.3"/>
    <row r="7992" hidden="1" x14ac:dyDescent="0.3"/>
    <row r="7993" hidden="1" x14ac:dyDescent="0.3"/>
    <row r="7994" hidden="1" x14ac:dyDescent="0.3"/>
    <row r="7995" hidden="1" x14ac:dyDescent="0.3"/>
    <row r="7996" hidden="1" x14ac:dyDescent="0.3"/>
    <row r="7997" hidden="1" x14ac:dyDescent="0.3"/>
    <row r="7998" hidden="1" x14ac:dyDescent="0.3"/>
    <row r="7999" hidden="1" x14ac:dyDescent="0.3"/>
    <row r="8000" hidden="1" x14ac:dyDescent="0.3"/>
    <row r="8001" hidden="1" x14ac:dyDescent="0.3"/>
    <row r="8002" hidden="1" x14ac:dyDescent="0.3"/>
    <row r="8003" hidden="1" x14ac:dyDescent="0.3"/>
    <row r="8004" hidden="1" x14ac:dyDescent="0.3"/>
    <row r="8005" hidden="1" x14ac:dyDescent="0.3"/>
    <row r="8006" hidden="1" x14ac:dyDescent="0.3"/>
    <row r="8007" hidden="1" x14ac:dyDescent="0.3"/>
    <row r="8008" hidden="1" x14ac:dyDescent="0.3"/>
    <row r="8009" hidden="1" x14ac:dyDescent="0.3"/>
    <row r="8010" hidden="1" x14ac:dyDescent="0.3"/>
    <row r="8011" hidden="1" x14ac:dyDescent="0.3"/>
    <row r="8012" hidden="1" x14ac:dyDescent="0.3"/>
    <row r="8013" hidden="1" x14ac:dyDescent="0.3"/>
    <row r="8014" hidden="1" x14ac:dyDescent="0.3"/>
    <row r="8015" hidden="1" x14ac:dyDescent="0.3"/>
    <row r="8016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hidden="1" x14ac:dyDescent="0.3"/>
    <row r="8098" hidden="1" x14ac:dyDescent="0.3"/>
    <row r="8099" hidden="1" x14ac:dyDescent="0.3"/>
    <row r="8100" hidden="1" x14ac:dyDescent="0.3"/>
    <row r="8101" hidden="1" x14ac:dyDescent="0.3"/>
    <row r="8102" hidden="1" x14ac:dyDescent="0.3"/>
    <row r="8103" hidden="1" x14ac:dyDescent="0.3"/>
    <row r="8104" hidden="1" x14ac:dyDescent="0.3"/>
    <row r="8105" hidden="1" x14ac:dyDescent="0.3"/>
    <row r="8106" hidden="1" x14ac:dyDescent="0.3"/>
    <row r="8107" hidden="1" x14ac:dyDescent="0.3"/>
    <row r="8108" hidden="1" x14ac:dyDescent="0.3"/>
    <row r="8109" hidden="1" x14ac:dyDescent="0.3"/>
    <row r="8110" hidden="1" x14ac:dyDescent="0.3"/>
    <row r="8111" hidden="1" x14ac:dyDescent="0.3"/>
    <row r="8112" hidden="1" x14ac:dyDescent="0.3"/>
    <row r="8113" hidden="1" x14ac:dyDescent="0.3"/>
    <row r="8114" hidden="1" x14ac:dyDescent="0.3"/>
    <row r="8115" hidden="1" x14ac:dyDescent="0.3"/>
    <row r="8116" hidden="1" x14ac:dyDescent="0.3"/>
    <row r="8117" hidden="1" x14ac:dyDescent="0.3"/>
    <row r="8118" hidden="1" x14ac:dyDescent="0.3"/>
    <row r="8119" hidden="1" x14ac:dyDescent="0.3"/>
    <row r="8120" hidden="1" x14ac:dyDescent="0.3"/>
    <row r="8121" hidden="1" x14ac:dyDescent="0.3"/>
    <row r="8122" hidden="1" x14ac:dyDescent="0.3"/>
    <row r="8123" hidden="1" x14ac:dyDescent="0.3"/>
    <row r="8124" hidden="1" x14ac:dyDescent="0.3"/>
    <row r="8125" hidden="1" x14ac:dyDescent="0.3"/>
    <row r="8126" hidden="1" x14ac:dyDescent="0.3"/>
    <row r="8127" hidden="1" x14ac:dyDescent="0.3"/>
    <row r="8128" hidden="1" x14ac:dyDescent="0.3"/>
    <row r="8129" hidden="1" x14ac:dyDescent="0.3"/>
    <row r="8130" hidden="1" x14ac:dyDescent="0.3"/>
    <row r="8131" hidden="1" x14ac:dyDescent="0.3"/>
    <row r="8132" hidden="1" x14ac:dyDescent="0.3"/>
    <row r="8133" hidden="1" x14ac:dyDescent="0.3"/>
    <row r="8134" hidden="1" x14ac:dyDescent="0.3"/>
    <row r="8135" hidden="1" x14ac:dyDescent="0.3"/>
    <row r="8136" hidden="1" x14ac:dyDescent="0.3"/>
    <row r="8137" hidden="1" x14ac:dyDescent="0.3"/>
    <row r="8138" hidden="1" x14ac:dyDescent="0.3"/>
    <row r="8139" hidden="1" x14ac:dyDescent="0.3"/>
    <row r="8140" hidden="1" x14ac:dyDescent="0.3"/>
    <row r="8141" hidden="1" x14ac:dyDescent="0.3"/>
    <row r="8142" hidden="1" x14ac:dyDescent="0.3"/>
    <row r="8143" hidden="1" x14ac:dyDescent="0.3"/>
    <row r="8144" hidden="1" x14ac:dyDescent="0.3"/>
    <row r="8145" hidden="1" x14ac:dyDescent="0.3"/>
    <row r="8146" hidden="1" x14ac:dyDescent="0.3"/>
    <row r="8147" hidden="1" x14ac:dyDescent="0.3"/>
    <row r="8148" hidden="1" x14ac:dyDescent="0.3"/>
    <row r="8149" hidden="1" x14ac:dyDescent="0.3"/>
    <row r="8150" hidden="1" x14ac:dyDescent="0.3"/>
    <row r="8151" hidden="1" x14ac:dyDescent="0.3"/>
    <row r="8152" hidden="1" x14ac:dyDescent="0.3"/>
    <row r="8153" hidden="1" x14ac:dyDescent="0.3"/>
    <row r="8154" hidden="1" x14ac:dyDescent="0.3"/>
    <row r="8155" hidden="1" x14ac:dyDescent="0.3"/>
    <row r="8156" hidden="1" x14ac:dyDescent="0.3"/>
    <row r="8157" hidden="1" x14ac:dyDescent="0.3"/>
    <row r="8158" hidden="1" x14ac:dyDescent="0.3"/>
    <row r="8159" hidden="1" x14ac:dyDescent="0.3"/>
    <row r="8160" hidden="1" x14ac:dyDescent="0.3"/>
    <row r="8161" hidden="1" x14ac:dyDescent="0.3"/>
    <row r="8162" hidden="1" x14ac:dyDescent="0.3"/>
    <row r="8163" hidden="1" x14ac:dyDescent="0.3"/>
    <row r="8164" hidden="1" x14ac:dyDescent="0.3"/>
    <row r="8165" hidden="1" x14ac:dyDescent="0.3"/>
    <row r="8166" hidden="1" x14ac:dyDescent="0.3"/>
    <row r="8167" hidden="1" x14ac:dyDescent="0.3"/>
    <row r="8168" hidden="1" x14ac:dyDescent="0.3"/>
    <row r="8169" hidden="1" x14ac:dyDescent="0.3"/>
    <row r="8170" hidden="1" x14ac:dyDescent="0.3"/>
    <row r="8171" hidden="1" x14ac:dyDescent="0.3"/>
    <row r="8172" hidden="1" x14ac:dyDescent="0.3"/>
    <row r="8173" hidden="1" x14ac:dyDescent="0.3"/>
    <row r="8174" hidden="1" x14ac:dyDescent="0.3"/>
    <row r="8175" hidden="1" x14ac:dyDescent="0.3"/>
    <row r="8176" hidden="1" x14ac:dyDescent="0.3"/>
    <row r="8177" hidden="1" x14ac:dyDescent="0.3"/>
    <row r="8178" hidden="1" x14ac:dyDescent="0.3"/>
    <row r="8179" hidden="1" x14ac:dyDescent="0.3"/>
    <row r="8180" hidden="1" x14ac:dyDescent="0.3"/>
    <row r="8181" hidden="1" x14ac:dyDescent="0.3"/>
    <row r="8182" hidden="1" x14ac:dyDescent="0.3"/>
    <row r="8183" hidden="1" x14ac:dyDescent="0.3"/>
    <row r="8184" hidden="1" x14ac:dyDescent="0.3"/>
    <row r="8185" hidden="1" x14ac:dyDescent="0.3"/>
    <row r="8186" hidden="1" x14ac:dyDescent="0.3"/>
    <row r="8187" hidden="1" x14ac:dyDescent="0.3"/>
    <row r="8188" hidden="1" x14ac:dyDescent="0.3"/>
    <row r="8189" hidden="1" x14ac:dyDescent="0.3"/>
    <row r="8190" hidden="1" x14ac:dyDescent="0.3"/>
    <row r="8191" hidden="1" x14ac:dyDescent="0.3"/>
    <row r="8192" hidden="1" x14ac:dyDescent="0.3"/>
    <row r="8193" hidden="1" x14ac:dyDescent="0.3"/>
    <row r="8194" hidden="1" x14ac:dyDescent="0.3"/>
    <row r="8195" hidden="1" x14ac:dyDescent="0.3"/>
    <row r="8196" hidden="1" x14ac:dyDescent="0.3"/>
    <row r="8197" hidden="1" x14ac:dyDescent="0.3"/>
    <row r="8198" hidden="1" x14ac:dyDescent="0.3"/>
    <row r="8199" hidden="1" x14ac:dyDescent="0.3"/>
    <row r="8200" hidden="1" x14ac:dyDescent="0.3"/>
    <row r="8201" hidden="1" x14ac:dyDescent="0.3"/>
    <row r="8202" hidden="1" x14ac:dyDescent="0.3"/>
    <row r="8203" hidden="1" x14ac:dyDescent="0.3"/>
    <row r="8204" hidden="1" x14ac:dyDescent="0.3"/>
    <row r="8205" hidden="1" x14ac:dyDescent="0.3"/>
    <row r="8206" hidden="1" x14ac:dyDescent="0.3"/>
    <row r="8207" hidden="1" x14ac:dyDescent="0.3"/>
    <row r="8208" hidden="1" x14ac:dyDescent="0.3"/>
    <row r="8209" hidden="1" x14ac:dyDescent="0.3"/>
    <row r="8210" hidden="1" x14ac:dyDescent="0.3"/>
    <row r="8211" hidden="1" x14ac:dyDescent="0.3"/>
    <row r="8212" hidden="1" x14ac:dyDescent="0.3"/>
    <row r="8213" hidden="1" x14ac:dyDescent="0.3"/>
    <row r="8214" hidden="1" x14ac:dyDescent="0.3"/>
    <row r="8215" hidden="1" x14ac:dyDescent="0.3"/>
    <row r="8216" hidden="1" x14ac:dyDescent="0.3"/>
    <row r="8217" hidden="1" x14ac:dyDescent="0.3"/>
    <row r="8218" hidden="1" x14ac:dyDescent="0.3"/>
    <row r="8219" hidden="1" x14ac:dyDescent="0.3"/>
    <row r="8220" hidden="1" x14ac:dyDescent="0.3"/>
    <row r="8221" hidden="1" x14ac:dyDescent="0.3"/>
    <row r="8222" hidden="1" x14ac:dyDescent="0.3"/>
    <row r="8223" hidden="1" x14ac:dyDescent="0.3"/>
    <row r="8224" hidden="1" x14ac:dyDescent="0.3"/>
    <row r="8225" hidden="1" x14ac:dyDescent="0.3"/>
    <row r="8226" hidden="1" x14ac:dyDescent="0.3"/>
    <row r="8227" hidden="1" x14ac:dyDescent="0.3"/>
    <row r="8228" hidden="1" x14ac:dyDescent="0.3"/>
    <row r="8229" hidden="1" x14ac:dyDescent="0.3"/>
    <row r="8230" hidden="1" x14ac:dyDescent="0.3"/>
    <row r="8231" hidden="1" x14ac:dyDescent="0.3"/>
    <row r="8232" hidden="1" x14ac:dyDescent="0.3"/>
    <row r="8233" hidden="1" x14ac:dyDescent="0.3"/>
    <row r="8234" hidden="1" x14ac:dyDescent="0.3"/>
    <row r="8235" hidden="1" x14ac:dyDescent="0.3"/>
    <row r="8236" hidden="1" x14ac:dyDescent="0.3"/>
    <row r="8237" hidden="1" x14ac:dyDescent="0.3"/>
    <row r="8238" hidden="1" x14ac:dyDescent="0.3"/>
    <row r="8239" hidden="1" x14ac:dyDescent="0.3"/>
    <row r="8240" hidden="1" x14ac:dyDescent="0.3"/>
    <row r="8241" hidden="1" x14ac:dyDescent="0.3"/>
    <row r="8242" hidden="1" x14ac:dyDescent="0.3"/>
    <row r="8243" hidden="1" x14ac:dyDescent="0.3"/>
    <row r="8244" hidden="1" x14ac:dyDescent="0.3"/>
    <row r="8245" hidden="1" x14ac:dyDescent="0.3"/>
    <row r="8246" hidden="1" x14ac:dyDescent="0.3"/>
    <row r="8247" hidden="1" x14ac:dyDescent="0.3"/>
    <row r="8248" hidden="1" x14ac:dyDescent="0.3"/>
    <row r="8249" hidden="1" x14ac:dyDescent="0.3"/>
    <row r="8250" hidden="1" x14ac:dyDescent="0.3"/>
    <row r="8251" hidden="1" x14ac:dyDescent="0.3"/>
    <row r="8252" hidden="1" x14ac:dyDescent="0.3"/>
    <row r="8253" hidden="1" x14ac:dyDescent="0.3"/>
    <row r="8254" hidden="1" x14ac:dyDescent="0.3"/>
    <row r="8255" hidden="1" x14ac:dyDescent="0.3"/>
    <row r="8256" hidden="1" x14ac:dyDescent="0.3"/>
    <row r="8257" hidden="1" x14ac:dyDescent="0.3"/>
    <row r="8258" hidden="1" x14ac:dyDescent="0.3"/>
    <row r="8259" hidden="1" x14ac:dyDescent="0.3"/>
    <row r="8260" hidden="1" x14ac:dyDescent="0.3"/>
    <row r="8261" hidden="1" x14ac:dyDescent="0.3"/>
    <row r="8262" hidden="1" x14ac:dyDescent="0.3"/>
    <row r="8263" hidden="1" x14ac:dyDescent="0.3"/>
    <row r="8264" hidden="1" x14ac:dyDescent="0.3"/>
    <row r="8265" hidden="1" x14ac:dyDescent="0.3"/>
    <row r="8266" hidden="1" x14ac:dyDescent="0.3"/>
    <row r="8267" hidden="1" x14ac:dyDescent="0.3"/>
    <row r="8268" hidden="1" x14ac:dyDescent="0.3"/>
    <row r="8269" hidden="1" x14ac:dyDescent="0.3"/>
    <row r="8270" hidden="1" x14ac:dyDescent="0.3"/>
    <row r="8271" hidden="1" x14ac:dyDescent="0.3"/>
    <row r="8272" hidden="1" x14ac:dyDescent="0.3"/>
    <row r="8273" hidden="1" x14ac:dyDescent="0.3"/>
    <row r="8274" hidden="1" x14ac:dyDescent="0.3"/>
    <row r="8275" hidden="1" x14ac:dyDescent="0.3"/>
    <row r="8276" hidden="1" x14ac:dyDescent="0.3"/>
    <row r="8277" hidden="1" x14ac:dyDescent="0.3"/>
    <row r="8278" hidden="1" x14ac:dyDescent="0.3"/>
    <row r="8279" hidden="1" x14ac:dyDescent="0.3"/>
    <row r="8280" hidden="1" x14ac:dyDescent="0.3"/>
    <row r="8281" hidden="1" x14ac:dyDescent="0.3"/>
    <row r="8282" hidden="1" x14ac:dyDescent="0.3"/>
    <row r="8283" hidden="1" x14ac:dyDescent="0.3"/>
    <row r="8284" hidden="1" x14ac:dyDescent="0.3"/>
    <row r="8285" hidden="1" x14ac:dyDescent="0.3"/>
    <row r="8286" hidden="1" x14ac:dyDescent="0.3"/>
    <row r="8287" hidden="1" x14ac:dyDescent="0.3"/>
    <row r="8288" hidden="1" x14ac:dyDescent="0.3"/>
    <row r="8289" hidden="1" x14ac:dyDescent="0.3"/>
    <row r="8290" hidden="1" x14ac:dyDescent="0.3"/>
    <row r="8291" hidden="1" x14ac:dyDescent="0.3"/>
    <row r="8292" hidden="1" x14ac:dyDescent="0.3"/>
    <row r="8293" hidden="1" x14ac:dyDescent="0.3"/>
    <row r="8294" hidden="1" x14ac:dyDescent="0.3"/>
    <row r="8295" hidden="1" x14ac:dyDescent="0.3"/>
    <row r="8296" hidden="1" x14ac:dyDescent="0.3"/>
    <row r="8297" hidden="1" x14ac:dyDescent="0.3"/>
    <row r="8298" hidden="1" x14ac:dyDescent="0.3"/>
    <row r="8299" hidden="1" x14ac:dyDescent="0.3"/>
    <row r="8300" hidden="1" x14ac:dyDescent="0.3"/>
    <row r="8301" hidden="1" x14ac:dyDescent="0.3"/>
    <row r="8302" hidden="1" x14ac:dyDescent="0.3"/>
    <row r="8303" hidden="1" x14ac:dyDescent="0.3"/>
    <row r="8304" hidden="1" x14ac:dyDescent="0.3"/>
    <row r="8305" hidden="1" x14ac:dyDescent="0.3"/>
    <row r="8306" hidden="1" x14ac:dyDescent="0.3"/>
    <row r="8307" hidden="1" x14ac:dyDescent="0.3"/>
    <row r="8308" hidden="1" x14ac:dyDescent="0.3"/>
    <row r="8309" hidden="1" x14ac:dyDescent="0.3"/>
    <row r="8310" hidden="1" x14ac:dyDescent="0.3"/>
    <row r="8311" hidden="1" x14ac:dyDescent="0.3"/>
    <row r="8312" hidden="1" x14ac:dyDescent="0.3"/>
    <row r="8313" hidden="1" x14ac:dyDescent="0.3"/>
    <row r="8314" hidden="1" x14ac:dyDescent="0.3"/>
    <row r="8315" hidden="1" x14ac:dyDescent="0.3"/>
    <row r="8316" hidden="1" x14ac:dyDescent="0.3"/>
    <row r="8317" hidden="1" x14ac:dyDescent="0.3"/>
    <row r="8318" hidden="1" x14ac:dyDescent="0.3"/>
    <row r="8319" hidden="1" x14ac:dyDescent="0.3"/>
    <row r="8320" hidden="1" x14ac:dyDescent="0.3"/>
    <row r="8321" hidden="1" x14ac:dyDescent="0.3"/>
    <row r="8322" hidden="1" x14ac:dyDescent="0.3"/>
    <row r="8323" hidden="1" x14ac:dyDescent="0.3"/>
    <row r="8324" hidden="1" x14ac:dyDescent="0.3"/>
    <row r="8325" hidden="1" x14ac:dyDescent="0.3"/>
    <row r="8326" hidden="1" x14ac:dyDescent="0.3"/>
    <row r="8327" hidden="1" x14ac:dyDescent="0.3"/>
    <row r="8328" hidden="1" x14ac:dyDescent="0.3"/>
    <row r="8329" hidden="1" x14ac:dyDescent="0.3"/>
    <row r="8330" hidden="1" x14ac:dyDescent="0.3"/>
    <row r="8331" hidden="1" x14ac:dyDescent="0.3"/>
    <row r="8332" hidden="1" x14ac:dyDescent="0.3"/>
    <row r="8333" hidden="1" x14ac:dyDescent="0.3"/>
    <row r="8334" hidden="1" x14ac:dyDescent="0.3"/>
    <row r="8335" hidden="1" x14ac:dyDescent="0.3"/>
    <row r="8336" hidden="1" x14ac:dyDescent="0.3"/>
    <row r="8337" hidden="1" x14ac:dyDescent="0.3"/>
    <row r="8338" hidden="1" x14ac:dyDescent="0.3"/>
    <row r="8339" hidden="1" x14ac:dyDescent="0.3"/>
    <row r="8340" hidden="1" x14ac:dyDescent="0.3"/>
    <row r="8341" hidden="1" x14ac:dyDescent="0.3"/>
    <row r="8342" hidden="1" x14ac:dyDescent="0.3"/>
    <row r="8343" hidden="1" x14ac:dyDescent="0.3"/>
    <row r="8344" hidden="1" x14ac:dyDescent="0.3"/>
    <row r="8345" hidden="1" x14ac:dyDescent="0.3"/>
    <row r="8346" hidden="1" x14ac:dyDescent="0.3"/>
    <row r="8347" hidden="1" x14ac:dyDescent="0.3"/>
    <row r="8348" hidden="1" x14ac:dyDescent="0.3"/>
    <row r="8349" hidden="1" x14ac:dyDescent="0.3"/>
    <row r="8350" hidden="1" x14ac:dyDescent="0.3"/>
    <row r="8351" hidden="1" x14ac:dyDescent="0.3"/>
    <row r="8352" hidden="1" x14ac:dyDescent="0.3"/>
    <row r="8353" hidden="1" x14ac:dyDescent="0.3"/>
    <row r="8354" hidden="1" x14ac:dyDescent="0.3"/>
    <row r="8355" hidden="1" x14ac:dyDescent="0.3"/>
    <row r="8356" hidden="1" x14ac:dyDescent="0.3"/>
    <row r="8357" hidden="1" x14ac:dyDescent="0.3"/>
    <row r="8358" hidden="1" x14ac:dyDescent="0.3"/>
    <row r="8359" hidden="1" x14ac:dyDescent="0.3"/>
    <row r="8360" hidden="1" x14ac:dyDescent="0.3"/>
    <row r="8361" hidden="1" x14ac:dyDescent="0.3"/>
    <row r="8362" hidden="1" x14ac:dyDescent="0.3"/>
    <row r="8363" hidden="1" x14ac:dyDescent="0.3"/>
    <row r="8364" hidden="1" x14ac:dyDescent="0.3"/>
    <row r="8365" hidden="1" x14ac:dyDescent="0.3"/>
    <row r="8366" hidden="1" x14ac:dyDescent="0.3"/>
    <row r="8367" hidden="1" x14ac:dyDescent="0.3"/>
    <row r="8368" hidden="1" x14ac:dyDescent="0.3"/>
    <row r="8369" hidden="1" x14ac:dyDescent="0.3"/>
    <row r="8370" hidden="1" x14ac:dyDescent="0.3"/>
    <row r="8371" hidden="1" x14ac:dyDescent="0.3"/>
    <row r="8372" hidden="1" x14ac:dyDescent="0.3"/>
    <row r="8373" hidden="1" x14ac:dyDescent="0.3"/>
    <row r="8374" hidden="1" x14ac:dyDescent="0.3"/>
    <row r="8375" hidden="1" x14ac:dyDescent="0.3"/>
    <row r="8376" hidden="1" x14ac:dyDescent="0.3"/>
    <row r="8377" hidden="1" x14ac:dyDescent="0.3"/>
    <row r="8378" hidden="1" x14ac:dyDescent="0.3"/>
    <row r="8379" hidden="1" x14ac:dyDescent="0.3"/>
    <row r="8380" hidden="1" x14ac:dyDescent="0.3"/>
    <row r="8381" hidden="1" x14ac:dyDescent="0.3"/>
    <row r="8382" hidden="1" x14ac:dyDescent="0.3"/>
    <row r="8383" hidden="1" x14ac:dyDescent="0.3"/>
    <row r="8384" hidden="1" x14ac:dyDescent="0.3"/>
    <row r="8385" hidden="1" x14ac:dyDescent="0.3"/>
    <row r="8386" hidden="1" x14ac:dyDescent="0.3"/>
    <row r="8387" hidden="1" x14ac:dyDescent="0.3"/>
    <row r="8388" hidden="1" x14ac:dyDescent="0.3"/>
    <row r="8389" hidden="1" x14ac:dyDescent="0.3"/>
    <row r="8390" hidden="1" x14ac:dyDescent="0.3"/>
    <row r="8391" hidden="1" x14ac:dyDescent="0.3"/>
    <row r="8392" hidden="1" x14ac:dyDescent="0.3"/>
    <row r="8393" hidden="1" x14ac:dyDescent="0.3"/>
    <row r="8394" hidden="1" x14ac:dyDescent="0.3"/>
    <row r="8395" hidden="1" x14ac:dyDescent="0.3"/>
    <row r="8396" hidden="1" x14ac:dyDescent="0.3"/>
    <row r="8397" hidden="1" x14ac:dyDescent="0.3"/>
    <row r="8398" hidden="1" x14ac:dyDescent="0.3"/>
    <row r="8399" hidden="1" x14ac:dyDescent="0.3"/>
    <row r="8400" hidden="1" x14ac:dyDescent="0.3"/>
    <row r="8401" hidden="1" x14ac:dyDescent="0.3"/>
    <row r="8402" hidden="1" x14ac:dyDescent="0.3"/>
    <row r="8403" hidden="1" x14ac:dyDescent="0.3"/>
    <row r="8404" hidden="1" x14ac:dyDescent="0.3"/>
    <row r="8405" hidden="1" x14ac:dyDescent="0.3"/>
    <row r="8406" hidden="1" x14ac:dyDescent="0.3"/>
    <row r="8407" hidden="1" x14ac:dyDescent="0.3"/>
    <row r="8408" hidden="1" x14ac:dyDescent="0.3"/>
    <row r="8409" hidden="1" x14ac:dyDescent="0.3"/>
    <row r="8410" hidden="1" x14ac:dyDescent="0.3"/>
    <row r="8411" hidden="1" x14ac:dyDescent="0.3"/>
    <row r="8412" hidden="1" x14ac:dyDescent="0.3"/>
    <row r="8413" hidden="1" x14ac:dyDescent="0.3"/>
    <row r="8414" hidden="1" x14ac:dyDescent="0.3"/>
    <row r="8415" hidden="1" x14ac:dyDescent="0.3"/>
    <row r="8416" hidden="1" x14ac:dyDescent="0.3"/>
    <row r="8417" hidden="1" x14ac:dyDescent="0.3"/>
    <row r="8418" hidden="1" x14ac:dyDescent="0.3"/>
    <row r="8419" hidden="1" x14ac:dyDescent="0.3"/>
    <row r="8420" hidden="1" x14ac:dyDescent="0.3"/>
    <row r="8421" hidden="1" x14ac:dyDescent="0.3"/>
    <row r="8422" hidden="1" x14ac:dyDescent="0.3"/>
    <row r="8423" hidden="1" x14ac:dyDescent="0.3"/>
    <row r="8424" hidden="1" x14ac:dyDescent="0.3"/>
    <row r="8425" hidden="1" x14ac:dyDescent="0.3"/>
    <row r="8426" hidden="1" x14ac:dyDescent="0.3"/>
    <row r="8427" hidden="1" x14ac:dyDescent="0.3"/>
    <row r="8428" hidden="1" x14ac:dyDescent="0.3"/>
    <row r="8429" hidden="1" x14ac:dyDescent="0.3"/>
    <row r="8430" hidden="1" x14ac:dyDescent="0.3"/>
    <row r="8431" hidden="1" x14ac:dyDescent="0.3"/>
    <row r="8432" hidden="1" x14ac:dyDescent="0.3"/>
    <row r="8433" hidden="1" x14ac:dyDescent="0.3"/>
    <row r="8434" hidden="1" x14ac:dyDescent="0.3"/>
    <row r="8435" hidden="1" x14ac:dyDescent="0.3"/>
    <row r="8436" hidden="1" x14ac:dyDescent="0.3"/>
    <row r="8437" hidden="1" x14ac:dyDescent="0.3"/>
    <row r="8438" hidden="1" x14ac:dyDescent="0.3"/>
    <row r="8439" hidden="1" x14ac:dyDescent="0.3"/>
    <row r="8440" hidden="1" x14ac:dyDescent="0.3"/>
    <row r="8441" hidden="1" x14ac:dyDescent="0.3"/>
    <row r="8442" hidden="1" x14ac:dyDescent="0.3"/>
    <row r="8443" hidden="1" x14ac:dyDescent="0.3"/>
    <row r="8444" hidden="1" x14ac:dyDescent="0.3"/>
    <row r="8445" hidden="1" x14ac:dyDescent="0.3"/>
    <row r="8446" hidden="1" x14ac:dyDescent="0.3"/>
    <row r="8447" hidden="1" x14ac:dyDescent="0.3"/>
    <row r="8448" hidden="1" x14ac:dyDescent="0.3"/>
    <row r="8449" hidden="1" x14ac:dyDescent="0.3"/>
    <row r="8450" hidden="1" x14ac:dyDescent="0.3"/>
    <row r="8451" hidden="1" x14ac:dyDescent="0.3"/>
    <row r="8452" hidden="1" x14ac:dyDescent="0.3"/>
    <row r="8453" hidden="1" x14ac:dyDescent="0.3"/>
    <row r="8454" hidden="1" x14ac:dyDescent="0.3"/>
    <row r="8455" hidden="1" x14ac:dyDescent="0.3"/>
    <row r="8456" hidden="1" x14ac:dyDescent="0.3"/>
    <row r="8457" hidden="1" x14ac:dyDescent="0.3"/>
    <row r="8458" hidden="1" x14ac:dyDescent="0.3"/>
    <row r="8459" hidden="1" x14ac:dyDescent="0.3"/>
    <row r="8460" hidden="1" x14ac:dyDescent="0.3"/>
    <row r="8461" hidden="1" x14ac:dyDescent="0.3"/>
    <row r="8462" hidden="1" x14ac:dyDescent="0.3"/>
    <row r="8463" hidden="1" x14ac:dyDescent="0.3"/>
    <row r="8464" hidden="1" x14ac:dyDescent="0.3"/>
    <row r="8465" hidden="1" x14ac:dyDescent="0.3"/>
    <row r="8466" hidden="1" x14ac:dyDescent="0.3"/>
    <row r="8467" hidden="1" x14ac:dyDescent="0.3"/>
    <row r="8468" hidden="1" x14ac:dyDescent="0.3"/>
    <row r="8469" hidden="1" x14ac:dyDescent="0.3"/>
    <row r="8470" hidden="1" x14ac:dyDescent="0.3"/>
    <row r="8471" hidden="1" x14ac:dyDescent="0.3"/>
    <row r="8472" hidden="1" x14ac:dyDescent="0.3"/>
    <row r="8473" hidden="1" x14ac:dyDescent="0.3"/>
    <row r="8474" hidden="1" x14ac:dyDescent="0.3"/>
    <row r="8475" hidden="1" x14ac:dyDescent="0.3"/>
    <row r="8476" hidden="1" x14ac:dyDescent="0.3"/>
    <row r="8477" hidden="1" x14ac:dyDescent="0.3"/>
    <row r="8478" hidden="1" x14ac:dyDescent="0.3"/>
    <row r="8479" hidden="1" x14ac:dyDescent="0.3"/>
    <row r="8480" hidden="1" x14ac:dyDescent="0.3"/>
    <row r="8481" hidden="1" x14ac:dyDescent="0.3"/>
    <row r="8482" hidden="1" x14ac:dyDescent="0.3"/>
    <row r="8483" hidden="1" x14ac:dyDescent="0.3"/>
    <row r="8484" hidden="1" x14ac:dyDescent="0.3"/>
    <row r="8485" hidden="1" x14ac:dyDescent="0.3"/>
    <row r="8486" hidden="1" x14ac:dyDescent="0.3"/>
    <row r="8487" hidden="1" x14ac:dyDescent="0.3"/>
    <row r="8488" hidden="1" x14ac:dyDescent="0.3"/>
    <row r="8489" hidden="1" x14ac:dyDescent="0.3"/>
    <row r="8490" hidden="1" x14ac:dyDescent="0.3"/>
    <row r="8491" hidden="1" x14ac:dyDescent="0.3"/>
    <row r="8492" hidden="1" x14ac:dyDescent="0.3"/>
    <row r="8493" hidden="1" x14ac:dyDescent="0.3"/>
    <row r="8494" hidden="1" x14ac:dyDescent="0.3"/>
    <row r="8495" hidden="1" x14ac:dyDescent="0.3"/>
    <row r="8496" hidden="1" x14ac:dyDescent="0.3"/>
    <row r="8497" hidden="1" x14ac:dyDescent="0.3"/>
    <row r="8498" hidden="1" x14ac:dyDescent="0.3"/>
    <row r="8499" hidden="1" x14ac:dyDescent="0.3"/>
    <row r="8500" hidden="1" x14ac:dyDescent="0.3"/>
    <row r="8501" hidden="1" x14ac:dyDescent="0.3"/>
    <row r="8502" hidden="1" x14ac:dyDescent="0.3"/>
    <row r="8503" hidden="1" x14ac:dyDescent="0.3"/>
    <row r="8504" hidden="1" x14ac:dyDescent="0.3"/>
    <row r="8505" hidden="1" x14ac:dyDescent="0.3"/>
    <row r="8506" hidden="1" x14ac:dyDescent="0.3"/>
    <row r="8507" hidden="1" x14ac:dyDescent="0.3"/>
    <row r="8508" hidden="1" x14ac:dyDescent="0.3"/>
    <row r="8509" hidden="1" x14ac:dyDescent="0.3"/>
    <row r="8510" hidden="1" x14ac:dyDescent="0.3"/>
    <row r="8511" hidden="1" x14ac:dyDescent="0.3"/>
    <row r="8512" hidden="1" x14ac:dyDescent="0.3"/>
    <row r="8513" hidden="1" x14ac:dyDescent="0.3"/>
    <row r="8514" hidden="1" x14ac:dyDescent="0.3"/>
    <row r="8515" hidden="1" x14ac:dyDescent="0.3"/>
    <row r="8516" hidden="1" x14ac:dyDescent="0.3"/>
    <row r="8517" hidden="1" x14ac:dyDescent="0.3"/>
    <row r="8518" hidden="1" x14ac:dyDescent="0.3"/>
    <row r="8519" hidden="1" x14ac:dyDescent="0.3"/>
    <row r="8520" hidden="1" x14ac:dyDescent="0.3"/>
    <row r="8521" hidden="1" x14ac:dyDescent="0.3"/>
    <row r="8522" hidden="1" x14ac:dyDescent="0.3"/>
    <row r="8523" hidden="1" x14ac:dyDescent="0.3"/>
    <row r="8524" hidden="1" x14ac:dyDescent="0.3"/>
    <row r="8525" hidden="1" x14ac:dyDescent="0.3"/>
    <row r="8526" hidden="1" x14ac:dyDescent="0.3"/>
    <row r="8527" hidden="1" x14ac:dyDescent="0.3"/>
    <row r="8528" hidden="1" x14ac:dyDescent="0.3"/>
    <row r="8529" hidden="1" x14ac:dyDescent="0.3"/>
    <row r="8530" hidden="1" x14ac:dyDescent="0.3"/>
    <row r="8531" hidden="1" x14ac:dyDescent="0.3"/>
    <row r="8532" hidden="1" x14ac:dyDescent="0.3"/>
    <row r="8533" hidden="1" x14ac:dyDescent="0.3"/>
    <row r="8534" hidden="1" x14ac:dyDescent="0.3"/>
    <row r="8535" hidden="1" x14ac:dyDescent="0.3"/>
    <row r="8536" hidden="1" x14ac:dyDescent="0.3"/>
    <row r="8537" hidden="1" x14ac:dyDescent="0.3"/>
    <row r="8538" hidden="1" x14ac:dyDescent="0.3"/>
    <row r="8539" hidden="1" x14ac:dyDescent="0.3"/>
    <row r="8540" hidden="1" x14ac:dyDescent="0.3"/>
    <row r="8541" hidden="1" x14ac:dyDescent="0.3"/>
    <row r="8542" hidden="1" x14ac:dyDescent="0.3"/>
    <row r="8543" hidden="1" x14ac:dyDescent="0.3"/>
    <row r="8544" hidden="1" x14ac:dyDescent="0.3"/>
    <row r="8545" hidden="1" x14ac:dyDescent="0.3"/>
    <row r="8546" hidden="1" x14ac:dyDescent="0.3"/>
    <row r="8547" hidden="1" x14ac:dyDescent="0.3"/>
    <row r="8548" hidden="1" x14ac:dyDescent="0.3"/>
    <row r="8549" hidden="1" x14ac:dyDescent="0.3"/>
    <row r="8550" hidden="1" x14ac:dyDescent="0.3"/>
    <row r="8551" hidden="1" x14ac:dyDescent="0.3"/>
    <row r="8552" hidden="1" x14ac:dyDescent="0.3"/>
    <row r="8553" hidden="1" x14ac:dyDescent="0.3"/>
    <row r="8554" hidden="1" x14ac:dyDescent="0.3"/>
    <row r="8555" hidden="1" x14ac:dyDescent="0.3"/>
    <row r="8556" hidden="1" x14ac:dyDescent="0.3"/>
    <row r="8557" hidden="1" x14ac:dyDescent="0.3"/>
    <row r="8558" hidden="1" x14ac:dyDescent="0.3"/>
    <row r="8559" hidden="1" x14ac:dyDescent="0.3"/>
    <row r="8560" hidden="1" x14ac:dyDescent="0.3"/>
    <row r="8561" hidden="1" x14ac:dyDescent="0.3"/>
    <row r="8562" hidden="1" x14ac:dyDescent="0.3"/>
    <row r="8563" hidden="1" x14ac:dyDescent="0.3"/>
    <row r="8564" hidden="1" x14ac:dyDescent="0.3"/>
    <row r="8565" hidden="1" x14ac:dyDescent="0.3"/>
    <row r="8566" hidden="1" x14ac:dyDescent="0.3"/>
    <row r="8567" hidden="1" x14ac:dyDescent="0.3"/>
    <row r="8568" hidden="1" x14ac:dyDescent="0.3"/>
    <row r="8569" hidden="1" x14ac:dyDescent="0.3"/>
    <row r="8570" hidden="1" x14ac:dyDescent="0.3"/>
    <row r="8571" hidden="1" x14ac:dyDescent="0.3"/>
    <row r="8572" hidden="1" x14ac:dyDescent="0.3"/>
    <row r="8573" hidden="1" x14ac:dyDescent="0.3"/>
    <row r="8574" hidden="1" x14ac:dyDescent="0.3"/>
    <row r="8575" hidden="1" x14ac:dyDescent="0.3"/>
    <row r="8576" hidden="1" x14ac:dyDescent="0.3"/>
    <row r="8577" hidden="1" x14ac:dyDescent="0.3"/>
    <row r="8578" hidden="1" x14ac:dyDescent="0.3"/>
    <row r="8579" hidden="1" x14ac:dyDescent="0.3"/>
    <row r="8580" hidden="1" x14ac:dyDescent="0.3"/>
    <row r="8581" hidden="1" x14ac:dyDescent="0.3"/>
    <row r="8582" hidden="1" x14ac:dyDescent="0.3"/>
    <row r="8583" hidden="1" x14ac:dyDescent="0.3"/>
    <row r="8584" hidden="1" x14ac:dyDescent="0.3"/>
    <row r="8585" hidden="1" x14ac:dyDescent="0.3"/>
    <row r="8586" hidden="1" x14ac:dyDescent="0.3"/>
    <row r="8587" hidden="1" x14ac:dyDescent="0.3"/>
    <row r="8588" hidden="1" x14ac:dyDescent="0.3"/>
    <row r="8589" hidden="1" x14ac:dyDescent="0.3"/>
    <row r="8590" hidden="1" x14ac:dyDescent="0.3"/>
    <row r="8591" hidden="1" x14ac:dyDescent="0.3"/>
    <row r="8592" hidden="1" x14ac:dyDescent="0.3"/>
    <row r="8593" hidden="1" x14ac:dyDescent="0.3"/>
    <row r="8594" hidden="1" x14ac:dyDescent="0.3"/>
    <row r="8595" hidden="1" x14ac:dyDescent="0.3"/>
    <row r="8596" hidden="1" x14ac:dyDescent="0.3"/>
    <row r="8597" hidden="1" x14ac:dyDescent="0.3"/>
    <row r="8598" hidden="1" x14ac:dyDescent="0.3"/>
    <row r="8599" hidden="1" x14ac:dyDescent="0.3"/>
    <row r="8600" hidden="1" x14ac:dyDescent="0.3"/>
    <row r="8601" hidden="1" x14ac:dyDescent="0.3"/>
    <row r="8602" hidden="1" x14ac:dyDescent="0.3"/>
    <row r="8603" hidden="1" x14ac:dyDescent="0.3"/>
    <row r="8604" hidden="1" x14ac:dyDescent="0.3"/>
    <row r="8605" hidden="1" x14ac:dyDescent="0.3"/>
    <row r="8606" hidden="1" x14ac:dyDescent="0.3"/>
    <row r="8607" hidden="1" x14ac:dyDescent="0.3"/>
    <row r="8608" hidden="1" x14ac:dyDescent="0.3"/>
    <row r="8609" hidden="1" x14ac:dyDescent="0.3"/>
    <row r="8610" hidden="1" x14ac:dyDescent="0.3"/>
    <row r="8611" hidden="1" x14ac:dyDescent="0.3"/>
    <row r="8612" hidden="1" x14ac:dyDescent="0.3"/>
    <row r="8613" hidden="1" x14ac:dyDescent="0.3"/>
    <row r="8614" hidden="1" x14ac:dyDescent="0.3"/>
    <row r="8615" hidden="1" x14ac:dyDescent="0.3"/>
    <row r="8616" hidden="1" x14ac:dyDescent="0.3"/>
    <row r="8617" hidden="1" x14ac:dyDescent="0.3"/>
    <row r="8618" hidden="1" x14ac:dyDescent="0.3"/>
    <row r="8619" hidden="1" x14ac:dyDescent="0.3"/>
    <row r="8620" hidden="1" x14ac:dyDescent="0.3"/>
    <row r="8621" hidden="1" x14ac:dyDescent="0.3"/>
    <row r="8622" hidden="1" x14ac:dyDescent="0.3"/>
    <row r="8623" hidden="1" x14ac:dyDescent="0.3"/>
    <row r="8624" hidden="1" x14ac:dyDescent="0.3"/>
    <row r="8625" hidden="1" x14ac:dyDescent="0.3"/>
    <row r="8626" hidden="1" x14ac:dyDescent="0.3"/>
    <row r="8627" hidden="1" x14ac:dyDescent="0.3"/>
    <row r="8628" hidden="1" x14ac:dyDescent="0.3"/>
    <row r="8629" hidden="1" x14ac:dyDescent="0.3"/>
    <row r="8630" hidden="1" x14ac:dyDescent="0.3"/>
    <row r="8631" hidden="1" x14ac:dyDescent="0.3"/>
    <row r="8632" hidden="1" x14ac:dyDescent="0.3"/>
    <row r="8633" hidden="1" x14ac:dyDescent="0.3"/>
    <row r="8634" hidden="1" x14ac:dyDescent="0.3"/>
    <row r="8635" hidden="1" x14ac:dyDescent="0.3"/>
    <row r="8636" hidden="1" x14ac:dyDescent="0.3"/>
    <row r="8637" hidden="1" x14ac:dyDescent="0.3"/>
    <row r="8638" hidden="1" x14ac:dyDescent="0.3"/>
    <row r="8639" hidden="1" x14ac:dyDescent="0.3"/>
    <row r="8640" hidden="1" x14ac:dyDescent="0.3"/>
    <row r="8641" hidden="1" x14ac:dyDescent="0.3"/>
    <row r="8642" hidden="1" x14ac:dyDescent="0.3"/>
    <row r="8643" hidden="1" x14ac:dyDescent="0.3"/>
    <row r="8644" hidden="1" x14ac:dyDescent="0.3"/>
    <row r="8645" hidden="1" x14ac:dyDescent="0.3"/>
    <row r="8646" hidden="1" x14ac:dyDescent="0.3"/>
    <row r="8647" hidden="1" x14ac:dyDescent="0.3"/>
    <row r="8648" hidden="1" x14ac:dyDescent="0.3"/>
    <row r="8649" hidden="1" x14ac:dyDescent="0.3"/>
    <row r="8650" hidden="1" x14ac:dyDescent="0.3"/>
    <row r="8651" hidden="1" x14ac:dyDescent="0.3"/>
    <row r="8652" hidden="1" x14ac:dyDescent="0.3"/>
    <row r="8653" hidden="1" x14ac:dyDescent="0.3"/>
    <row r="8654" hidden="1" x14ac:dyDescent="0.3"/>
    <row r="8655" hidden="1" x14ac:dyDescent="0.3"/>
    <row r="8656" hidden="1" x14ac:dyDescent="0.3"/>
    <row r="8657" hidden="1" x14ac:dyDescent="0.3"/>
    <row r="8658" hidden="1" x14ac:dyDescent="0.3"/>
    <row r="8659" hidden="1" x14ac:dyDescent="0.3"/>
    <row r="8660" hidden="1" x14ac:dyDescent="0.3"/>
    <row r="8661" hidden="1" x14ac:dyDescent="0.3"/>
    <row r="8662" hidden="1" x14ac:dyDescent="0.3"/>
    <row r="8663" hidden="1" x14ac:dyDescent="0.3"/>
    <row r="8664" hidden="1" x14ac:dyDescent="0.3"/>
    <row r="8665" hidden="1" x14ac:dyDescent="0.3"/>
    <row r="8666" hidden="1" x14ac:dyDescent="0.3"/>
    <row r="8667" hidden="1" x14ac:dyDescent="0.3"/>
    <row r="8668" hidden="1" x14ac:dyDescent="0.3"/>
    <row r="8669" hidden="1" x14ac:dyDescent="0.3"/>
    <row r="8670" hidden="1" x14ac:dyDescent="0.3"/>
    <row r="8671" hidden="1" x14ac:dyDescent="0.3"/>
    <row r="8672" hidden="1" x14ac:dyDescent="0.3"/>
    <row r="8673" hidden="1" x14ac:dyDescent="0.3"/>
    <row r="8674" hidden="1" x14ac:dyDescent="0.3"/>
    <row r="8675" hidden="1" x14ac:dyDescent="0.3"/>
    <row r="8676" hidden="1" x14ac:dyDescent="0.3"/>
    <row r="8677" hidden="1" x14ac:dyDescent="0.3"/>
    <row r="8678" hidden="1" x14ac:dyDescent="0.3"/>
    <row r="8679" hidden="1" x14ac:dyDescent="0.3"/>
    <row r="8680" hidden="1" x14ac:dyDescent="0.3"/>
    <row r="8681" hidden="1" x14ac:dyDescent="0.3"/>
    <row r="8682" hidden="1" x14ac:dyDescent="0.3"/>
    <row r="8683" hidden="1" x14ac:dyDescent="0.3"/>
    <row r="8684" hidden="1" x14ac:dyDescent="0.3"/>
    <row r="8685" hidden="1" x14ac:dyDescent="0.3"/>
    <row r="8686" hidden="1" x14ac:dyDescent="0.3"/>
    <row r="8687" hidden="1" x14ac:dyDescent="0.3"/>
    <row r="8688" hidden="1" x14ac:dyDescent="0.3"/>
    <row r="8689" hidden="1" x14ac:dyDescent="0.3"/>
    <row r="8690" hidden="1" x14ac:dyDescent="0.3"/>
    <row r="8691" hidden="1" x14ac:dyDescent="0.3"/>
    <row r="8692" hidden="1" x14ac:dyDescent="0.3"/>
    <row r="8693" hidden="1" x14ac:dyDescent="0.3"/>
    <row r="8694" hidden="1" x14ac:dyDescent="0.3"/>
    <row r="8695" hidden="1" x14ac:dyDescent="0.3"/>
    <row r="8696" hidden="1" x14ac:dyDescent="0.3"/>
    <row r="8697" hidden="1" x14ac:dyDescent="0.3"/>
    <row r="8698" hidden="1" x14ac:dyDescent="0.3"/>
    <row r="8699" hidden="1" x14ac:dyDescent="0.3"/>
    <row r="8700" hidden="1" x14ac:dyDescent="0.3"/>
    <row r="8701" hidden="1" x14ac:dyDescent="0.3"/>
    <row r="8702" hidden="1" x14ac:dyDescent="0.3"/>
    <row r="8703" hidden="1" x14ac:dyDescent="0.3"/>
    <row r="8704" hidden="1" x14ac:dyDescent="0.3"/>
    <row r="8705" hidden="1" x14ac:dyDescent="0.3"/>
    <row r="8706" hidden="1" x14ac:dyDescent="0.3"/>
    <row r="8707" hidden="1" x14ac:dyDescent="0.3"/>
    <row r="8708" hidden="1" x14ac:dyDescent="0.3"/>
    <row r="8709" hidden="1" x14ac:dyDescent="0.3"/>
    <row r="8710" hidden="1" x14ac:dyDescent="0.3"/>
    <row r="8711" hidden="1" x14ac:dyDescent="0.3"/>
    <row r="8712" hidden="1" x14ac:dyDescent="0.3"/>
    <row r="8713" hidden="1" x14ac:dyDescent="0.3"/>
    <row r="8714" hidden="1" x14ac:dyDescent="0.3"/>
    <row r="8715" hidden="1" x14ac:dyDescent="0.3"/>
    <row r="8716" hidden="1" x14ac:dyDescent="0.3"/>
    <row r="8717" hidden="1" x14ac:dyDescent="0.3"/>
    <row r="8718" hidden="1" x14ac:dyDescent="0.3"/>
    <row r="8719" hidden="1" x14ac:dyDescent="0.3"/>
    <row r="8720" hidden="1" x14ac:dyDescent="0.3"/>
    <row r="8721" hidden="1" x14ac:dyDescent="0.3"/>
    <row r="8722" hidden="1" x14ac:dyDescent="0.3"/>
    <row r="8723" hidden="1" x14ac:dyDescent="0.3"/>
    <row r="8724" hidden="1" x14ac:dyDescent="0.3"/>
    <row r="8725" hidden="1" x14ac:dyDescent="0.3"/>
    <row r="8726" hidden="1" x14ac:dyDescent="0.3"/>
    <row r="8727" hidden="1" x14ac:dyDescent="0.3"/>
    <row r="8728" hidden="1" x14ac:dyDescent="0.3"/>
    <row r="8729" hidden="1" x14ac:dyDescent="0.3"/>
    <row r="8730" hidden="1" x14ac:dyDescent="0.3"/>
    <row r="8731" hidden="1" x14ac:dyDescent="0.3"/>
    <row r="8732" hidden="1" x14ac:dyDescent="0.3"/>
    <row r="8733" hidden="1" x14ac:dyDescent="0.3"/>
    <row r="8734" hidden="1" x14ac:dyDescent="0.3"/>
    <row r="8735" hidden="1" x14ac:dyDescent="0.3"/>
    <row r="8736" hidden="1" x14ac:dyDescent="0.3"/>
    <row r="8737" hidden="1" x14ac:dyDescent="0.3"/>
    <row r="8738" hidden="1" x14ac:dyDescent="0.3"/>
    <row r="8739" hidden="1" x14ac:dyDescent="0.3"/>
    <row r="8740" hidden="1" x14ac:dyDescent="0.3"/>
    <row r="8741" hidden="1" x14ac:dyDescent="0.3"/>
    <row r="8742" hidden="1" x14ac:dyDescent="0.3"/>
    <row r="8743" hidden="1" x14ac:dyDescent="0.3"/>
    <row r="8744" hidden="1" x14ac:dyDescent="0.3"/>
    <row r="8745" hidden="1" x14ac:dyDescent="0.3"/>
    <row r="8746" hidden="1" x14ac:dyDescent="0.3"/>
    <row r="8747" hidden="1" x14ac:dyDescent="0.3"/>
    <row r="8748" hidden="1" x14ac:dyDescent="0.3"/>
    <row r="8749" hidden="1" x14ac:dyDescent="0.3"/>
    <row r="8750" hidden="1" x14ac:dyDescent="0.3"/>
    <row r="8751" hidden="1" x14ac:dyDescent="0.3"/>
    <row r="8752" hidden="1" x14ac:dyDescent="0.3"/>
    <row r="8753" hidden="1" x14ac:dyDescent="0.3"/>
    <row r="8754" hidden="1" x14ac:dyDescent="0.3"/>
    <row r="8755" hidden="1" x14ac:dyDescent="0.3"/>
    <row r="8756" hidden="1" x14ac:dyDescent="0.3"/>
    <row r="8757" hidden="1" x14ac:dyDescent="0.3"/>
    <row r="8758" hidden="1" x14ac:dyDescent="0.3"/>
    <row r="8759" hidden="1" x14ac:dyDescent="0.3"/>
    <row r="8760" hidden="1" x14ac:dyDescent="0.3"/>
    <row r="8761" hidden="1" x14ac:dyDescent="0.3"/>
    <row r="8762" hidden="1" x14ac:dyDescent="0.3"/>
    <row r="8763" hidden="1" x14ac:dyDescent="0.3"/>
    <row r="8764" hidden="1" x14ac:dyDescent="0.3"/>
    <row r="8765" hidden="1" x14ac:dyDescent="0.3"/>
    <row r="8766" hidden="1" x14ac:dyDescent="0.3"/>
    <row r="8767" hidden="1" x14ac:dyDescent="0.3"/>
    <row r="8768" hidden="1" x14ac:dyDescent="0.3"/>
    <row r="8769" hidden="1" x14ac:dyDescent="0.3"/>
    <row r="8770" hidden="1" x14ac:dyDescent="0.3"/>
    <row r="8771" hidden="1" x14ac:dyDescent="0.3"/>
    <row r="8772" hidden="1" x14ac:dyDescent="0.3"/>
    <row r="8773" hidden="1" x14ac:dyDescent="0.3"/>
    <row r="8774" hidden="1" x14ac:dyDescent="0.3"/>
    <row r="8775" hidden="1" x14ac:dyDescent="0.3"/>
    <row r="8776" hidden="1" x14ac:dyDescent="0.3"/>
    <row r="8777" hidden="1" x14ac:dyDescent="0.3"/>
    <row r="8778" hidden="1" x14ac:dyDescent="0.3"/>
    <row r="8779" hidden="1" x14ac:dyDescent="0.3"/>
    <row r="8780" hidden="1" x14ac:dyDescent="0.3"/>
    <row r="8781" hidden="1" x14ac:dyDescent="0.3"/>
    <row r="8782" hidden="1" x14ac:dyDescent="0.3"/>
    <row r="8783" hidden="1" x14ac:dyDescent="0.3"/>
    <row r="8784" hidden="1" x14ac:dyDescent="0.3"/>
    <row r="8785" hidden="1" x14ac:dyDescent="0.3"/>
    <row r="8786" hidden="1" x14ac:dyDescent="0.3"/>
    <row r="8787" hidden="1" x14ac:dyDescent="0.3"/>
    <row r="8788" hidden="1" x14ac:dyDescent="0.3"/>
    <row r="8789" hidden="1" x14ac:dyDescent="0.3"/>
    <row r="8790" hidden="1" x14ac:dyDescent="0.3"/>
    <row r="8791" hidden="1" x14ac:dyDescent="0.3"/>
    <row r="8792" hidden="1" x14ac:dyDescent="0.3"/>
    <row r="8793" hidden="1" x14ac:dyDescent="0.3"/>
    <row r="8794" hidden="1" x14ac:dyDescent="0.3"/>
    <row r="8795" hidden="1" x14ac:dyDescent="0.3"/>
    <row r="8796" hidden="1" x14ac:dyDescent="0.3"/>
    <row r="8797" hidden="1" x14ac:dyDescent="0.3"/>
    <row r="8798" hidden="1" x14ac:dyDescent="0.3"/>
    <row r="8799" hidden="1" x14ac:dyDescent="0.3"/>
    <row r="8800" hidden="1" x14ac:dyDescent="0.3"/>
    <row r="8801" hidden="1" x14ac:dyDescent="0.3"/>
    <row r="8802" hidden="1" x14ac:dyDescent="0.3"/>
    <row r="8803" hidden="1" x14ac:dyDescent="0.3"/>
    <row r="8804" hidden="1" x14ac:dyDescent="0.3"/>
    <row r="8805" hidden="1" x14ac:dyDescent="0.3"/>
    <row r="8806" hidden="1" x14ac:dyDescent="0.3"/>
    <row r="8807" hidden="1" x14ac:dyDescent="0.3"/>
    <row r="8808" hidden="1" x14ac:dyDescent="0.3"/>
    <row r="8809" hidden="1" x14ac:dyDescent="0.3"/>
    <row r="8810" hidden="1" x14ac:dyDescent="0.3"/>
    <row r="8811" hidden="1" x14ac:dyDescent="0.3"/>
    <row r="8812" hidden="1" x14ac:dyDescent="0.3"/>
    <row r="8813" hidden="1" x14ac:dyDescent="0.3"/>
    <row r="8814" hidden="1" x14ac:dyDescent="0.3"/>
    <row r="8815" hidden="1" x14ac:dyDescent="0.3"/>
    <row r="8816" hidden="1" x14ac:dyDescent="0.3"/>
    <row r="8817" hidden="1" x14ac:dyDescent="0.3"/>
    <row r="8818" hidden="1" x14ac:dyDescent="0.3"/>
    <row r="8819" hidden="1" x14ac:dyDescent="0.3"/>
    <row r="8820" hidden="1" x14ac:dyDescent="0.3"/>
    <row r="8821" hidden="1" x14ac:dyDescent="0.3"/>
    <row r="8822" hidden="1" x14ac:dyDescent="0.3"/>
    <row r="8823" hidden="1" x14ac:dyDescent="0.3"/>
    <row r="8824" hidden="1" x14ac:dyDescent="0.3"/>
    <row r="8825" hidden="1" x14ac:dyDescent="0.3"/>
    <row r="8826" hidden="1" x14ac:dyDescent="0.3"/>
    <row r="8827" hidden="1" x14ac:dyDescent="0.3"/>
    <row r="8828" hidden="1" x14ac:dyDescent="0.3"/>
    <row r="8829" hidden="1" x14ac:dyDescent="0.3"/>
    <row r="8830" hidden="1" x14ac:dyDescent="0.3"/>
    <row r="8831" hidden="1" x14ac:dyDescent="0.3"/>
    <row r="8832" hidden="1" x14ac:dyDescent="0.3"/>
    <row r="8833" hidden="1" x14ac:dyDescent="0.3"/>
    <row r="8834" hidden="1" x14ac:dyDescent="0.3"/>
    <row r="8835" hidden="1" x14ac:dyDescent="0.3"/>
    <row r="8836" hidden="1" x14ac:dyDescent="0.3"/>
    <row r="8837" hidden="1" x14ac:dyDescent="0.3"/>
    <row r="8838" hidden="1" x14ac:dyDescent="0.3"/>
    <row r="8839" hidden="1" x14ac:dyDescent="0.3"/>
    <row r="8840" hidden="1" x14ac:dyDescent="0.3"/>
    <row r="8841" hidden="1" x14ac:dyDescent="0.3"/>
    <row r="8842" hidden="1" x14ac:dyDescent="0.3"/>
    <row r="8843" hidden="1" x14ac:dyDescent="0.3"/>
    <row r="8844" hidden="1" x14ac:dyDescent="0.3"/>
    <row r="8845" hidden="1" x14ac:dyDescent="0.3"/>
    <row r="8846" hidden="1" x14ac:dyDescent="0.3"/>
    <row r="8847" hidden="1" x14ac:dyDescent="0.3"/>
    <row r="8848" hidden="1" x14ac:dyDescent="0.3"/>
    <row r="8849" hidden="1" x14ac:dyDescent="0.3"/>
    <row r="8850" hidden="1" x14ac:dyDescent="0.3"/>
    <row r="8851" hidden="1" x14ac:dyDescent="0.3"/>
    <row r="8852" hidden="1" x14ac:dyDescent="0.3"/>
    <row r="8853" hidden="1" x14ac:dyDescent="0.3"/>
    <row r="8854" hidden="1" x14ac:dyDescent="0.3"/>
    <row r="8855" hidden="1" x14ac:dyDescent="0.3"/>
    <row r="8856" hidden="1" x14ac:dyDescent="0.3"/>
    <row r="8857" hidden="1" x14ac:dyDescent="0.3"/>
    <row r="8858" hidden="1" x14ac:dyDescent="0.3"/>
    <row r="8859" hidden="1" x14ac:dyDescent="0.3"/>
    <row r="8860" hidden="1" x14ac:dyDescent="0.3"/>
    <row r="8861" hidden="1" x14ac:dyDescent="0.3"/>
    <row r="8862" hidden="1" x14ac:dyDescent="0.3"/>
    <row r="8863" hidden="1" x14ac:dyDescent="0.3"/>
    <row r="8864" hidden="1" x14ac:dyDescent="0.3"/>
    <row r="8865" hidden="1" x14ac:dyDescent="0.3"/>
    <row r="8866" hidden="1" x14ac:dyDescent="0.3"/>
    <row r="8867" hidden="1" x14ac:dyDescent="0.3"/>
    <row r="8868" hidden="1" x14ac:dyDescent="0.3"/>
    <row r="8869" hidden="1" x14ac:dyDescent="0.3"/>
    <row r="8870" hidden="1" x14ac:dyDescent="0.3"/>
    <row r="8871" hidden="1" x14ac:dyDescent="0.3"/>
    <row r="8872" hidden="1" x14ac:dyDescent="0.3"/>
    <row r="8873" hidden="1" x14ac:dyDescent="0.3"/>
    <row r="8874" hidden="1" x14ac:dyDescent="0.3"/>
    <row r="8875" hidden="1" x14ac:dyDescent="0.3"/>
    <row r="8876" hidden="1" x14ac:dyDescent="0.3"/>
    <row r="8877" hidden="1" x14ac:dyDescent="0.3"/>
    <row r="8878" hidden="1" x14ac:dyDescent="0.3"/>
    <row r="8879" hidden="1" x14ac:dyDescent="0.3"/>
    <row r="8880" hidden="1" x14ac:dyDescent="0.3"/>
    <row r="8881" hidden="1" x14ac:dyDescent="0.3"/>
    <row r="8882" hidden="1" x14ac:dyDescent="0.3"/>
    <row r="8883" hidden="1" x14ac:dyDescent="0.3"/>
    <row r="8884" hidden="1" x14ac:dyDescent="0.3"/>
    <row r="8885" hidden="1" x14ac:dyDescent="0.3"/>
    <row r="8886" hidden="1" x14ac:dyDescent="0.3"/>
    <row r="8887" hidden="1" x14ac:dyDescent="0.3"/>
    <row r="8888" hidden="1" x14ac:dyDescent="0.3"/>
    <row r="8889" hidden="1" x14ac:dyDescent="0.3"/>
    <row r="8890" hidden="1" x14ac:dyDescent="0.3"/>
    <row r="8891" hidden="1" x14ac:dyDescent="0.3"/>
    <row r="8892" hidden="1" x14ac:dyDescent="0.3"/>
    <row r="8893" hidden="1" x14ac:dyDescent="0.3"/>
    <row r="8894" hidden="1" x14ac:dyDescent="0.3"/>
    <row r="8895" hidden="1" x14ac:dyDescent="0.3"/>
    <row r="8896" hidden="1" x14ac:dyDescent="0.3"/>
    <row r="8897" hidden="1" x14ac:dyDescent="0.3"/>
    <row r="8898" hidden="1" x14ac:dyDescent="0.3"/>
    <row r="8899" hidden="1" x14ac:dyDescent="0.3"/>
    <row r="8900" hidden="1" x14ac:dyDescent="0.3"/>
    <row r="8901" hidden="1" x14ac:dyDescent="0.3"/>
    <row r="8902" hidden="1" x14ac:dyDescent="0.3"/>
    <row r="8903" hidden="1" x14ac:dyDescent="0.3"/>
    <row r="8904" hidden="1" x14ac:dyDescent="0.3"/>
    <row r="8905" hidden="1" x14ac:dyDescent="0.3"/>
    <row r="8906" hidden="1" x14ac:dyDescent="0.3"/>
    <row r="8907" hidden="1" x14ac:dyDescent="0.3"/>
    <row r="8908" hidden="1" x14ac:dyDescent="0.3"/>
    <row r="8909" hidden="1" x14ac:dyDescent="0.3"/>
    <row r="8910" hidden="1" x14ac:dyDescent="0.3"/>
    <row r="8911" hidden="1" x14ac:dyDescent="0.3"/>
    <row r="8912" hidden="1" x14ac:dyDescent="0.3"/>
    <row r="8913" hidden="1" x14ac:dyDescent="0.3"/>
    <row r="8914" hidden="1" x14ac:dyDescent="0.3"/>
    <row r="8915" hidden="1" x14ac:dyDescent="0.3"/>
    <row r="8916" hidden="1" x14ac:dyDescent="0.3"/>
    <row r="8917" hidden="1" x14ac:dyDescent="0.3"/>
    <row r="8918" hidden="1" x14ac:dyDescent="0.3"/>
    <row r="8919" hidden="1" x14ac:dyDescent="0.3"/>
    <row r="8920" hidden="1" x14ac:dyDescent="0.3"/>
    <row r="8921" hidden="1" x14ac:dyDescent="0.3"/>
    <row r="8922" hidden="1" x14ac:dyDescent="0.3"/>
    <row r="8923" hidden="1" x14ac:dyDescent="0.3"/>
    <row r="8924" hidden="1" x14ac:dyDescent="0.3"/>
    <row r="8925" hidden="1" x14ac:dyDescent="0.3"/>
    <row r="8926" hidden="1" x14ac:dyDescent="0.3"/>
    <row r="8927" hidden="1" x14ac:dyDescent="0.3"/>
    <row r="8928" hidden="1" x14ac:dyDescent="0.3"/>
    <row r="8929" hidden="1" x14ac:dyDescent="0.3"/>
    <row r="8930" hidden="1" x14ac:dyDescent="0.3"/>
    <row r="8931" hidden="1" x14ac:dyDescent="0.3"/>
    <row r="8932" hidden="1" x14ac:dyDescent="0.3"/>
    <row r="8933" hidden="1" x14ac:dyDescent="0.3"/>
    <row r="8934" hidden="1" x14ac:dyDescent="0.3"/>
    <row r="8935" hidden="1" x14ac:dyDescent="0.3"/>
    <row r="8936" hidden="1" x14ac:dyDescent="0.3"/>
    <row r="8937" hidden="1" x14ac:dyDescent="0.3"/>
    <row r="8938" hidden="1" x14ac:dyDescent="0.3"/>
    <row r="8939" hidden="1" x14ac:dyDescent="0.3"/>
    <row r="8940" hidden="1" x14ac:dyDescent="0.3"/>
    <row r="8941" hidden="1" x14ac:dyDescent="0.3"/>
    <row r="8942" hidden="1" x14ac:dyDescent="0.3"/>
    <row r="8943" hidden="1" x14ac:dyDescent="0.3"/>
    <row r="8944" hidden="1" x14ac:dyDescent="0.3"/>
    <row r="8945" hidden="1" x14ac:dyDescent="0.3"/>
    <row r="8946" hidden="1" x14ac:dyDescent="0.3"/>
    <row r="8947" hidden="1" x14ac:dyDescent="0.3"/>
    <row r="8948" hidden="1" x14ac:dyDescent="0.3"/>
    <row r="8949" hidden="1" x14ac:dyDescent="0.3"/>
    <row r="8950" hidden="1" x14ac:dyDescent="0.3"/>
    <row r="8951" hidden="1" x14ac:dyDescent="0.3"/>
    <row r="8952" hidden="1" x14ac:dyDescent="0.3"/>
    <row r="8953" hidden="1" x14ac:dyDescent="0.3"/>
    <row r="8954" hidden="1" x14ac:dyDescent="0.3"/>
    <row r="8955" hidden="1" x14ac:dyDescent="0.3"/>
    <row r="8956" hidden="1" x14ac:dyDescent="0.3"/>
    <row r="8957" hidden="1" x14ac:dyDescent="0.3"/>
    <row r="8958" hidden="1" x14ac:dyDescent="0.3"/>
    <row r="8959" hidden="1" x14ac:dyDescent="0.3"/>
    <row r="8960" hidden="1" x14ac:dyDescent="0.3"/>
    <row r="8961" hidden="1" x14ac:dyDescent="0.3"/>
    <row r="8962" hidden="1" x14ac:dyDescent="0.3"/>
    <row r="8963" hidden="1" x14ac:dyDescent="0.3"/>
    <row r="8964" hidden="1" x14ac:dyDescent="0.3"/>
    <row r="8965" hidden="1" x14ac:dyDescent="0.3"/>
    <row r="8966" hidden="1" x14ac:dyDescent="0.3"/>
    <row r="8967" hidden="1" x14ac:dyDescent="0.3"/>
    <row r="8968" hidden="1" x14ac:dyDescent="0.3"/>
    <row r="8969" hidden="1" x14ac:dyDescent="0.3"/>
    <row r="8970" hidden="1" x14ac:dyDescent="0.3"/>
    <row r="8971" hidden="1" x14ac:dyDescent="0.3"/>
    <row r="8972" hidden="1" x14ac:dyDescent="0.3"/>
    <row r="8973" hidden="1" x14ac:dyDescent="0.3"/>
    <row r="8974" hidden="1" x14ac:dyDescent="0.3"/>
    <row r="8975" hidden="1" x14ac:dyDescent="0.3"/>
    <row r="8976" hidden="1" x14ac:dyDescent="0.3"/>
    <row r="8977" hidden="1" x14ac:dyDescent="0.3"/>
    <row r="8978" hidden="1" x14ac:dyDescent="0.3"/>
    <row r="8979" hidden="1" x14ac:dyDescent="0.3"/>
    <row r="8980" hidden="1" x14ac:dyDescent="0.3"/>
    <row r="8981" hidden="1" x14ac:dyDescent="0.3"/>
    <row r="8982" hidden="1" x14ac:dyDescent="0.3"/>
    <row r="8983" hidden="1" x14ac:dyDescent="0.3"/>
    <row r="8984" hidden="1" x14ac:dyDescent="0.3"/>
    <row r="8985" hidden="1" x14ac:dyDescent="0.3"/>
    <row r="8986" hidden="1" x14ac:dyDescent="0.3"/>
    <row r="8987" hidden="1" x14ac:dyDescent="0.3"/>
    <row r="8988" hidden="1" x14ac:dyDescent="0.3"/>
    <row r="8989" hidden="1" x14ac:dyDescent="0.3"/>
    <row r="8990" hidden="1" x14ac:dyDescent="0.3"/>
    <row r="8991" hidden="1" x14ac:dyDescent="0.3"/>
    <row r="8992" hidden="1" x14ac:dyDescent="0.3"/>
    <row r="8993" hidden="1" x14ac:dyDescent="0.3"/>
    <row r="8994" hidden="1" x14ac:dyDescent="0.3"/>
    <row r="8995" hidden="1" x14ac:dyDescent="0.3"/>
    <row r="8996" hidden="1" x14ac:dyDescent="0.3"/>
    <row r="8997" hidden="1" x14ac:dyDescent="0.3"/>
    <row r="8998" hidden="1" x14ac:dyDescent="0.3"/>
    <row r="8999" hidden="1" x14ac:dyDescent="0.3"/>
    <row r="9000" hidden="1" x14ac:dyDescent="0.3"/>
    <row r="9001" hidden="1" x14ac:dyDescent="0.3"/>
    <row r="9002" hidden="1" x14ac:dyDescent="0.3"/>
    <row r="9003" hidden="1" x14ac:dyDescent="0.3"/>
    <row r="9004" hidden="1" x14ac:dyDescent="0.3"/>
    <row r="9005" hidden="1" x14ac:dyDescent="0.3"/>
    <row r="9006" hidden="1" x14ac:dyDescent="0.3"/>
    <row r="9007" hidden="1" x14ac:dyDescent="0.3"/>
    <row r="9008" hidden="1" x14ac:dyDescent="0.3"/>
    <row r="9009" hidden="1" x14ac:dyDescent="0.3"/>
    <row r="9010" hidden="1" x14ac:dyDescent="0.3"/>
    <row r="9011" hidden="1" x14ac:dyDescent="0.3"/>
    <row r="9012" hidden="1" x14ac:dyDescent="0.3"/>
    <row r="9013" hidden="1" x14ac:dyDescent="0.3"/>
    <row r="9014" hidden="1" x14ac:dyDescent="0.3"/>
    <row r="9015" hidden="1" x14ac:dyDescent="0.3"/>
    <row r="9016" hidden="1" x14ac:dyDescent="0.3"/>
    <row r="9017" hidden="1" x14ac:dyDescent="0.3"/>
    <row r="9018" hidden="1" x14ac:dyDescent="0.3"/>
    <row r="9019" hidden="1" x14ac:dyDescent="0.3"/>
    <row r="9020" hidden="1" x14ac:dyDescent="0.3"/>
    <row r="9021" hidden="1" x14ac:dyDescent="0.3"/>
    <row r="9022" hidden="1" x14ac:dyDescent="0.3"/>
    <row r="9023" hidden="1" x14ac:dyDescent="0.3"/>
    <row r="9024" hidden="1" x14ac:dyDescent="0.3"/>
    <row r="9025" hidden="1" x14ac:dyDescent="0.3"/>
    <row r="9026" hidden="1" x14ac:dyDescent="0.3"/>
    <row r="9027" hidden="1" x14ac:dyDescent="0.3"/>
    <row r="9028" hidden="1" x14ac:dyDescent="0.3"/>
    <row r="9029" hidden="1" x14ac:dyDescent="0.3"/>
    <row r="9030" hidden="1" x14ac:dyDescent="0.3"/>
    <row r="9031" hidden="1" x14ac:dyDescent="0.3"/>
    <row r="9032" hidden="1" x14ac:dyDescent="0.3"/>
    <row r="9033" hidden="1" x14ac:dyDescent="0.3"/>
    <row r="9034" hidden="1" x14ac:dyDescent="0.3"/>
    <row r="9035" hidden="1" x14ac:dyDescent="0.3"/>
    <row r="9036" hidden="1" x14ac:dyDescent="0.3"/>
    <row r="9037" hidden="1" x14ac:dyDescent="0.3"/>
    <row r="9038" hidden="1" x14ac:dyDescent="0.3"/>
    <row r="9039" hidden="1" x14ac:dyDescent="0.3"/>
    <row r="9040" hidden="1" x14ac:dyDescent="0.3"/>
    <row r="9041" hidden="1" x14ac:dyDescent="0.3"/>
    <row r="9042" hidden="1" x14ac:dyDescent="0.3"/>
    <row r="9043" hidden="1" x14ac:dyDescent="0.3"/>
    <row r="9044" hidden="1" x14ac:dyDescent="0.3"/>
    <row r="9045" hidden="1" x14ac:dyDescent="0.3"/>
    <row r="9046" hidden="1" x14ac:dyDescent="0.3"/>
    <row r="9047" hidden="1" x14ac:dyDescent="0.3"/>
    <row r="9048" hidden="1" x14ac:dyDescent="0.3"/>
    <row r="9049" hidden="1" x14ac:dyDescent="0.3"/>
    <row r="9050" hidden="1" x14ac:dyDescent="0.3"/>
    <row r="9051" hidden="1" x14ac:dyDescent="0.3"/>
    <row r="9052" hidden="1" x14ac:dyDescent="0.3"/>
    <row r="9053" hidden="1" x14ac:dyDescent="0.3"/>
    <row r="9054" hidden="1" x14ac:dyDescent="0.3"/>
    <row r="9055" hidden="1" x14ac:dyDescent="0.3"/>
    <row r="9056" hidden="1" x14ac:dyDescent="0.3"/>
    <row r="9057" hidden="1" x14ac:dyDescent="0.3"/>
    <row r="9058" hidden="1" x14ac:dyDescent="0.3"/>
    <row r="9059" hidden="1" x14ac:dyDescent="0.3"/>
    <row r="9060" hidden="1" x14ac:dyDescent="0.3"/>
    <row r="9061" hidden="1" x14ac:dyDescent="0.3"/>
    <row r="9062" hidden="1" x14ac:dyDescent="0.3"/>
    <row r="9063" hidden="1" x14ac:dyDescent="0.3"/>
    <row r="9064" hidden="1" x14ac:dyDescent="0.3"/>
    <row r="9065" hidden="1" x14ac:dyDescent="0.3"/>
    <row r="9066" hidden="1" x14ac:dyDescent="0.3"/>
    <row r="9067" hidden="1" x14ac:dyDescent="0.3"/>
    <row r="9068" hidden="1" x14ac:dyDescent="0.3"/>
    <row r="9069" hidden="1" x14ac:dyDescent="0.3"/>
    <row r="9070" hidden="1" x14ac:dyDescent="0.3"/>
    <row r="9071" hidden="1" x14ac:dyDescent="0.3"/>
    <row r="9072" hidden="1" x14ac:dyDescent="0.3"/>
    <row r="9073" hidden="1" x14ac:dyDescent="0.3"/>
    <row r="9074" hidden="1" x14ac:dyDescent="0.3"/>
    <row r="9075" hidden="1" x14ac:dyDescent="0.3"/>
    <row r="9076" hidden="1" x14ac:dyDescent="0.3"/>
    <row r="9077" hidden="1" x14ac:dyDescent="0.3"/>
    <row r="9078" hidden="1" x14ac:dyDescent="0.3"/>
    <row r="9079" hidden="1" x14ac:dyDescent="0.3"/>
    <row r="9080" hidden="1" x14ac:dyDescent="0.3"/>
    <row r="9081" hidden="1" x14ac:dyDescent="0.3"/>
    <row r="9082" hidden="1" x14ac:dyDescent="0.3"/>
    <row r="9083" hidden="1" x14ac:dyDescent="0.3"/>
    <row r="9084" hidden="1" x14ac:dyDescent="0.3"/>
    <row r="9085" hidden="1" x14ac:dyDescent="0.3"/>
    <row r="9086" hidden="1" x14ac:dyDescent="0.3"/>
    <row r="9087" hidden="1" x14ac:dyDescent="0.3"/>
    <row r="9088" hidden="1" x14ac:dyDescent="0.3"/>
    <row r="9089" hidden="1" x14ac:dyDescent="0.3"/>
    <row r="9090" hidden="1" x14ac:dyDescent="0.3"/>
    <row r="9091" hidden="1" x14ac:dyDescent="0.3"/>
    <row r="9092" hidden="1" x14ac:dyDescent="0.3"/>
    <row r="9093" hidden="1" x14ac:dyDescent="0.3"/>
    <row r="9094" hidden="1" x14ac:dyDescent="0.3"/>
    <row r="9095" hidden="1" x14ac:dyDescent="0.3"/>
    <row r="9096" hidden="1" x14ac:dyDescent="0.3"/>
    <row r="9097" hidden="1" x14ac:dyDescent="0.3"/>
    <row r="9098" hidden="1" x14ac:dyDescent="0.3"/>
    <row r="9099" hidden="1" x14ac:dyDescent="0.3"/>
    <row r="9100" hidden="1" x14ac:dyDescent="0.3"/>
    <row r="9101" hidden="1" x14ac:dyDescent="0.3"/>
    <row r="9102" hidden="1" x14ac:dyDescent="0.3"/>
    <row r="9103" hidden="1" x14ac:dyDescent="0.3"/>
    <row r="9104" hidden="1" x14ac:dyDescent="0.3"/>
    <row r="9105" hidden="1" x14ac:dyDescent="0.3"/>
    <row r="9106" hidden="1" x14ac:dyDescent="0.3"/>
    <row r="9107" hidden="1" x14ac:dyDescent="0.3"/>
    <row r="9108" hidden="1" x14ac:dyDescent="0.3"/>
    <row r="9109" hidden="1" x14ac:dyDescent="0.3"/>
    <row r="9110" hidden="1" x14ac:dyDescent="0.3"/>
    <row r="9111" hidden="1" x14ac:dyDescent="0.3"/>
    <row r="9112" hidden="1" x14ac:dyDescent="0.3"/>
    <row r="9113" hidden="1" x14ac:dyDescent="0.3"/>
    <row r="9114" hidden="1" x14ac:dyDescent="0.3"/>
    <row r="9115" hidden="1" x14ac:dyDescent="0.3"/>
    <row r="9116" hidden="1" x14ac:dyDescent="0.3"/>
    <row r="9117" hidden="1" x14ac:dyDescent="0.3"/>
    <row r="9118" hidden="1" x14ac:dyDescent="0.3"/>
    <row r="9119" hidden="1" x14ac:dyDescent="0.3"/>
    <row r="9120" hidden="1" x14ac:dyDescent="0.3"/>
    <row r="9121" hidden="1" x14ac:dyDescent="0.3"/>
    <row r="9122" hidden="1" x14ac:dyDescent="0.3"/>
    <row r="9123" hidden="1" x14ac:dyDescent="0.3"/>
    <row r="9124" hidden="1" x14ac:dyDescent="0.3"/>
    <row r="9125" hidden="1" x14ac:dyDescent="0.3"/>
    <row r="9126" hidden="1" x14ac:dyDescent="0.3"/>
    <row r="9127" hidden="1" x14ac:dyDescent="0.3"/>
    <row r="9128" hidden="1" x14ac:dyDescent="0.3"/>
    <row r="9129" hidden="1" x14ac:dyDescent="0.3"/>
    <row r="9130" hidden="1" x14ac:dyDescent="0.3"/>
    <row r="9131" hidden="1" x14ac:dyDescent="0.3"/>
    <row r="9132" hidden="1" x14ac:dyDescent="0.3"/>
    <row r="9133" hidden="1" x14ac:dyDescent="0.3"/>
    <row r="9134" hidden="1" x14ac:dyDescent="0.3"/>
    <row r="9135" hidden="1" x14ac:dyDescent="0.3"/>
    <row r="9136" hidden="1" x14ac:dyDescent="0.3"/>
    <row r="9137" hidden="1" x14ac:dyDescent="0.3"/>
    <row r="9138" hidden="1" x14ac:dyDescent="0.3"/>
    <row r="9139" hidden="1" x14ac:dyDescent="0.3"/>
    <row r="9140" hidden="1" x14ac:dyDescent="0.3"/>
    <row r="9141" hidden="1" x14ac:dyDescent="0.3"/>
    <row r="9142" hidden="1" x14ac:dyDescent="0.3"/>
    <row r="9143" hidden="1" x14ac:dyDescent="0.3"/>
    <row r="9144" hidden="1" x14ac:dyDescent="0.3"/>
    <row r="9145" hidden="1" x14ac:dyDescent="0.3"/>
    <row r="9146" hidden="1" x14ac:dyDescent="0.3"/>
    <row r="9147" hidden="1" x14ac:dyDescent="0.3"/>
    <row r="9148" hidden="1" x14ac:dyDescent="0.3"/>
    <row r="9149" hidden="1" x14ac:dyDescent="0.3"/>
    <row r="9150" hidden="1" x14ac:dyDescent="0.3"/>
    <row r="9151" hidden="1" x14ac:dyDescent="0.3"/>
    <row r="9152" hidden="1" x14ac:dyDescent="0.3"/>
    <row r="9153" hidden="1" x14ac:dyDescent="0.3"/>
    <row r="9154" hidden="1" x14ac:dyDescent="0.3"/>
    <row r="9155" hidden="1" x14ac:dyDescent="0.3"/>
    <row r="9156" hidden="1" x14ac:dyDescent="0.3"/>
    <row r="9157" hidden="1" x14ac:dyDescent="0.3"/>
    <row r="9158" hidden="1" x14ac:dyDescent="0.3"/>
    <row r="9159" hidden="1" x14ac:dyDescent="0.3"/>
    <row r="9160" hidden="1" x14ac:dyDescent="0.3"/>
    <row r="9161" hidden="1" x14ac:dyDescent="0.3"/>
    <row r="9162" hidden="1" x14ac:dyDescent="0.3"/>
    <row r="9163" hidden="1" x14ac:dyDescent="0.3"/>
    <row r="9164" hidden="1" x14ac:dyDescent="0.3"/>
    <row r="9165" hidden="1" x14ac:dyDescent="0.3"/>
    <row r="9166" hidden="1" x14ac:dyDescent="0.3"/>
    <row r="9167" hidden="1" x14ac:dyDescent="0.3"/>
    <row r="9168" hidden="1" x14ac:dyDescent="0.3"/>
    <row r="9169" hidden="1" x14ac:dyDescent="0.3"/>
    <row r="9170" hidden="1" x14ac:dyDescent="0.3"/>
    <row r="9171" hidden="1" x14ac:dyDescent="0.3"/>
    <row r="9172" hidden="1" x14ac:dyDescent="0.3"/>
    <row r="9173" hidden="1" x14ac:dyDescent="0.3"/>
    <row r="9174" hidden="1" x14ac:dyDescent="0.3"/>
    <row r="9175" hidden="1" x14ac:dyDescent="0.3"/>
    <row r="9176" hidden="1" x14ac:dyDescent="0.3"/>
    <row r="9177" hidden="1" x14ac:dyDescent="0.3"/>
    <row r="9178" hidden="1" x14ac:dyDescent="0.3"/>
    <row r="9179" hidden="1" x14ac:dyDescent="0.3"/>
    <row r="9180" hidden="1" x14ac:dyDescent="0.3"/>
    <row r="9181" hidden="1" x14ac:dyDescent="0.3"/>
    <row r="9182" hidden="1" x14ac:dyDescent="0.3"/>
    <row r="9183" hidden="1" x14ac:dyDescent="0.3"/>
    <row r="9184" hidden="1" x14ac:dyDescent="0.3"/>
    <row r="9185" hidden="1" x14ac:dyDescent="0.3"/>
    <row r="9186" hidden="1" x14ac:dyDescent="0.3"/>
    <row r="9187" hidden="1" x14ac:dyDescent="0.3"/>
    <row r="9188" hidden="1" x14ac:dyDescent="0.3"/>
    <row r="9189" hidden="1" x14ac:dyDescent="0.3"/>
    <row r="9190" hidden="1" x14ac:dyDescent="0.3"/>
    <row r="9191" hidden="1" x14ac:dyDescent="0.3"/>
    <row r="9192" hidden="1" x14ac:dyDescent="0.3"/>
    <row r="9193" hidden="1" x14ac:dyDescent="0.3"/>
    <row r="9194" hidden="1" x14ac:dyDescent="0.3"/>
    <row r="9195" hidden="1" x14ac:dyDescent="0.3"/>
    <row r="9196" hidden="1" x14ac:dyDescent="0.3"/>
    <row r="9197" hidden="1" x14ac:dyDescent="0.3"/>
    <row r="9198" hidden="1" x14ac:dyDescent="0.3"/>
    <row r="9199" hidden="1" x14ac:dyDescent="0.3"/>
    <row r="9200" hidden="1" x14ac:dyDescent="0.3"/>
    <row r="9201" hidden="1" x14ac:dyDescent="0.3"/>
    <row r="9202" hidden="1" x14ac:dyDescent="0.3"/>
    <row r="9203" hidden="1" x14ac:dyDescent="0.3"/>
    <row r="9204" hidden="1" x14ac:dyDescent="0.3"/>
    <row r="9205" hidden="1" x14ac:dyDescent="0.3"/>
    <row r="9206" hidden="1" x14ac:dyDescent="0.3"/>
    <row r="9207" hidden="1" x14ac:dyDescent="0.3"/>
    <row r="9208" hidden="1" x14ac:dyDescent="0.3"/>
    <row r="9209" hidden="1" x14ac:dyDescent="0.3"/>
    <row r="9210" hidden="1" x14ac:dyDescent="0.3"/>
    <row r="9211" hidden="1" x14ac:dyDescent="0.3"/>
    <row r="9212" hidden="1" x14ac:dyDescent="0.3"/>
    <row r="9213" hidden="1" x14ac:dyDescent="0.3"/>
    <row r="9214" hidden="1" x14ac:dyDescent="0.3"/>
    <row r="9215" hidden="1" x14ac:dyDescent="0.3"/>
    <row r="9216" hidden="1" x14ac:dyDescent="0.3"/>
    <row r="9217" hidden="1" x14ac:dyDescent="0.3"/>
    <row r="9218" hidden="1" x14ac:dyDescent="0.3"/>
    <row r="9219" hidden="1" x14ac:dyDescent="0.3"/>
    <row r="9220" hidden="1" x14ac:dyDescent="0.3"/>
    <row r="9221" hidden="1" x14ac:dyDescent="0.3"/>
    <row r="9222" hidden="1" x14ac:dyDescent="0.3"/>
    <row r="9223" hidden="1" x14ac:dyDescent="0.3"/>
    <row r="9224" hidden="1" x14ac:dyDescent="0.3"/>
    <row r="9225" hidden="1" x14ac:dyDescent="0.3"/>
    <row r="9226" hidden="1" x14ac:dyDescent="0.3"/>
    <row r="9227" hidden="1" x14ac:dyDescent="0.3"/>
    <row r="9228" hidden="1" x14ac:dyDescent="0.3"/>
    <row r="9229" hidden="1" x14ac:dyDescent="0.3"/>
    <row r="9230" hidden="1" x14ac:dyDescent="0.3"/>
    <row r="9231" hidden="1" x14ac:dyDescent="0.3"/>
    <row r="9232" hidden="1" x14ac:dyDescent="0.3"/>
    <row r="9233" hidden="1" x14ac:dyDescent="0.3"/>
    <row r="9234" hidden="1" x14ac:dyDescent="0.3"/>
    <row r="9235" hidden="1" x14ac:dyDescent="0.3"/>
    <row r="9236" hidden="1" x14ac:dyDescent="0.3"/>
    <row r="9237" hidden="1" x14ac:dyDescent="0.3"/>
    <row r="9238" hidden="1" x14ac:dyDescent="0.3"/>
    <row r="9239" hidden="1" x14ac:dyDescent="0.3"/>
    <row r="9240" hidden="1" x14ac:dyDescent="0.3"/>
    <row r="9241" hidden="1" x14ac:dyDescent="0.3"/>
    <row r="9242" hidden="1" x14ac:dyDescent="0.3"/>
    <row r="9243" hidden="1" x14ac:dyDescent="0.3"/>
    <row r="9244" hidden="1" x14ac:dyDescent="0.3"/>
    <row r="9245" hidden="1" x14ac:dyDescent="0.3"/>
    <row r="9246" hidden="1" x14ac:dyDescent="0.3"/>
    <row r="9247" hidden="1" x14ac:dyDescent="0.3"/>
    <row r="9248" hidden="1" x14ac:dyDescent="0.3"/>
    <row r="9249" hidden="1" x14ac:dyDescent="0.3"/>
    <row r="9250" hidden="1" x14ac:dyDescent="0.3"/>
    <row r="9251" hidden="1" x14ac:dyDescent="0.3"/>
    <row r="9252" hidden="1" x14ac:dyDescent="0.3"/>
    <row r="9253" hidden="1" x14ac:dyDescent="0.3"/>
    <row r="9254" hidden="1" x14ac:dyDescent="0.3"/>
    <row r="9255" hidden="1" x14ac:dyDescent="0.3"/>
    <row r="9256" hidden="1" x14ac:dyDescent="0.3"/>
    <row r="9257" hidden="1" x14ac:dyDescent="0.3"/>
    <row r="9258" hidden="1" x14ac:dyDescent="0.3"/>
    <row r="9259" hidden="1" x14ac:dyDescent="0.3"/>
    <row r="9260" hidden="1" x14ac:dyDescent="0.3"/>
    <row r="9261" hidden="1" x14ac:dyDescent="0.3"/>
    <row r="9262" hidden="1" x14ac:dyDescent="0.3"/>
    <row r="9263" hidden="1" x14ac:dyDescent="0.3"/>
    <row r="9264" hidden="1" x14ac:dyDescent="0.3"/>
    <row r="9265" hidden="1" x14ac:dyDescent="0.3"/>
    <row r="9266" hidden="1" x14ac:dyDescent="0.3"/>
    <row r="9267" hidden="1" x14ac:dyDescent="0.3"/>
    <row r="9268" hidden="1" x14ac:dyDescent="0.3"/>
    <row r="9269" hidden="1" x14ac:dyDescent="0.3"/>
    <row r="9270" hidden="1" x14ac:dyDescent="0.3"/>
    <row r="9271" hidden="1" x14ac:dyDescent="0.3"/>
    <row r="9272" hidden="1" x14ac:dyDescent="0.3"/>
    <row r="9273" hidden="1" x14ac:dyDescent="0.3"/>
    <row r="9274" hidden="1" x14ac:dyDescent="0.3"/>
    <row r="9275" hidden="1" x14ac:dyDescent="0.3"/>
    <row r="9276" hidden="1" x14ac:dyDescent="0.3"/>
    <row r="9277" hidden="1" x14ac:dyDescent="0.3"/>
    <row r="9278" hidden="1" x14ac:dyDescent="0.3"/>
    <row r="9279" hidden="1" x14ac:dyDescent="0.3"/>
    <row r="9280" hidden="1" x14ac:dyDescent="0.3"/>
    <row r="9281" hidden="1" x14ac:dyDescent="0.3"/>
    <row r="9282" hidden="1" x14ac:dyDescent="0.3"/>
    <row r="9283" hidden="1" x14ac:dyDescent="0.3"/>
    <row r="9284" hidden="1" x14ac:dyDescent="0.3"/>
    <row r="9285" hidden="1" x14ac:dyDescent="0.3"/>
    <row r="9286" hidden="1" x14ac:dyDescent="0.3"/>
    <row r="9287" hidden="1" x14ac:dyDescent="0.3"/>
    <row r="9288" hidden="1" x14ac:dyDescent="0.3"/>
    <row r="9289" hidden="1" x14ac:dyDescent="0.3"/>
    <row r="9290" hidden="1" x14ac:dyDescent="0.3"/>
    <row r="9291" hidden="1" x14ac:dyDescent="0.3"/>
    <row r="9292" hidden="1" x14ac:dyDescent="0.3"/>
    <row r="9293" hidden="1" x14ac:dyDescent="0.3"/>
    <row r="9294" hidden="1" x14ac:dyDescent="0.3"/>
    <row r="9295" hidden="1" x14ac:dyDescent="0.3"/>
    <row r="9296" hidden="1" x14ac:dyDescent="0.3"/>
    <row r="9297" hidden="1" x14ac:dyDescent="0.3"/>
    <row r="9298" hidden="1" x14ac:dyDescent="0.3"/>
    <row r="9299" hidden="1" x14ac:dyDescent="0.3"/>
    <row r="9300" hidden="1" x14ac:dyDescent="0.3"/>
    <row r="9301" hidden="1" x14ac:dyDescent="0.3"/>
    <row r="9302" hidden="1" x14ac:dyDescent="0.3"/>
    <row r="9303" hidden="1" x14ac:dyDescent="0.3"/>
    <row r="9304" hidden="1" x14ac:dyDescent="0.3"/>
    <row r="9305" hidden="1" x14ac:dyDescent="0.3"/>
    <row r="9306" hidden="1" x14ac:dyDescent="0.3"/>
    <row r="9307" hidden="1" x14ac:dyDescent="0.3"/>
    <row r="9308" hidden="1" x14ac:dyDescent="0.3"/>
    <row r="9309" hidden="1" x14ac:dyDescent="0.3"/>
    <row r="9310" hidden="1" x14ac:dyDescent="0.3"/>
    <row r="9311" hidden="1" x14ac:dyDescent="0.3"/>
    <row r="9312" hidden="1" x14ac:dyDescent="0.3"/>
    <row r="9313" hidden="1" x14ac:dyDescent="0.3"/>
    <row r="9314" hidden="1" x14ac:dyDescent="0.3"/>
    <row r="9315" hidden="1" x14ac:dyDescent="0.3"/>
    <row r="9316" hidden="1" x14ac:dyDescent="0.3"/>
    <row r="9317" hidden="1" x14ac:dyDescent="0.3"/>
    <row r="9318" hidden="1" x14ac:dyDescent="0.3"/>
    <row r="9319" hidden="1" x14ac:dyDescent="0.3"/>
    <row r="9320" hidden="1" x14ac:dyDescent="0.3"/>
    <row r="9321" hidden="1" x14ac:dyDescent="0.3"/>
    <row r="9322" hidden="1" x14ac:dyDescent="0.3"/>
    <row r="9323" hidden="1" x14ac:dyDescent="0.3"/>
    <row r="9324" hidden="1" x14ac:dyDescent="0.3"/>
    <row r="9325" hidden="1" x14ac:dyDescent="0.3"/>
    <row r="9326" hidden="1" x14ac:dyDescent="0.3"/>
    <row r="9327" hidden="1" x14ac:dyDescent="0.3"/>
    <row r="9328" hidden="1" x14ac:dyDescent="0.3"/>
    <row r="9329" hidden="1" x14ac:dyDescent="0.3"/>
    <row r="9330" hidden="1" x14ac:dyDescent="0.3"/>
    <row r="9331" hidden="1" x14ac:dyDescent="0.3"/>
    <row r="9332" hidden="1" x14ac:dyDescent="0.3"/>
    <row r="9333" hidden="1" x14ac:dyDescent="0.3"/>
    <row r="9334" hidden="1" x14ac:dyDescent="0.3"/>
    <row r="9335" hidden="1" x14ac:dyDescent="0.3"/>
    <row r="9336" hidden="1" x14ac:dyDescent="0.3"/>
    <row r="9337" hidden="1" x14ac:dyDescent="0.3"/>
    <row r="9338" hidden="1" x14ac:dyDescent="0.3"/>
    <row r="9339" hidden="1" x14ac:dyDescent="0.3"/>
    <row r="9340" hidden="1" x14ac:dyDescent="0.3"/>
    <row r="9341" hidden="1" x14ac:dyDescent="0.3"/>
    <row r="9342" hidden="1" x14ac:dyDescent="0.3"/>
    <row r="9343" hidden="1" x14ac:dyDescent="0.3"/>
    <row r="9344" hidden="1" x14ac:dyDescent="0.3"/>
    <row r="9345" hidden="1" x14ac:dyDescent="0.3"/>
    <row r="9346" hidden="1" x14ac:dyDescent="0.3"/>
    <row r="9347" hidden="1" x14ac:dyDescent="0.3"/>
    <row r="9348" hidden="1" x14ac:dyDescent="0.3"/>
    <row r="9349" hidden="1" x14ac:dyDescent="0.3"/>
    <row r="9350" hidden="1" x14ac:dyDescent="0.3"/>
    <row r="9351" hidden="1" x14ac:dyDescent="0.3"/>
    <row r="9352" hidden="1" x14ac:dyDescent="0.3"/>
    <row r="9353" hidden="1" x14ac:dyDescent="0.3"/>
    <row r="9354" hidden="1" x14ac:dyDescent="0.3"/>
    <row r="9355" hidden="1" x14ac:dyDescent="0.3"/>
    <row r="9356" hidden="1" x14ac:dyDescent="0.3"/>
    <row r="9357" hidden="1" x14ac:dyDescent="0.3"/>
    <row r="9358" hidden="1" x14ac:dyDescent="0.3"/>
    <row r="9359" hidden="1" x14ac:dyDescent="0.3"/>
    <row r="9360" hidden="1" x14ac:dyDescent="0.3"/>
    <row r="9361" hidden="1" x14ac:dyDescent="0.3"/>
    <row r="9362" hidden="1" x14ac:dyDescent="0.3"/>
    <row r="9363" hidden="1" x14ac:dyDescent="0.3"/>
    <row r="9364" hidden="1" x14ac:dyDescent="0.3"/>
    <row r="9365" hidden="1" x14ac:dyDescent="0.3"/>
    <row r="9366" hidden="1" x14ac:dyDescent="0.3"/>
    <row r="9367" hidden="1" x14ac:dyDescent="0.3"/>
    <row r="9368" hidden="1" x14ac:dyDescent="0.3"/>
    <row r="9369" hidden="1" x14ac:dyDescent="0.3"/>
    <row r="9370" hidden="1" x14ac:dyDescent="0.3"/>
    <row r="9371" hidden="1" x14ac:dyDescent="0.3"/>
    <row r="9372" hidden="1" x14ac:dyDescent="0.3"/>
    <row r="9373" hidden="1" x14ac:dyDescent="0.3"/>
    <row r="9374" hidden="1" x14ac:dyDescent="0.3"/>
    <row r="9375" hidden="1" x14ac:dyDescent="0.3"/>
    <row r="9376" hidden="1" x14ac:dyDescent="0.3"/>
    <row r="9377" hidden="1" x14ac:dyDescent="0.3"/>
    <row r="9378" hidden="1" x14ac:dyDescent="0.3"/>
    <row r="9379" hidden="1" x14ac:dyDescent="0.3"/>
    <row r="9380" hidden="1" x14ac:dyDescent="0.3"/>
    <row r="9381" hidden="1" x14ac:dyDescent="0.3"/>
    <row r="9382" hidden="1" x14ac:dyDescent="0.3"/>
    <row r="9383" hidden="1" x14ac:dyDescent="0.3"/>
    <row r="9384" hidden="1" x14ac:dyDescent="0.3"/>
    <row r="9385" hidden="1" x14ac:dyDescent="0.3"/>
    <row r="9386" hidden="1" x14ac:dyDescent="0.3"/>
    <row r="9387" hidden="1" x14ac:dyDescent="0.3"/>
    <row r="9388" hidden="1" x14ac:dyDescent="0.3"/>
    <row r="9389" hidden="1" x14ac:dyDescent="0.3"/>
    <row r="9390" hidden="1" x14ac:dyDescent="0.3"/>
    <row r="9391" hidden="1" x14ac:dyDescent="0.3"/>
    <row r="9392" hidden="1" x14ac:dyDescent="0.3"/>
    <row r="9393" hidden="1" x14ac:dyDescent="0.3"/>
    <row r="9394" hidden="1" x14ac:dyDescent="0.3"/>
    <row r="9395" hidden="1" x14ac:dyDescent="0.3"/>
    <row r="9396" hidden="1" x14ac:dyDescent="0.3"/>
    <row r="9397" hidden="1" x14ac:dyDescent="0.3"/>
    <row r="9398" hidden="1" x14ac:dyDescent="0.3"/>
    <row r="9399" hidden="1" x14ac:dyDescent="0.3"/>
    <row r="9400" hidden="1" x14ac:dyDescent="0.3"/>
    <row r="9401" hidden="1" x14ac:dyDescent="0.3"/>
    <row r="9402" hidden="1" x14ac:dyDescent="0.3"/>
    <row r="9403" hidden="1" x14ac:dyDescent="0.3"/>
    <row r="9404" hidden="1" x14ac:dyDescent="0.3"/>
    <row r="9405" hidden="1" x14ac:dyDescent="0.3"/>
    <row r="9406" hidden="1" x14ac:dyDescent="0.3"/>
    <row r="9407" hidden="1" x14ac:dyDescent="0.3"/>
    <row r="9408" hidden="1" x14ac:dyDescent="0.3"/>
    <row r="9409" hidden="1" x14ac:dyDescent="0.3"/>
    <row r="9410" hidden="1" x14ac:dyDescent="0.3"/>
    <row r="9411" hidden="1" x14ac:dyDescent="0.3"/>
    <row r="9412" hidden="1" x14ac:dyDescent="0.3"/>
    <row r="9413" hidden="1" x14ac:dyDescent="0.3"/>
    <row r="9414" hidden="1" x14ac:dyDescent="0.3"/>
    <row r="9415" hidden="1" x14ac:dyDescent="0.3"/>
    <row r="9416" hidden="1" x14ac:dyDescent="0.3"/>
    <row r="9417" hidden="1" x14ac:dyDescent="0.3"/>
    <row r="9418" hidden="1" x14ac:dyDescent="0.3"/>
    <row r="9419" hidden="1" x14ac:dyDescent="0.3"/>
    <row r="9420" hidden="1" x14ac:dyDescent="0.3"/>
    <row r="9421" hidden="1" x14ac:dyDescent="0.3"/>
    <row r="9422" hidden="1" x14ac:dyDescent="0.3"/>
    <row r="9423" hidden="1" x14ac:dyDescent="0.3"/>
    <row r="9424" hidden="1" x14ac:dyDescent="0.3"/>
    <row r="9425" hidden="1" x14ac:dyDescent="0.3"/>
    <row r="9426" hidden="1" x14ac:dyDescent="0.3"/>
    <row r="9427" hidden="1" x14ac:dyDescent="0.3"/>
    <row r="9428" hidden="1" x14ac:dyDescent="0.3"/>
    <row r="9429" hidden="1" x14ac:dyDescent="0.3"/>
    <row r="9430" hidden="1" x14ac:dyDescent="0.3"/>
    <row r="9431" hidden="1" x14ac:dyDescent="0.3"/>
    <row r="9432" hidden="1" x14ac:dyDescent="0.3"/>
    <row r="9433" hidden="1" x14ac:dyDescent="0.3"/>
    <row r="9434" hidden="1" x14ac:dyDescent="0.3"/>
    <row r="9435" hidden="1" x14ac:dyDescent="0.3"/>
    <row r="9436" hidden="1" x14ac:dyDescent="0.3"/>
    <row r="9437" hidden="1" x14ac:dyDescent="0.3"/>
    <row r="9438" hidden="1" x14ac:dyDescent="0.3"/>
    <row r="9439" hidden="1" x14ac:dyDescent="0.3"/>
    <row r="9440" hidden="1" x14ac:dyDescent="0.3"/>
    <row r="9441" hidden="1" x14ac:dyDescent="0.3"/>
    <row r="9442" hidden="1" x14ac:dyDescent="0.3"/>
    <row r="9443" hidden="1" x14ac:dyDescent="0.3"/>
    <row r="9444" hidden="1" x14ac:dyDescent="0.3"/>
    <row r="9445" hidden="1" x14ac:dyDescent="0.3"/>
    <row r="9446" hidden="1" x14ac:dyDescent="0.3"/>
    <row r="9447" hidden="1" x14ac:dyDescent="0.3"/>
    <row r="9448" hidden="1" x14ac:dyDescent="0.3"/>
    <row r="9449" hidden="1" x14ac:dyDescent="0.3"/>
    <row r="9450" hidden="1" x14ac:dyDescent="0.3"/>
    <row r="9451" hidden="1" x14ac:dyDescent="0.3"/>
    <row r="9452" hidden="1" x14ac:dyDescent="0.3"/>
    <row r="9453" hidden="1" x14ac:dyDescent="0.3"/>
    <row r="9454" hidden="1" x14ac:dyDescent="0.3"/>
    <row r="9455" hidden="1" x14ac:dyDescent="0.3"/>
    <row r="9456" hidden="1" x14ac:dyDescent="0.3"/>
    <row r="9457" hidden="1" x14ac:dyDescent="0.3"/>
    <row r="9458" hidden="1" x14ac:dyDescent="0.3"/>
    <row r="9459" hidden="1" x14ac:dyDescent="0.3"/>
    <row r="9460" hidden="1" x14ac:dyDescent="0.3"/>
    <row r="9461" hidden="1" x14ac:dyDescent="0.3"/>
    <row r="9462" hidden="1" x14ac:dyDescent="0.3"/>
    <row r="9463" hidden="1" x14ac:dyDescent="0.3"/>
    <row r="9464" hidden="1" x14ac:dyDescent="0.3"/>
    <row r="9465" hidden="1" x14ac:dyDescent="0.3"/>
    <row r="9466" hidden="1" x14ac:dyDescent="0.3"/>
    <row r="9467" hidden="1" x14ac:dyDescent="0.3"/>
    <row r="9468" hidden="1" x14ac:dyDescent="0.3"/>
    <row r="9469" hidden="1" x14ac:dyDescent="0.3"/>
    <row r="9470" hidden="1" x14ac:dyDescent="0.3"/>
    <row r="9471" hidden="1" x14ac:dyDescent="0.3"/>
    <row r="9472" hidden="1" x14ac:dyDescent="0.3"/>
    <row r="9473" hidden="1" x14ac:dyDescent="0.3"/>
    <row r="9474" hidden="1" x14ac:dyDescent="0.3"/>
    <row r="9475" hidden="1" x14ac:dyDescent="0.3"/>
    <row r="9476" hidden="1" x14ac:dyDescent="0.3"/>
    <row r="9477" hidden="1" x14ac:dyDescent="0.3"/>
    <row r="9478" hidden="1" x14ac:dyDescent="0.3"/>
    <row r="9479" hidden="1" x14ac:dyDescent="0.3"/>
    <row r="9480" hidden="1" x14ac:dyDescent="0.3"/>
    <row r="9481" hidden="1" x14ac:dyDescent="0.3"/>
    <row r="9482" hidden="1" x14ac:dyDescent="0.3"/>
    <row r="9483" hidden="1" x14ac:dyDescent="0.3"/>
    <row r="9484" hidden="1" x14ac:dyDescent="0.3"/>
    <row r="9485" hidden="1" x14ac:dyDescent="0.3"/>
    <row r="9486" hidden="1" x14ac:dyDescent="0.3"/>
    <row r="9487" hidden="1" x14ac:dyDescent="0.3"/>
    <row r="9488" hidden="1" x14ac:dyDescent="0.3"/>
    <row r="9489" hidden="1" x14ac:dyDescent="0.3"/>
    <row r="9490" hidden="1" x14ac:dyDescent="0.3"/>
    <row r="9491" hidden="1" x14ac:dyDescent="0.3"/>
    <row r="9492" hidden="1" x14ac:dyDescent="0.3"/>
    <row r="9493" hidden="1" x14ac:dyDescent="0.3"/>
    <row r="9494" hidden="1" x14ac:dyDescent="0.3"/>
    <row r="9495" hidden="1" x14ac:dyDescent="0.3"/>
    <row r="9496" hidden="1" x14ac:dyDescent="0.3"/>
    <row r="9497" hidden="1" x14ac:dyDescent="0.3"/>
    <row r="9498" hidden="1" x14ac:dyDescent="0.3"/>
    <row r="9499" hidden="1" x14ac:dyDescent="0.3"/>
    <row r="9500" hidden="1" x14ac:dyDescent="0.3"/>
    <row r="9501" hidden="1" x14ac:dyDescent="0.3"/>
    <row r="9502" hidden="1" x14ac:dyDescent="0.3"/>
    <row r="9503" hidden="1" x14ac:dyDescent="0.3"/>
    <row r="9504" hidden="1" x14ac:dyDescent="0.3"/>
    <row r="9505" hidden="1" x14ac:dyDescent="0.3"/>
    <row r="9506" hidden="1" x14ac:dyDescent="0.3"/>
    <row r="9507" hidden="1" x14ac:dyDescent="0.3"/>
    <row r="9508" hidden="1" x14ac:dyDescent="0.3"/>
    <row r="9509" hidden="1" x14ac:dyDescent="0.3"/>
    <row r="9510" hidden="1" x14ac:dyDescent="0.3"/>
    <row r="9511" hidden="1" x14ac:dyDescent="0.3"/>
    <row r="9512" hidden="1" x14ac:dyDescent="0.3"/>
    <row r="9513" hidden="1" x14ac:dyDescent="0.3"/>
    <row r="9514" hidden="1" x14ac:dyDescent="0.3"/>
    <row r="9515" hidden="1" x14ac:dyDescent="0.3"/>
    <row r="9516" hidden="1" x14ac:dyDescent="0.3"/>
    <row r="9517" hidden="1" x14ac:dyDescent="0.3"/>
    <row r="9518" hidden="1" x14ac:dyDescent="0.3"/>
    <row r="9519" hidden="1" x14ac:dyDescent="0.3"/>
    <row r="9520" hidden="1" x14ac:dyDescent="0.3"/>
    <row r="9521" hidden="1" x14ac:dyDescent="0.3"/>
    <row r="9522" hidden="1" x14ac:dyDescent="0.3"/>
    <row r="9523" hidden="1" x14ac:dyDescent="0.3"/>
    <row r="9524" hidden="1" x14ac:dyDescent="0.3"/>
    <row r="9525" hidden="1" x14ac:dyDescent="0.3"/>
    <row r="9526" hidden="1" x14ac:dyDescent="0.3"/>
    <row r="9527" hidden="1" x14ac:dyDescent="0.3"/>
    <row r="9528" hidden="1" x14ac:dyDescent="0.3"/>
    <row r="9529" hidden="1" x14ac:dyDescent="0.3"/>
    <row r="9530" hidden="1" x14ac:dyDescent="0.3"/>
    <row r="9531" hidden="1" x14ac:dyDescent="0.3"/>
    <row r="9532" hidden="1" x14ac:dyDescent="0.3"/>
    <row r="9533" hidden="1" x14ac:dyDescent="0.3"/>
    <row r="9534" hidden="1" x14ac:dyDescent="0.3"/>
    <row r="9535" hidden="1" x14ac:dyDescent="0.3"/>
    <row r="9536" hidden="1" x14ac:dyDescent="0.3"/>
    <row r="9537" hidden="1" x14ac:dyDescent="0.3"/>
    <row r="9538" hidden="1" x14ac:dyDescent="0.3"/>
    <row r="9539" hidden="1" x14ac:dyDescent="0.3"/>
    <row r="9540" hidden="1" x14ac:dyDescent="0.3"/>
    <row r="9541" hidden="1" x14ac:dyDescent="0.3"/>
    <row r="9542" hidden="1" x14ac:dyDescent="0.3"/>
    <row r="9543" hidden="1" x14ac:dyDescent="0.3"/>
    <row r="9544" hidden="1" x14ac:dyDescent="0.3"/>
    <row r="9545" hidden="1" x14ac:dyDescent="0.3"/>
    <row r="9546" hidden="1" x14ac:dyDescent="0.3"/>
    <row r="9547" hidden="1" x14ac:dyDescent="0.3"/>
    <row r="9548" hidden="1" x14ac:dyDescent="0.3"/>
    <row r="9549" hidden="1" x14ac:dyDescent="0.3"/>
    <row r="9550" hidden="1" x14ac:dyDescent="0.3"/>
    <row r="9551" hidden="1" x14ac:dyDescent="0.3"/>
    <row r="9552" hidden="1" x14ac:dyDescent="0.3"/>
    <row r="9553" hidden="1" x14ac:dyDescent="0.3"/>
    <row r="9554" hidden="1" x14ac:dyDescent="0.3"/>
    <row r="9555" hidden="1" x14ac:dyDescent="0.3"/>
    <row r="9556" hidden="1" x14ac:dyDescent="0.3"/>
    <row r="9557" hidden="1" x14ac:dyDescent="0.3"/>
    <row r="9558" hidden="1" x14ac:dyDescent="0.3"/>
    <row r="9559" hidden="1" x14ac:dyDescent="0.3"/>
    <row r="9560" hidden="1" x14ac:dyDescent="0.3"/>
    <row r="9561" hidden="1" x14ac:dyDescent="0.3"/>
    <row r="9562" hidden="1" x14ac:dyDescent="0.3"/>
    <row r="9563" hidden="1" x14ac:dyDescent="0.3"/>
    <row r="9564" hidden="1" x14ac:dyDescent="0.3"/>
    <row r="9565" hidden="1" x14ac:dyDescent="0.3"/>
    <row r="9566" hidden="1" x14ac:dyDescent="0.3"/>
    <row r="9567" hidden="1" x14ac:dyDescent="0.3"/>
    <row r="9568" hidden="1" x14ac:dyDescent="0.3"/>
    <row r="9569" hidden="1" x14ac:dyDescent="0.3"/>
    <row r="9570" hidden="1" x14ac:dyDescent="0.3"/>
    <row r="9571" hidden="1" x14ac:dyDescent="0.3"/>
    <row r="9572" hidden="1" x14ac:dyDescent="0.3"/>
    <row r="9573" hidden="1" x14ac:dyDescent="0.3"/>
    <row r="9574" hidden="1" x14ac:dyDescent="0.3"/>
    <row r="9575" hidden="1" x14ac:dyDescent="0.3"/>
    <row r="9576" hidden="1" x14ac:dyDescent="0.3"/>
    <row r="9577" hidden="1" x14ac:dyDescent="0.3"/>
    <row r="9578" hidden="1" x14ac:dyDescent="0.3"/>
    <row r="9579" hidden="1" x14ac:dyDescent="0.3"/>
    <row r="9580" hidden="1" x14ac:dyDescent="0.3"/>
    <row r="9581" hidden="1" x14ac:dyDescent="0.3"/>
    <row r="9582" hidden="1" x14ac:dyDescent="0.3"/>
    <row r="9583" hidden="1" x14ac:dyDescent="0.3"/>
    <row r="9584" hidden="1" x14ac:dyDescent="0.3"/>
    <row r="9585" hidden="1" x14ac:dyDescent="0.3"/>
    <row r="9586" hidden="1" x14ac:dyDescent="0.3"/>
    <row r="9587" hidden="1" x14ac:dyDescent="0.3"/>
    <row r="9588" hidden="1" x14ac:dyDescent="0.3"/>
    <row r="9589" hidden="1" x14ac:dyDescent="0.3"/>
    <row r="9590" hidden="1" x14ac:dyDescent="0.3"/>
    <row r="9591" hidden="1" x14ac:dyDescent="0.3"/>
    <row r="9592" hidden="1" x14ac:dyDescent="0.3"/>
    <row r="9593" hidden="1" x14ac:dyDescent="0.3"/>
    <row r="9594" hidden="1" x14ac:dyDescent="0.3"/>
    <row r="9595" hidden="1" x14ac:dyDescent="0.3"/>
    <row r="9596" hidden="1" x14ac:dyDescent="0.3"/>
    <row r="9597" hidden="1" x14ac:dyDescent="0.3"/>
    <row r="9598" hidden="1" x14ac:dyDescent="0.3"/>
    <row r="9599" hidden="1" x14ac:dyDescent="0.3"/>
    <row r="9600" hidden="1" x14ac:dyDescent="0.3"/>
    <row r="9601" hidden="1" x14ac:dyDescent="0.3"/>
    <row r="9602" hidden="1" x14ac:dyDescent="0.3"/>
    <row r="9603" hidden="1" x14ac:dyDescent="0.3"/>
    <row r="9604" hidden="1" x14ac:dyDescent="0.3"/>
    <row r="9605" hidden="1" x14ac:dyDescent="0.3"/>
    <row r="9606" hidden="1" x14ac:dyDescent="0.3"/>
    <row r="9607" hidden="1" x14ac:dyDescent="0.3"/>
    <row r="9608" hidden="1" x14ac:dyDescent="0.3"/>
    <row r="9609" hidden="1" x14ac:dyDescent="0.3"/>
    <row r="9610" hidden="1" x14ac:dyDescent="0.3"/>
    <row r="9611" hidden="1" x14ac:dyDescent="0.3"/>
    <row r="9612" hidden="1" x14ac:dyDescent="0.3"/>
    <row r="9613" hidden="1" x14ac:dyDescent="0.3"/>
    <row r="9614" hidden="1" x14ac:dyDescent="0.3"/>
    <row r="9615" hidden="1" x14ac:dyDescent="0.3"/>
    <row r="9616" hidden="1" x14ac:dyDescent="0.3"/>
    <row r="9617" hidden="1" x14ac:dyDescent="0.3"/>
    <row r="9618" hidden="1" x14ac:dyDescent="0.3"/>
    <row r="9619" hidden="1" x14ac:dyDescent="0.3"/>
    <row r="9620" hidden="1" x14ac:dyDescent="0.3"/>
    <row r="9621" hidden="1" x14ac:dyDescent="0.3"/>
    <row r="9622" hidden="1" x14ac:dyDescent="0.3"/>
    <row r="9623" hidden="1" x14ac:dyDescent="0.3"/>
    <row r="9624" hidden="1" x14ac:dyDescent="0.3"/>
    <row r="9625" hidden="1" x14ac:dyDescent="0.3"/>
    <row r="9626" hidden="1" x14ac:dyDescent="0.3"/>
    <row r="9627" hidden="1" x14ac:dyDescent="0.3"/>
    <row r="9628" hidden="1" x14ac:dyDescent="0.3"/>
    <row r="9629" hidden="1" x14ac:dyDescent="0.3"/>
    <row r="9630" hidden="1" x14ac:dyDescent="0.3"/>
    <row r="9631" hidden="1" x14ac:dyDescent="0.3"/>
    <row r="9632" hidden="1" x14ac:dyDescent="0.3"/>
    <row r="9633" hidden="1" x14ac:dyDescent="0.3"/>
    <row r="9634" hidden="1" x14ac:dyDescent="0.3"/>
    <row r="9635" hidden="1" x14ac:dyDescent="0.3"/>
    <row r="9636" hidden="1" x14ac:dyDescent="0.3"/>
    <row r="9637" hidden="1" x14ac:dyDescent="0.3"/>
    <row r="9638" hidden="1" x14ac:dyDescent="0.3"/>
    <row r="9639" hidden="1" x14ac:dyDescent="0.3"/>
    <row r="9640" hidden="1" x14ac:dyDescent="0.3"/>
    <row r="9641" hidden="1" x14ac:dyDescent="0.3"/>
    <row r="9642" hidden="1" x14ac:dyDescent="0.3"/>
    <row r="9643" hidden="1" x14ac:dyDescent="0.3"/>
    <row r="9644" hidden="1" x14ac:dyDescent="0.3"/>
    <row r="9645" hidden="1" x14ac:dyDescent="0.3"/>
    <row r="9646" hidden="1" x14ac:dyDescent="0.3"/>
    <row r="9647" hidden="1" x14ac:dyDescent="0.3"/>
    <row r="9648" hidden="1" x14ac:dyDescent="0.3"/>
    <row r="9649" hidden="1" x14ac:dyDescent="0.3"/>
    <row r="9650" hidden="1" x14ac:dyDescent="0.3"/>
    <row r="9651" hidden="1" x14ac:dyDescent="0.3"/>
    <row r="9652" hidden="1" x14ac:dyDescent="0.3"/>
    <row r="9653" hidden="1" x14ac:dyDescent="0.3"/>
    <row r="9654" hidden="1" x14ac:dyDescent="0.3"/>
    <row r="9655" hidden="1" x14ac:dyDescent="0.3"/>
    <row r="9656" hidden="1" x14ac:dyDescent="0.3"/>
    <row r="9657" hidden="1" x14ac:dyDescent="0.3"/>
    <row r="9658" hidden="1" x14ac:dyDescent="0.3"/>
    <row r="9659" hidden="1" x14ac:dyDescent="0.3"/>
    <row r="9660" hidden="1" x14ac:dyDescent="0.3"/>
    <row r="9661" hidden="1" x14ac:dyDescent="0.3"/>
    <row r="9662" hidden="1" x14ac:dyDescent="0.3"/>
    <row r="9663" hidden="1" x14ac:dyDescent="0.3"/>
    <row r="9664" hidden="1" x14ac:dyDescent="0.3"/>
    <row r="9665" hidden="1" x14ac:dyDescent="0.3"/>
    <row r="9666" hidden="1" x14ac:dyDescent="0.3"/>
    <row r="9667" hidden="1" x14ac:dyDescent="0.3"/>
    <row r="9668" hidden="1" x14ac:dyDescent="0.3"/>
    <row r="9669" hidden="1" x14ac:dyDescent="0.3"/>
    <row r="9670" hidden="1" x14ac:dyDescent="0.3"/>
    <row r="9671" hidden="1" x14ac:dyDescent="0.3"/>
    <row r="9672" hidden="1" x14ac:dyDescent="0.3"/>
    <row r="9673" hidden="1" x14ac:dyDescent="0.3"/>
    <row r="9674" hidden="1" x14ac:dyDescent="0.3"/>
    <row r="9675" hidden="1" x14ac:dyDescent="0.3"/>
    <row r="9676" hidden="1" x14ac:dyDescent="0.3"/>
    <row r="9677" hidden="1" x14ac:dyDescent="0.3"/>
    <row r="9678" hidden="1" x14ac:dyDescent="0.3"/>
    <row r="9679" hidden="1" x14ac:dyDescent="0.3"/>
    <row r="9680" hidden="1" x14ac:dyDescent="0.3"/>
    <row r="9681" hidden="1" x14ac:dyDescent="0.3"/>
    <row r="9682" hidden="1" x14ac:dyDescent="0.3"/>
    <row r="9683" hidden="1" x14ac:dyDescent="0.3"/>
    <row r="9684" hidden="1" x14ac:dyDescent="0.3"/>
    <row r="9685" hidden="1" x14ac:dyDescent="0.3"/>
    <row r="9686" hidden="1" x14ac:dyDescent="0.3"/>
    <row r="9687" hidden="1" x14ac:dyDescent="0.3"/>
    <row r="9688" hidden="1" x14ac:dyDescent="0.3"/>
    <row r="9689" hidden="1" x14ac:dyDescent="0.3"/>
    <row r="9690" hidden="1" x14ac:dyDescent="0.3"/>
    <row r="9691" hidden="1" x14ac:dyDescent="0.3"/>
    <row r="9692" hidden="1" x14ac:dyDescent="0.3"/>
    <row r="9693" hidden="1" x14ac:dyDescent="0.3"/>
    <row r="9694" hidden="1" x14ac:dyDescent="0.3"/>
    <row r="9695" hidden="1" x14ac:dyDescent="0.3"/>
    <row r="9696" hidden="1" x14ac:dyDescent="0.3"/>
    <row r="9697" hidden="1" x14ac:dyDescent="0.3"/>
    <row r="9698" hidden="1" x14ac:dyDescent="0.3"/>
    <row r="9699" hidden="1" x14ac:dyDescent="0.3"/>
    <row r="9700" hidden="1" x14ac:dyDescent="0.3"/>
    <row r="9701" hidden="1" x14ac:dyDescent="0.3"/>
    <row r="9702" hidden="1" x14ac:dyDescent="0.3"/>
    <row r="9703" hidden="1" x14ac:dyDescent="0.3"/>
    <row r="9704" hidden="1" x14ac:dyDescent="0.3"/>
    <row r="9705" hidden="1" x14ac:dyDescent="0.3"/>
    <row r="9706" hidden="1" x14ac:dyDescent="0.3"/>
    <row r="9707" hidden="1" x14ac:dyDescent="0.3"/>
    <row r="9708" hidden="1" x14ac:dyDescent="0.3"/>
    <row r="9709" hidden="1" x14ac:dyDescent="0.3"/>
    <row r="9710" hidden="1" x14ac:dyDescent="0.3"/>
    <row r="9711" hidden="1" x14ac:dyDescent="0.3"/>
    <row r="9712" hidden="1" x14ac:dyDescent="0.3"/>
    <row r="9713" hidden="1" x14ac:dyDescent="0.3"/>
    <row r="9714" hidden="1" x14ac:dyDescent="0.3"/>
    <row r="9715" hidden="1" x14ac:dyDescent="0.3"/>
    <row r="9716" hidden="1" x14ac:dyDescent="0.3"/>
    <row r="9717" hidden="1" x14ac:dyDescent="0.3"/>
    <row r="9718" hidden="1" x14ac:dyDescent="0.3"/>
    <row r="9719" hidden="1" x14ac:dyDescent="0.3"/>
    <row r="9720" hidden="1" x14ac:dyDescent="0.3"/>
    <row r="9721" hidden="1" x14ac:dyDescent="0.3"/>
    <row r="9722" hidden="1" x14ac:dyDescent="0.3"/>
    <row r="9723" hidden="1" x14ac:dyDescent="0.3"/>
    <row r="9724" hidden="1" x14ac:dyDescent="0.3"/>
    <row r="9725" hidden="1" x14ac:dyDescent="0.3"/>
    <row r="9726" hidden="1" x14ac:dyDescent="0.3"/>
    <row r="9727" hidden="1" x14ac:dyDescent="0.3"/>
    <row r="9728" hidden="1" x14ac:dyDescent="0.3"/>
    <row r="9729" hidden="1" x14ac:dyDescent="0.3"/>
    <row r="9730" hidden="1" x14ac:dyDescent="0.3"/>
    <row r="9731" hidden="1" x14ac:dyDescent="0.3"/>
    <row r="9732" hidden="1" x14ac:dyDescent="0.3"/>
    <row r="9733" hidden="1" x14ac:dyDescent="0.3"/>
    <row r="9734" hidden="1" x14ac:dyDescent="0.3"/>
    <row r="9735" hidden="1" x14ac:dyDescent="0.3"/>
    <row r="9736" hidden="1" x14ac:dyDescent="0.3"/>
    <row r="9737" hidden="1" x14ac:dyDescent="0.3"/>
    <row r="9738" hidden="1" x14ac:dyDescent="0.3"/>
    <row r="9739" hidden="1" x14ac:dyDescent="0.3"/>
    <row r="9740" hidden="1" x14ac:dyDescent="0.3"/>
    <row r="9741" hidden="1" x14ac:dyDescent="0.3"/>
    <row r="9742" hidden="1" x14ac:dyDescent="0.3"/>
    <row r="9743" hidden="1" x14ac:dyDescent="0.3"/>
    <row r="9744" hidden="1" x14ac:dyDescent="0.3"/>
    <row r="9745" hidden="1" x14ac:dyDescent="0.3"/>
    <row r="9746" hidden="1" x14ac:dyDescent="0.3"/>
    <row r="9747" hidden="1" x14ac:dyDescent="0.3"/>
    <row r="9748" hidden="1" x14ac:dyDescent="0.3"/>
    <row r="9749" hidden="1" x14ac:dyDescent="0.3"/>
    <row r="9750" hidden="1" x14ac:dyDescent="0.3"/>
    <row r="9751" hidden="1" x14ac:dyDescent="0.3"/>
    <row r="9752" hidden="1" x14ac:dyDescent="0.3"/>
    <row r="9753" hidden="1" x14ac:dyDescent="0.3"/>
    <row r="9754" hidden="1" x14ac:dyDescent="0.3"/>
    <row r="9755" hidden="1" x14ac:dyDescent="0.3"/>
    <row r="9756" hidden="1" x14ac:dyDescent="0.3"/>
    <row r="9757" hidden="1" x14ac:dyDescent="0.3"/>
    <row r="9758" hidden="1" x14ac:dyDescent="0.3"/>
    <row r="9759" hidden="1" x14ac:dyDescent="0.3"/>
    <row r="9760" hidden="1" x14ac:dyDescent="0.3"/>
    <row r="9761" hidden="1" x14ac:dyDescent="0.3"/>
    <row r="9762" hidden="1" x14ac:dyDescent="0.3"/>
    <row r="9763" hidden="1" x14ac:dyDescent="0.3"/>
    <row r="9764" hidden="1" x14ac:dyDescent="0.3"/>
    <row r="9765" hidden="1" x14ac:dyDescent="0.3"/>
    <row r="9766" hidden="1" x14ac:dyDescent="0.3"/>
    <row r="9767" hidden="1" x14ac:dyDescent="0.3"/>
    <row r="9768" hidden="1" x14ac:dyDescent="0.3"/>
    <row r="9769" hidden="1" x14ac:dyDescent="0.3"/>
    <row r="9770" hidden="1" x14ac:dyDescent="0.3"/>
    <row r="9771" hidden="1" x14ac:dyDescent="0.3"/>
    <row r="9772" hidden="1" x14ac:dyDescent="0.3"/>
    <row r="9773" hidden="1" x14ac:dyDescent="0.3"/>
    <row r="9774" hidden="1" x14ac:dyDescent="0.3"/>
    <row r="9775" hidden="1" x14ac:dyDescent="0.3"/>
    <row r="9776" hidden="1" x14ac:dyDescent="0.3"/>
    <row r="9777" hidden="1" x14ac:dyDescent="0.3"/>
    <row r="9778" hidden="1" x14ac:dyDescent="0.3"/>
    <row r="9779" hidden="1" x14ac:dyDescent="0.3"/>
    <row r="9780" hidden="1" x14ac:dyDescent="0.3"/>
    <row r="9781" hidden="1" x14ac:dyDescent="0.3"/>
    <row r="9782" hidden="1" x14ac:dyDescent="0.3"/>
    <row r="9783" hidden="1" x14ac:dyDescent="0.3"/>
    <row r="9784" hidden="1" x14ac:dyDescent="0.3"/>
    <row r="9785" hidden="1" x14ac:dyDescent="0.3"/>
    <row r="9786" hidden="1" x14ac:dyDescent="0.3"/>
    <row r="9787" hidden="1" x14ac:dyDescent="0.3"/>
    <row r="9788" hidden="1" x14ac:dyDescent="0.3"/>
    <row r="9789" hidden="1" x14ac:dyDescent="0.3"/>
    <row r="9790" hidden="1" x14ac:dyDescent="0.3"/>
    <row r="9791" hidden="1" x14ac:dyDescent="0.3"/>
    <row r="9792" hidden="1" x14ac:dyDescent="0.3"/>
    <row r="9793" hidden="1" x14ac:dyDescent="0.3"/>
    <row r="9794" hidden="1" x14ac:dyDescent="0.3"/>
    <row r="9795" hidden="1" x14ac:dyDescent="0.3"/>
    <row r="9796" hidden="1" x14ac:dyDescent="0.3"/>
    <row r="9797" hidden="1" x14ac:dyDescent="0.3"/>
    <row r="9798" hidden="1" x14ac:dyDescent="0.3"/>
    <row r="9799" hidden="1" x14ac:dyDescent="0.3"/>
    <row r="9800" hidden="1" x14ac:dyDescent="0.3"/>
    <row r="9801" hidden="1" x14ac:dyDescent="0.3"/>
    <row r="9802" hidden="1" x14ac:dyDescent="0.3"/>
    <row r="9803" hidden="1" x14ac:dyDescent="0.3"/>
    <row r="9804" hidden="1" x14ac:dyDescent="0.3"/>
    <row r="9805" hidden="1" x14ac:dyDescent="0.3"/>
    <row r="9806" hidden="1" x14ac:dyDescent="0.3"/>
    <row r="9807" hidden="1" x14ac:dyDescent="0.3"/>
    <row r="9808" hidden="1" x14ac:dyDescent="0.3"/>
    <row r="9809" hidden="1" x14ac:dyDescent="0.3"/>
    <row r="9810" hidden="1" x14ac:dyDescent="0.3"/>
    <row r="9811" hidden="1" x14ac:dyDescent="0.3"/>
    <row r="9812" hidden="1" x14ac:dyDescent="0.3"/>
    <row r="9813" hidden="1" x14ac:dyDescent="0.3"/>
    <row r="9814" hidden="1" x14ac:dyDescent="0.3"/>
    <row r="9815" hidden="1" x14ac:dyDescent="0.3"/>
    <row r="9816" hidden="1" x14ac:dyDescent="0.3"/>
    <row r="9817" hidden="1" x14ac:dyDescent="0.3"/>
    <row r="9818" hidden="1" x14ac:dyDescent="0.3"/>
    <row r="9819" hidden="1" x14ac:dyDescent="0.3"/>
    <row r="9820" hidden="1" x14ac:dyDescent="0.3"/>
    <row r="9821" hidden="1" x14ac:dyDescent="0.3"/>
    <row r="9822" hidden="1" x14ac:dyDescent="0.3"/>
    <row r="9823" hidden="1" x14ac:dyDescent="0.3"/>
    <row r="9824" hidden="1" x14ac:dyDescent="0.3"/>
    <row r="9825" hidden="1" x14ac:dyDescent="0.3"/>
    <row r="9826" hidden="1" x14ac:dyDescent="0.3"/>
    <row r="9827" hidden="1" x14ac:dyDescent="0.3"/>
    <row r="9828" hidden="1" x14ac:dyDescent="0.3"/>
    <row r="9829" hidden="1" x14ac:dyDescent="0.3"/>
    <row r="9830" hidden="1" x14ac:dyDescent="0.3"/>
    <row r="9831" hidden="1" x14ac:dyDescent="0.3"/>
    <row r="9832" hidden="1" x14ac:dyDescent="0.3"/>
    <row r="9833" hidden="1" x14ac:dyDescent="0.3"/>
    <row r="9834" hidden="1" x14ac:dyDescent="0.3"/>
    <row r="9835" hidden="1" x14ac:dyDescent="0.3"/>
    <row r="9836" hidden="1" x14ac:dyDescent="0.3"/>
    <row r="9837" hidden="1" x14ac:dyDescent="0.3"/>
    <row r="9838" hidden="1" x14ac:dyDescent="0.3"/>
    <row r="9839" hidden="1" x14ac:dyDescent="0.3"/>
    <row r="9840" hidden="1" x14ac:dyDescent="0.3"/>
    <row r="9841" hidden="1" x14ac:dyDescent="0.3"/>
    <row r="9842" hidden="1" x14ac:dyDescent="0.3"/>
    <row r="9843" hidden="1" x14ac:dyDescent="0.3"/>
    <row r="9844" hidden="1" x14ac:dyDescent="0.3"/>
    <row r="9845" hidden="1" x14ac:dyDescent="0.3"/>
    <row r="9846" hidden="1" x14ac:dyDescent="0.3"/>
    <row r="9847" hidden="1" x14ac:dyDescent="0.3"/>
    <row r="9848" hidden="1" x14ac:dyDescent="0.3"/>
    <row r="9849" hidden="1" x14ac:dyDescent="0.3"/>
    <row r="9850" hidden="1" x14ac:dyDescent="0.3"/>
    <row r="9851" hidden="1" x14ac:dyDescent="0.3"/>
    <row r="9852" hidden="1" x14ac:dyDescent="0.3"/>
    <row r="9853" hidden="1" x14ac:dyDescent="0.3"/>
    <row r="9854" hidden="1" x14ac:dyDescent="0.3"/>
    <row r="9855" hidden="1" x14ac:dyDescent="0.3"/>
    <row r="9856" hidden="1" x14ac:dyDescent="0.3"/>
    <row r="9857" hidden="1" x14ac:dyDescent="0.3"/>
    <row r="9858" hidden="1" x14ac:dyDescent="0.3"/>
    <row r="9859" hidden="1" x14ac:dyDescent="0.3"/>
    <row r="9860" hidden="1" x14ac:dyDescent="0.3"/>
    <row r="9861" hidden="1" x14ac:dyDescent="0.3"/>
    <row r="9862" hidden="1" x14ac:dyDescent="0.3"/>
    <row r="9863" hidden="1" x14ac:dyDescent="0.3"/>
    <row r="9864" hidden="1" x14ac:dyDescent="0.3"/>
    <row r="9865" hidden="1" x14ac:dyDescent="0.3"/>
    <row r="9866" hidden="1" x14ac:dyDescent="0.3"/>
    <row r="9867" hidden="1" x14ac:dyDescent="0.3"/>
    <row r="9868" hidden="1" x14ac:dyDescent="0.3"/>
    <row r="9869" hidden="1" x14ac:dyDescent="0.3"/>
    <row r="9870" hidden="1" x14ac:dyDescent="0.3"/>
    <row r="9871" hidden="1" x14ac:dyDescent="0.3"/>
    <row r="9872" hidden="1" x14ac:dyDescent="0.3"/>
    <row r="9873" hidden="1" x14ac:dyDescent="0.3"/>
    <row r="9874" hidden="1" x14ac:dyDescent="0.3"/>
    <row r="9875" hidden="1" x14ac:dyDescent="0.3"/>
    <row r="9876" hidden="1" x14ac:dyDescent="0.3"/>
    <row r="9877" hidden="1" x14ac:dyDescent="0.3"/>
    <row r="9878" hidden="1" x14ac:dyDescent="0.3"/>
    <row r="9879" hidden="1" x14ac:dyDescent="0.3"/>
    <row r="9880" hidden="1" x14ac:dyDescent="0.3"/>
    <row r="9881" hidden="1" x14ac:dyDescent="0.3"/>
    <row r="9882" hidden="1" x14ac:dyDescent="0.3"/>
    <row r="9883" hidden="1" x14ac:dyDescent="0.3"/>
    <row r="9884" hidden="1" x14ac:dyDescent="0.3"/>
    <row r="9885" hidden="1" x14ac:dyDescent="0.3"/>
    <row r="9886" hidden="1" x14ac:dyDescent="0.3"/>
    <row r="9887" hidden="1" x14ac:dyDescent="0.3"/>
    <row r="9888" hidden="1" x14ac:dyDescent="0.3"/>
    <row r="9889" hidden="1" x14ac:dyDescent="0.3"/>
    <row r="9890" hidden="1" x14ac:dyDescent="0.3"/>
    <row r="9891" hidden="1" x14ac:dyDescent="0.3"/>
    <row r="9892" hidden="1" x14ac:dyDescent="0.3"/>
    <row r="9893" hidden="1" x14ac:dyDescent="0.3"/>
    <row r="9894" hidden="1" x14ac:dyDescent="0.3"/>
    <row r="9895" hidden="1" x14ac:dyDescent="0.3"/>
    <row r="9896" hidden="1" x14ac:dyDescent="0.3"/>
    <row r="9897" hidden="1" x14ac:dyDescent="0.3"/>
    <row r="9898" hidden="1" x14ac:dyDescent="0.3"/>
    <row r="9899" hidden="1" x14ac:dyDescent="0.3"/>
    <row r="9900" hidden="1" x14ac:dyDescent="0.3"/>
    <row r="9901" hidden="1" x14ac:dyDescent="0.3"/>
    <row r="9902" hidden="1" x14ac:dyDescent="0.3"/>
    <row r="9903" hidden="1" x14ac:dyDescent="0.3"/>
    <row r="9904" hidden="1" x14ac:dyDescent="0.3"/>
    <row r="9905" hidden="1" x14ac:dyDescent="0.3"/>
    <row r="9906" hidden="1" x14ac:dyDescent="0.3"/>
    <row r="9907" hidden="1" x14ac:dyDescent="0.3"/>
    <row r="9908" hidden="1" x14ac:dyDescent="0.3"/>
    <row r="9909" hidden="1" x14ac:dyDescent="0.3"/>
    <row r="9910" hidden="1" x14ac:dyDescent="0.3"/>
    <row r="9911" hidden="1" x14ac:dyDescent="0.3"/>
    <row r="9912" hidden="1" x14ac:dyDescent="0.3"/>
    <row r="9913" hidden="1" x14ac:dyDescent="0.3"/>
    <row r="9914" hidden="1" x14ac:dyDescent="0.3"/>
    <row r="9915" hidden="1" x14ac:dyDescent="0.3"/>
    <row r="9916" hidden="1" x14ac:dyDescent="0.3"/>
    <row r="9917" hidden="1" x14ac:dyDescent="0.3"/>
    <row r="9918" hidden="1" x14ac:dyDescent="0.3"/>
    <row r="9919" hidden="1" x14ac:dyDescent="0.3"/>
    <row r="9920" hidden="1" x14ac:dyDescent="0.3"/>
    <row r="9921" hidden="1" x14ac:dyDescent="0.3"/>
    <row r="9922" hidden="1" x14ac:dyDescent="0.3"/>
    <row r="9923" hidden="1" x14ac:dyDescent="0.3"/>
    <row r="9924" hidden="1" x14ac:dyDescent="0.3"/>
    <row r="9925" hidden="1" x14ac:dyDescent="0.3"/>
    <row r="9926" hidden="1" x14ac:dyDescent="0.3"/>
    <row r="9927" hidden="1" x14ac:dyDescent="0.3"/>
    <row r="9928" hidden="1" x14ac:dyDescent="0.3"/>
    <row r="9929" hidden="1" x14ac:dyDescent="0.3"/>
    <row r="9930" hidden="1" x14ac:dyDescent="0.3"/>
    <row r="9931" hidden="1" x14ac:dyDescent="0.3"/>
    <row r="9932" hidden="1" x14ac:dyDescent="0.3"/>
    <row r="9933" hidden="1" x14ac:dyDescent="0.3"/>
    <row r="9934" hidden="1" x14ac:dyDescent="0.3"/>
    <row r="9935" hidden="1" x14ac:dyDescent="0.3"/>
    <row r="9936" hidden="1" x14ac:dyDescent="0.3"/>
    <row r="9937" hidden="1" x14ac:dyDescent="0.3"/>
    <row r="9938" hidden="1" x14ac:dyDescent="0.3"/>
    <row r="9939" hidden="1" x14ac:dyDescent="0.3"/>
    <row r="9940" hidden="1" x14ac:dyDescent="0.3"/>
    <row r="9941" hidden="1" x14ac:dyDescent="0.3"/>
    <row r="9942" hidden="1" x14ac:dyDescent="0.3"/>
    <row r="9943" hidden="1" x14ac:dyDescent="0.3"/>
    <row r="9944" hidden="1" x14ac:dyDescent="0.3"/>
    <row r="9945" hidden="1" x14ac:dyDescent="0.3"/>
    <row r="9946" hidden="1" x14ac:dyDescent="0.3"/>
    <row r="9947" hidden="1" x14ac:dyDescent="0.3"/>
    <row r="9948" hidden="1" x14ac:dyDescent="0.3"/>
    <row r="9949" hidden="1" x14ac:dyDescent="0.3"/>
    <row r="9950" hidden="1" x14ac:dyDescent="0.3"/>
    <row r="9951" hidden="1" x14ac:dyDescent="0.3"/>
    <row r="9952" hidden="1" x14ac:dyDescent="0.3"/>
    <row r="9953" hidden="1" x14ac:dyDescent="0.3"/>
    <row r="9954" hidden="1" x14ac:dyDescent="0.3"/>
    <row r="9955" hidden="1" x14ac:dyDescent="0.3"/>
    <row r="9956" hidden="1" x14ac:dyDescent="0.3"/>
    <row r="9957" hidden="1" x14ac:dyDescent="0.3"/>
    <row r="9958" hidden="1" x14ac:dyDescent="0.3"/>
    <row r="9959" hidden="1" x14ac:dyDescent="0.3"/>
    <row r="9960" hidden="1" x14ac:dyDescent="0.3"/>
    <row r="9961" hidden="1" x14ac:dyDescent="0.3"/>
    <row r="9962" hidden="1" x14ac:dyDescent="0.3"/>
    <row r="9963" hidden="1" x14ac:dyDescent="0.3"/>
    <row r="9964" hidden="1" x14ac:dyDescent="0.3"/>
    <row r="9965" hidden="1" x14ac:dyDescent="0.3"/>
    <row r="9966" hidden="1" x14ac:dyDescent="0.3"/>
    <row r="9967" hidden="1" x14ac:dyDescent="0.3"/>
    <row r="9968" hidden="1" x14ac:dyDescent="0.3"/>
    <row r="9969" hidden="1" x14ac:dyDescent="0.3"/>
    <row r="9970" hidden="1" x14ac:dyDescent="0.3"/>
    <row r="9971" hidden="1" x14ac:dyDescent="0.3"/>
    <row r="9972" hidden="1" x14ac:dyDescent="0.3"/>
    <row r="9973" hidden="1" x14ac:dyDescent="0.3"/>
    <row r="9974" hidden="1" x14ac:dyDescent="0.3"/>
    <row r="9975" hidden="1" x14ac:dyDescent="0.3"/>
    <row r="9976" hidden="1" x14ac:dyDescent="0.3"/>
    <row r="9977" hidden="1" x14ac:dyDescent="0.3"/>
    <row r="9978" hidden="1" x14ac:dyDescent="0.3"/>
    <row r="9979" hidden="1" x14ac:dyDescent="0.3"/>
    <row r="9980" hidden="1" x14ac:dyDescent="0.3"/>
    <row r="9981" hidden="1" x14ac:dyDescent="0.3"/>
    <row r="9982" hidden="1" x14ac:dyDescent="0.3"/>
    <row r="9983" hidden="1" x14ac:dyDescent="0.3"/>
    <row r="9984" hidden="1" x14ac:dyDescent="0.3"/>
    <row r="9985" hidden="1" x14ac:dyDescent="0.3"/>
    <row r="9986" hidden="1" x14ac:dyDescent="0.3"/>
    <row r="9987" hidden="1" x14ac:dyDescent="0.3"/>
    <row r="9988" hidden="1" x14ac:dyDescent="0.3"/>
    <row r="9989" hidden="1" x14ac:dyDescent="0.3"/>
    <row r="9990" hidden="1" x14ac:dyDescent="0.3"/>
    <row r="9991" hidden="1" x14ac:dyDescent="0.3"/>
    <row r="9992" hidden="1" x14ac:dyDescent="0.3"/>
    <row r="9993" hidden="1" x14ac:dyDescent="0.3"/>
    <row r="9994" hidden="1" x14ac:dyDescent="0.3"/>
    <row r="9995" hidden="1" x14ac:dyDescent="0.3"/>
    <row r="9996" hidden="1" x14ac:dyDescent="0.3"/>
    <row r="9997" hidden="1" x14ac:dyDescent="0.3"/>
    <row r="9998" hidden="1" x14ac:dyDescent="0.3"/>
    <row r="9999" hidden="1" x14ac:dyDescent="0.3"/>
    <row r="10000" hidden="1" x14ac:dyDescent="0.3"/>
    <row r="10001" hidden="1" x14ac:dyDescent="0.3"/>
    <row r="10002" hidden="1" x14ac:dyDescent="0.3"/>
    <row r="10003" hidden="1" x14ac:dyDescent="0.3"/>
    <row r="10004" hidden="1" x14ac:dyDescent="0.3"/>
    <row r="10005" hidden="1" x14ac:dyDescent="0.3"/>
    <row r="10006" hidden="1" x14ac:dyDescent="0.3"/>
    <row r="10007" hidden="1" x14ac:dyDescent="0.3"/>
    <row r="10008" hidden="1" x14ac:dyDescent="0.3"/>
    <row r="10009" hidden="1" x14ac:dyDescent="0.3"/>
    <row r="10010" hidden="1" x14ac:dyDescent="0.3"/>
    <row r="10011" hidden="1" x14ac:dyDescent="0.3"/>
    <row r="10012" hidden="1" x14ac:dyDescent="0.3"/>
    <row r="10013" hidden="1" x14ac:dyDescent="0.3"/>
    <row r="10014" hidden="1" x14ac:dyDescent="0.3"/>
    <row r="10015" hidden="1" x14ac:dyDescent="0.3"/>
    <row r="10016" hidden="1" x14ac:dyDescent="0.3"/>
    <row r="10017" hidden="1" x14ac:dyDescent="0.3"/>
    <row r="10018" hidden="1" x14ac:dyDescent="0.3"/>
    <row r="10019" hidden="1" x14ac:dyDescent="0.3"/>
    <row r="10020" hidden="1" x14ac:dyDescent="0.3"/>
    <row r="10021" hidden="1" x14ac:dyDescent="0.3"/>
    <row r="10022" hidden="1" x14ac:dyDescent="0.3"/>
    <row r="10023" hidden="1" x14ac:dyDescent="0.3"/>
    <row r="10024" hidden="1" x14ac:dyDescent="0.3"/>
    <row r="10025" hidden="1" x14ac:dyDescent="0.3"/>
    <row r="10026" hidden="1" x14ac:dyDescent="0.3"/>
    <row r="10027" hidden="1" x14ac:dyDescent="0.3"/>
    <row r="10028" hidden="1" x14ac:dyDescent="0.3"/>
    <row r="10029" hidden="1" x14ac:dyDescent="0.3"/>
    <row r="10030" hidden="1" x14ac:dyDescent="0.3"/>
    <row r="10031" hidden="1" x14ac:dyDescent="0.3"/>
    <row r="10032" hidden="1" x14ac:dyDescent="0.3"/>
    <row r="10033" hidden="1" x14ac:dyDescent="0.3"/>
    <row r="10034" hidden="1" x14ac:dyDescent="0.3"/>
    <row r="10035" hidden="1" x14ac:dyDescent="0.3"/>
    <row r="10036" hidden="1" x14ac:dyDescent="0.3"/>
    <row r="10037" hidden="1" x14ac:dyDescent="0.3"/>
    <row r="10038" hidden="1" x14ac:dyDescent="0.3"/>
    <row r="10039" hidden="1" x14ac:dyDescent="0.3"/>
    <row r="10040" hidden="1" x14ac:dyDescent="0.3"/>
    <row r="10041" hidden="1" x14ac:dyDescent="0.3"/>
    <row r="10042" hidden="1" x14ac:dyDescent="0.3"/>
    <row r="10043" hidden="1" x14ac:dyDescent="0.3"/>
    <row r="10044" hidden="1" x14ac:dyDescent="0.3"/>
    <row r="10045" hidden="1" x14ac:dyDescent="0.3"/>
    <row r="10046" hidden="1" x14ac:dyDescent="0.3"/>
    <row r="10047" hidden="1" x14ac:dyDescent="0.3"/>
    <row r="10048" hidden="1" x14ac:dyDescent="0.3"/>
    <row r="10049" hidden="1" x14ac:dyDescent="0.3"/>
    <row r="10050" hidden="1" x14ac:dyDescent="0.3"/>
    <row r="10051" hidden="1" x14ac:dyDescent="0.3"/>
    <row r="10052" hidden="1" x14ac:dyDescent="0.3"/>
    <row r="10053" hidden="1" x14ac:dyDescent="0.3"/>
    <row r="10054" hidden="1" x14ac:dyDescent="0.3"/>
    <row r="10055" hidden="1" x14ac:dyDescent="0.3"/>
    <row r="10056" hidden="1" x14ac:dyDescent="0.3"/>
    <row r="10057" hidden="1" x14ac:dyDescent="0.3"/>
    <row r="10058" hidden="1" x14ac:dyDescent="0.3"/>
    <row r="10059" hidden="1" x14ac:dyDescent="0.3"/>
    <row r="10060" hidden="1" x14ac:dyDescent="0.3"/>
    <row r="10061" hidden="1" x14ac:dyDescent="0.3"/>
    <row r="10062" hidden="1" x14ac:dyDescent="0.3"/>
    <row r="10063" hidden="1" x14ac:dyDescent="0.3"/>
    <row r="10064" hidden="1" x14ac:dyDescent="0.3"/>
    <row r="10065" hidden="1" x14ac:dyDescent="0.3"/>
    <row r="10066" hidden="1" x14ac:dyDescent="0.3"/>
    <row r="10067" hidden="1" x14ac:dyDescent="0.3"/>
    <row r="10068" hidden="1" x14ac:dyDescent="0.3"/>
    <row r="10069" hidden="1" x14ac:dyDescent="0.3"/>
    <row r="10070" hidden="1" x14ac:dyDescent="0.3"/>
    <row r="10071" hidden="1" x14ac:dyDescent="0.3"/>
    <row r="10072" hidden="1" x14ac:dyDescent="0.3"/>
    <row r="10073" hidden="1" x14ac:dyDescent="0.3"/>
    <row r="10074" hidden="1" x14ac:dyDescent="0.3"/>
    <row r="10075" hidden="1" x14ac:dyDescent="0.3"/>
    <row r="10076" hidden="1" x14ac:dyDescent="0.3"/>
    <row r="10077" hidden="1" x14ac:dyDescent="0.3"/>
    <row r="10078" hidden="1" x14ac:dyDescent="0.3"/>
    <row r="10079" hidden="1" x14ac:dyDescent="0.3"/>
    <row r="10080" hidden="1" x14ac:dyDescent="0.3"/>
    <row r="10081" hidden="1" x14ac:dyDescent="0.3"/>
    <row r="10082" hidden="1" x14ac:dyDescent="0.3"/>
    <row r="10083" hidden="1" x14ac:dyDescent="0.3"/>
    <row r="10084" hidden="1" x14ac:dyDescent="0.3"/>
    <row r="10085" hidden="1" x14ac:dyDescent="0.3"/>
    <row r="10086" hidden="1" x14ac:dyDescent="0.3"/>
    <row r="10087" hidden="1" x14ac:dyDescent="0.3"/>
    <row r="10088" hidden="1" x14ac:dyDescent="0.3"/>
    <row r="10089" hidden="1" x14ac:dyDescent="0.3"/>
    <row r="10090" hidden="1" x14ac:dyDescent="0.3"/>
    <row r="10091" hidden="1" x14ac:dyDescent="0.3"/>
    <row r="10092" hidden="1" x14ac:dyDescent="0.3"/>
    <row r="10093" hidden="1" x14ac:dyDescent="0.3"/>
    <row r="10094" hidden="1" x14ac:dyDescent="0.3"/>
    <row r="10095" hidden="1" x14ac:dyDescent="0.3"/>
    <row r="10096" hidden="1" x14ac:dyDescent="0.3"/>
    <row r="10097" hidden="1" x14ac:dyDescent="0.3"/>
    <row r="10098" hidden="1" x14ac:dyDescent="0.3"/>
    <row r="10099" hidden="1" x14ac:dyDescent="0.3"/>
    <row r="10100" hidden="1" x14ac:dyDescent="0.3"/>
    <row r="10101" hidden="1" x14ac:dyDescent="0.3"/>
    <row r="10102" hidden="1" x14ac:dyDescent="0.3"/>
    <row r="10103" hidden="1" x14ac:dyDescent="0.3"/>
    <row r="10104" hidden="1" x14ac:dyDescent="0.3"/>
    <row r="10105" hidden="1" x14ac:dyDescent="0.3"/>
    <row r="10106" hidden="1" x14ac:dyDescent="0.3"/>
    <row r="10107" hidden="1" x14ac:dyDescent="0.3"/>
    <row r="10108" hidden="1" x14ac:dyDescent="0.3"/>
    <row r="10109" hidden="1" x14ac:dyDescent="0.3"/>
    <row r="10110" hidden="1" x14ac:dyDescent="0.3"/>
    <row r="10111" hidden="1" x14ac:dyDescent="0.3"/>
    <row r="10112" hidden="1" x14ac:dyDescent="0.3"/>
    <row r="10113" hidden="1" x14ac:dyDescent="0.3"/>
    <row r="10114" hidden="1" x14ac:dyDescent="0.3"/>
    <row r="10115" hidden="1" x14ac:dyDescent="0.3"/>
    <row r="10116" hidden="1" x14ac:dyDescent="0.3"/>
    <row r="10117" hidden="1" x14ac:dyDescent="0.3"/>
    <row r="10118" hidden="1" x14ac:dyDescent="0.3"/>
    <row r="10119" hidden="1" x14ac:dyDescent="0.3"/>
    <row r="10120" hidden="1" x14ac:dyDescent="0.3"/>
    <row r="10121" hidden="1" x14ac:dyDescent="0.3"/>
    <row r="10122" hidden="1" x14ac:dyDescent="0.3"/>
    <row r="10123" hidden="1" x14ac:dyDescent="0.3"/>
    <row r="10124" hidden="1" x14ac:dyDescent="0.3"/>
    <row r="10125" hidden="1" x14ac:dyDescent="0.3"/>
    <row r="10126" hidden="1" x14ac:dyDescent="0.3"/>
    <row r="10127" hidden="1" x14ac:dyDescent="0.3"/>
    <row r="10128" hidden="1" x14ac:dyDescent="0.3"/>
    <row r="10129" hidden="1" x14ac:dyDescent="0.3"/>
    <row r="10130" hidden="1" x14ac:dyDescent="0.3"/>
    <row r="10131" hidden="1" x14ac:dyDescent="0.3"/>
    <row r="10132" hidden="1" x14ac:dyDescent="0.3"/>
    <row r="10133" hidden="1" x14ac:dyDescent="0.3"/>
    <row r="10134" hidden="1" x14ac:dyDescent="0.3"/>
    <row r="10135" hidden="1" x14ac:dyDescent="0.3"/>
    <row r="10136" hidden="1" x14ac:dyDescent="0.3"/>
    <row r="10137" hidden="1" x14ac:dyDescent="0.3"/>
    <row r="10138" hidden="1" x14ac:dyDescent="0.3"/>
    <row r="10139" hidden="1" x14ac:dyDescent="0.3"/>
    <row r="10140" hidden="1" x14ac:dyDescent="0.3"/>
    <row r="10141" hidden="1" x14ac:dyDescent="0.3"/>
    <row r="10142" hidden="1" x14ac:dyDescent="0.3"/>
    <row r="10143" hidden="1" x14ac:dyDescent="0.3"/>
    <row r="10144" hidden="1" x14ac:dyDescent="0.3"/>
    <row r="10145" hidden="1" x14ac:dyDescent="0.3"/>
    <row r="10146" hidden="1" x14ac:dyDescent="0.3"/>
    <row r="10147" hidden="1" x14ac:dyDescent="0.3"/>
    <row r="10148" hidden="1" x14ac:dyDescent="0.3"/>
    <row r="10149" hidden="1" x14ac:dyDescent="0.3"/>
    <row r="10150" hidden="1" x14ac:dyDescent="0.3"/>
    <row r="10151" hidden="1" x14ac:dyDescent="0.3"/>
    <row r="10152" hidden="1" x14ac:dyDescent="0.3"/>
    <row r="10153" hidden="1" x14ac:dyDescent="0.3"/>
    <row r="10154" hidden="1" x14ac:dyDescent="0.3"/>
    <row r="10155" hidden="1" x14ac:dyDescent="0.3"/>
    <row r="10156" hidden="1" x14ac:dyDescent="0.3"/>
    <row r="10157" hidden="1" x14ac:dyDescent="0.3"/>
    <row r="10158" hidden="1" x14ac:dyDescent="0.3"/>
    <row r="10159" hidden="1" x14ac:dyDescent="0.3"/>
    <row r="10160" hidden="1" x14ac:dyDescent="0.3"/>
    <row r="10161" hidden="1" x14ac:dyDescent="0.3"/>
    <row r="10162" hidden="1" x14ac:dyDescent="0.3"/>
    <row r="10163" hidden="1" x14ac:dyDescent="0.3"/>
    <row r="10164" hidden="1" x14ac:dyDescent="0.3"/>
    <row r="10165" hidden="1" x14ac:dyDescent="0.3"/>
    <row r="10166" hidden="1" x14ac:dyDescent="0.3"/>
    <row r="10167" hidden="1" x14ac:dyDescent="0.3"/>
    <row r="10168" hidden="1" x14ac:dyDescent="0.3"/>
    <row r="10169" hidden="1" x14ac:dyDescent="0.3"/>
    <row r="10170" hidden="1" x14ac:dyDescent="0.3"/>
    <row r="10171" hidden="1" x14ac:dyDescent="0.3"/>
    <row r="10172" hidden="1" x14ac:dyDescent="0.3"/>
    <row r="10173" hidden="1" x14ac:dyDescent="0.3"/>
    <row r="10174" hidden="1" x14ac:dyDescent="0.3"/>
    <row r="10175" hidden="1" x14ac:dyDescent="0.3"/>
    <row r="10176" hidden="1" x14ac:dyDescent="0.3"/>
    <row r="10177" hidden="1" x14ac:dyDescent="0.3"/>
    <row r="10178" hidden="1" x14ac:dyDescent="0.3"/>
    <row r="10179" hidden="1" x14ac:dyDescent="0.3"/>
    <row r="10180" hidden="1" x14ac:dyDescent="0.3"/>
    <row r="10181" hidden="1" x14ac:dyDescent="0.3"/>
    <row r="10182" hidden="1" x14ac:dyDescent="0.3"/>
    <row r="10183" hidden="1" x14ac:dyDescent="0.3"/>
    <row r="10184" hidden="1" x14ac:dyDescent="0.3"/>
    <row r="10185" hidden="1" x14ac:dyDescent="0.3"/>
    <row r="10186" hidden="1" x14ac:dyDescent="0.3"/>
    <row r="10187" hidden="1" x14ac:dyDescent="0.3"/>
    <row r="10188" hidden="1" x14ac:dyDescent="0.3"/>
    <row r="10189" hidden="1" x14ac:dyDescent="0.3"/>
    <row r="10190" hidden="1" x14ac:dyDescent="0.3"/>
    <row r="10191" hidden="1" x14ac:dyDescent="0.3"/>
    <row r="10192" hidden="1" x14ac:dyDescent="0.3"/>
    <row r="10193" hidden="1" x14ac:dyDescent="0.3"/>
    <row r="10194" hidden="1" x14ac:dyDescent="0.3"/>
    <row r="10195" hidden="1" x14ac:dyDescent="0.3"/>
    <row r="10196" hidden="1" x14ac:dyDescent="0.3"/>
    <row r="10197" hidden="1" x14ac:dyDescent="0.3"/>
    <row r="10198" hidden="1" x14ac:dyDescent="0.3"/>
    <row r="10199" hidden="1" x14ac:dyDescent="0.3"/>
    <row r="10200" hidden="1" x14ac:dyDescent="0.3"/>
    <row r="10201" hidden="1" x14ac:dyDescent="0.3"/>
    <row r="10202" hidden="1" x14ac:dyDescent="0.3"/>
    <row r="10203" hidden="1" x14ac:dyDescent="0.3"/>
    <row r="10204" hidden="1" x14ac:dyDescent="0.3"/>
    <row r="10205" hidden="1" x14ac:dyDescent="0.3"/>
    <row r="10206" hidden="1" x14ac:dyDescent="0.3"/>
    <row r="10207" hidden="1" x14ac:dyDescent="0.3"/>
    <row r="10208" hidden="1" x14ac:dyDescent="0.3"/>
    <row r="10209" hidden="1" x14ac:dyDescent="0.3"/>
    <row r="10210" hidden="1" x14ac:dyDescent="0.3"/>
    <row r="10211" hidden="1" x14ac:dyDescent="0.3"/>
    <row r="10212" hidden="1" x14ac:dyDescent="0.3"/>
    <row r="10213" hidden="1" x14ac:dyDescent="0.3"/>
    <row r="10214" hidden="1" x14ac:dyDescent="0.3"/>
    <row r="10215" hidden="1" x14ac:dyDescent="0.3"/>
    <row r="10216" hidden="1" x14ac:dyDescent="0.3"/>
    <row r="10217" hidden="1" x14ac:dyDescent="0.3"/>
    <row r="10218" hidden="1" x14ac:dyDescent="0.3"/>
    <row r="10219" hidden="1" x14ac:dyDescent="0.3"/>
    <row r="10220" hidden="1" x14ac:dyDescent="0.3"/>
    <row r="10221" hidden="1" x14ac:dyDescent="0.3"/>
    <row r="10222" hidden="1" x14ac:dyDescent="0.3"/>
    <row r="10223" hidden="1" x14ac:dyDescent="0.3"/>
    <row r="10224" hidden="1" x14ac:dyDescent="0.3"/>
    <row r="10225" hidden="1" x14ac:dyDescent="0.3"/>
    <row r="10226" hidden="1" x14ac:dyDescent="0.3"/>
    <row r="10227" hidden="1" x14ac:dyDescent="0.3"/>
    <row r="10228" hidden="1" x14ac:dyDescent="0.3"/>
    <row r="10229" hidden="1" x14ac:dyDescent="0.3"/>
    <row r="10230" hidden="1" x14ac:dyDescent="0.3"/>
    <row r="10231" hidden="1" x14ac:dyDescent="0.3"/>
    <row r="10232" hidden="1" x14ac:dyDescent="0.3"/>
    <row r="10233" hidden="1" x14ac:dyDescent="0.3"/>
    <row r="10234" hidden="1" x14ac:dyDescent="0.3"/>
    <row r="10235" hidden="1" x14ac:dyDescent="0.3"/>
    <row r="10236" hidden="1" x14ac:dyDescent="0.3"/>
    <row r="10237" hidden="1" x14ac:dyDescent="0.3"/>
    <row r="10238" hidden="1" x14ac:dyDescent="0.3"/>
    <row r="10239" hidden="1" x14ac:dyDescent="0.3"/>
    <row r="10240" hidden="1" x14ac:dyDescent="0.3"/>
    <row r="10241" hidden="1" x14ac:dyDescent="0.3"/>
    <row r="10242" hidden="1" x14ac:dyDescent="0.3"/>
    <row r="10243" hidden="1" x14ac:dyDescent="0.3"/>
    <row r="10244" hidden="1" x14ac:dyDescent="0.3"/>
    <row r="10245" hidden="1" x14ac:dyDescent="0.3"/>
    <row r="10246" hidden="1" x14ac:dyDescent="0.3"/>
    <row r="10247" hidden="1" x14ac:dyDescent="0.3"/>
    <row r="10248" hidden="1" x14ac:dyDescent="0.3"/>
    <row r="10249" hidden="1" x14ac:dyDescent="0.3"/>
    <row r="10250" hidden="1" x14ac:dyDescent="0.3"/>
    <row r="10251" hidden="1" x14ac:dyDescent="0.3"/>
    <row r="10252" hidden="1" x14ac:dyDescent="0.3"/>
    <row r="10253" hidden="1" x14ac:dyDescent="0.3"/>
    <row r="10254" hidden="1" x14ac:dyDescent="0.3"/>
    <row r="10255" hidden="1" x14ac:dyDescent="0.3"/>
    <row r="10256" hidden="1" x14ac:dyDescent="0.3"/>
    <row r="10257" hidden="1" x14ac:dyDescent="0.3"/>
    <row r="10258" hidden="1" x14ac:dyDescent="0.3"/>
    <row r="10259" hidden="1" x14ac:dyDescent="0.3"/>
    <row r="10260" hidden="1" x14ac:dyDescent="0.3"/>
    <row r="10261" hidden="1" x14ac:dyDescent="0.3"/>
    <row r="10262" hidden="1" x14ac:dyDescent="0.3"/>
    <row r="10263" hidden="1" x14ac:dyDescent="0.3"/>
    <row r="10264" hidden="1" x14ac:dyDescent="0.3"/>
    <row r="10265" hidden="1" x14ac:dyDescent="0.3"/>
    <row r="10266" hidden="1" x14ac:dyDescent="0.3"/>
    <row r="10267" hidden="1" x14ac:dyDescent="0.3"/>
    <row r="10268" hidden="1" x14ac:dyDescent="0.3"/>
    <row r="10269" hidden="1" x14ac:dyDescent="0.3"/>
    <row r="10270" hidden="1" x14ac:dyDescent="0.3"/>
    <row r="10271" hidden="1" x14ac:dyDescent="0.3"/>
    <row r="10272" hidden="1" x14ac:dyDescent="0.3"/>
    <row r="10273" hidden="1" x14ac:dyDescent="0.3"/>
    <row r="10274" hidden="1" x14ac:dyDescent="0.3"/>
    <row r="10275" hidden="1" x14ac:dyDescent="0.3"/>
    <row r="10276" hidden="1" x14ac:dyDescent="0.3"/>
    <row r="10277" hidden="1" x14ac:dyDescent="0.3"/>
    <row r="10278" hidden="1" x14ac:dyDescent="0.3"/>
    <row r="10279" hidden="1" x14ac:dyDescent="0.3"/>
    <row r="10280" hidden="1" x14ac:dyDescent="0.3"/>
    <row r="10281" hidden="1" x14ac:dyDescent="0.3"/>
    <row r="10282" hidden="1" x14ac:dyDescent="0.3"/>
    <row r="10283" hidden="1" x14ac:dyDescent="0.3"/>
    <row r="10284" hidden="1" x14ac:dyDescent="0.3"/>
    <row r="10285" hidden="1" x14ac:dyDescent="0.3"/>
    <row r="10286" hidden="1" x14ac:dyDescent="0.3"/>
    <row r="10287" hidden="1" x14ac:dyDescent="0.3"/>
    <row r="10288" hidden="1" x14ac:dyDescent="0.3"/>
    <row r="10289" hidden="1" x14ac:dyDescent="0.3"/>
    <row r="10290" hidden="1" x14ac:dyDescent="0.3"/>
    <row r="10291" hidden="1" x14ac:dyDescent="0.3"/>
    <row r="10292" hidden="1" x14ac:dyDescent="0.3"/>
    <row r="10293" hidden="1" x14ac:dyDescent="0.3"/>
    <row r="10294" hidden="1" x14ac:dyDescent="0.3"/>
    <row r="10295" hidden="1" x14ac:dyDescent="0.3"/>
    <row r="10296" hidden="1" x14ac:dyDescent="0.3"/>
    <row r="10297" hidden="1" x14ac:dyDescent="0.3"/>
    <row r="10298" hidden="1" x14ac:dyDescent="0.3"/>
    <row r="10299" hidden="1" x14ac:dyDescent="0.3"/>
    <row r="10300" hidden="1" x14ac:dyDescent="0.3"/>
    <row r="10301" hidden="1" x14ac:dyDescent="0.3"/>
    <row r="10302" hidden="1" x14ac:dyDescent="0.3"/>
    <row r="10303" hidden="1" x14ac:dyDescent="0.3"/>
    <row r="10304" hidden="1" x14ac:dyDescent="0.3"/>
    <row r="10305" hidden="1" x14ac:dyDescent="0.3"/>
    <row r="10306" hidden="1" x14ac:dyDescent="0.3"/>
    <row r="10307" hidden="1" x14ac:dyDescent="0.3"/>
    <row r="10308" hidden="1" x14ac:dyDescent="0.3"/>
    <row r="10309" hidden="1" x14ac:dyDescent="0.3"/>
    <row r="10310" hidden="1" x14ac:dyDescent="0.3"/>
    <row r="10311" hidden="1" x14ac:dyDescent="0.3"/>
    <row r="10312" hidden="1" x14ac:dyDescent="0.3"/>
    <row r="10313" hidden="1" x14ac:dyDescent="0.3"/>
    <row r="10314" hidden="1" x14ac:dyDescent="0.3"/>
    <row r="10315" hidden="1" x14ac:dyDescent="0.3"/>
    <row r="10316" hidden="1" x14ac:dyDescent="0.3"/>
    <row r="10317" hidden="1" x14ac:dyDescent="0.3"/>
    <row r="10318" hidden="1" x14ac:dyDescent="0.3"/>
    <row r="10319" hidden="1" x14ac:dyDescent="0.3"/>
    <row r="10320" hidden="1" x14ac:dyDescent="0.3"/>
    <row r="10321" hidden="1" x14ac:dyDescent="0.3"/>
    <row r="10322" hidden="1" x14ac:dyDescent="0.3"/>
    <row r="10323" hidden="1" x14ac:dyDescent="0.3"/>
    <row r="10324" hidden="1" x14ac:dyDescent="0.3"/>
    <row r="10325" hidden="1" x14ac:dyDescent="0.3"/>
    <row r="10326" hidden="1" x14ac:dyDescent="0.3"/>
    <row r="10327" hidden="1" x14ac:dyDescent="0.3"/>
    <row r="10328" hidden="1" x14ac:dyDescent="0.3"/>
    <row r="10329" hidden="1" x14ac:dyDescent="0.3"/>
    <row r="10330" hidden="1" x14ac:dyDescent="0.3"/>
    <row r="10331" hidden="1" x14ac:dyDescent="0.3"/>
    <row r="10332" hidden="1" x14ac:dyDescent="0.3"/>
    <row r="10333" hidden="1" x14ac:dyDescent="0.3"/>
    <row r="10334" hidden="1" x14ac:dyDescent="0.3"/>
    <row r="10335" hidden="1" x14ac:dyDescent="0.3"/>
    <row r="10336" hidden="1" x14ac:dyDescent="0.3"/>
    <row r="10337" hidden="1" x14ac:dyDescent="0.3"/>
    <row r="10338" hidden="1" x14ac:dyDescent="0.3"/>
    <row r="10339" hidden="1" x14ac:dyDescent="0.3"/>
    <row r="10340" hidden="1" x14ac:dyDescent="0.3"/>
    <row r="10341" hidden="1" x14ac:dyDescent="0.3"/>
    <row r="10342" hidden="1" x14ac:dyDescent="0.3"/>
    <row r="10343" hidden="1" x14ac:dyDescent="0.3"/>
    <row r="10344" hidden="1" x14ac:dyDescent="0.3"/>
    <row r="10345" hidden="1" x14ac:dyDescent="0.3"/>
    <row r="10346" hidden="1" x14ac:dyDescent="0.3"/>
    <row r="10347" hidden="1" x14ac:dyDescent="0.3"/>
    <row r="10348" hidden="1" x14ac:dyDescent="0.3"/>
    <row r="10349" hidden="1" x14ac:dyDescent="0.3"/>
    <row r="10350" hidden="1" x14ac:dyDescent="0.3"/>
    <row r="10351" hidden="1" x14ac:dyDescent="0.3"/>
    <row r="10352" hidden="1" x14ac:dyDescent="0.3"/>
    <row r="10353" hidden="1" x14ac:dyDescent="0.3"/>
    <row r="10354" hidden="1" x14ac:dyDescent="0.3"/>
    <row r="10355" hidden="1" x14ac:dyDescent="0.3"/>
    <row r="10356" hidden="1" x14ac:dyDescent="0.3"/>
    <row r="10357" hidden="1" x14ac:dyDescent="0.3"/>
    <row r="10358" hidden="1" x14ac:dyDescent="0.3"/>
    <row r="10359" hidden="1" x14ac:dyDescent="0.3"/>
    <row r="10360" hidden="1" x14ac:dyDescent="0.3"/>
    <row r="10361" hidden="1" x14ac:dyDescent="0.3"/>
    <row r="10362" hidden="1" x14ac:dyDescent="0.3"/>
    <row r="10363" hidden="1" x14ac:dyDescent="0.3"/>
    <row r="10364" hidden="1" x14ac:dyDescent="0.3"/>
    <row r="10365" hidden="1" x14ac:dyDescent="0.3"/>
    <row r="10366" hidden="1" x14ac:dyDescent="0.3"/>
    <row r="10367" hidden="1" x14ac:dyDescent="0.3"/>
    <row r="10368" hidden="1" x14ac:dyDescent="0.3"/>
    <row r="10369" hidden="1" x14ac:dyDescent="0.3"/>
    <row r="10370" hidden="1" x14ac:dyDescent="0.3"/>
    <row r="10371" hidden="1" x14ac:dyDescent="0.3"/>
    <row r="10372" hidden="1" x14ac:dyDescent="0.3"/>
    <row r="10373" hidden="1" x14ac:dyDescent="0.3"/>
    <row r="10374" hidden="1" x14ac:dyDescent="0.3"/>
    <row r="10375" hidden="1" x14ac:dyDescent="0.3"/>
    <row r="10376" hidden="1" x14ac:dyDescent="0.3"/>
    <row r="10377" hidden="1" x14ac:dyDescent="0.3"/>
    <row r="10378" hidden="1" x14ac:dyDescent="0.3"/>
    <row r="10379" hidden="1" x14ac:dyDescent="0.3"/>
    <row r="10380" hidden="1" x14ac:dyDescent="0.3"/>
    <row r="10381" hidden="1" x14ac:dyDescent="0.3"/>
    <row r="10382" hidden="1" x14ac:dyDescent="0.3"/>
    <row r="10383" hidden="1" x14ac:dyDescent="0.3"/>
    <row r="10384" hidden="1" x14ac:dyDescent="0.3"/>
    <row r="10385" hidden="1" x14ac:dyDescent="0.3"/>
    <row r="10386" hidden="1" x14ac:dyDescent="0.3"/>
    <row r="10387" hidden="1" x14ac:dyDescent="0.3"/>
    <row r="10388" hidden="1" x14ac:dyDescent="0.3"/>
    <row r="10389" hidden="1" x14ac:dyDescent="0.3"/>
    <row r="10390" hidden="1" x14ac:dyDescent="0.3"/>
    <row r="10391" hidden="1" x14ac:dyDescent="0.3"/>
    <row r="10392" hidden="1" x14ac:dyDescent="0.3"/>
    <row r="10393" hidden="1" x14ac:dyDescent="0.3"/>
    <row r="10394" hidden="1" x14ac:dyDescent="0.3"/>
    <row r="10395" hidden="1" x14ac:dyDescent="0.3"/>
    <row r="10396" hidden="1" x14ac:dyDescent="0.3"/>
    <row r="10397" hidden="1" x14ac:dyDescent="0.3"/>
    <row r="10398" hidden="1" x14ac:dyDescent="0.3"/>
    <row r="10399" hidden="1" x14ac:dyDescent="0.3"/>
    <row r="10400" hidden="1" x14ac:dyDescent="0.3"/>
    <row r="10401" hidden="1" x14ac:dyDescent="0.3"/>
    <row r="10402" hidden="1" x14ac:dyDescent="0.3"/>
    <row r="10403" hidden="1" x14ac:dyDescent="0.3"/>
    <row r="10404" hidden="1" x14ac:dyDescent="0.3"/>
    <row r="10405" hidden="1" x14ac:dyDescent="0.3"/>
    <row r="10406" hidden="1" x14ac:dyDescent="0.3"/>
    <row r="10407" hidden="1" x14ac:dyDescent="0.3"/>
    <row r="10408" hidden="1" x14ac:dyDescent="0.3"/>
    <row r="10409" hidden="1" x14ac:dyDescent="0.3"/>
    <row r="10410" hidden="1" x14ac:dyDescent="0.3"/>
    <row r="10411" hidden="1" x14ac:dyDescent="0.3"/>
    <row r="10412" hidden="1" x14ac:dyDescent="0.3"/>
    <row r="10413" hidden="1" x14ac:dyDescent="0.3"/>
    <row r="10414" hidden="1" x14ac:dyDescent="0.3"/>
    <row r="10415" hidden="1" x14ac:dyDescent="0.3"/>
    <row r="10416" hidden="1" x14ac:dyDescent="0.3"/>
    <row r="10417" hidden="1" x14ac:dyDescent="0.3"/>
    <row r="10418" hidden="1" x14ac:dyDescent="0.3"/>
    <row r="10419" hidden="1" x14ac:dyDescent="0.3"/>
    <row r="10420" hidden="1" x14ac:dyDescent="0.3"/>
    <row r="10421" hidden="1" x14ac:dyDescent="0.3"/>
    <row r="10422" hidden="1" x14ac:dyDescent="0.3"/>
    <row r="10423" hidden="1" x14ac:dyDescent="0.3"/>
    <row r="10424" hidden="1" x14ac:dyDescent="0.3"/>
    <row r="10425" hidden="1" x14ac:dyDescent="0.3"/>
    <row r="10426" hidden="1" x14ac:dyDescent="0.3"/>
    <row r="10427" hidden="1" x14ac:dyDescent="0.3"/>
    <row r="10428" hidden="1" x14ac:dyDescent="0.3"/>
    <row r="10429" hidden="1" x14ac:dyDescent="0.3"/>
    <row r="10430" hidden="1" x14ac:dyDescent="0.3"/>
    <row r="10431" hidden="1" x14ac:dyDescent="0.3"/>
    <row r="10432" hidden="1" x14ac:dyDescent="0.3"/>
    <row r="10433" hidden="1" x14ac:dyDescent="0.3"/>
    <row r="10434" hidden="1" x14ac:dyDescent="0.3"/>
    <row r="10435" hidden="1" x14ac:dyDescent="0.3"/>
    <row r="10436" hidden="1" x14ac:dyDescent="0.3"/>
    <row r="10437" hidden="1" x14ac:dyDescent="0.3"/>
    <row r="10438" hidden="1" x14ac:dyDescent="0.3"/>
    <row r="10439" hidden="1" x14ac:dyDescent="0.3"/>
    <row r="10440" hidden="1" x14ac:dyDescent="0.3"/>
    <row r="10441" hidden="1" x14ac:dyDescent="0.3"/>
    <row r="10442" hidden="1" x14ac:dyDescent="0.3"/>
    <row r="10443" hidden="1" x14ac:dyDescent="0.3"/>
    <row r="10444" hidden="1" x14ac:dyDescent="0.3"/>
    <row r="10445" hidden="1" x14ac:dyDescent="0.3"/>
    <row r="10446" hidden="1" x14ac:dyDescent="0.3"/>
    <row r="10447" hidden="1" x14ac:dyDescent="0.3"/>
    <row r="10448" hidden="1" x14ac:dyDescent="0.3"/>
    <row r="10449" hidden="1" x14ac:dyDescent="0.3"/>
    <row r="10450" hidden="1" x14ac:dyDescent="0.3"/>
    <row r="10451" hidden="1" x14ac:dyDescent="0.3"/>
    <row r="10452" hidden="1" x14ac:dyDescent="0.3"/>
    <row r="10453" hidden="1" x14ac:dyDescent="0.3"/>
    <row r="10454" hidden="1" x14ac:dyDescent="0.3"/>
    <row r="10455" hidden="1" x14ac:dyDescent="0.3"/>
    <row r="10456" hidden="1" x14ac:dyDescent="0.3"/>
    <row r="10457" hidden="1" x14ac:dyDescent="0.3"/>
    <row r="10458" hidden="1" x14ac:dyDescent="0.3"/>
    <row r="10459" hidden="1" x14ac:dyDescent="0.3"/>
    <row r="10460" hidden="1" x14ac:dyDescent="0.3"/>
    <row r="10461" hidden="1" x14ac:dyDescent="0.3"/>
    <row r="10462" hidden="1" x14ac:dyDescent="0.3"/>
    <row r="10463" hidden="1" x14ac:dyDescent="0.3"/>
    <row r="10464" hidden="1" x14ac:dyDescent="0.3"/>
    <row r="10465" hidden="1" x14ac:dyDescent="0.3"/>
    <row r="10466" hidden="1" x14ac:dyDescent="0.3"/>
    <row r="10467" hidden="1" x14ac:dyDescent="0.3"/>
    <row r="10468" hidden="1" x14ac:dyDescent="0.3"/>
    <row r="10469" hidden="1" x14ac:dyDescent="0.3"/>
    <row r="10470" hidden="1" x14ac:dyDescent="0.3"/>
    <row r="10471" hidden="1" x14ac:dyDescent="0.3"/>
    <row r="10472" hidden="1" x14ac:dyDescent="0.3"/>
    <row r="10473" hidden="1" x14ac:dyDescent="0.3"/>
    <row r="10474" hidden="1" x14ac:dyDescent="0.3"/>
    <row r="10475" hidden="1" x14ac:dyDescent="0.3"/>
    <row r="10476" hidden="1" x14ac:dyDescent="0.3"/>
    <row r="10477" hidden="1" x14ac:dyDescent="0.3"/>
    <row r="10478" hidden="1" x14ac:dyDescent="0.3"/>
    <row r="10479" hidden="1" x14ac:dyDescent="0.3"/>
    <row r="10480" hidden="1" x14ac:dyDescent="0.3"/>
    <row r="10481" hidden="1" x14ac:dyDescent="0.3"/>
    <row r="10482" hidden="1" x14ac:dyDescent="0.3"/>
    <row r="10483" hidden="1" x14ac:dyDescent="0.3"/>
    <row r="10484" hidden="1" x14ac:dyDescent="0.3"/>
    <row r="10485" hidden="1" x14ac:dyDescent="0.3"/>
    <row r="10486" hidden="1" x14ac:dyDescent="0.3"/>
    <row r="10487" hidden="1" x14ac:dyDescent="0.3"/>
    <row r="10488" hidden="1" x14ac:dyDescent="0.3"/>
    <row r="10489" hidden="1" x14ac:dyDescent="0.3"/>
    <row r="10490" hidden="1" x14ac:dyDescent="0.3"/>
    <row r="10491" hidden="1" x14ac:dyDescent="0.3"/>
    <row r="10492" hidden="1" x14ac:dyDescent="0.3"/>
    <row r="10493" hidden="1" x14ac:dyDescent="0.3"/>
    <row r="10494" hidden="1" x14ac:dyDescent="0.3"/>
    <row r="10495" hidden="1" x14ac:dyDescent="0.3"/>
    <row r="10496" hidden="1" x14ac:dyDescent="0.3"/>
    <row r="10497" hidden="1" x14ac:dyDescent="0.3"/>
    <row r="10498" hidden="1" x14ac:dyDescent="0.3"/>
    <row r="10499" hidden="1" x14ac:dyDescent="0.3"/>
    <row r="10500" hidden="1" x14ac:dyDescent="0.3"/>
    <row r="10501" hidden="1" x14ac:dyDescent="0.3"/>
    <row r="10502" hidden="1" x14ac:dyDescent="0.3"/>
    <row r="10503" hidden="1" x14ac:dyDescent="0.3"/>
    <row r="10504" hidden="1" x14ac:dyDescent="0.3"/>
    <row r="10505" hidden="1" x14ac:dyDescent="0.3"/>
    <row r="10506" hidden="1" x14ac:dyDescent="0.3"/>
    <row r="10507" hidden="1" x14ac:dyDescent="0.3"/>
    <row r="10508" hidden="1" x14ac:dyDescent="0.3"/>
    <row r="10509" hidden="1" x14ac:dyDescent="0.3"/>
    <row r="10510" hidden="1" x14ac:dyDescent="0.3"/>
    <row r="10511" hidden="1" x14ac:dyDescent="0.3"/>
    <row r="10512" hidden="1" x14ac:dyDescent="0.3"/>
    <row r="10513" hidden="1" x14ac:dyDescent="0.3"/>
    <row r="10514" hidden="1" x14ac:dyDescent="0.3"/>
    <row r="10515" hidden="1" x14ac:dyDescent="0.3"/>
    <row r="10516" hidden="1" x14ac:dyDescent="0.3"/>
    <row r="10517" hidden="1" x14ac:dyDescent="0.3"/>
    <row r="10518" hidden="1" x14ac:dyDescent="0.3"/>
    <row r="10519" hidden="1" x14ac:dyDescent="0.3"/>
    <row r="10520" hidden="1" x14ac:dyDescent="0.3"/>
    <row r="10521" hidden="1" x14ac:dyDescent="0.3"/>
    <row r="10522" hidden="1" x14ac:dyDescent="0.3"/>
    <row r="10523" hidden="1" x14ac:dyDescent="0.3"/>
    <row r="10524" hidden="1" x14ac:dyDescent="0.3"/>
    <row r="10525" hidden="1" x14ac:dyDescent="0.3"/>
    <row r="10526" hidden="1" x14ac:dyDescent="0.3"/>
    <row r="10527" hidden="1" x14ac:dyDescent="0.3"/>
    <row r="10528" hidden="1" x14ac:dyDescent="0.3"/>
    <row r="10529" hidden="1" x14ac:dyDescent="0.3"/>
    <row r="10530" hidden="1" x14ac:dyDescent="0.3"/>
    <row r="10531" hidden="1" x14ac:dyDescent="0.3"/>
    <row r="10532" hidden="1" x14ac:dyDescent="0.3"/>
    <row r="10533" hidden="1" x14ac:dyDescent="0.3"/>
    <row r="10534" hidden="1" x14ac:dyDescent="0.3"/>
    <row r="10535" hidden="1" x14ac:dyDescent="0.3"/>
    <row r="10536" hidden="1" x14ac:dyDescent="0.3"/>
    <row r="10537" hidden="1" x14ac:dyDescent="0.3"/>
    <row r="10538" hidden="1" x14ac:dyDescent="0.3"/>
    <row r="10539" hidden="1" x14ac:dyDescent="0.3"/>
    <row r="10540" hidden="1" x14ac:dyDescent="0.3"/>
    <row r="10541" hidden="1" x14ac:dyDescent="0.3"/>
    <row r="10542" hidden="1" x14ac:dyDescent="0.3"/>
    <row r="10543" hidden="1" x14ac:dyDescent="0.3"/>
    <row r="10544" hidden="1" x14ac:dyDescent="0.3"/>
    <row r="10545" hidden="1" x14ac:dyDescent="0.3"/>
    <row r="10546" hidden="1" x14ac:dyDescent="0.3"/>
    <row r="10547" hidden="1" x14ac:dyDescent="0.3"/>
    <row r="10548" hidden="1" x14ac:dyDescent="0.3"/>
    <row r="10549" hidden="1" x14ac:dyDescent="0.3"/>
    <row r="10550" hidden="1" x14ac:dyDescent="0.3"/>
    <row r="10551" hidden="1" x14ac:dyDescent="0.3"/>
    <row r="10552" hidden="1" x14ac:dyDescent="0.3"/>
    <row r="10553" hidden="1" x14ac:dyDescent="0.3"/>
    <row r="10554" hidden="1" x14ac:dyDescent="0.3"/>
    <row r="10555" hidden="1" x14ac:dyDescent="0.3"/>
    <row r="10556" hidden="1" x14ac:dyDescent="0.3"/>
    <row r="10557" hidden="1" x14ac:dyDescent="0.3"/>
    <row r="10558" hidden="1" x14ac:dyDescent="0.3"/>
    <row r="10559" hidden="1" x14ac:dyDescent="0.3"/>
    <row r="10560" hidden="1" x14ac:dyDescent="0.3"/>
    <row r="10561" hidden="1" x14ac:dyDescent="0.3"/>
    <row r="10562" hidden="1" x14ac:dyDescent="0.3"/>
    <row r="10563" hidden="1" x14ac:dyDescent="0.3"/>
    <row r="10564" hidden="1" x14ac:dyDescent="0.3"/>
    <row r="10565" hidden="1" x14ac:dyDescent="0.3"/>
    <row r="10566" hidden="1" x14ac:dyDescent="0.3"/>
    <row r="10567" hidden="1" x14ac:dyDescent="0.3"/>
    <row r="10568" hidden="1" x14ac:dyDescent="0.3"/>
    <row r="10569" hidden="1" x14ac:dyDescent="0.3"/>
    <row r="10570" hidden="1" x14ac:dyDescent="0.3"/>
    <row r="10571" hidden="1" x14ac:dyDescent="0.3"/>
    <row r="10572" hidden="1" x14ac:dyDescent="0.3"/>
    <row r="10573" hidden="1" x14ac:dyDescent="0.3"/>
    <row r="10574" hidden="1" x14ac:dyDescent="0.3"/>
    <row r="10575" hidden="1" x14ac:dyDescent="0.3"/>
    <row r="10576" hidden="1" x14ac:dyDescent="0.3"/>
    <row r="10577" hidden="1" x14ac:dyDescent="0.3"/>
    <row r="10578" hidden="1" x14ac:dyDescent="0.3"/>
    <row r="10579" hidden="1" x14ac:dyDescent="0.3"/>
    <row r="10580" hidden="1" x14ac:dyDescent="0.3"/>
    <row r="10581" hidden="1" x14ac:dyDescent="0.3"/>
    <row r="10582" hidden="1" x14ac:dyDescent="0.3"/>
    <row r="10583" hidden="1" x14ac:dyDescent="0.3"/>
    <row r="10584" hidden="1" x14ac:dyDescent="0.3"/>
    <row r="10585" hidden="1" x14ac:dyDescent="0.3"/>
    <row r="10586" hidden="1" x14ac:dyDescent="0.3"/>
    <row r="10587" hidden="1" x14ac:dyDescent="0.3"/>
    <row r="10588" hidden="1" x14ac:dyDescent="0.3"/>
    <row r="10589" hidden="1" x14ac:dyDescent="0.3"/>
    <row r="10590" hidden="1" x14ac:dyDescent="0.3"/>
    <row r="10591" hidden="1" x14ac:dyDescent="0.3"/>
    <row r="10592" hidden="1" x14ac:dyDescent="0.3"/>
    <row r="10593" hidden="1" x14ac:dyDescent="0.3"/>
    <row r="10594" hidden="1" x14ac:dyDescent="0.3"/>
    <row r="10595" hidden="1" x14ac:dyDescent="0.3"/>
    <row r="10596" hidden="1" x14ac:dyDescent="0.3"/>
    <row r="10597" hidden="1" x14ac:dyDescent="0.3"/>
    <row r="10598" hidden="1" x14ac:dyDescent="0.3"/>
    <row r="10599" hidden="1" x14ac:dyDescent="0.3"/>
    <row r="10600" hidden="1" x14ac:dyDescent="0.3"/>
    <row r="10601" hidden="1" x14ac:dyDescent="0.3"/>
    <row r="10602" hidden="1" x14ac:dyDescent="0.3"/>
    <row r="10603" hidden="1" x14ac:dyDescent="0.3"/>
    <row r="10604" hidden="1" x14ac:dyDescent="0.3"/>
    <row r="10605" hidden="1" x14ac:dyDescent="0.3"/>
    <row r="10606" hidden="1" x14ac:dyDescent="0.3"/>
    <row r="10607" hidden="1" x14ac:dyDescent="0.3"/>
    <row r="10608" hidden="1" x14ac:dyDescent="0.3"/>
    <row r="10609" hidden="1" x14ac:dyDescent="0.3"/>
    <row r="10610" hidden="1" x14ac:dyDescent="0.3"/>
    <row r="10611" hidden="1" x14ac:dyDescent="0.3"/>
    <row r="10612" hidden="1" x14ac:dyDescent="0.3"/>
    <row r="10613" hidden="1" x14ac:dyDescent="0.3"/>
    <row r="10614" hidden="1" x14ac:dyDescent="0.3"/>
    <row r="10615" hidden="1" x14ac:dyDescent="0.3"/>
    <row r="10616" hidden="1" x14ac:dyDescent="0.3"/>
    <row r="10617" hidden="1" x14ac:dyDescent="0.3"/>
    <row r="10618" hidden="1" x14ac:dyDescent="0.3"/>
    <row r="10619" hidden="1" x14ac:dyDescent="0.3"/>
    <row r="10620" hidden="1" x14ac:dyDescent="0.3"/>
    <row r="10621" hidden="1" x14ac:dyDescent="0.3"/>
    <row r="10622" hidden="1" x14ac:dyDescent="0.3"/>
    <row r="10623" hidden="1" x14ac:dyDescent="0.3"/>
    <row r="10624" hidden="1" x14ac:dyDescent="0.3"/>
    <row r="10625" hidden="1" x14ac:dyDescent="0.3"/>
    <row r="10626" hidden="1" x14ac:dyDescent="0.3"/>
    <row r="10627" hidden="1" x14ac:dyDescent="0.3"/>
    <row r="10628" hidden="1" x14ac:dyDescent="0.3"/>
    <row r="10629" hidden="1" x14ac:dyDescent="0.3"/>
    <row r="10630" hidden="1" x14ac:dyDescent="0.3"/>
    <row r="10631" hidden="1" x14ac:dyDescent="0.3"/>
    <row r="10632" hidden="1" x14ac:dyDescent="0.3"/>
    <row r="10633" hidden="1" x14ac:dyDescent="0.3"/>
    <row r="10634" hidden="1" x14ac:dyDescent="0.3"/>
    <row r="10635" hidden="1" x14ac:dyDescent="0.3"/>
    <row r="10636" hidden="1" x14ac:dyDescent="0.3"/>
    <row r="10637" hidden="1" x14ac:dyDescent="0.3"/>
    <row r="10638" hidden="1" x14ac:dyDescent="0.3"/>
    <row r="10639" hidden="1" x14ac:dyDescent="0.3"/>
    <row r="10640" hidden="1" x14ac:dyDescent="0.3"/>
    <row r="10641" hidden="1" x14ac:dyDescent="0.3"/>
    <row r="10642" hidden="1" x14ac:dyDescent="0.3"/>
    <row r="10643" hidden="1" x14ac:dyDescent="0.3"/>
    <row r="10644" hidden="1" x14ac:dyDescent="0.3"/>
    <row r="10645" hidden="1" x14ac:dyDescent="0.3"/>
    <row r="10646" hidden="1" x14ac:dyDescent="0.3"/>
    <row r="10647" hidden="1" x14ac:dyDescent="0.3"/>
    <row r="10648" hidden="1" x14ac:dyDescent="0.3"/>
    <row r="10649" hidden="1" x14ac:dyDescent="0.3"/>
    <row r="10650" hidden="1" x14ac:dyDescent="0.3"/>
    <row r="10651" hidden="1" x14ac:dyDescent="0.3"/>
    <row r="10652" hidden="1" x14ac:dyDescent="0.3"/>
    <row r="10653" hidden="1" x14ac:dyDescent="0.3"/>
    <row r="10654" hidden="1" x14ac:dyDescent="0.3"/>
    <row r="10655" hidden="1" x14ac:dyDescent="0.3"/>
    <row r="10656" hidden="1" x14ac:dyDescent="0.3"/>
    <row r="10657" hidden="1" x14ac:dyDescent="0.3"/>
    <row r="10658" hidden="1" x14ac:dyDescent="0.3"/>
    <row r="10659" hidden="1" x14ac:dyDescent="0.3"/>
    <row r="10660" hidden="1" x14ac:dyDescent="0.3"/>
    <row r="10661" hidden="1" x14ac:dyDescent="0.3"/>
    <row r="10662" hidden="1" x14ac:dyDescent="0.3"/>
    <row r="10663" hidden="1" x14ac:dyDescent="0.3"/>
    <row r="10664" hidden="1" x14ac:dyDescent="0.3"/>
    <row r="10665" hidden="1" x14ac:dyDescent="0.3"/>
    <row r="10666" hidden="1" x14ac:dyDescent="0.3"/>
    <row r="10667" hidden="1" x14ac:dyDescent="0.3"/>
    <row r="10668" hidden="1" x14ac:dyDescent="0.3"/>
    <row r="10669" hidden="1" x14ac:dyDescent="0.3"/>
    <row r="10670" hidden="1" x14ac:dyDescent="0.3"/>
    <row r="10671" hidden="1" x14ac:dyDescent="0.3"/>
    <row r="10672" hidden="1" x14ac:dyDescent="0.3"/>
    <row r="10673" hidden="1" x14ac:dyDescent="0.3"/>
    <row r="10674" hidden="1" x14ac:dyDescent="0.3"/>
    <row r="10675" hidden="1" x14ac:dyDescent="0.3"/>
    <row r="10676" hidden="1" x14ac:dyDescent="0.3"/>
    <row r="10677" hidden="1" x14ac:dyDescent="0.3"/>
    <row r="10678" hidden="1" x14ac:dyDescent="0.3"/>
    <row r="10679" hidden="1" x14ac:dyDescent="0.3"/>
    <row r="10680" hidden="1" x14ac:dyDescent="0.3"/>
    <row r="10681" hidden="1" x14ac:dyDescent="0.3"/>
    <row r="10682" hidden="1" x14ac:dyDescent="0.3"/>
    <row r="10683" hidden="1" x14ac:dyDescent="0.3"/>
    <row r="10684" hidden="1" x14ac:dyDescent="0.3"/>
    <row r="10685" hidden="1" x14ac:dyDescent="0.3"/>
    <row r="10686" hidden="1" x14ac:dyDescent="0.3"/>
    <row r="10687" hidden="1" x14ac:dyDescent="0.3"/>
    <row r="10688" hidden="1" x14ac:dyDescent="0.3"/>
    <row r="10689" hidden="1" x14ac:dyDescent="0.3"/>
    <row r="10690" hidden="1" x14ac:dyDescent="0.3"/>
    <row r="10691" hidden="1" x14ac:dyDescent="0.3"/>
    <row r="10692" hidden="1" x14ac:dyDescent="0.3"/>
    <row r="10693" hidden="1" x14ac:dyDescent="0.3"/>
    <row r="10694" hidden="1" x14ac:dyDescent="0.3"/>
    <row r="10695" hidden="1" x14ac:dyDescent="0.3"/>
    <row r="10696" hidden="1" x14ac:dyDescent="0.3"/>
    <row r="10697" hidden="1" x14ac:dyDescent="0.3"/>
    <row r="10698" hidden="1" x14ac:dyDescent="0.3"/>
    <row r="10699" hidden="1" x14ac:dyDescent="0.3"/>
    <row r="10700" hidden="1" x14ac:dyDescent="0.3"/>
    <row r="10701" hidden="1" x14ac:dyDescent="0.3"/>
    <row r="10702" hidden="1" x14ac:dyDescent="0.3"/>
    <row r="10703" hidden="1" x14ac:dyDescent="0.3"/>
    <row r="10704" hidden="1" x14ac:dyDescent="0.3"/>
    <row r="10705" hidden="1" x14ac:dyDescent="0.3"/>
    <row r="10706" hidden="1" x14ac:dyDescent="0.3"/>
    <row r="10707" hidden="1" x14ac:dyDescent="0.3"/>
    <row r="10708" hidden="1" x14ac:dyDescent="0.3"/>
    <row r="10709" hidden="1" x14ac:dyDescent="0.3"/>
    <row r="10710" hidden="1" x14ac:dyDescent="0.3"/>
    <row r="10711" hidden="1" x14ac:dyDescent="0.3"/>
    <row r="10712" hidden="1" x14ac:dyDescent="0.3"/>
    <row r="10713" hidden="1" x14ac:dyDescent="0.3"/>
    <row r="10714" hidden="1" x14ac:dyDescent="0.3"/>
    <row r="10715" hidden="1" x14ac:dyDescent="0.3"/>
    <row r="10716" hidden="1" x14ac:dyDescent="0.3"/>
    <row r="10717" hidden="1" x14ac:dyDescent="0.3"/>
    <row r="10718" hidden="1" x14ac:dyDescent="0.3"/>
    <row r="10719" hidden="1" x14ac:dyDescent="0.3"/>
    <row r="10720" hidden="1" x14ac:dyDescent="0.3"/>
    <row r="10721" hidden="1" x14ac:dyDescent="0.3"/>
    <row r="10722" hidden="1" x14ac:dyDescent="0.3"/>
    <row r="10723" hidden="1" x14ac:dyDescent="0.3"/>
    <row r="10724" hidden="1" x14ac:dyDescent="0.3"/>
    <row r="10725" hidden="1" x14ac:dyDescent="0.3"/>
    <row r="10726" hidden="1" x14ac:dyDescent="0.3"/>
    <row r="10727" hidden="1" x14ac:dyDescent="0.3"/>
    <row r="10728" hidden="1" x14ac:dyDescent="0.3"/>
    <row r="10729" hidden="1" x14ac:dyDescent="0.3"/>
    <row r="10730" hidden="1" x14ac:dyDescent="0.3"/>
    <row r="10731" hidden="1" x14ac:dyDescent="0.3"/>
    <row r="10732" hidden="1" x14ac:dyDescent="0.3"/>
    <row r="10733" hidden="1" x14ac:dyDescent="0.3"/>
    <row r="10734" hidden="1" x14ac:dyDescent="0.3"/>
    <row r="10735" hidden="1" x14ac:dyDescent="0.3"/>
    <row r="10736" hidden="1" x14ac:dyDescent="0.3"/>
    <row r="10737" hidden="1" x14ac:dyDescent="0.3"/>
    <row r="10738" hidden="1" x14ac:dyDescent="0.3"/>
    <row r="10739" hidden="1" x14ac:dyDescent="0.3"/>
    <row r="10740" hidden="1" x14ac:dyDescent="0.3"/>
    <row r="10741" hidden="1" x14ac:dyDescent="0.3"/>
    <row r="10742" hidden="1" x14ac:dyDescent="0.3"/>
    <row r="10743" hidden="1" x14ac:dyDescent="0.3"/>
    <row r="10744" hidden="1" x14ac:dyDescent="0.3"/>
    <row r="10745" hidden="1" x14ac:dyDescent="0.3"/>
    <row r="10746" hidden="1" x14ac:dyDescent="0.3"/>
    <row r="10747" hidden="1" x14ac:dyDescent="0.3"/>
    <row r="10748" hidden="1" x14ac:dyDescent="0.3"/>
    <row r="10749" hidden="1" x14ac:dyDescent="0.3"/>
    <row r="10750" hidden="1" x14ac:dyDescent="0.3"/>
    <row r="10751" hidden="1" x14ac:dyDescent="0.3"/>
    <row r="10752" hidden="1" x14ac:dyDescent="0.3"/>
    <row r="10753" hidden="1" x14ac:dyDescent="0.3"/>
    <row r="10754" hidden="1" x14ac:dyDescent="0.3"/>
    <row r="10755" hidden="1" x14ac:dyDescent="0.3"/>
    <row r="10756" hidden="1" x14ac:dyDescent="0.3"/>
    <row r="10757" hidden="1" x14ac:dyDescent="0.3"/>
    <row r="10758" hidden="1" x14ac:dyDescent="0.3"/>
    <row r="10759" hidden="1" x14ac:dyDescent="0.3"/>
    <row r="10760" hidden="1" x14ac:dyDescent="0.3"/>
    <row r="10761" hidden="1" x14ac:dyDescent="0.3"/>
    <row r="10762" hidden="1" x14ac:dyDescent="0.3"/>
    <row r="10763" hidden="1" x14ac:dyDescent="0.3"/>
    <row r="10764" hidden="1" x14ac:dyDescent="0.3"/>
    <row r="10765" hidden="1" x14ac:dyDescent="0.3"/>
    <row r="10766" hidden="1" x14ac:dyDescent="0.3"/>
    <row r="10767" hidden="1" x14ac:dyDescent="0.3"/>
    <row r="10768" hidden="1" x14ac:dyDescent="0.3"/>
    <row r="10769" hidden="1" x14ac:dyDescent="0.3"/>
    <row r="10770" hidden="1" x14ac:dyDescent="0.3"/>
    <row r="10771" hidden="1" x14ac:dyDescent="0.3"/>
    <row r="10772" hidden="1" x14ac:dyDescent="0.3"/>
    <row r="10773" hidden="1" x14ac:dyDescent="0.3"/>
    <row r="10774" hidden="1" x14ac:dyDescent="0.3"/>
    <row r="10775" hidden="1" x14ac:dyDescent="0.3"/>
    <row r="10776" hidden="1" x14ac:dyDescent="0.3"/>
    <row r="10777" hidden="1" x14ac:dyDescent="0.3"/>
    <row r="10778" hidden="1" x14ac:dyDescent="0.3"/>
    <row r="10779" hidden="1" x14ac:dyDescent="0.3"/>
    <row r="10780" hidden="1" x14ac:dyDescent="0.3"/>
    <row r="10781" hidden="1" x14ac:dyDescent="0.3"/>
    <row r="10782" hidden="1" x14ac:dyDescent="0.3"/>
    <row r="10783" hidden="1" x14ac:dyDescent="0.3"/>
    <row r="10784" hidden="1" x14ac:dyDescent="0.3"/>
    <row r="10785" hidden="1" x14ac:dyDescent="0.3"/>
    <row r="10786" hidden="1" x14ac:dyDescent="0.3"/>
    <row r="10787" hidden="1" x14ac:dyDescent="0.3"/>
    <row r="10788" hidden="1" x14ac:dyDescent="0.3"/>
    <row r="10789" hidden="1" x14ac:dyDescent="0.3"/>
    <row r="10790" hidden="1" x14ac:dyDescent="0.3"/>
    <row r="10791" hidden="1" x14ac:dyDescent="0.3"/>
    <row r="10792" hidden="1" x14ac:dyDescent="0.3"/>
    <row r="10793" hidden="1" x14ac:dyDescent="0.3"/>
    <row r="10794" hidden="1" x14ac:dyDescent="0.3"/>
    <row r="10795" hidden="1" x14ac:dyDescent="0.3"/>
    <row r="10796" hidden="1" x14ac:dyDescent="0.3"/>
    <row r="10797" hidden="1" x14ac:dyDescent="0.3"/>
    <row r="10798" hidden="1" x14ac:dyDescent="0.3"/>
    <row r="10799" hidden="1" x14ac:dyDescent="0.3"/>
    <row r="10800" hidden="1" x14ac:dyDescent="0.3"/>
    <row r="10801" hidden="1" x14ac:dyDescent="0.3"/>
    <row r="10802" hidden="1" x14ac:dyDescent="0.3"/>
    <row r="10803" hidden="1" x14ac:dyDescent="0.3"/>
    <row r="10804" hidden="1" x14ac:dyDescent="0.3"/>
    <row r="10805" hidden="1" x14ac:dyDescent="0.3"/>
    <row r="10806" hidden="1" x14ac:dyDescent="0.3"/>
    <row r="10807" hidden="1" x14ac:dyDescent="0.3"/>
    <row r="10808" hidden="1" x14ac:dyDescent="0.3"/>
    <row r="10809" hidden="1" x14ac:dyDescent="0.3"/>
    <row r="10810" hidden="1" x14ac:dyDescent="0.3"/>
    <row r="10811" hidden="1" x14ac:dyDescent="0.3"/>
    <row r="10812" hidden="1" x14ac:dyDescent="0.3"/>
    <row r="10813" hidden="1" x14ac:dyDescent="0.3"/>
    <row r="10814" hidden="1" x14ac:dyDescent="0.3"/>
    <row r="10815" hidden="1" x14ac:dyDescent="0.3"/>
    <row r="10816" hidden="1" x14ac:dyDescent="0.3"/>
    <row r="10817" hidden="1" x14ac:dyDescent="0.3"/>
    <row r="10818" hidden="1" x14ac:dyDescent="0.3"/>
    <row r="10819" hidden="1" x14ac:dyDescent="0.3"/>
    <row r="10820" hidden="1" x14ac:dyDescent="0.3"/>
    <row r="10821" hidden="1" x14ac:dyDescent="0.3"/>
    <row r="10822" hidden="1" x14ac:dyDescent="0.3"/>
    <row r="10823" hidden="1" x14ac:dyDescent="0.3"/>
    <row r="10824" hidden="1" x14ac:dyDescent="0.3"/>
    <row r="10825" hidden="1" x14ac:dyDescent="0.3"/>
    <row r="10826" hidden="1" x14ac:dyDescent="0.3"/>
    <row r="10827" hidden="1" x14ac:dyDescent="0.3"/>
    <row r="10828" hidden="1" x14ac:dyDescent="0.3"/>
    <row r="10829" hidden="1" x14ac:dyDescent="0.3"/>
    <row r="10830" hidden="1" x14ac:dyDescent="0.3"/>
    <row r="10831" hidden="1" x14ac:dyDescent="0.3"/>
    <row r="10832" hidden="1" x14ac:dyDescent="0.3"/>
    <row r="10833" hidden="1" x14ac:dyDescent="0.3"/>
    <row r="10834" hidden="1" x14ac:dyDescent="0.3"/>
    <row r="10835" hidden="1" x14ac:dyDescent="0.3"/>
    <row r="10836" hidden="1" x14ac:dyDescent="0.3"/>
    <row r="10837" hidden="1" x14ac:dyDescent="0.3"/>
    <row r="10838" hidden="1" x14ac:dyDescent="0.3"/>
    <row r="10839" hidden="1" x14ac:dyDescent="0.3"/>
    <row r="10840" hidden="1" x14ac:dyDescent="0.3"/>
    <row r="10841" hidden="1" x14ac:dyDescent="0.3"/>
    <row r="10842" hidden="1" x14ac:dyDescent="0.3"/>
    <row r="10843" hidden="1" x14ac:dyDescent="0.3"/>
    <row r="10844" hidden="1" x14ac:dyDescent="0.3"/>
    <row r="10845" hidden="1" x14ac:dyDescent="0.3"/>
    <row r="10846" hidden="1" x14ac:dyDescent="0.3"/>
    <row r="10847" hidden="1" x14ac:dyDescent="0.3"/>
    <row r="10848" hidden="1" x14ac:dyDescent="0.3"/>
    <row r="10849" hidden="1" x14ac:dyDescent="0.3"/>
    <row r="10850" hidden="1" x14ac:dyDescent="0.3"/>
    <row r="10851" hidden="1" x14ac:dyDescent="0.3"/>
    <row r="10852" hidden="1" x14ac:dyDescent="0.3"/>
    <row r="10853" hidden="1" x14ac:dyDescent="0.3"/>
    <row r="10854" hidden="1" x14ac:dyDescent="0.3"/>
    <row r="10855" hidden="1" x14ac:dyDescent="0.3"/>
    <row r="10856" hidden="1" x14ac:dyDescent="0.3"/>
    <row r="10857" hidden="1" x14ac:dyDescent="0.3"/>
    <row r="10858" hidden="1" x14ac:dyDescent="0.3"/>
    <row r="10859" hidden="1" x14ac:dyDescent="0.3"/>
    <row r="10860" hidden="1" x14ac:dyDescent="0.3"/>
    <row r="10861" hidden="1" x14ac:dyDescent="0.3"/>
    <row r="10862" hidden="1" x14ac:dyDescent="0.3"/>
    <row r="10863" hidden="1" x14ac:dyDescent="0.3"/>
    <row r="10864" hidden="1" x14ac:dyDescent="0.3"/>
    <row r="10865" hidden="1" x14ac:dyDescent="0.3"/>
    <row r="10866" hidden="1" x14ac:dyDescent="0.3"/>
    <row r="10867" hidden="1" x14ac:dyDescent="0.3"/>
    <row r="10868" hidden="1" x14ac:dyDescent="0.3"/>
    <row r="10869" hidden="1" x14ac:dyDescent="0.3"/>
    <row r="10870" hidden="1" x14ac:dyDescent="0.3"/>
    <row r="10871" hidden="1" x14ac:dyDescent="0.3"/>
    <row r="10872" hidden="1" x14ac:dyDescent="0.3"/>
    <row r="10873" hidden="1" x14ac:dyDescent="0.3"/>
    <row r="10874" hidden="1" x14ac:dyDescent="0.3"/>
    <row r="10875" hidden="1" x14ac:dyDescent="0.3"/>
    <row r="10876" hidden="1" x14ac:dyDescent="0.3"/>
    <row r="10877" hidden="1" x14ac:dyDescent="0.3"/>
    <row r="10878" hidden="1" x14ac:dyDescent="0.3"/>
    <row r="10879" hidden="1" x14ac:dyDescent="0.3"/>
    <row r="10880" hidden="1" x14ac:dyDescent="0.3"/>
    <row r="10881" hidden="1" x14ac:dyDescent="0.3"/>
    <row r="10882" hidden="1" x14ac:dyDescent="0.3"/>
    <row r="10883" hidden="1" x14ac:dyDescent="0.3"/>
    <row r="10884" hidden="1" x14ac:dyDescent="0.3"/>
    <row r="10885" hidden="1" x14ac:dyDescent="0.3"/>
    <row r="10886" hidden="1" x14ac:dyDescent="0.3"/>
    <row r="10887" hidden="1" x14ac:dyDescent="0.3"/>
    <row r="10888" hidden="1" x14ac:dyDescent="0.3"/>
    <row r="10889" hidden="1" x14ac:dyDescent="0.3"/>
    <row r="10890" hidden="1" x14ac:dyDescent="0.3"/>
    <row r="10891" hidden="1" x14ac:dyDescent="0.3"/>
    <row r="10892" hidden="1" x14ac:dyDescent="0.3"/>
    <row r="10893" hidden="1" x14ac:dyDescent="0.3"/>
    <row r="10894" hidden="1" x14ac:dyDescent="0.3"/>
    <row r="10895" hidden="1" x14ac:dyDescent="0.3"/>
    <row r="10896" hidden="1" x14ac:dyDescent="0.3"/>
    <row r="10897" hidden="1" x14ac:dyDescent="0.3"/>
    <row r="10898" hidden="1" x14ac:dyDescent="0.3"/>
    <row r="10899" hidden="1" x14ac:dyDescent="0.3"/>
    <row r="10900" hidden="1" x14ac:dyDescent="0.3"/>
    <row r="10901" hidden="1" x14ac:dyDescent="0.3"/>
    <row r="10902" hidden="1" x14ac:dyDescent="0.3"/>
    <row r="10903" hidden="1" x14ac:dyDescent="0.3"/>
    <row r="10904" hidden="1" x14ac:dyDescent="0.3"/>
    <row r="10905" hidden="1" x14ac:dyDescent="0.3"/>
    <row r="10906" hidden="1" x14ac:dyDescent="0.3"/>
    <row r="10907" hidden="1" x14ac:dyDescent="0.3"/>
    <row r="10908" hidden="1" x14ac:dyDescent="0.3"/>
    <row r="10909" hidden="1" x14ac:dyDescent="0.3"/>
    <row r="10910" hidden="1" x14ac:dyDescent="0.3"/>
    <row r="10911" hidden="1" x14ac:dyDescent="0.3"/>
    <row r="10912" hidden="1" x14ac:dyDescent="0.3"/>
    <row r="10913" hidden="1" x14ac:dyDescent="0.3"/>
    <row r="10914" hidden="1" x14ac:dyDescent="0.3"/>
    <row r="10915" hidden="1" x14ac:dyDescent="0.3"/>
    <row r="10916" hidden="1" x14ac:dyDescent="0.3"/>
    <row r="10917" hidden="1" x14ac:dyDescent="0.3"/>
    <row r="10918" hidden="1" x14ac:dyDescent="0.3"/>
    <row r="10919" hidden="1" x14ac:dyDescent="0.3"/>
    <row r="10920" hidden="1" x14ac:dyDescent="0.3"/>
    <row r="10921" hidden="1" x14ac:dyDescent="0.3"/>
    <row r="10922" hidden="1" x14ac:dyDescent="0.3"/>
    <row r="10923" hidden="1" x14ac:dyDescent="0.3"/>
    <row r="10924" hidden="1" x14ac:dyDescent="0.3"/>
    <row r="10925" hidden="1" x14ac:dyDescent="0.3"/>
    <row r="10926" hidden="1" x14ac:dyDescent="0.3"/>
    <row r="10927" hidden="1" x14ac:dyDescent="0.3"/>
    <row r="10928" hidden="1" x14ac:dyDescent="0.3"/>
    <row r="10929" hidden="1" x14ac:dyDescent="0.3"/>
    <row r="10930" hidden="1" x14ac:dyDescent="0.3"/>
    <row r="10931" hidden="1" x14ac:dyDescent="0.3"/>
    <row r="10932" hidden="1" x14ac:dyDescent="0.3"/>
    <row r="10933" hidden="1" x14ac:dyDescent="0.3"/>
    <row r="10934" hidden="1" x14ac:dyDescent="0.3"/>
    <row r="10935" hidden="1" x14ac:dyDescent="0.3"/>
    <row r="10936" hidden="1" x14ac:dyDescent="0.3"/>
    <row r="10937" hidden="1" x14ac:dyDescent="0.3"/>
    <row r="10938" hidden="1" x14ac:dyDescent="0.3"/>
    <row r="10939" hidden="1" x14ac:dyDescent="0.3"/>
    <row r="10940" hidden="1" x14ac:dyDescent="0.3"/>
    <row r="10941" hidden="1" x14ac:dyDescent="0.3"/>
    <row r="10942" hidden="1" x14ac:dyDescent="0.3"/>
    <row r="10943" hidden="1" x14ac:dyDescent="0.3"/>
    <row r="10944" hidden="1" x14ac:dyDescent="0.3"/>
    <row r="10945" hidden="1" x14ac:dyDescent="0.3"/>
    <row r="10946" hidden="1" x14ac:dyDescent="0.3"/>
    <row r="10947" hidden="1" x14ac:dyDescent="0.3"/>
    <row r="10948" hidden="1" x14ac:dyDescent="0.3"/>
    <row r="10949" hidden="1" x14ac:dyDescent="0.3"/>
    <row r="10950" hidden="1" x14ac:dyDescent="0.3"/>
    <row r="10951" hidden="1" x14ac:dyDescent="0.3"/>
    <row r="10952" hidden="1" x14ac:dyDescent="0.3"/>
    <row r="10953" hidden="1" x14ac:dyDescent="0.3"/>
    <row r="10954" hidden="1" x14ac:dyDescent="0.3"/>
    <row r="10955" hidden="1" x14ac:dyDescent="0.3"/>
    <row r="10956" hidden="1" x14ac:dyDescent="0.3"/>
    <row r="10957" hidden="1" x14ac:dyDescent="0.3"/>
    <row r="10958" hidden="1" x14ac:dyDescent="0.3"/>
    <row r="10959" hidden="1" x14ac:dyDescent="0.3"/>
    <row r="10960" hidden="1" x14ac:dyDescent="0.3"/>
    <row r="10961" hidden="1" x14ac:dyDescent="0.3"/>
    <row r="10962" hidden="1" x14ac:dyDescent="0.3"/>
    <row r="10963" hidden="1" x14ac:dyDescent="0.3"/>
    <row r="10964" hidden="1" x14ac:dyDescent="0.3"/>
    <row r="10965" hidden="1" x14ac:dyDescent="0.3"/>
    <row r="10966" hidden="1" x14ac:dyDescent="0.3"/>
    <row r="10967" hidden="1" x14ac:dyDescent="0.3"/>
    <row r="10968" hidden="1" x14ac:dyDescent="0.3"/>
    <row r="10969" hidden="1" x14ac:dyDescent="0.3"/>
    <row r="10970" hidden="1" x14ac:dyDescent="0.3"/>
    <row r="10971" hidden="1" x14ac:dyDescent="0.3"/>
    <row r="10972" hidden="1" x14ac:dyDescent="0.3"/>
    <row r="10973" hidden="1" x14ac:dyDescent="0.3"/>
    <row r="10974" hidden="1" x14ac:dyDescent="0.3"/>
    <row r="10975" hidden="1" x14ac:dyDescent="0.3"/>
    <row r="10976" hidden="1" x14ac:dyDescent="0.3"/>
    <row r="10977" hidden="1" x14ac:dyDescent="0.3"/>
    <row r="10978" hidden="1" x14ac:dyDescent="0.3"/>
    <row r="10979" hidden="1" x14ac:dyDescent="0.3"/>
    <row r="10980" hidden="1" x14ac:dyDescent="0.3"/>
    <row r="10981" hidden="1" x14ac:dyDescent="0.3"/>
    <row r="10982" hidden="1" x14ac:dyDescent="0.3"/>
    <row r="10983" hidden="1" x14ac:dyDescent="0.3"/>
    <row r="10984" hidden="1" x14ac:dyDescent="0.3"/>
    <row r="10985" hidden="1" x14ac:dyDescent="0.3"/>
    <row r="10986" hidden="1" x14ac:dyDescent="0.3"/>
    <row r="10987" hidden="1" x14ac:dyDescent="0.3"/>
    <row r="10988" hidden="1" x14ac:dyDescent="0.3"/>
    <row r="10989" hidden="1" x14ac:dyDescent="0.3"/>
    <row r="10990" hidden="1" x14ac:dyDescent="0.3"/>
    <row r="10991" hidden="1" x14ac:dyDescent="0.3"/>
    <row r="10992" hidden="1" x14ac:dyDescent="0.3"/>
    <row r="10993" hidden="1" x14ac:dyDescent="0.3"/>
    <row r="10994" hidden="1" x14ac:dyDescent="0.3"/>
    <row r="10995" hidden="1" x14ac:dyDescent="0.3"/>
    <row r="10996" hidden="1" x14ac:dyDescent="0.3"/>
    <row r="10997" hidden="1" x14ac:dyDescent="0.3"/>
    <row r="10998" hidden="1" x14ac:dyDescent="0.3"/>
    <row r="10999" hidden="1" x14ac:dyDescent="0.3"/>
    <row r="11000" hidden="1" x14ac:dyDescent="0.3"/>
    <row r="11001" hidden="1" x14ac:dyDescent="0.3"/>
    <row r="11002" hidden="1" x14ac:dyDescent="0.3"/>
    <row r="11003" hidden="1" x14ac:dyDescent="0.3"/>
    <row r="11004" hidden="1" x14ac:dyDescent="0.3"/>
    <row r="11005" hidden="1" x14ac:dyDescent="0.3"/>
    <row r="11006" hidden="1" x14ac:dyDescent="0.3"/>
    <row r="11007" hidden="1" x14ac:dyDescent="0.3"/>
    <row r="11008" hidden="1" x14ac:dyDescent="0.3"/>
    <row r="11009" hidden="1" x14ac:dyDescent="0.3"/>
    <row r="11010" hidden="1" x14ac:dyDescent="0.3"/>
    <row r="11011" hidden="1" x14ac:dyDescent="0.3"/>
    <row r="11012" hidden="1" x14ac:dyDescent="0.3"/>
    <row r="11013" hidden="1" x14ac:dyDescent="0.3"/>
    <row r="11014" hidden="1" x14ac:dyDescent="0.3"/>
    <row r="11015" hidden="1" x14ac:dyDescent="0.3"/>
    <row r="11016" hidden="1" x14ac:dyDescent="0.3"/>
    <row r="11017" hidden="1" x14ac:dyDescent="0.3"/>
    <row r="11018" hidden="1" x14ac:dyDescent="0.3"/>
    <row r="11019" hidden="1" x14ac:dyDescent="0.3"/>
    <row r="11020" hidden="1" x14ac:dyDescent="0.3"/>
    <row r="11021" hidden="1" x14ac:dyDescent="0.3"/>
    <row r="11022" hidden="1" x14ac:dyDescent="0.3"/>
    <row r="11023" hidden="1" x14ac:dyDescent="0.3"/>
    <row r="11024" hidden="1" x14ac:dyDescent="0.3"/>
    <row r="11025" hidden="1" x14ac:dyDescent="0.3"/>
    <row r="11026" hidden="1" x14ac:dyDescent="0.3"/>
    <row r="11027" hidden="1" x14ac:dyDescent="0.3"/>
    <row r="11028" hidden="1" x14ac:dyDescent="0.3"/>
    <row r="11029" hidden="1" x14ac:dyDescent="0.3"/>
    <row r="11030" hidden="1" x14ac:dyDescent="0.3"/>
    <row r="11031" hidden="1" x14ac:dyDescent="0.3"/>
    <row r="11032" hidden="1" x14ac:dyDescent="0.3"/>
    <row r="11033" hidden="1" x14ac:dyDescent="0.3"/>
    <row r="11034" hidden="1" x14ac:dyDescent="0.3"/>
    <row r="11035" hidden="1" x14ac:dyDescent="0.3"/>
    <row r="11036" hidden="1" x14ac:dyDescent="0.3"/>
    <row r="11037" hidden="1" x14ac:dyDescent="0.3"/>
    <row r="11038" hidden="1" x14ac:dyDescent="0.3"/>
    <row r="11039" hidden="1" x14ac:dyDescent="0.3"/>
    <row r="11040" hidden="1" x14ac:dyDescent="0.3"/>
    <row r="11041" hidden="1" x14ac:dyDescent="0.3"/>
    <row r="11042" hidden="1" x14ac:dyDescent="0.3"/>
    <row r="11043" hidden="1" x14ac:dyDescent="0.3"/>
    <row r="11044" hidden="1" x14ac:dyDescent="0.3"/>
    <row r="11045" hidden="1" x14ac:dyDescent="0.3"/>
    <row r="11046" hidden="1" x14ac:dyDescent="0.3"/>
    <row r="11047" hidden="1" x14ac:dyDescent="0.3"/>
    <row r="11048" hidden="1" x14ac:dyDescent="0.3"/>
    <row r="11049" hidden="1" x14ac:dyDescent="0.3"/>
    <row r="11050" hidden="1" x14ac:dyDescent="0.3"/>
    <row r="11051" hidden="1" x14ac:dyDescent="0.3"/>
    <row r="11052" hidden="1" x14ac:dyDescent="0.3"/>
    <row r="11053" hidden="1" x14ac:dyDescent="0.3"/>
    <row r="11054" hidden="1" x14ac:dyDescent="0.3"/>
    <row r="11055" hidden="1" x14ac:dyDescent="0.3"/>
    <row r="11056" hidden="1" x14ac:dyDescent="0.3"/>
    <row r="11057" hidden="1" x14ac:dyDescent="0.3"/>
    <row r="11058" hidden="1" x14ac:dyDescent="0.3"/>
    <row r="11059" hidden="1" x14ac:dyDescent="0.3"/>
    <row r="11060" hidden="1" x14ac:dyDescent="0.3"/>
    <row r="11061" hidden="1" x14ac:dyDescent="0.3"/>
    <row r="11062" hidden="1" x14ac:dyDescent="0.3"/>
    <row r="11063" hidden="1" x14ac:dyDescent="0.3"/>
    <row r="11064" hidden="1" x14ac:dyDescent="0.3"/>
    <row r="11065" hidden="1" x14ac:dyDescent="0.3"/>
    <row r="11066" hidden="1" x14ac:dyDescent="0.3"/>
    <row r="11067" hidden="1" x14ac:dyDescent="0.3"/>
    <row r="11068" hidden="1" x14ac:dyDescent="0.3"/>
    <row r="11069" hidden="1" x14ac:dyDescent="0.3"/>
    <row r="11070" hidden="1" x14ac:dyDescent="0.3"/>
    <row r="11071" hidden="1" x14ac:dyDescent="0.3"/>
    <row r="11072" hidden="1" x14ac:dyDescent="0.3"/>
    <row r="11073" hidden="1" x14ac:dyDescent="0.3"/>
    <row r="11074" hidden="1" x14ac:dyDescent="0.3"/>
    <row r="11075" hidden="1" x14ac:dyDescent="0.3"/>
    <row r="11076" hidden="1" x14ac:dyDescent="0.3"/>
    <row r="11077" hidden="1" x14ac:dyDescent="0.3"/>
    <row r="11078" hidden="1" x14ac:dyDescent="0.3"/>
    <row r="11079" hidden="1" x14ac:dyDescent="0.3"/>
    <row r="11080" hidden="1" x14ac:dyDescent="0.3"/>
    <row r="11081" hidden="1" x14ac:dyDescent="0.3"/>
    <row r="11082" hidden="1" x14ac:dyDescent="0.3"/>
    <row r="11083" hidden="1" x14ac:dyDescent="0.3"/>
    <row r="11084" hidden="1" x14ac:dyDescent="0.3"/>
    <row r="11085" hidden="1" x14ac:dyDescent="0.3"/>
    <row r="11086" hidden="1" x14ac:dyDescent="0.3"/>
    <row r="11087" hidden="1" x14ac:dyDescent="0.3"/>
    <row r="11088" hidden="1" x14ac:dyDescent="0.3"/>
    <row r="11089" hidden="1" x14ac:dyDescent="0.3"/>
    <row r="11090" hidden="1" x14ac:dyDescent="0.3"/>
    <row r="11091" hidden="1" x14ac:dyDescent="0.3"/>
    <row r="11092" hidden="1" x14ac:dyDescent="0.3"/>
    <row r="11093" hidden="1" x14ac:dyDescent="0.3"/>
    <row r="11094" hidden="1" x14ac:dyDescent="0.3"/>
    <row r="11095" hidden="1" x14ac:dyDescent="0.3"/>
    <row r="11096" hidden="1" x14ac:dyDescent="0.3"/>
    <row r="11097" hidden="1" x14ac:dyDescent="0.3"/>
    <row r="11098" hidden="1" x14ac:dyDescent="0.3"/>
    <row r="11099" hidden="1" x14ac:dyDescent="0.3"/>
    <row r="11100" hidden="1" x14ac:dyDescent="0.3"/>
    <row r="11101" hidden="1" x14ac:dyDescent="0.3"/>
    <row r="11102" hidden="1" x14ac:dyDescent="0.3"/>
    <row r="11103" hidden="1" x14ac:dyDescent="0.3"/>
    <row r="11104" hidden="1" x14ac:dyDescent="0.3"/>
    <row r="11105" hidden="1" x14ac:dyDescent="0.3"/>
    <row r="11106" hidden="1" x14ac:dyDescent="0.3"/>
    <row r="11107" hidden="1" x14ac:dyDescent="0.3"/>
    <row r="11108" hidden="1" x14ac:dyDescent="0.3"/>
    <row r="11109" hidden="1" x14ac:dyDescent="0.3"/>
    <row r="11110" hidden="1" x14ac:dyDescent="0.3"/>
    <row r="11111" hidden="1" x14ac:dyDescent="0.3"/>
    <row r="11112" hidden="1" x14ac:dyDescent="0.3"/>
    <row r="11113" hidden="1" x14ac:dyDescent="0.3"/>
    <row r="11114" hidden="1" x14ac:dyDescent="0.3"/>
    <row r="11115" hidden="1" x14ac:dyDescent="0.3"/>
    <row r="11116" hidden="1" x14ac:dyDescent="0.3"/>
    <row r="11117" hidden="1" x14ac:dyDescent="0.3"/>
    <row r="11118" hidden="1" x14ac:dyDescent="0.3"/>
    <row r="11119" hidden="1" x14ac:dyDescent="0.3"/>
    <row r="11120" hidden="1" x14ac:dyDescent="0.3"/>
    <row r="11121" hidden="1" x14ac:dyDescent="0.3"/>
    <row r="11122" hidden="1" x14ac:dyDescent="0.3"/>
    <row r="11123" hidden="1" x14ac:dyDescent="0.3"/>
    <row r="11124" hidden="1" x14ac:dyDescent="0.3"/>
    <row r="11125" hidden="1" x14ac:dyDescent="0.3"/>
    <row r="11126" hidden="1" x14ac:dyDescent="0.3"/>
    <row r="11127" hidden="1" x14ac:dyDescent="0.3"/>
    <row r="11128" hidden="1" x14ac:dyDescent="0.3"/>
    <row r="11129" hidden="1" x14ac:dyDescent="0.3"/>
    <row r="11130" hidden="1" x14ac:dyDescent="0.3"/>
    <row r="11131" hidden="1" x14ac:dyDescent="0.3"/>
    <row r="11132" hidden="1" x14ac:dyDescent="0.3"/>
    <row r="11133" hidden="1" x14ac:dyDescent="0.3"/>
    <row r="11134" hidden="1" x14ac:dyDescent="0.3"/>
    <row r="11135" hidden="1" x14ac:dyDescent="0.3"/>
    <row r="11136" hidden="1" x14ac:dyDescent="0.3"/>
    <row r="11137" hidden="1" x14ac:dyDescent="0.3"/>
    <row r="11138" hidden="1" x14ac:dyDescent="0.3"/>
    <row r="11139" hidden="1" x14ac:dyDescent="0.3"/>
    <row r="11140" hidden="1" x14ac:dyDescent="0.3"/>
    <row r="11141" hidden="1" x14ac:dyDescent="0.3"/>
    <row r="11142" hidden="1" x14ac:dyDescent="0.3"/>
    <row r="11143" hidden="1" x14ac:dyDescent="0.3"/>
    <row r="11144" hidden="1" x14ac:dyDescent="0.3"/>
    <row r="11145" hidden="1" x14ac:dyDescent="0.3"/>
    <row r="11146" hidden="1" x14ac:dyDescent="0.3"/>
    <row r="11147" hidden="1" x14ac:dyDescent="0.3"/>
    <row r="11148" hidden="1" x14ac:dyDescent="0.3"/>
    <row r="11149" hidden="1" x14ac:dyDescent="0.3"/>
    <row r="11150" hidden="1" x14ac:dyDescent="0.3"/>
    <row r="11151" hidden="1" x14ac:dyDescent="0.3"/>
    <row r="11152" hidden="1" x14ac:dyDescent="0.3"/>
    <row r="11153" hidden="1" x14ac:dyDescent="0.3"/>
    <row r="11154" hidden="1" x14ac:dyDescent="0.3"/>
    <row r="11155" hidden="1" x14ac:dyDescent="0.3"/>
    <row r="11156" hidden="1" x14ac:dyDescent="0.3"/>
    <row r="11157" hidden="1" x14ac:dyDescent="0.3"/>
    <row r="11158" hidden="1" x14ac:dyDescent="0.3"/>
    <row r="11159" hidden="1" x14ac:dyDescent="0.3"/>
    <row r="11160" hidden="1" x14ac:dyDescent="0.3"/>
    <row r="11161" hidden="1" x14ac:dyDescent="0.3"/>
    <row r="11162" hidden="1" x14ac:dyDescent="0.3"/>
    <row r="11163" hidden="1" x14ac:dyDescent="0.3"/>
    <row r="11164" hidden="1" x14ac:dyDescent="0.3"/>
    <row r="11165" hidden="1" x14ac:dyDescent="0.3"/>
    <row r="11166" hidden="1" x14ac:dyDescent="0.3"/>
    <row r="11167" hidden="1" x14ac:dyDescent="0.3"/>
    <row r="11168" hidden="1" x14ac:dyDescent="0.3"/>
    <row r="11169" hidden="1" x14ac:dyDescent="0.3"/>
    <row r="11170" hidden="1" x14ac:dyDescent="0.3"/>
    <row r="11171" hidden="1" x14ac:dyDescent="0.3"/>
    <row r="11172" hidden="1" x14ac:dyDescent="0.3"/>
    <row r="11173" hidden="1" x14ac:dyDescent="0.3"/>
    <row r="11174" hidden="1" x14ac:dyDescent="0.3"/>
    <row r="11175" hidden="1" x14ac:dyDescent="0.3"/>
    <row r="11176" hidden="1" x14ac:dyDescent="0.3"/>
    <row r="11177" hidden="1" x14ac:dyDescent="0.3"/>
    <row r="11178" hidden="1" x14ac:dyDescent="0.3"/>
    <row r="11179" hidden="1" x14ac:dyDescent="0.3"/>
    <row r="11180" hidden="1" x14ac:dyDescent="0.3"/>
    <row r="11181" hidden="1" x14ac:dyDescent="0.3"/>
    <row r="11182" hidden="1" x14ac:dyDescent="0.3"/>
    <row r="11183" hidden="1" x14ac:dyDescent="0.3"/>
    <row r="11184" hidden="1" x14ac:dyDescent="0.3"/>
    <row r="11185" hidden="1" x14ac:dyDescent="0.3"/>
    <row r="11186" hidden="1" x14ac:dyDescent="0.3"/>
    <row r="11187" hidden="1" x14ac:dyDescent="0.3"/>
    <row r="11188" hidden="1" x14ac:dyDescent="0.3"/>
    <row r="11189" hidden="1" x14ac:dyDescent="0.3"/>
    <row r="11190" hidden="1" x14ac:dyDescent="0.3"/>
    <row r="11191" hidden="1" x14ac:dyDescent="0.3"/>
    <row r="11192" hidden="1" x14ac:dyDescent="0.3"/>
    <row r="11193" hidden="1" x14ac:dyDescent="0.3"/>
    <row r="11194" hidden="1" x14ac:dyDescent="0.3"/>
    <row r="11195" hidden="1" x14ac:dyDescent="0.3"/>
    <row r="11196" hidden="1" x14ac:dyDescent="0.3"/>
    <row r="11197" hidden="1" x14ac:dyDescent="0.3"/>
    <row r="11198" hidden="1" x14ac:dyDescent="0.3"/>
    <row r="11199" hidden="1" x14ac:dyDescent="0.3"/>
    <row r="11200" hidden="1" x14ac:dyDescent="0.3"/>
    <row r="11201" hidden="1" x14ac:dyDescent="0.3"/>
    <row r="11202" hidden="1" x14ac:dyDescent="0.3"/>
    <row r="11203" hidden="1" x14ac:dyDescent="0.3"/>
    <row r="11204" hidden="1" x14ac:dyDescent="0.3"/>
    <row r="11205" hidden="1" x14ac:dyDescent="0.3"/>
    <row r="11206" hidden="1" x14ac:dyDescent="0.3"/>
    <row r="11207" hidden="1" x14ac:dyDescent="0.3"/>
    <row r="11208" hidden="1" x14ac:dyDescent="0.3"/>
    <row r="11209" hidden="1" x14ac:dyDescent="0.3"/>
    <row r="11210" hidden="1" x14ac:dyDescent="0.3"/>
    <row r="11211" hidden="1" x14ac:dyDescent="0.3"/>
    <row r="11212" hidden="1" x14ac:dyDescent="0.3"/>
    <row r="11213" hidden="1" x14ac:dyDescent="0.3"/>
    <row r="11214" hidden="1" x14ac:dyDescent="0.3"/>
    <row r="11215" hidden="1" x14ac:dyDescent="0.3"/>
    <row r="11216" hidden="1" x14ac:dyDescent="0.3"/>
    <row r="11217" hidden="1" x14ac:dyDescent="0.3"/>
    <row r="11218" hidden="1" x14ac:dyDescent="0.3"/>
    <row r="11219" hidden="1" x14ac:dyDescent="0.3"/>
    <row r="11220" hidden="1" x14ac:dyDescent="0.3"/>
    <row r="11221" hidden="1" x14ac:dyDescent="0.3"/>
    <row r="11222" hidden="1" x14ac:dyDescent="0.3"/>
    <row r="11223" hidden="1" x14ac:dyDescent="0.3"/>
    <row r="11224" hidden="1" x14ac:dyDescent="0.3"/>
    <row r="11225" hidden="1" x14ac:dyDescent="0.3"/>
    <row r="11226" hidden="1" x14ac:dyDescent="0.3"/>
    <row r="11227" hidden="1" x14ac:dyDescent="0.3"/>
    <row r="11228" hidden="1" x14ac:dyDescent="0.3"/>
    <row r="11229" hidden="1" x14ac:dyDescent="0.3"/>
    <row r="11230" hidden="1" x14ac:dyDescent="0.3"/>
    <row r="11231" hidden="1" x14ac:dyDescent="0.3"/>
    <row r="11232" hidden="1" x14ac:dyDescent="0.3"/>
    <row r="11233" hidden="1" x14ac:dyDescent="0.3"/>
    <row r="11234" hidden="1" x14ac:dyDescent="0.3"/>
    <row r="11235" hidden="1" x14ac:dyDescent="0.3"/>
    <row r="11236" hidden="1" x14ac:dyDescent="0.3"/>
    <row r="11237" hidden="1" x14ac:dyDescent="0.3"/>
    <row r="11238" hidden="1" x14ac:dyDescent="0.3"/>
    <row r="11239" hidden="1" x14ac:dyDescent="0.3"/>
    <row r="11240" hidden="1" x14ac:dyDescent="0.3"/>
    <row r="11241" hidden="1" x14ac:dyDescent="0.3"/>
    <row r="11242" hidden="1" x14ac:dyDescent="0.3"/>
    <row r="11243" hidden="1" x14ac:dyDescent="0.3"/>
    <row r="11244" hidden="1" x14ac:dyDescent="0.3"/>
    <row r="11245" hidden="1" x14ac:dyDescent="0.3"/>
    <row r="11246" hidden="1" x14ac:dyDescent="0.3"/>
    <row r="11247" hidden="1" x14ac:dyDescent="0.3"/>
    <row r="11248" hidden="1" x14ac:dyDescent="0.3"/>
    <row r="11249" hidden="1" x14ac:dyDescent="0.3"/>
    <row r="11250" hidden="1" x14ac:dyDescent="0.3"/>
    <row r="11251" hidden="1" x14ac:dyDescent="0.3"/>
    <row r="11252" hidden="1" x14ac:dyDescent="0.3"/>
    <row r="11253" hidden="1" x14ac:dyDescent="0.3"/>
    <row r="11254" hidden="1" x14ac:dyDescent="0.3"/>
    <row r="11255" hidden="1" x14ac:dyDescent="0.3"/>
    <row r="11256" hidden="1" x14ac:dyDescent="0.3"/>
    <row r="11257" hidden="1" x14ac:dyDescent="0.3"/>
    <row r="11258" hidden="1" x14ac:dyDescent="0.3"/>
    <row r="11259" hidden="1" x14ac:dyDescent="0.3"/>
    <row r="11260" hidden="1" x14ac:dyDescent="0.3"/>
    <row r="11261" hidden="1" x14ac:dyDescent="0.3"/>
    <row r="11262" hidden="1" x14ac:dyDescent="0.3"/>
    <row r="11263" hidden="1" x14ac:dyDescent="0.3"/>
    <row r="11264" hidden="1" x14ac:dyDescent="0.3"/>
    <row r="11265" hidden="1" x14ac:dyDescent="0.3"/>
    <row r="11266" hidden="1" x14ac:dyDescent="0.3"/>
    <row r="11267" hidden="1" x14ac:dyDescent="0.3"/>
    <row r="11268" hidden="1" x14ac:dyDescent="0.3"/>
    <row r="11269" hidden="1" x14ac:dyDescent="0.3"/>
    <row r="11270" hidden="1" x14ac:dyDescent="0.3"/>
    <row r="11271" hidden="1" x14ac:dyDescent="0.3"/>
    <row r="11272" hidden="1" x14ac:dyDescent="0.3"/>
    <row r="11273" hidden="1" x14ac:dyDescent="0.3"/>
    <row r="11274" hidden="1" x14ac:dyDescent="0.3"/>
    <row r="11275" hidden="1" x14ac:dyDescent="0.3"/>
    <row r="11276" hidden="1" x14ac:dyDescent="0.3"/>
    <row r="11277" hidden="1" x14ac:dyDescent="0.3"/>
    <row r="11278" hidden="1" x14ac:dyDescent="0.3"/>
    <row r="11279" hidden="1" x14ac:dyDescent="0.3"/>
    <row r="11280" hidden="1" x14ac:dyDescent="0.3"/>
    <row r="11281" hidden="1" x14ac:dyDescent="0.3"/>
    <row r="11282" hidden="1" x14ac:dyDescent="0.3"/>
    <row r="11283" hidden="1" x14ac:dyDescent="0.3"/>
    <row r="11284" hidden="1" x14ac:dyDescent="0.3"/>
    <row r="11285" hidden="1" x14ac:dyDescent="0.3"/>
    <row r="11286" hidden="1" x14ac:dyDescent="0.3"/>
    <row r="11287" hidden="1" x14ac:dyDescent="0.3"/>
    <row r="11288" hidden="1" x14ac:dyDescent="0.3"/>
    <row r="11289" hidden="1" x14ac:dyDescent="0.3"/>
    <row r="11290" hidden="1" x14ac:dyDescent="0.3"/>
    <row r="11291" hidden="1" x14ac:dyDescent="0.3"/>
    <row r="11292" hidden="1" x14ac:dyDescent="0.3"/>
    <row r="11293" hidden="1" x14ac:dyDescent="0.3"/>
    <row r="11294" hidden="1" x14ac:dyDescent="0.3"/>
    <row r="11295" hidden="1" x14ac:dyDescent="0.3"/>
    <row r="11296" hidden="1" x14ac:dyDescent="0.3"/>
    <row r="11297" hidden="1" x14ac:dyDescent="0.3"/>
    <row r="11298" hidden="1" x14ac:dyDescent="0.3"/>
    <row r="11299" hidden="1" x14ac:dyDescent="0.3"/>
    <row r="11300" hidden="1" x14ac:dyDescent="0.3"/>
    <row r="11301" hidden="1" x14ac:dyDescent="0.3"/>
    <row r="11302" hidden="1" x14ac:dyDescent="0.3"/>
    <row r="11303" hidden="1" x14ac:dyDescent="0.3"/>
    <row r="11304" hidden="1" x14ac:dyDescent="0.3"/>
    <row r="11305" hidden="1" x14ac:dyDescent="0.3"/>
    <row r="11306" hidden="1" x14ac:dyDescent="0.3"/>
    <row r="11307" hidden="1" x14ac:dyDescent="0.3"/>
    <row r="11308" hidden="1" x14ac:dyDescent="0.3"/>
    <row r="11309" hidden="1" x14ac:dyDescent="0.3"/>
    <row r="11310" hidden="1" x14ac:dyDescent="0.3"/>
    <row r="11311" hidden="1" x14ac:dyDescent="0.3"/>
    <row r="11312" hidden="1" x14ac:dyDescent="0.3"/>
    <row r="11313" hidden="1" x14ac:dyDescent="0.3"/>
    <row r="11314" hidden="1" x14ac:dyDescent="0.3"/>
    <row r="11315" hidden="1" x14ac:dyDescent="0.3"/>
    <row r="11316" hidden="1" x14ac:dyDescent="0.3"/>
    <row r="11317" hidden="1" x14ac:dyDescent="0.3"/>
    <row r="11318" hidden="1" x14ac:dyDescent="0.3"/>
    <row r="11319" hidden="1" x14ac:dyDescent="0.3"/>
    <row r="11320" hidden="1" x14ac:dyDescent="0.3"/>
    <row r="11321" hidden="1" x14ac:dyDescent="0.3"/>
    <row r="11322" hidden="1" x14ac:dyDescent="0.3"/>
    <row r="11323" hidden="1" x14ac:dyDescent="0.3"/>
    <row r="11324" hidden="1" x14ac:dyDescent="0.3"/>
    <row r="11325" hidden="1" x14ac:dyDescent="0.3"/>
    <row r="11326" hidden="1" x14ac:dyDescent="0.3"/>
    <row r="11327" hidden="1" x14ac:dyDescent="0.3"/>
    <row r="11328" hidden="1" x14ac:dyDescent="0.3"/>
    <row r="11329" hidden="1" x14ac:dyDescent="0.3"/>
    <row r="11330" hidden="1" x14ac:dyDescent="0.3"/>
    <row r="11331" hidden="1" x14ac:dyDescent="0.3"/>
    <row r="11332" hidden="1" x14ac:dyDescent="0.3"/>
    <row r="11333" hidden="1" x14ac:dyDescent="0.3"/>
    <row r="11334" hidden="1" x14ac:dyDescent="0.3"/>
    <row r="11335" hidden="1" x14ac:dyDescent="0.3"/>
    <row r="11336" hidden="1" x14ac:dyDescent="0.3"/>
    <row r="11337" hidden="1" x14ac:dyDescent="0.3"/>
    <row r="11338" hidden="1" x14ac:dyDescent="0.3"/>
    <row r="11339" hidden="1" x14ac:dyDescent="0.3"/>
    <row r="11340" hidden="1" x14ac:dyDescent="0.3"/>
    <row r="11341" hidden="1" x14ac:dyDescent="0.3"/>
    <row r="11342" hidden="1" x14ac:dyDescent="0.3"/>
    <row r="11343" hidden="1" x14ac:dyDescent="0.3"/>
    <row r="11344" hidden="1" x14ac:dyDescent="0.3"/>
    <row r="11345" hidden="1" x14ac:dyDescent="0.3"/>
    <row r="11346" hidden="1" x14ac:dyDescent="0.3"/>
    <row r="11347" hidden="1" x14ac:dyDescent="0.3"/>
    <row r="11348" hidden="1" x14ac:dyDescent="0.3"/>
    <row r="11349" hidden="1" x14ac:dyDescent="0.3"/>
    <row r="11350" hidden="1" x14ac:dyDescent="0.3"/>
    <row r="11351" hidden="1" x14ac:dyDescent="0.3"/>
    <row r="11352" hidden="1" x14ac:dyDescent="0.3"/>
    <row r="11353" hidden="1" x14ac:dyDescent="0.3"/>
    <row r="11354" hidden="1" x14ac:dyDescent="0.3"/>
    <row r="11355" hidden="1" x14ac:dyDescent="0.3"/>
    <row r="11356" hidden="1" x14ac:dyDescent="0.3"/>
    <row r="11357" hidden="1" x14ac:dyDescent="0.3"/>
    <row r="11358" hidden="1" x14ac:dyDescent="0.3"/>
    <row r="11359" hidden="1" x14ac:dyDescent="0.3"/>
    <row r="11360" hidden="1" x14ac:dyDescent="0.3"/>
    <row r="11361" hidden="1" x14ac:dyDescent="0.3"/>
    <row r="11362" hidden="1" x14ac:dyDescent="0.3"/>
    <row r="11363" hidden="1" x14ac:dyDescent="0.3"/>
    <row r="11364" hidden="1" x14ac:dyDescent="0.3"/>
    <row r="11365" hidden="1" x14ac:dyDescent="0.3"/>
    <row r="11366" hidden="1" x14ac:dyDescent="0.3"/>
    <row r="11367" hidden="1" x14ac:dyDescent="0.3"/>
    <row r="11368" hidden="1" x14ac:dyDescent="0.3"/>
    <row r="11369" hidden="1" x14ac:dyDescent="0.3"/>
    <row r="11370" hidden="1" x14ac:dyDescent="0.3"/>
    <row r="11371" hidden="1" x14ac:dyDescent="0.3"/>
    <row r="11372" hidden="1" x14ac:dyDescent="0.3"/>
    <row r="11373" hidden="1" x14ac:dyDescent="0.3"/>
    <row r="11374" hidden="1" x14ac:dyDescent="0.3"/>
    <row r="11375" hidden="1" x14ac:dyDescent="0.3"/>
    <row r="11376" hidden="1" x14ac:dyDescent="0.3"/>
    <row r="11377" hidden="1" x14ac:dyDescent="0.3"/>
    <row r="11378" hidden="1" x14ac:dyDescent="0.3"/>
    <row r="11379" hidden="1" x14ac:dyDescent="0.3"/>
    <row r="11380" hidden="1" x14ac:dyDescent="0.3"/>
    <row r="11381" hidden="1" x14ac:dyDescent="0.3"/>
    <row r="11382" hidden="1" x14ac:dyDescent="0.3"/>
    <row r="11383" hidden="1" x14ac:dyDescent="0.3"/>
    <row r="11384" hidden="1" x14ac:dyDescent="0.3"/>
    <row r="11385" hidden="1" x14ac:dyDescent="0.3"/>
    <row r="11386" hidden="1" x14ac:dyDescent="0.3"/>
    <row r="11387" hidden="1" x14ac:dyDescent="0.3"/>
    <row r="11388" hidden="1" x14ac:dyDescent="0.3"/>
    <row r="11389" hidden="1" x14ac:dyDescent="0.3"/>
    <row r="11390" hidden="1" x14ac:dyDescent="0.3"/>
    <row r="11391" hidden="1" x14ac:dyDescent="0.3"/>
    <row r="11392" hidden="1" x14ac:dyDescent="0.3"/>
    <row r="11393" hidden="1" x14ac:dyDescent="0.3"/>
    <row r="11394" hidden="1" x14ac:dyDescent="0.3"/>
    <row r="11395" hidden="1" x14ac:dyDescent="0.3"/>
    <row r="11396" hidden="1" x14ac:dyDescent="0.3"/>
    <row r="11397" hidden="1" x14ac:dyDescent="0.3"/>
    <row r="11398" hidden="1" x14ac:dyDescent="0.3"/>
    <row r="11399" hidden="1" x14ac:dyDescent="0.3"/>
    <row r="11400" hidden="1" x14ac:dyDescent="0.3"/>
    <row r="11401" hidden="1" x14ac:dyDescent="0.3"/>
    <row r="11402" hidden="1" x14ac:dyDescent="0.3"/>
    <row r="11403" hidden="1" x14ac:dyDescent="0.3"/>
    <row r="11404" hidden="1" x14ac:dyDescent="0.3"/>
    <row r="11405" hidden="1" x14ac:dyDescent="0.3"/>
    <row r="11406" hidden="1" x14ac:dyDescent="0.3"/>
    <row r="11407" hidden="1" x14ac:dyDescent="0.3"/>
    <row r="11408" hidden="1" x14ac:dyDescent="0.3"/>
    <row r="11409" hidden="1" x14ac:dyDescent="0.3"/>
    <row r="11410" hidden="1" x14ac:dyDescent="0.3"/>
    <row r="11411" hidden="1" x14ac:dyDescent="0.3"/>
    <row r="11412" hidden="1" x14ac:dyDescent="0.3"/>
    <row r="11413" hidden="1" x14ac:dyDescent="0.3"/>
    <row r="11414" hidden="1" x14ac:dyDescent="0.3"/>
    <row r="11415" hidden="1" x14ac:dyDescent="0.3"/>
    <row r="11416" hidden="1" x14ac:dyDescent="0.3"/>
    <row r="11417" hidden="1" x14ac:dyDescent="0.3"/>
    <row r="11418" hidden="1" x14ac:dyDescent="0.3"/>
    <row r="11419" hidden="1" x14ac:dyDescent="0.3"/>
    <row r="11420" hidden="1" x14ac:dyDescent="0.3"/>
    <row r="11421" hidden="1" x14ac:dyDescent="0.3"/>
    <row r="11422" hidden="1" x14ac:dyDescent="0.3"/>
    <row r="11423" hidden="1" x14ac:dyDescent="0.3"/>
    <row r="11424" hidden="1" x14ac:dyDescent="0.3"/>
    <row r="11425" hidden="1" x14ac:dyDescent="0.3"/>
    <row r="11426" hidden="1" x14ac:dyDescent="0.3"/>
    <row r="11427" hidden="1" x14ac:dyDescent="0.3"/>
    <row r="11428" hidden="1" x14ac:dyDescent="0.3"/>
    <row r="11429" hidden="1" x14ac:dyDescent="0.3"/>
    <row r="11430" hidden="1" x14ac:dyDescent="0.3"/>
    <row r="11431" hidden="1" x14ac:dyDescent="0.3"/>
    <row r="11432" hidden="1" x14ac:dyDescent="0.3"/>
    <row r="11433" hidden="1" x14ac:dyDescent="0.3"/>
    <row r="11434" hidden="1" x14ac:dyDescent="0.3"/>
    <row r="11435" hidden="1" x14ac:dyDescent="0.3"/>
    <row r="11436" hidden="1" x14ac:dyDescent="0.3"/>
    <row r="11437" hidden="1" x14ac:dyDescent="0.3"/>
    <row r="11438" hidden="1" x14ac:dyDescent="0.3"/>
    <row r="11439" hidden="1" x14ac:dyDescent="0.3"/>
    <row r="11440" hidden="1" x14ac:dyDescent="0.3"/>
    <row r="11441" hidden="1" x14ac:dyDescent="0.3"/>
    <row r="11442" hidden="1" x14ac:dyDescent="0.3"/>
    <row r="11443" hidden="1" x14ac:dyDescent="0.3"/>
    <row r="11444" hidden="1" x14ac:dyDescent="0.3"/>
    <row r="11445" hidden="1" x14ac:dyDescent="0.3"/>
    <row r="11446" hidden="1" x14ac:dyDescent="0.3"/>
    <row r="11447" hidden="1" x14ac:dyDescent="0.3"/>
    <row r="11448" hidden="1" x14ac:dyDescent="0.3"/>
    <row r="11449" hidden="1" x14ac:dyDescent="0.3"/>
    <row r="11450" hidden="1" x14ac:dyDescent="0.3"/>
    <row r="11451" hidden="1" x14ac:dyDescent="0.3"/>
    <row r="11452" hidden="1" x14ac:dyDescent="0.3"/>
    <row r="11453" hidden="1" x14ac:dyDescent="0.3"/>
    <row r="11454" hidden="1" x14ac:dyDescent="0.3"/>
    <row r="11455" hidden="1" x14ac:dyDescent="0.3"/>
    <row r="11456" hidden="1" x14ac:dyDescent="0.3"/>
    <row r="11457" hidden="1" x14ac:dyDescent="0.3"/>
    <row r="11458" hidden="1" x14ac:dyDescent="0.3"/>
    <row r="11459" hidden="1" x14ac:dyDescent="0.3"/>
    <row r="11460" hidden="1" x14ac:dyDescent="0.3"/>
    <row r="11461" hidden="1" x14ac:dyDescent="0.3"/>
    <row r="11462" hidden="1" x14ac:dyDescent="0.3"/>
    <row r="11463" hidden="1" x14ac:dyDescent="0.3"/>
    <row r="11464" hidden="1" x14ac:dyDescent="0.3"/>
    <row r="11465" hidden="1" x14ac:dyDescent="0.3"/>
    <row r="11466" hidden="1" x14ac:dyDescent="0.3"/>
    <row r="11467" hidden="1" x14ac:dyDescent="0.3"/>
    <row r="11468" hidden="1" x14ac:dyDescent="0.3"/>
    <row r="11469" hidden="1" x14ac:dyDescent="0.3"/>
    <row r="11470" hidden="1" x14ac:dyDescent="0.3"/>
    <row r="11471" hidden="1" x14ac:dyDescent="0.3"/>
    <row r="11472" hidden="1" x14ac:dyDescent="0.3"/>
    <row r="11473" hidden="1" x14ac:dyDescent="0.3"/>
    <row r="11474" hidden="1" x14ac:dyDescent="0.3"/>
    <row r="11475" hidden="1" x14ac:dyDescent="0.3"/>
    <row r="11476" hidden="1" x14ac:dyDescent="0.3"/>
    <row r="11477" hidden="1" x14ac:dyDescent="0.3"/>
    <row r="11478" hidden="1" x14ac:dyDescent="0.3"/>
    <row r="11479" hidden="1" x14ac:dyDescent="0.3"/>
    <row r="11480" hidden="1" x14ac:dyDescent="0.3"/>
    <row r="11481" hidden="1" x14ac:dyDescent="0.3"/>
    <row r="11482" hidden="1" x14ac:dyDescent="0.3"/>
    <row r="11483" hidden="1" x14ac:dyDescent="0.3"/>
    <row r="11484" hidden="1" x14ac:dyDescent="0.3"/>
    <row r="11485" hidden="1" x14ac:dyDescent="0.3"/>
    <row r="11486" hidden="1" x14ac:dyDescent="0.3"/>
    <row r="11487" hidden="1" x14ac:dyDescent="0.3"/>
    <row r="11488" hidden="1" x14ac:dyDescent="0.3"/>
    <row r="11489" hidden="1" x14ac:dyDescent="0.3"/>
    <row r="11490" hidden="1" x14ac:dyDescent="0.3"/>
    <row r="11491" hidden="1" x14ac:dyDescent="0.3"/>
    <row r="11492" hidden="1" x14ac:dyDescent="0.3"/>
    <row r="11493" hidden="1" x14ac:dyDescent="0.3"/>
    <row r="11494" hidden="1" x14ac:dyDescent="0.3"/>
    <row r="11495" hidden="1" x14ac:dyDescent="0.3"/>
    <row r="11496" hidden="1" x14ac:dyDescent="0.3"/>
    <row r="11497" hidden="1" x14ac:dyDescent="0.3"/>
    <row r="11498" hidden="1" x14ac:dyDescent="0.3"/>
    <row r="11499" hidden="1" x14ac:dyDescent="0.3"/>
    <row r="11500" hidden="1" x14ac:dyDescent="0.3"/>
    <row r="11501" hidden="1" x14ac:dyDescent="0.3"/>
    <row r="11502" hidden="1" x14ac:dyDescent="0.3"/>
    <row r="11503" hidden="1" x14ac:dyDescent="0.3"/>
    <row r="11504" hidden="1" x14ac:dyDescent="0.3"/>
    <row r="11505" hidden="1" x14ac:dyDescent="0.3"/>
    <row r="11506" hidden="1" x14ac:dyDescent="0.3"/>
    <row r="11507" hidden="1" x14ac:dyDescent="0.3"/>
    <row r="11508" hidden="1" x14ac:dyDescent="0.3"/>
    <row r="11509" hidden="1" x14ac:dyDescent="0.3"/>
    <row r="11510" hidden="1" x14ac:dyDescent="0.3"/>
    <row r="11511" hidden="1" x14ac:dyDescent="0.3"/>
    <row r="11512" hidden="1" x14ac:dyDescent="0.3"/>
    <row r="11513" hidden="1" x14ac:dyDescent="0.3"/>
    <row r="11514" hidden="1" x14ac:dyDescent="0.3"/>
    <row r="11515" hidden="1" x14ac:dyDescent="0.3"/>
    <row r="11516" hidden="1" x14ac:dyDescent="0.3"/>
    <row r="11517" hidden="1" x14ac:dyDescent="0.3"/>
    <row r="11518" hidden="1" x14ac:dyDescent="0.3"/>
    <row r="11519" hidden="1" x14ac:dyDescent="0.3"/>
    <row r="11520" hidden="1" x14ac:dyDescent="0.3"/>
    <row r="11521" hidden="1" x14ac:dyDescent="0.3"/>
    <row r="11522" hidden="1" x14ac:dyDescent="0.3"/>
    <row r="11523" hidden="1" x14ac:dyDescent="0.3"/>
    <row r="11524" hidden="1" x14ac:dyDescent="0.3"/>
    <row r="11525" hidden="1" x14ac:dyDescent="0.3"/>
    <row r="11526" hidden="1" x14ac:dyDescent="0.3"/>
    <row r="11527" hidden="1" x14ac:dyDescent="0.3"/>
    <row r="11528" hidden="1" x14ac:dyDescent="0.3"/>
    <row r="11529" hidden="1" x14ac:dyDescent="0.3"/>
    <row r="11530" hidden="1" x14ac:dyDescent="0.3"/>
    <row r="11531" hidden="1" x14ac:dyDescent="0.3"/>
    <row r="11532" hidden="1" x14ac:dyDescent="0.3"/>
    <row r="11533" hidden="1" x14ac:dyDescent="0.3"/>
    <row r="11534" hidden="1" x14ac:dyDescent="0.3"/>
    <row r="11535" hidden="1" x14ac:dyDescent="0.3"/>
    <row r="11536" hidden="1" x14ac:dyDescent="0.3"/>
    <row r="11537" hidden="1" x14ac:dyDescent="0.3"/>
    <row r="11538" hidden="1" x14ac:dyDescent="0.3"/>
    <row r="11539" hidden="1" x14ac:dyDescent="0.3"/>
    <row r="11540" hidden="1" x14ac:dyDescent="0.3"/>
    <row r="11541" hidden="1" x14ac:dyDescent="0.3"/>
    <row r="11542" hidden="1" x14ac:dyDescent="0.3"/>
    <row r="11543" hidden="1" x14ac:dyDescent="0.3"/>
    <row r="11544" hidden="1" x14ac:dyDescent="0.3"/>
    <row r="11545" hidden="1" x14ac:dyDescent="0.3"/>
    <row r="11546" hidden="1" x14ac:dyDescent="0.3"/>
    <row r="11547" hidden="1" x14ac:dyDescent="0.3"/>
    <row r="11548" hidden="1" x14ac:dyDescent="0.3"/>
    <row r="11549" hidden="1" x14ac:dyDescent="0.3"/>
    <row r="11550" hidden="1" x14ac:dyDescent="0.3"/>
    <row r="11551" hidden="1" x14ac:dyDescent="0.3"/>
    <row r="11552" hidden="1" x14ac:dyDescent="0.3"/>
    <row r="11553" hidden="1" x14ac:dyDescent="0.3"/>
    <row r="11554" hidden="1" x14ac:dyDescent="0.3"/>
    <row r="11555" hidden="1" x14ac:dyDescent="0.3"/>
    <row r="11556" hidden="1" x14ac:dyDescent="0.3"/>
    <row r="11557" hidden="1" x14ac:dyDescent="0.3"/>
    <row r="11558" hidden="1" x14ac:dyDescent="0.3"/>
    <row r="11559" hidden="1" x14ac:dyDescent="0.3"/>
    <row r="11560" hidden="1" x14ac:dyDescent="0.3"/>
    <row r="11561" hidden="1" x14ac:dyDescent="0.3"/>
    <row r="11562" hidden="1" x14ac:dyDescent="0.3"/>
    <row r="11563" hidden="1" x14ac:dyDescent="0.3"/>
    <row r="11564" hidden="1" x14ac:dyDescent="0.3"/>
    <row r="11565" hidden="1" x14ac:dyDescent="0.3"/>
    <row r="11566" hidden="1" x14ac:dyDescent="0.3"/>
    <row r="11567" hidden="1" x14ac:dyDescent="0.3"/>
    <row r="11568" hidden="1" x14ac:dyDescent="0.3"/>
    <row r="11569" hidden="1" x14ac:dyDescent="0.3"/>
    <row r="11570" hidden="1" x14ac:dyDescent="0.3"/>
    <row r="11571" hidden="1" x14ac:dyDescent="0.3"/>
    <row r="11572" hidden="1" x14ac:dyDescent="0.3"/>
    <row r="11573" hidden="1" x14ac:dyDescent="0.3"/>
    <row r="11574" hidden="1" x14ac:dyDescent="0.3"/>
    <row r="11575" hidden="1" x14ac:dyDescent="0.3"/>
    <row r="11576" hidden="1" x14ac:dyDescent="0.3"/>
    <row r="11577" hidden="1" x14ac:dyDescent="0.3"/>
    <row r="11578" hidden="1" x14ac:dyDescent="0.3"/>
    <row r="11579" hidden="1" x14ac:dyDescent="0.3"/>
    <row r="11580" hidden="1" x14ac:dyDescent="0.3"/>
    <row r="11581" hidden="1" x14ac:dyDescent="0.3"/>
    <row r="11582" hidden="1" x14ac:dyDescent="0.3"/>
    <row r="11583" hidden="1" x14ac:dyDescent="0.3"/>
    <row r="11584" hidden="1" x14ac:dyDescent="0.3"/>
    <row r="11585" hidden="1" x14ac:dyDescent="0.3"/>
    <row r="11586" hidden="1" x14ac:dyDescent="0.3"/>
    <row r="11587" hidden="1" x14ac:dyDescent="0.3"/>
    <row r="11588" hidden="1" x14ac:dyDescent="0.3"/>
    <row r="11589" hidden="1" x14ac:dyDescent="0.3"/>
    <row r="11590" hidden="1" x14ac:dyDescent="0.3"/>
    <row r="11591" hidden="1" x14ac:dyDescent="0.3"/>
    <row r="11592" hidden="1" x14ac:dyDescent="0.3"/>
    <row r="11593" hidden="1" x14ac:dyDescent="0.3"/>
    <row r="11594" hidden="1" x14ac:dyDescent="0.3"/>
    <row r="11595" hidden="1" x14ac:dyDescent="0.3"/>
    <row r="11596" hidden="1" x14ac:dyDescent="0.3"/>
    <row r="11597" hidden="1" x14ac:dyDescent="0.3"/>
    <row r="11598" hidden="1" x14ac:dyDescent="0.3"/>
    <row r="11599" hidden="1" x14ac:dyDescent="0.3"/>
    <row r="11600" hidden="1" x14ac:dyDescent="0.3"/>
    <row r="11601" hidden="1" x14ac:dyDescent="0.3"/>
    <row r="11602" hidden="1" x14ac:dyDescent="0.3"/>
    <row r="11603" hidden="1" x14ac:dyDescent="0.3"/>
    <row r="11604" hidden="1" x14ac:dyDescent="0.3"/>
    <row r="11605" hidden="1" x14ac:dyDescent="0.3"/>
    <row r="11606" hidden="1" x14ac:dyDescent="0.3"/>
    <row r="11607" hidden="1" x14ac:dyDescent="0.3"/>
    <row r="11608" hidden="1" x14ac:dyDescent="0.3"/>
    <row r="11609" hidden="1" x14ac:dyDescent="0.3"/>
    <row r="11610" hidden="1" x14ac:dyDescent="0.3"/>
    <row r="11611" hidden="1" x14ac:dyDescent="0.3"/>
    <row r="11612" hidden="1" x14ac:dyDescent="0.3"/>
    <row r="11613" hidden="1" x14ac:dyDescent="0.3"/>
    <row r="11614" hidden="1" x14ac:dyDescent="0.3"/>
    <row r="11615" hidden="1" x14ac:dyDescent="0.3"/>
    <row r="11616" hidden="1" x14ac:dyDescent="0.3"/>
    <row r="11617" hidden="1" x14ac:dyDescent="0.3"/>
    <row r="11618" hidden="1" x14ac:dyDescent="0.3"/>
    <row r="11619" hidden="1" x14ac:dyDescent="0.3"/>
    <row r="11620" hidden="1" x14ac:dyDescent="0.3"/>
    <row r="11621" hidden="1" x14ac:dyDescent="0.3"/>
    <row r="11622" hidden="1" x14ac:dyDescent="0.3"/>
    <row r="11623" hidden="1" x14ac:dyDescent="0.3"/>
    <row r="11624" hidden="1" x14ac:dyDescent="0.3"/>
    <row r="11625" hidden="1" x14ac:dyDescent="0.3"/>
    <row r="11626" hidden="1" x14ac:dyDescent="0.3"/>
    <row r="11627" hidden="1" x14ac:dyDescent="0.3"/>
    <row r="11628" hidden="1" x14ac:dyDescent="0.3"/>
    <row r="11629" hidden="1" x14ac:dyDescent="0.3"/>
    <row r="11630" hidden="1" x14ac:dyDescent="0.3"/>
    <row r="11631" hidden="1" x14ac:dyDescent="0.3"/>
    <row r="11632" hidden="1" x14ac:dyDescent="0.3"/>
    <row r="11633" hidden="1" x14ac:dyDescent="0.3"/>
    <row r="11634" hidden="1" x14ac:dyDescent="0.3"/>
    <row r="11635" hidden="1" x14ac:dyDescent="0.3"/>
    <row r="11636" hidden="1" x14ac:dyDescent="0.3"/>
    <row r="11637" hidden="1" x14ac:dyDescent="0.3"/>
    <row r="11638" hidden="1" x14ac:dyDescent="0.3"/>
    <row r="11639" hidden="1" x14ac:dyDescent="0.3"/>
    <row r="11640" hidden="1" x14ac:dyDescent="0.3"/>
    <row r="11641" hidden="1" x14ac:dyDescent="0.3"/>
    <row r="11642" hidden="1" x14ac:dyDescent="0.3"/>
    <row r="11643" hidden="1" x14ac:dyDescent="0.3"/>
    <row r="11644" hidden="1" x14ac:dyDescent="0.3"/>
    <row r="11645" hidden="1" x14ac:dyDescent="0.3"/>
    <row r="11646" hidden="1" x14ac:dyDescent="0.3"/>
    <row r="11647" hidden="1" x14ac:dyDescent="0.3"/>
    <row r="11648" hidden="1" x14ac:dyDescent="0.3"/>
    <row r="11649" hidden="1" x14ac:dyDescent="0.3"/>
    <row r="11650" hidden="1" x14ac:dyDescent="0.3"/>
    <row r="11651" hidden="1" x14ac:dyDescent="0.3"/>
    <row r="11652" hidden="1" x14ac:dyDescent="0.3"/>
    <row r="11653" hidden="1" x14ac:dyDescent="0.3"/>
    <row r="11654" hidden="1" x14ac:dyDescent="0.3"/>
    <row r="11655" hidden="1" x14ac:dyDescent="0.3"/>
    <row r="11656" hidden="1" x14ac:dyDescent="0.3"/>
    <row r="11657" hidden="1" x14ac:dyDescent="0.3"/>
    <row r="11658" hidden="1" x14ac:dyDescent="0.3"/>
    <row r="11659" hidden="1" x14ac:dyDescent="0.3"/>
    <row r="11660" hidden="1" x14ac:dyDescent="0.3"/>
    <row r="11661" hidden="1" x14ac:dyDescent="0.3"/>
    <row r="11662" hidden="1" x14ac:dyDescent="0.3"/>
    <row r="11663" hidden="1" x14ac:dyDescent="0.3"/>
    <row r="11664" hidden="1" x14ac:dyDescent="0.3"/>
    <row r="11665" hidden="1" x14ac:dyDescent="0.3"/>
    <row r="11666" hidden="1" x14ac:dyDescent="0.3"/>
    <row r="11667" hidden="1" x14ac:dyDescent="0.3"/>
    <row r="11668" hidden="1" x14ac:dyDescent="0.3"/>
    <row r="11669" hidden="1" x14ac:dyDescent="0.3"/>
    <row r="11670" hidden="1" x14ac:dyDescent="0.3"/>
    <row r="11671" hidden="1" x14ac:dyDescent="0.3"/>
    <row r="11672" hidden="1" x14ac:dyDescent="0.3"/>
    <row r="11673" hidden="1" x14ac:dyDescent="0.3"/>
    <row r="11674" hidden="1" x14ac:dyDescent="0.3"/>
    <row r="11675" hidden="1" x14ac:dyDescent="0.3"/>
    <row r="11676" hidden="1" x14ac:dyDescent="0.3"/>
    <row r="11677" hidden="1" x14ac:dyDescent="0.3"/>
    <row r="11678" hidden="1" x14ac:dyDescent="0.3"/>
    <row r="11679" hidden="1" x14ac:dyDescent="0.3"/>
    <row r="11680" hidden="1" x14ac:dyDescent="0.3"/>
    <row r="11681" hidden="1" x14ac:dyDescent="0.3"/>
    <row r="11682" hidden="1" x14ac:dyDescent="0.3"/>
    <row r="11683" hidden="1" x14ac:dyDescent="0.3"/>
    <row r="11684" hidden="1" x14ac:dyDescent="0.3"/>
    <row r="11685" hidden="1" x14ac:dyDescent="0.3"/>
    <row r="11686" hidden="1" x14ac:dyDescent="0.3"/>
    <row r="11687" hidden="1" x14ac:dyDescent="0.3"/>
    <row r="11688" hidden="1" x14ac:dyDescent="0.3"/>
    <row r="11689" hidden="1" x14ac:dyDescent="0.3"/>
    <row r="11690" hidden="1" x14ac:dyDescent="0.3"/>
    <row r="11691" hidden="1" x14ac:dyDescent="0.3"/>
    <row r="11692" hidden="1" x14ac:dyDescent="0.3"/>
    <row r="11693" hidden="1" x14ac:dyDescent="0.3"/>
    <row r="11694" hidden="1" x14ac:dyDescent="0.3"/>
    <row r="11695" hidden="1" x14ac:dyDescent="0.3"/>
    <row r="11696" hidden="1" x14ac:dyDescent="0.3"/>
    <row r="11697" hidden="1" x14ac:dyDescent="0.3"/>
    <row r="11698" hidden="1" x14ac:dyDescent="0.3"/>
    <row r="11699" hidden="1" x14ac:dyDescent="0.3"/>
    <row r="11700" hidden="1" x14ac:dyDescent="0.3"/>
    <row r="11701" hidden="1" x14ac:dyDescent="0.3"/>
    <row r="11702" hidden="1" x14ac:dyDescent="0.3"/>
    <row r="11703" hidden="1" x14ac:dyDescent="0.3"/>
    <row r="11704" hidden="1" x14ac:dyDescent="0.3"/>
    <row r="11705" hidden="1" x14ac:dyDescent="0.3"/>
    <row r="11706" hidden="1" x14ac:dyDescent="0.3"/>
    <row r="11707" hidden="1" x14ac:dyDescent="0.3"/>
    <row r="11708" hidden="1" x14ac:dyDescent="0.3"/>
    <row r="11709" hidden="1" x14ac:dyDescent="0.3"/>
    <row r="11710" hidden="1" x14ac:dyDescent="0.3"/>
    <row r="11711" hidden="1" x14ac:dyDescent="0.3"/>
    <row r="11712" hidden="1" x14ac:dyDescent="0.3"/>
    <row r="11713" hidden="1" x14ac:dyDescent="0.3"/>
    <row r="11714" hidden="1" x14ac:dyDescent="0.3"/>
    <row r="11715" hidden="1" x14ac:dyDescent="0.3"/>
    <row r="11716" hidden="1" x14ac:dyDescent="0.3"/>
    <row r="11717" hidden="1" x14ac:dyDescent="0.3"/>
    <row r="11718" hidden="1" x14ac:dyDescent="0.3"/>
    <row r="11719" hidden="1" x14ac:dyDescent="0.3"/>
    <row r="11720" hidden="1" x14ac:dyDescent="0.3"/>
    <row r="11721" hidden="1" x14ac:dyDescent="0.3"/>
    <row r="11722" hidden="1" x14ac:dyDescent="0.3"/>
    <row r="11723" hidden="1" x14ac:dyDescent="0.3"/>
    <row r="11724" hidden="1" x14ac:dyDescent="0.3"/>
    <row r="11725" hidden="1" x14ac:dyDescent="0.3"/>
    <row r="11726" hidden="1" x14ac:dyDescent="0.3"/>
    <row r="11727" hidden="1" x14ac:dyDescent="0.3"/>
    <row r="11728" hidden="1" x14ac:dyDescent="0.3"/>
    <row r="11729" hidden="1" x14ac:dyDescent="0.3"/>
    <row r="11730" hidden="1" x14ac:dyDescent="0.3"/>
    <row r="11731" hidden="1" x14ac:dyDescent="0.3"/>
    <row r="11732" hidden="1" x14ac:dyDescent="0.3"/>
    <row r="11733" hidden="1" x14ac:dyDescent="0.3"/>
    <row r="11734" hidden="1" x14ac:dyDescent="0.3"/>
    <row r="11735" hidden="1" x14ac:dyDescent="0.3"/>
    <row r="11736" hidden="1" x14ac:dyDescent="0.3"/>
    <row r="11737" hidden="1" x14ac:dyDescent="0.3"/>
    <row r="11738" hidden="1" x14ac:dyDescent="0.3"/>
    <row r="11739" hidden="1" x14ac:dyDescent="0.3"/>
    <row r="11740" hidden="1" x14ac:dyDescent="0.3"/>
    <row r="11741" hidden="1" x14ac:dyDescent="0.3"/>
    <row r="11742" hidden="1" x14ac:dyDescent="0.3"/>
    <row r="11743" hidden="1" x14ac:dyDescent="0.3"/>
    <row r="11744" hidden="1" x14ac:dyDescent="0.3"/>
    <row r="11745" hidden="1" x14ac:dyDescent="0.3"/>
    <row r="11746" hidden="1" x14ac:dyDescent="0.3"/>
    <row r="11747" hidden="1" x14ac:dyDescent="0.3"/>
    <row r="11748" hidden="1" x14ac:dyDescent="0.3"/>
    <row r="11749" hidden="1" x14ac:dyDescent="0.3"/>
    <row r="11750" hidden="1" x14ac:dyDescent="0.3"/>
    <row r="11751" hidden="1" x14ac:dyDescent="0.3"/>
    <row r="11752" hidden="1" x14ac:dyDescent="0.3"/>
    <row r="11753" hidden="1" x14ac:dyDescent="0.3"/>
    <row r="11754" hidden="1" x14ac:dyDescent="0.3"/>
    <row r="11755" hidden="1" x14ac:dyDescent="0.3"/>
    <row r="11756" hidden="1" x14ac:dyDescent="0.3"/>
    <row r="11757" hidden="1" x14ac:dyDescent="0.3"/>
    <row r="11758" hidden="1" x14ac:dyDescent="0.3"/>
    <row r="11759" hidden="1" x14ac:dyDescent="0.3"/>
    <row r="11760" hidden="1" x14ac:dyDescent="0.3"/>
    <row r="11761" hidden="1" x14ac:dyDescent="0.3"/>
    <row r="11762" hidden="1" x14ac:dyDescent="0.3"/>
    <row r="11763" hidden="1" x14ac:dyDescent="0.3"/>
    <row r="11764" hidden="1" x14ac:dyDescent="0.3"/>
    <row r="11765" hidden="1" x14ac:dyDescent="0.3"/>
    <row r="11766" hidden="1" x14ac:dyDescent="0.3"/>
    <row r="11767" hidden="1" x14ac:dyDescent="0.3"/>
    <row r="11768" hidden="1" x14ac:dyDescent="0.3"/>
    <row r="11769" hidden="1" x14ac:dyDescent="0.3"/>
    <row r="11770" hidden="1" x14ac:dyDescent="0.3"/>
    <row r="11771" hidden="1" x14ac:dyDescent="0.3"/>
    <row r="11772" hidden="1" x14ac:dyDescent="0.3"/>
    <row r="11773" hidden="1" x14ac:dyDescent="0.3"/>
    <row r="11774" hidden="1" x14ac:dyDescent="0.3"/>
    <row r="11775" hidden="1" x14ac:dyDescent="0.3"/>
    <row r="11776" hidden="1" x14ac:dyDescent="0.3"/>
    <row r="11777" hidden="1" x14ac:dyDescent="0.3"/>
    <row r="11778" hidden="1" x14ac:dyDescent="0.3"/>
    <row r="11779" hidden="1" x14ac:dyDescent="0.3"/>
    <row r="11780" hidden="1" x14ac:dyDescent="0.3"/>
    <row r="11781" hidden="1" x14ac:dyDescent="0.3"/>
    <row r="11782" hidden="1" x14ac:dyDescent="0.3"/>
    <row r="11783" hidden="1" x14ac:dyDescent="0.3"/>
    <row r="11784" hidden="1" x14ac:dyDescent="0.3"/>
    <row r="11785" hidden="1" x14ac:dyDescent="0.3"/>
    <row r="11786" hidden="1" x14ac:dyDescent="0.3"/>
    <row r="11787" hidden="1" x14ac:dyDescent="0.3"/>
    <row r="11788" hidden="1" x14ac:dyDescent="0.3"/>
    <row r="11789" hidden="1" x14ac:dyDescent="0.3"/>
    <row r="11790" hidden="1" x14ac:dyDescent="0.3"/>
    <row r="11791" hidden="1" x14ac:dyDescent="0.3"/>
    <row r="11792" hidden="1" x14ac:dyDescent="0.3"/>
    <row r="11793" hidden="1" x14ac:dyDescent="0.3"/>
    <row r="11794" hidden="1" x14ac:dyDescent="0.3"/>
    <row r="11795" hidden="1" x14ac:dyDescent="0.3"/>
    <row r="11796" hidden="1" x14ac:dyDescent="0.3"/>
    <row r="11797" hidden="1" x14ac:dyDescent="0.3"/>
    <row r="11798" hidden="1" x14ac:dyDescent="0.3"/>
    <row r="11799" hidden="1" x14ac:dyDescent="0.3"/>
    <row r="11800" hidden="1" x14ac:dyDescent="0.3"/>
    <row r="11801" hidden="1" x14ac:dyDescent="0.3"/>
    <row r="11802" hidden="1" x14ac:dyDescent="0.3"/>
    <row r="11803" hidden="1" x14ac:dyDescent="0.3"/>
    <row r="11804" hidden="1" x14ac:dyDescent="0.3"/>
    <row r="11805" hidden="1" x14ac:dyDescent="0.3"/>
    <row r="11806" hidden="1" x14ac:dyDescent="0.3"/>
    <row r="11807" hidden="1" x14ac:dyDescent="0.3"/>
    <row r="11808" hidden="1" x14ac:dyDescent="0.3"/>
    <row r="11809" hidden="1" x14ac:dyDescent="0.3"/>
    <row r="11810" hidden="1" x14ac:dyDescent="0.3"/>
    <row r="11811" hidden="1" x14ac:dyDescent="0.3"/>
    <row r="11812" hidden="1" x14ac:dyDescent="0.3"/>
    <row r="11813" hidden="1" x14ac:dyDescent="0.3"/>
    <row r="11814" hidden="1" x14ac:dyDescent="0.3"/>
    <row r="11815" hidden="1" x14ac:dyDescent="0.3"/>
    <row r="11816" hidden="1" x14ac:dyDescent="0.3"/>
    <row r="11817" hidden="1" x14ac:dyDescent="0.3"/>
    <row r="11818" hidden="1" x14ac:dyDescent="0.3"/>
    <row r="11819" hidden="1" x14ac:dyDescent="0.3"/>
    <row r="11820" hidden="1" x14ac:dyDescent="0.3"/>
    <row r="11821" hidden="1" x14ac:dyDescent="0.3"/>
    <row r="11822" hidden="1" x14ac:dyDescent="0.3"/>
    <row r="11823" hidden="1" x14ac:dyDescent="0.3"/>
    <row r="11824" hidden="1" x14ac:dyDescent="0.3"/>
    <row r="11825" hidden="1" x14ac:dyDescent="0.3"/>
    <row r="11826" hidden="1" x14ac:dyDescent="0.3"/>
    <row r="11827" hidden="1" x14ac:dyDescent="0.3"/>
    <row r="11828" hidden="1" x14ac:dyDescent="0.3"/>
    <row r="11829" hidden="1" x14ac:dyDescent="0.3"/>
    <row r="11830" hidden="1" x14ac:dyDescent="0.3"/>
    <row r="11831" hidden="1" x14ac:dyDescent="0.3"/>
    <row r="11832" hidden="1" x14ac:dyDescent="0.3"/>
    <row r="11833" hidden="1" x14ac:dyDescent="0.3"/>
    <row r="11834" hidden="1" x14ac:dyDescent="0.3"/>
    <row r="11835" hidden="1" x14ac:dyDescent="0.3"/>
    <row r="11836" hidden="1" x14ac:dyDescent="0.3"/>
    <row r="11837" hidden="1" x14ac:dyDescent="0.3"/>
    <row r="11838" hidden="1" x14ac:dyDescent="0.3"/>
    <row r="11839" hidden="1" x14ac:dyDescent="0.3"/>
    <row r="11840" hidden="1" x14ac:dyDescent="0.3"/>
    <row r="11841" hidden="1" x14ac:dyDescent="0.3"/>
    <row r="11842" hidden="1" x14ac:dyDescent="0.3"/>
    <row r="11843" hidden="1" x14ac:dyDescent="0.3"/>
    <row r="11844" hidden="1" x14ac:dyDescent="0.3"/>
    <row r="11845" hidden="1" x14ac:dyDescent="0.3"/>
    <row r="11846" hidden="1" x14ac:dyDescent="0.3"/>
    <row r="11847" hidden="1" x14ac:dyDescent="0.3"/>
    <row r="11848" hidden="1" x14ac:dyDescent="0.3"/>
    <row r="11849" hidden="1" x14ac:dyDescent="0.3"/>
    <row r="11850" hidden="1" x14ac:dyDescent="0.3"/>
    <row r="11851" hidden="1" x14ac:dyDescent="0.3"/>
    <row r="11852" hidden="1" x14ac:dyDescent="0.3"/>
    <row r="11853" hidden="1" x14ac:dyDescent="0.3"/>
    <row r="11854" hidden="1" x14ac:dyDescent="0.3"/>
    <row r="11855" hidden="1" x14ac:dyDescent="0.3"/>
    <row r="11856" hidden="1" x14ac:dyDescent="0.3"/>
    <row r="11857" hidden="1" x14ac:dyDescent="0.3"/>
    <row r="11858" hidden="1" x14ac:dyDescent="0.3"/>
    <row r="11859" hidden="1" x14ac:dyDescent="0.3"/>
    <row r="11860" hidden="1" x14ac:dyDescent="0.3"/>
    <row r="11861" hidden="1" x14ac:dyDescent="0.3"/>
    <row r="11862" hidden="1" x14ac:dyDescent="0.3"/>
    <row r="11863" hidden="1" x14ac:dyDescent="0.3"/>
    <row r="11864" hidden="1" x14ac:dyDescent="0.3"/>
    <row r="11865" hidden="1" x14ac:dyDescent="0.3"/>
    <row r="11866" hidden="1" x14ac:dyDescent="0.3"/>
    <row r="11867" hidden="1" x14ac:dyDescent="0.3"/>
    <row r="11868" hidden="1" x14ac:dyDescent="0.3"/>
    <row r="11869" hidden="1" x14ac:dyDescent="0.3"/>
    <row r="11870" hidden="1" x14ac:dyDescent="0.3"/>
    <row r="11871" hidden="1" x14ac:dyDescent="0.3"/>
    <row r="11872" hidden="1" x14ac:dyDescent="0.3"/>
    <row r="11873" hidden="1" x14ac:dyDescent="0.3"/>
    <row r="11874" hidden="1" x14ac:dyDescent="0.3"/>
    <row r="11875" hidden="1" x14ac:dyDescent="0.3"/>
    <row r="11876" hidden="1" x14ac:dyDescent="0.3"/>
    <row r="11877" hidden="1" x14ac:dyDescent="0.3"/>
    <row r="11878" hidden="1" x14ac:dyDescent="0.3"/>
    <row r="11879" hidden="1" x14ac:dyDescent="0.3"/>
    <row r="11880" hidden="1" x14ac:dyDescent="0.3"/>
    <row r="11881" hidden="1" x14ac:dyDescent="0.3"/>
    <row r="11882" hidden="1" x14ac:dyDescent="0.3"/>
    <row r="11883" hidden="1" x14ac:dyDescent="0.3"/>
    <row r="11884" hidden="1" x14ac:dyDescent="0.3"/>
    <row r="11885" hidden="1" x14ac:dyDescent="0.3"/>
    <row r="11886" hidden="1" x14ac:dyDescent="0.3"/>
    <row r="11887" hidden="1" x14ac:dyDescent="0.3"/>
    <row r="11888" hidden="1" x14ac:dyDescent="0.3"/>
    <row r="11889" hidden="1" x14ac:dyDescent="0.3"/>
    <row r="11890" hidden="1" x14ac:dyDescent="0.3"/>
    <row r="11891" hidden="1" x14ac:dyDescent="0.3"/>
    <row r="11892" hidden="1" x14ac:dyDescent="0.3"/>
    <row r="11893" hidden="1" x14ac:dyDescent="0.3"/>
    <row r="11894" hidden="1" x14ac:dyDescent="0.3"/>
    <row r="11895" hidden="1" x14ac:dyDescent="0.3"/>
    <row r="11896" hidden="1" x14ac:dyDescent="0.3"/>
    <row r="11897" hidden="1" x14ac:dyDescent="0.3"/>
    <row r="11898" hidden="1" x14ac:dyDescent="0.3"/>
    <row r="11899" hidden="1" x14ac:dyDescent="0.3"/>
    <row r="11900" hidden="1" x14ac:dyDescent="0.3"/>
    <row r="11901" hidden="1" x14ac:dyDescent="0.3"/>
    <row r="11902" hidden="1" x14ac:dyDescent="0.3"/>
    <row r="11903" hidden="1" x14ac:dyDescent="0.3"/>
    <row r="11904" hidden="1" x14ac:dyDescent="0.3"/>
    <row r="11905" hidden="1" x14ac:dyDescent="0.3"/>
    <row r="11906" hidden="1" x14ac:dyDescent="0.3"/>
    <row r="11907" hidden="1" x14ac:dyDescent="0.3"/>
    <row r="11908" hidden="1" x14ac:dyDescent="0.3"/>
    <row r="11909" hidden="1" x14ac:dyDescent="0.3"/>
    <row r="11910" hidden="1" x14ac:dyDescent="0.3"/>
    <row r="11911" hidden="1" x14ac:dyDescent="0.3"/>
    <row r="11912" hidden="1" x14ac:dyDescent="0.3"/>
    <row r="11913" hidden="1" x14ac:dyDescent="0.3"/>
    <row r="11914" hidden="1" x14ac:dyDescent="0.3"/>
    <row r="11915" hidden="1" x14ac:dyDescent="0.3"/>
    <row r="11916" hidden="1" x14ac:dyDescent="0.3"/>
    <row r="11917" hidden="1" x14ac:dyDescent="0.3"/>
    <row r="11918" hidden="1" x14ac:dyDescent="0.3"/>
    <row r="11919" hidden="1" x14ac:dyDescent="0.3"/>
    <row r="11920" hidden="1" x14ac:dyDescent="0.3"/>
    <row r="11921" hidden="1" x14ac:dyDescent="0.3"/>
    <row r="11922" hidden="1" x14ac:dyDescent="0.3"/>
    <row r="11923" hidden="1" x14ac:dyDescent="0.3"/>
    <row r="11924" hidden="1" x14ac:dyDescent="0.3"/>
    <row r="11925" hidden="1" x14ac:dyDescent="0.3"/>
    <row r="11926" hidden="1" x14ac:dyDescent="0.3"/>
    <row r="11927" hidden="1" x14ac:dyDescent="0.3"/>
    <row r="11928" hidden="1" x14ac:dyDescent="0.3"/>
    <row r="11929" hidden="1" x14ac:dyDescent="0.3"/>
    <row r="11930" hidden="1" x14ac:dyDescent="0.3"/>
    <row r="11931" hidden="1" x14ac:dyDescent="0.3"/>
    <row r="11932" hidden="1" x14ac:dyDescent="0.3"/>
    <row r="11933" hidden="1" x14ac:dyDescent="0.3"/>
    <row r="11934" hidden="1" x14ac:dyDescent="0.3"/>
    <row r="11935" hidden="1" x14ac:dyDescent="0.3"/>
    <row r="11936" hidden="1" x14ac:dyDescent="0.3"/>
    <row r="11937" hidden="1" x14ac:dyDescent="0.3"/>
    <row r="11938" hidden="1" x14ac:dyDescent="0.3"/>
    <row r="11939" hidden="1" x14ac:dyDescent="0.3"/>
    <row r="11940" hidden="1" x14ac:dyDescent="0.3"/>
    <row r="11941" hidden="1" x14ac:dyDescent="0.3"/>
    <row r="11942" hidden="1" x14ac:dyDescent="0.3"/>
    <row r="11943" hidden="1" x14ac:dyDescent="0.3"/>
    <row r="11944" hidden="1" x14ac:dyDescent="0.3"/>
    <row r="11945" hidden="1" x14ac:dyDescent="0.3"/>
    <row r="11946" hidden="1" x14ac:dyDescent="0.3"/>
    <row r="11947" hidden="1" x14ac:dyDescent="0.3"/>
    <row r="11948" hidden="1" x14ac:dyDescent="0.3"/>
    <row r="11949" hidden="1" x14ac:dyDescent="0.3"/>
    <row r="11950" hidden="1" x14ac:dyDescent="0.3"/>
    <row r="11951" hidden="1" x14ac:dyDescent="0.3"/>
    <row r="11952" hidden="1" x14ac:dyDescent="0.3"/>
    <row r="11953" hidden="1" x14ac:dyDescent="0.3"/>
    <row r="11954" hidden="1" x14ac:dyDescent="0.3"/>
    <row r="11955" hidden="1" x14ac:dyDescent="0.3"/>
    <row r="11956" hidden="1" x14ac:dyDescent="0.3"/>
    <row r="11957" hidden="1" x14ac:dyDescent="0.3"/>
    <row r="11958" hidden="1" x14ac:dyDescent="0.3"/>
    <row r="11959" hidden="1" x14ac:dyDescent="0.3"/>
    <row r="11960" hidden="1" x14ac:dyDescent="0.3"/>
    <row r="11961" hidden="1" x14ac:dyDescent="0.3"/>
    <row r="11962" hidden="1" x14ac:dyDescent="0.3"/>
    <row r="11963" hidden="1" x14ac:dyDescent="0.3"/>
    <row r="11964" hidden="1" x14ac:dyDescent="0.3"/>
    <row r="11965" hidden="1" x14ac:dyDescent="0.3"/>
    <row r="11966" hidden="1" x14ac:dyDescent="0.3"/>
    <row r="11967" hidden="1" x14ac:dyDescent="0.3"/>
    <row r="11968" hidden="1" x14ac:dyDescent="0.3"/>
    <row r="11969" hidden="1" x14ac:dyDescent="0.3"/>
    <row r="11970" hidden="1" x14ac:dyDescent="0.3"/>
    <row r="11971" hidden="1" x14ac:dyDescent="0.3"/>
    <row r="11972" hidden="1" x14ac:dyDescent="0.3"/>
    <row r="11973" hidden="1" x14ac:dyDescent="0.3"/>
    <row r="11974" hidden="1" x14ac:dyDescent="0.3"/>
    <row r="11975" hidden="1" x14ac:dyDescent="0.3"/>
    <row r="11976" hidden="1" x14ac:dyDescent="0.3"/>
    <row r="11977" hidden="1" x14ac:dyDescent="0.3"/>
    <row r="11978" hidden="1" x14ac:dyDescent="0.3"/>
    <row r="11979" hidden="1" x14ac:dyDescent="0.3"/>
    <row r="11980" hidden="1" x14ac:dyDescent="0.3"/>
    <row r="11981" hidden="1" x14ac:dyDescent="0.3"/>
    <row r="11982" hidden="1" x14ac:dyDescent="0.3"/>
    <row r="11983" hidden="1" x14ac:dyDescent="0.3"/>
    <row r="11984" hidden="1" x14ac:dyDescent="0.3"/>
    <row r="11985" hidden="1" x14ac:dyDescent="0.3"/>
    <row r="11986" hidden="1" x14ac:dyDescent="0.3"/>
    <row r="11987" hidden="1" x14ac:dyDescent="0.3"/>
    <row r="11988" hidden="1" x14ac:dyDescent="0.3"/>
    <row r="11989" hidden="1" x14ac:dyDescent="0.3"/>
    <row r="11990" hidden="1" x14ac:dyDescent="0.3"/>
    <row r="11991" hidden="1" x14ac:dyDescent="0.3"/>
    <row r="11992" hidden="1" x14ac:dyDescent="0.3"/>
    <row r="11993" hidden="1" x14ac:dyDescent="0.3"/>
    <row r="11994" hidden="1" x14ac:dyDescent="0.3"/>
    <row r="11995" hidden="1" x14ac:dyDescent="0.3"/>
    <row r="11996" hidden="1" x14ac:dyDescent="0.3"/>
    <row r="11997" hidden="1" x14ac:dyDescent="0.3"/>
    <row r="11998" hidden="1" x14ac:dyDescent="0.3"/>
    <row r="11999" hidden="1" x14ac:dyDescent="0.3"/>
    <row r="12000" hidden="1" x14ac:dyDescent="0.3"/>
    <row r="12001" hidden="1" x14ac:dyDescent="0.3"/>
    <row r="12002" hidden="1" x14ac:dyDescent="0.3"/>
    <row r="12003" hidden="1" x14ac:dyDescent="0.3"/>
    <row r="12004" hidden="1" x14ac:dyDescent="0.3"/>
    <row r="12005" hidden="1" x14ac:dyDescent="0.3"/>
    <row r="12006" hidden="1" x14ac:dyDescent="0.3"/>
    <row r="12007" hidden="1" x14ac:dyDescent="0.3"/>
    <row r="12008" hidden="1" x14ac:dyDescent="0.3"/>
    <row r="12009" hidden="1" x14ac:dyDescent="0.3"/>
    <row r="12010" hidden="1" x14ac:dyDescent="0.3"/>
    <row r="12011" hidden="1" x14ac:dyDescent="0.3"/>
    <row r="12012" hidden="1" x14ac:dyDescent="0.3"/>
    <row r="12013" hidden="1" x14ac:dyDescent="0.3"/>
    <row r="12014" hidden="1" x14ac:dyDescent="0.3"/>
    <row r="12015" hidden="1" x14ac:dyDescent="0.3"/>
    <row r="12016" hidden="1" x14ac:dyDescent="0.3"/>
    <row r="12017" hidden="1" x14ac:dyDescent="0.3"/>
    <row r="12018" hidden="1" x14ac:dyDescent="0.3"/>
    <row r="12019" hidden="1" x14ac:dyDescent="0.3"/>
    <row r="12020" hidden="1" x14ac:dyDescent="0.3"/>
    <row r="12021" hidden="1" x14ac:dyDescent="0.3"/>
    <row r="12022" hidden="1" x14ac:dyDescent="0.3"/>
    <row r="12023" hidden="1" x14ac:dyDescent="0.3"/>
    <row r="12024" hidden="1" x14ac:dyDescent="0.3"/>
    <row r="12025" hidden="1" x14ac:dyDescent="0.3"/>
    <row r="12026" hidden="1" x14ac:dyDescent="0.3"/>
    <row r="12027" hidden="1" x14ac:dyDescent="0.3"/>
    <row r="12028" hidden="1" x14ac:dyDescent="0.3"/>
    <row r="12029" hidden="1" x14ac:dyDescent="0.3"/>
    <row r="12030" hidden="1" x14ac:dyDescent="0.3"/>
    <row r="12031" hidden="1" x14ac:dyDescent="0.3"/>
    <row r="12032" hidden="1" x14ac:dyDescent="0.3"/>
    <row r="12033" hidden="1" x14ac:dyDescent="0.3"/>
    <row r="12034" hidden="1" x14ac:dyDescent="0.3"/>
    <row r="12035" hidden="1" x14ac:dyDescent="0.3"/>
    <row r="12036" hidden="1" x14ac:dyDescent="0.3"/>
    <row r="12037" hidden="1" x14ac:dyDescent="0.3"/>
    <row r="12038" hidden="1" x14ac:dyDescent="0.3"/>
    <row r="12039" hidden="1" x14ac:dyDescent="0.3"/>
    <row r="12040" hidden="1" x14ac:dyDescent="0.3"/>
    <row r="12041" hidden="1" x14ac:dyDescent="0.3"/>
    <row r="12042" hidden="1" x14ac:dyDescent="0.3"/>
    <row r="12043" hidden="1" x14ac:dyDescent="0.3"/>
    <row r="12044" hidden="1" x14ac:dyDescent="0.3"/>
    <row r="12045" hidden="1" x14ac:dyDescent="0.3"/>
    <row r="12046" hidden="1" x14ac:dyDescent="0.3"/>
    <row r="12047" hidden="1" x14ac:dyDescent="0.3"/>
    <row r="12048" hidden="1" x14ac:dyDescent="0.3"/>
    <row r="12049" hidden="1" x14ac:dyDescent="0.3"/>
    <row r="12050" hidden="1" x14ac:dyDescent="0.3"/>
    <row r="12051" hidden="1" x14ac:dyDescent="0.3"/>
    <row r="12052" hidden="1" x14ac:dyDescent="0.3"/>
    <row r="12053" hidden="1" x14ac:dyDescent="0.3"/>
    <row r="12054" hidden="1" x14ac:dyDescent="0.3"/>
    <row r="12055" hidden="1" x14ac:dyDescent="0.3"/>
    <row r="12056" hidden="1" x14ac:dyDescent="0.3"/>
    <row r="12057" hidden="1" x14ac:dyDescent="0.3"/>
    <row r="12058" hidden="1" x14ac:dyDescent="0.3"/>
    <row r="12059" hidden="1" x14ac:dyDescent="0.3"/>
    <row r="12060" hidden="1" x14ac:dyDescent="0.3"/>
    <row r="12061" hidden="1" x14ac:dyDescent="0.3"/>
    <row r="12062" hidden="1" x14ac:dyDescent="0.3"/>
    <row r="12063" hidden="1" x14ac:dyDescent="0.3"/>
    <row r="12064" hidden="1" x14ac:dyDescent="0.3"/>
    <row r="12065" hidden="1" x14ac:dyDescent="0.3"/>
    <row r="12066" hidden="1" x14ac:dyDescent="0.3"/>
    <row r="12067" hidden="1" x14ac:dyDescent="0.3"/>
    <row r="12068" hidden="1" x14ac:dyDescent="0.3"/>
    <row r="12069" hidden="1" x14ac:dyDescent="0.3"/>
    <row r="12070" hidden="1" x14ac:dyDescent="0.3"/>
    <row r="12071" hidden="1" x14ac:dyDescent="0.3"/>
    <row r="12072" hidden="1" x14ac:dyDescent="0.3"/>
    <row r="12073" hidden="1" x14ac:dyDescent="0.3"/>
    <row r="12074" hidden="1" x14ac:dyDescent="0.3"/>
    <row r="12075" hidden="1" x14ac:dyDescent="0.3"/>
    <row r="12076" hidden="1" x14ac:dyDescent="0.3"/>
    <row r="12077" hidden="1" x14ac:dyDescent="0.3"/>
    <row r="12078" hidden="1" x14ac:dyDescent="0.3"/>
    <row r="12079" hidden="1" x14ac:dyDescent="0.3"/>
    <row r="12080" hidden="1" x14ac:dyDescent="0.3"/>
    <row r="12081" hidden="1" x14ac:dyDescent="0.3"/>
    <row r="12082" hidden="1" x14ac:dyDescent="0.3"/>
    <row r="12083" hidden="1" x14ac:dyDescent="0.3"/>
    <row r="12084" hidden="1" x14ac:dyDescent="0.3"/>
    <row r="12085" hidden="1" x14ac:dyDescent="0.3"/>
    <row r="12086" hidden="1" x14ac:dyDescent="0.3"/>
    <row r="12087" hidden="1" x14ac:dyDescent="0.3"/>
    <row r="12088" hidden="1" x14ac:dyDescent="0.3"/>
    <row r="12089" hidden="1" x14ac:dyDescent="0.3"/>
    <row r="12090" hidden="1" x14ac:dyDescent="0.3"/>
    <row r="12091" hidden="1" x14ac:dyDescent="0.3"/>
    <row r="12092" hidden="1" x14ac:dyDescent="0.3"/>
    <row r="12093" hidden="1" x14ac:dyDescent="0.3"/>
    <row r="12094" hidden="1" x14ac:dyDescent="0.3"/>
    <row r="12095" hidden="1" x14ac:dyDescent="0.3"/>
    <row r="12096" hidden="1" x14ac:dyDescent="0.3"/>
    <row r="12097" hidden="1" x14ac:dyDescent="0.3"/>
    <row r="12098" hidden="1" x14ac:dyDescent="0.3"/>
    <row r="12099" hidden="1" x14ac:dyDescent="0.3"/>
    <row r="12100" hidden="1" x14ac:dyDescent="0.3"/>
    <row r="12101" hidden="1" x14ac:dyDescent="0.3"/>
    <row r="12102" hidden="1" x14ac:dyDescent="0.3"/>
    <row r="12103" hidden="1" x14ac:dyDescent="0.3"/>
    <row r="12104" hidden="1" x14ac:dyDescent="0.3"/>
    <row r="12105" hidden="1" x14ac:dyDescent="0.3"/>
    <row r="12106" hidden="1" x14ac:dyDescent="0.3"/>
    <row r="12107" hidden="1" x14ac:dyDescent="0.3"/>
    <row r="12108" hidden="1" x14ac:dyDescent="0.3"/>
    <row r="12109" hidden="1" x14ac:dyDescent="0.3"/>
    <row r="12110" hidden="1" x14ac:dyDescent="0.3"/>
    <row r="12111" hidden="1" x14ac:dyDescent="0.3"/>
    <row r="12112" hidden="1" x14ac:dyDescent="0.3"/>
    <row r="12113" hidden="1" x14ac:dyDescent="0.3"/>
    <row r="12114" hidden="1" x14ac:dyDescent="0.3"/>
    <row r="12115" hidden="1" x14ac:dyDescent="0.3"/>
    <row r="12116" hidden="1" x14ac:dyDescent="0.3"/>
    <row r="12117" hidden="1" x14ac:dyDescent="0.3"/>
    <row r="12118" hidden="1" x14ac:dyDescent="0.3"/>
    <row r="12119" hidden="1" x14ac:dyDescent="0.3"/>
    <row r="12120" hidden="1" x14ac:dyDescent="0.3"/>
    <row r="12121" hidden="1" x14ac:dyDescent="0.3"/>
    <row r="12122" hidden="1" x14ac:dyDescent="0.3"/>
    <row r="12123" hidden="1" x14ac:dyDescent="0.3"/>
    <row r="12124" hidden="1" x14ac:dyDescent="0.3"/>
    <row r="12125" hidden="1" x14ac:dyDescent="0.3"/>
    <row r="12126" hidden="1" x14ac:dyDescent="0.3"/>
    <row r="12127" hidden="1" x14ac:dyDescent="0.3"/>
    <row r="12128" hidden="1" x14ac:dyDescent="0.3"/>
    <row r="12129" hidden="1" x14ac:dyDescent="0.3"/>
    <row r="12130" hidden="1" x14ac:dyDescent="0.3"/>
    <row r="12131" hidden="1" x14ac:dyDescent="0.3"/>
    <row r="12132" hidden="1" x14ac:dyDescent="0.3"/>
    <row r="12133" hidden="1" x14ac:dyDescent="0.3"/>
    <row r="12134" hidden="1" x14ac:dyDescent="0.3"/>
    <row r="12135" hidden="1" x14ac:dyDescent="0.3"/>
    <row r="12136" hidden="1" x14ac:dyDescent="0.3"/>
    <row r="12137" hidden="1" x14ac:dyDescent="0.3"/>
    <row r="12138" hidden="1" x14ac:dyDescent="0.3"/>
    <row r="12139" hidden="1" x14ac:dyDescent="0.3"/>
    <row r="12140" hidden="1" x14ac:dyDescent="0.3"/>
    <row r="12141" hidden="1" x14ac:dyDescent="0.3"/>
    <row r="12142" hidden="1" x14ac:dyDescent="0.3"/>
    <row r="12143" hidden="1" x14ac:dyDescent="0.3"/>
    <row r="12144" hidden="1" x14ac:dyDescent="0.3"/>
    <row r="12145" hidden="1" x14ac:dyDescent="0.3"/>
    <row r="12146" hidden="1" x14ac:dyDescent="0.3"/>
    <row r="12147" hidden="1" x14ac:dyDescent="0.3"/>
    <row r="12148" hidden="1" x14ac:dyDescent="0.3"/>
    <row r="12149" hidden="1" x14ac:dyDescent="0.3"/>
    <row r="12150" hidden="1" x14ac:dyDescent="0.3"/>
    <row r="12151" hidden="1" x14ac:dyDescent="0.3"/>
    <row r="12152" hidden="1" x14ac:dyDescent="0.3"/>
    <row r="12153" hidden="1" x14ac:dyDescent="0.3"/>
    <row r="12154" hidden="1" x14ac:dyDescent="0.3"/>
    <row r="12155" hidden="1" x14ac:dyDescent="0.3"/>
    <row r="12156" hidden="1" x14ac:dyDescent="0.3"/>
    <row r="12157" hidden="1" x14ac:dyDescent="0.3"/>
    <row r="12158" hidden="1" x14ac:dyDescent="0.3"/>
    <row r="12159" hidden="1" x14ac:dyDescent="0.3"/>
    <row r="12160" hidden="1" x14ac:dyDescent="0.3"/>
    <row r="12161" hidden="1" x14ac:dyDescent="0.3"/>
    <row r="12162" hidden="1" x14ac:dyDescent="0.3"/>
    <row r="12163" hidden="1" x14ac:dyDescent="0.3"/>
    <row r="12164" hidden="1" x14ac:dyDescent="0.3"/>
    <row r="12165" hidden="1" x14ac:dyDescent="0.3"/>
    <row r="12166" hidden="1" x14ac:dyDescent="0.3"/>
    <row r="12167" hidden="1" x14ac:dyDescent="0.3"/>
    <row r="12168" hidden="1" x14ac:dyDescent="0.3"/>
    <row r="12169" hidden="1" x14ac:dyDescent="0.3"/>
    <row r="12170" hidden="1" x14ac:dyDescent="0.3"/>
    <row r="12171" hidden="1" x14ac:dyDescent="0.3"/>
    <row r="12172" hidden="1" x14ac:dyDescent="0.3"/>
    <row r="12173" hidden="1" x14ac:dyDescent="0.3"/>
    <row r="12174" hidden="1" x14ac:dyDescent="0.3"/>
    <row r="12175" hidden="1" x14ac:dyDescent="0.3"/>
    <row r="12176" hidden="1" x14ac:dyDescent="0.3"/>
    <row r="12177" hidden="1" x14ac:dyDescent="0.3"/>
    <row r="12178" hidden="1" x14ac:dyDescent="0.3"/>
    <row r="12179" hidden="1" x14ac:dyDescent="0.3"/>
    <row r="12180" hidden="1" x14ac:dyDescent="0.3"/>
    <row r="12181" hidden="1" x14ac:dyDescent="0.3"/>
    <row r="12182" hidden="1" x14ac:dyDescent="0.3"/>
    <row r="12183" hidden="1" x14ac:dyDescent="0.3"/>
    <row r="12184" hidden="1" x14ac:dyDescent="0.3"/>
    <row r="12185" hidden="1" x14ac:dyDescent="0.3"/>
    <row r="12186" hidden="1" x14ac:dyDescent="0.3"/>
    <row r="12187" hidden="1" x14ac:dyDescent="0.3"/>
    <row r="12188" hidden="1" x14ac:dyDescent="0.3"/>
    <row r="12189" hidden="1" x14ac:dyDescent="0.3"/>
    <row r="12190" hidden="1" x14ac:dyDescent="0.3"/>
    <row r="12191" hidden="1" x14ac:dyDescent="0.3"/>
    <row r="12192" hidden="1" x14ac:dyDescent="0.3"/>
    <row r="12193" hidden="1" x14ac:dyDescent="0.3"/>
    <row r="12194" hidden="1" x14ac:dyDescent="0.3"/>
    <row r="12195" hidden="1" x14ac:dyDescent="0.3"/>
    <row r="12196" hidden="1" x14ac:dyDescent="0.3"/>
    <row r="12197" hidden="1" x14ac:dyDescent="0.3"/>
    <row r="12198" hidden="1" x14ac:dyDescent="0.3"/>
    <row r="12199" hidden="1" x14ac:dyDescent="0.3"/>
    <row r="12200" hidden="1" x14ac:dyDescent="0.3"/>
    <row r="12201" hidden="1" x14ac:dyDescent="0.3"/>
    <row r="12202" hidden="1" x14ac:dyDescent="0.3"/>
    <row r="12203" hidden="1" x14ac:dyDescent="0.3"/>
    <row r="12204" hidden="1" x14ac:dyDescent="0.3"/>
    <row r="12205" hidden="1" x14ac:dyDescent="0.3"/>
    <row r="12206" hidden="1" x14ac:dyDescent="0.3"/>
    <row r="12207" hidden="1" x14ac:dyDescent="0.3"/>
    <row r="12208" hidden="1" x14ac:dyDescent="0.3"/>
    <row r="12209" hidden="1" x14ac:dyDescent="0.3"/>
    <row r="12210" hidden="1" x14ac:dyDescent="0.3"/>
    <row r="12211" hidden="1" x14ac:dyDescent="0.3"/>
    <row r="12212" hidden="1" x14ac:dyDescent="0.3"/>
    <row r="12213" hidden="1" x14ac:dyDescent="0.3"/>
    <row r="12214" hidden="1" x14ac:dyDescent="0.3"/>
    <row r="12215" hidden="1" x14ac:dyDescent="0.3"/>
    <row r="12216" hidden="1" x14ac:dyDescent="0.3"/>
    <row r="12217" hidden="1" x14ac:dyDescent="0.3"/>
    <row r="12218" hidden="1" x14ac:dyDescent="0.3"/>
    <row r="12219" hidden="1" x14ac:dyDescent="0.3"/>
    <row r="12220" hidden="1" x14ac:dyDescent="0.3"/>
    <row r="12221" hidden="1" x14ac:dyDescent="0.3"/>
    <row r="12222" hidden="1" x14ac:dyDescent="0.3"/>
    <row r="12223" hidden="1" x14ac:dyDescent="0.3"/>
    <row r="12224" hidden="1" x14ac:dyDescent="0.3"/>
    <row r="12225" hidden="1" x14ac:dyDescent="0.3"/>
    <row r="12226" hidden="1" x14ac:dyDescent="0.3"/>
    <row r="12227" hidden="1" x14ac:dyDescent="0.3"/>
    <row r="12228" hidden="1" x14ac:dyDescent="0.3"/>
    <row r="12229" hidden="1" x14ac:dyDescent="0.3"/>
    <row r="12230" hidden="1" x14ac:dyDescent="0.3"/>
    <row r="12231" hidden="1" x14ac:dyDescent="0.3"/>
    <row r="12232" hidden="1" x14ac:dyDescent="0.3"/>
    <row r="12233" hidden="1" x14ac:dyDescent="0.3"/>
    <row r="12234" hidden="1" x14ac:dyDescent="0.3"/>
    <row r="12235" hidden="1" x14ac:dyDescent="0.3"/>
    <row r="12236" hidden="1" x14ac:dyDescent="0.3"/>
    <row r="12237" hidden="1" x14ac:dyDescent="0.3"/>
    <row r="12238" hidden="1" x14ac:dyDescent="0.3"/>
    <row r="12239" hidden="1" x14ac:dyDescent="0.3"/>
    <row r="12240" hidden="1" x14ac:dyDescent="0.3"/>
    <row r="12241" hidden="1" x14ac:dyDescent="0.3"/>
    <row r="12242" hidden="1" x14ac:dyDescent="0.3"/>
    <row r="12243" hidden="1" x14ac:dyDescent="0.3"/>
    <row r="12244" hidden="1" x14ac:dyDescent="0.3"/>
    <row r="12245" hidden="1" x14ac:dyDescent="0.3"/>
    <row r="12246" hidden="1" x14ac:dyDescent="0.3"/>
    <row r="12247" hidden="1" x14ac:dyDescent="0.3"/>
    <row r="12248" hidden="1" x14ac:dyDescent="0.3"/>
    <row r="12249" hidden="1" x14ac:dyDescent="0.3"/>
    <row r="12250" hidden="1" x14ac:dyDescent="0.3"/>
    <row r="12251" hidden="1" x14ac:dyDescent="0.3"/>
    <row r="12252" hidden="1" x14ac:dyDescent="0.3"/>
    <row r="12253" hidden="1" x14ac:dyDescent="0.3"/>
    <row r="12254" hidden="1" x14ac:dyDescent="0.3"/>
    <row r="12255" hidden="1" x14ac:dyDescent="0.3"/>
    <row r="12256" hidden="1" x14ac:dyDescent="0.3"/>
    <row r="12257" hidden="1" x14ac:dyDescent="0.3"/>
    <row r="12258" hidden="1" x14ac:dyDescent="0.3"/>
    <row r="12259" hidden="1" x14ac:dyDescent="0.3"/>
    <row r="12260" hidden="1" x14ac:dyDescent="0.3"/>
    <row r="12261" hidden="1" x14ac:dyDescent="0.3"/>
    <row r="12262" hidden="1" x14ac:dyDescent="0.3"/>
    <row r="12263" hidden="1" x14ac:dyDescent="0.3"/>
    <row r="12264" hidden="1" x14ac:dyDescent="0.3"/>
    <row r="12265" hidden="1" x14ac:dyDescent="0.3"/>
    <row r="12266" hidden="1" x14ac:dyDescent="0.3"/>
    <row r="12267" hidden="1" x14ac:dyDescent="0.3"/>
    <row r="12268" hidden="1" x14ac:dyDescent="0.3"/>
    <row r="12269" hidden="1" x14ac:dyDescent="0.3"/>
    <row r="12270" hidden="1" x14ac:dyDescent="0.3"/>
    <row r="12271" hidden="1" x14ac:dyDescent="0.3"/>
    <row r="12272" hidden="1" x14ac:dyDescent="0.3"/>
    <row r="12273" hidden="1" x14ac:dyDescent="0.3"/>
    <row r="12274" hidden="1" x14ac:dyDescent="0.3"/>
    <row r="12275" hidden="1" x14ac:dyDescent="0.3"/>
    <row r="12276" hidden="1" x14ac:dyDescent="0.3"/>
    <row r="12277" hidden="1" x14ac:dyDescent="0.3"/>
    <row r="12278" hidden="1" x14ac:dyDescent="0.3"/>
    <row r="12279" hidden="1" x14ac:dyDescent="0.3"/>
    <row r="12280" hidden="1" x14ac:dyDescent="0.3"/>
    <row r="12281" hidden="1" x14ac:dyDescent="0.3"/>
    <row r="12282" hidden="1" x14ac:dyDescent="0.3"/>
    <row r="12283" hidden="1" x14ac:dyDescent="0.3"/>
    <row r="12284" hidden="1" x14ac:dyDescent="0.3"/>
    <row r="12285" hidden="1" x14ac:dyDescent="0.3"/>
    <row r="12286" hidden="1" x14ac:dyDescent="0.3"/>
    <row r="12287" hidden="1" x14ac:dyDescent="0.3"/>
    <row r="12288" hidden="1" x14ac:dyDescent="0.3"/>
    <row r="12289" hidden="1" x14ac:dyDescent="0.3"/>
    <row r="12290" hidden="1" x14ac:dyDescent="0.3"/>
    <row r="12291" hidden="1" x14ac:dyDescent="0.3"/>
    <row r="12292" hidden="1" x14ac:dyDescent="0.3"/>
    <row r="12293" hidden="1" x14ac:dyDescent="0.3"/>
    <row r="12294" hidden="1" x14ac:dyDescent="0.3"/>
    <row r="12295" hidden="1" x14ac:dyDescent="0.3"/>
    <row r="12296" hidden="1" x14ac:dyDescent="0.3"/>
    <row r="12297" hidden="1" x14ac:dyDescent="0.3"/>
    <row r="12298" hidden="1" x14ac:dyDescent="0.3"/>
    <row r="12299" hidden="1" x14ac:dyDescent="0.3"/>
    <row r="12300" hidden="1" x14ac:dyDescent="0.3"/>
    <row r="12301" hidden="1" x14ac:dyDescent="0.3"/>
    <row r="12302" hidden="1" x14ac:dyDescent="0.3"/>
    <row r="12303" hidden="1" x14ac:dyDescent="0.3"/>
    <row r="12304" hidden="1" x14ac:dyDescent="0.3"/>
    <row r="12305" hidden="1" x14ac:dyDescent="0.3"/>
    <row r="12306" hidden="1" x14ac:dyDescent="0.3"/>
    <row r="12307" hidden="1" x14ac:dyDescent="0.3"/>
    <row r="12308" hidden="1" x14ac:dyDescent="0.3"/>
    <row r="12309" hidden="1" x14ac:dyDescent="0.3"/>
    <row r="12310" hidden="1" x14ac:dyDescent="0.3"/>
    <row r="12311" hidden="1" x14ac:dyDescent="0.3"/>
    <row r="12312" hidden="1" x14ac:dyDescent="0.3"/>
    <row r="12313" hidden="1" x14ac:dyDescent="0.3"/>
    <row r="12314" hidden="1" x14ac:dyDescent="0.3"/>
    <row r="12315" hidden="1" x14ac:dyDescent="0.3"/>
    <row r="12316" hidden="1" x14ac:dyDescent="0.3"/>
    <row r="12317" hidden="1" x14ac:dyDescent="0.3"/>
    <row r="12318" hidden="1" x14ac:dyDescent="0.3"/>
    <row r="12319" hidden="1" x14ac:dyDescent="0.3"/>
    <row r="12320" hidden="1" x14ac:dyDescent="0.3"/>
    <row r="12321" hidden="1" x14ac:dyDescent="0.3"/>
    <row r="12322" hidden="1" x14ac:dyDescent="0.3"/>
    <row r="12323" hidden="1" x14ac:dyDescent="0.3"/>
    <row r="12324" hidden="1" x14ac:dyDescent="0.3"/>
    <row r="12325" hidden="1" x14ac:dyDescent="0.3"/>
    <row r="12326" hidden="1" x14ac:dyDescent="0.3"/>
    <row r="12327" hidden="1" x14ac:dyDescent="0.3"/>
    <row r="12328" hidden="1" x14ac:dyDescent="0.3"/>
    <row r="12329" hidden="1" x14ac:dyDescent="0.3"/>
    <row r="12330" hidden="1" x14ac:dyDescent="0.3"/>
    <row r="12331" hidden="1" x14ac:dyDescent="0.3"/>
    <row r="12332" hidden="1" x14ac:dyDescent="0.3"/>
    <row r="12333" hidden="1" x14ac:dyDescent="0.3"/>
    <row r="12334" hidden="1" x14ac:dyDescent="0.3"/>
    <row r="12335" hidden="1" x14ac:dyDescent="0.3"/>
    <row r="12336" hidden="1" x14ac:dyDescent="0.3"/>
    <row r="12337" hidden="1" x14ac:dyDescent="0.3"/>
    <row r="12338" hidden="1" x14ac:dyDescent="0.3"/>
    <row r="12339" hidden="1" x14ac:dyDescent="0.3"/>
    <row r="12340" hidden="1" x14ac:dyDescent="0.3"/>
    <row r="12341" hidden="1" x14ac:dyDescent="0.3"/>
    <row r="12342" hidden="1" x14ac:dyDescent="0.3"/>
    <row r="12343" hidden="1" x14ac:dyDescent="0.3"/>
    <row r="12344" hidden="1" x14ac:dyDescent="0.3"/>
    <row r="12345" hidden="1" x14ac:dyDescent="0.3"/>
    <row r="12346" hidden="1" x14ac:dyDescent="0.3"/>
    <row r="12347" hidden="1" x14ac:dyDescent="0.3"/>
    <row r="12348" hidden="1" x14ac:dyDescent="0.3"/>
    <row r="12349" hidden="1" x14ac:dyDescent="0.3"/>
    <row r="12350" hidden="1" x14ac:dyDescent="0.3"/>
    <row r="12351" hidden="1" x14ac:dyDescent="0.3"/>
    <row r="12352" hidden="1" x14ac:dyDescent="0.3"/>
    <row r="12353" hidden="1" x14ac:dyDescent="0.3"/>
    <row r="12354" hidden="1" x14ac:dyDescent="0.3"/>
    <row r="12355" hidden="1" x14ac:dyDescent="0.3"/>
    <row r="12356" hidden="1" x14ac:dyDescent="0.3"/>
    <row r="12357" hidden="1" x14ac:dyDescent="0.3"/>
    <row r="12358" hidden="1" x14ac:dyDescent="0.3"/>
    <row r="12359" hidden="1" x14ac:dyDescent="0.3"/>
    <row r="12360" hidden="1" x14ac:dyDescent="0.3"/>
    <row r="12361" hidden="1" x14ac:dyDescent="0.3"/>
    <row r="12362" hidden="1" x14ac:dyDescent="0.3"/>
    <row r="12363" hidden="1" x14ac:dyDescent="0.3"/>
    <row r="12364" hidden="1" x14ac:dyDescent="0.3"/>
    <row r="12365" hidden="1" x14ac:dyDescent="0.3"/>
    <row r="12366" hidden="1" x14ac:dyDescent="0.3"/>
    <row r="12367" hidden="1" x14ac:dyDescent="0.3"/>
    <row r="12368" hidden="1" x14ac:dyDescent="0.3"/>
    <row r="12369" hidden="1" x14ac:dyDescent="0.3"/>
    <row r="12370" hidden="1" x14ac:dyDescent="0.3"/>
    <row r="12371" hidden="1" x14ac:dyDescent="0.3"/>
    <row r="12372" hidden="1" x14ac:dyDescent="0.3"/>
    <row r="12373" hidden="1" x14ac:dyDescent="0.3"/>
    <row r="12374" hidden="1" x14ac:dyDescent="0.3"/>
    <row r="12375" hidden="1" x14ac:dyDescent="0.3"/>
    <row r="12376" hidden="1" x14ac:dyDescent="0.3"/>
    <row r="12377" hidden="1" x14ac:dyDescent="0.3"/>
    <row r="12378" hidden="1" x14ac:dyDescent="0.3"/>
    <row r="12379" hidden="1" x14ac:dyDescent="0.3"/>
    <row r="12380" hidden="1" x14ac:dyDescent="0.3"/>
    <row r="12381" hidden="1" x14ac:dyDescent="0.3"/>
    <row r="12382" hidden="1" x14ac:dyDescent="0.3"/>
    <row r="12383" hidden="1" x14ac:dyDescent="0.3"/>
    <row r="12384" hidden="1" x14ac:dyDescent="0.3"/>
    <row r="12385" hidden="1" x14ac:dyDescent="0.3"/>
    <row r="12386" hidden="1" x14ac:dyDescent="0.3"/>
    <row r="12387" hidden="1" x14ac:dyDescent="0.3"/>
    <row r="12388" hidden="1" x14ac:dyDescent="0.3"/>
    <row r="12389" hidden="1" x14ac:dyDescent="0.3"/>
    <row r="12390" hidden="1" x14ac:dyDescent="0.3"/>
    <row r="12391" hidden="1" x14ac:dyDescent="0.3"/>
    <row r="12392" hidden="1" x14ac:dyDescent="0.3"/>
    <row r="12393" hidden="1" x14ac:dyDescent="0.3"/>
    <row r="12394" hidden="1" x14ac:dyDescent="0.3"/>
    <row r="12395" hidden="1" x14ac:dyDescent="0.3"/>
    <row r="12396" hidden="1" x14ac:dyDescent="0.3"/>
    <row r="12397" hidden="1" x14ac:dyDescent="0.3"/>
    <row r="12398" hidden="1" x14ac:dyDescent="0.3"/>
    <row r="12399" hidden="1" x14ac:dyDescent="0.3"/>
    <row r="12400" hidden="1" x14ac:dyDescent="0.3"/>
    <row r="12401" hidden="1" x14ac:dyDescent="0.3"/>
    <row r="12402" hidden="1" x14ac:dyDescent="0.3"/>
    <row r="12403" hidden="1" x14ac:dyDescent="0.3"/>
    <row r="12404" hidden="1" x14ac:dyDescent="0.3"/>
    <row r="12405" hidden="1" x14ac:dyDescent="0.3"/>
    <row r="12406" hidden="1" x14ac:dyDescent="0.3"/>
    <row r="12407" hidden="1" x14ac:dyDescent="0.3"/>
    <row r="12408" hidden="1" x14ac:dyDescent="0.3"/>
    <row r="12409" hidden="1" x14ac:dyDescent="0.3"/>
    <row r="12410" hidden="1" x14ac:dyDescent="0.3"/>
    <row r="12411" hidden="1" x14ac:dyDescent="0.3"/>
    <row r="12412" hidden="1" x14ac:dyDescent="0.3"/>
    <row r="12413" hidden="1" x14ac:dyDescent="0.3"/>
    <row r="12414" hidden="1" x14ac:dyDescent="0.3"/>
    <row r="12415" hidden="1" x14ac:dyDescent="0.3"/>
    <row r="12416" hidden="1" x14ac:dyDescent="0.3"/>
    <row r="12417" hidden="1" x14ac:dyDescent="0.3"/>
    <row r="12418" hidden="1" x14ac:dyDescent="0.3"/>
    <row r="12419" hidden="1" x14ac:dyDescent="0.3"/>
    <row r="12420" hidden="1" x14ac:dyDescent="0.3"/>
    <row r="12421" hidden="1" x14ac:dyDescent="0.3"/>
    <row r="12422" hidden="1" x14ac:dyDescent="0.3"/>
    <row r="12423" hidden="1" x14ac:dyDescent="0.3"/>
    <row r="12424" hidden="1" x14ac:dyDescent="0.3"/>
    <row r="12425" hidden="1" x14ac:dyDescent="0.3"/>
    <row r="12426" hidden="1" x14ac:dyDescent="0.3"/>
    <row r="12427" hidden="1" x14ac:dyDescent="0.3"/>
    <row r="12428" hidden="1" x14ac:dyDescent="0.3"/>
    <row r="12429" hidden="1" x14ac:dyDescent="0.3"/>
    <row r="12430" hidden="1" x14ac:dyDescent="0.3"/>
    <row r="12431" hidden="1" x14ac:dyDescent="0.3"/>
    <row r="12432" hidden="1" x14ac:dyDescent="0.3"/>
    <row r="12433" hidden="1" x14ac:dyDescent="0.3"/>
    <row r="12434" hidden="1" x14ac:dyDescent="0.3"/>
    <row r="12435" hidden="1" x14ac:dyDescent="0.3"/>
    <row r="12436" hidden="1" x14ac:dyDescent="0.3"/>
    <row r="12437" hidden="1" x14ac:dyDescent="0.3"/>
    <row r="12438" hidden="1" x14ac:dyDescent="0.3"/>
    <row r="12439" hidden="1" x14ac:dyDescent="0.3"/>
    <row r="12440" hidden="1" x14ac:dyDescent="0.3"/>
    <row r="12441" hidden="1" x14ac:dyDescent="0.3"/>
    <row r="12442" hidden="1" x14ac:dyDescent="0.3"/>
    <row r="12443" hidden="1" x14ac:dyDescent="0.3"/>
    <row r="12444" hidden="1" x14ac:dyDescent="0.3"/>
    <row r="12445" hidden="1" x14ac:dyDescent="0.3"/>
    <row r="12446" hidden="1" x14ac:dyDescent="0.3"/>
    <row r="12447" hidden="1" x14ac:dyDescent="0.3"/>
    <row r="12448" hidden="1" x14ac:dyDescent="0.3"/>
    <row r="12449" hidden="1" x14ac:dyDescent="0.3"/>
    <row r="12450" hidden="1" x14ac:dyDescent="0.3"/>
    <row r="12451" hidden="1" x14ac:dyDescent="0.3"/>
    <row r="12452" hidden="1" x14ac:dyDescent="0.3"/>
    <row r="12453" hidden="1" x14ac:dyDescent="0.3"/>
    <row r="12454" hidden="1" x14ac:dyDescent="0.3"/>
    <row r="12455" hidden="1" x14ac:dyDescent="0.3"/>
    <row r="12456" hidden="1" x14ac:dyDescent="0.3"/>
    <row r="12457" hidden="1" x14ac:dyDescent="0.3"/>
    <row r="12458" hidden="1" x14ac:dyDescent="0.3"/>
    <row r="12459" hidden="1" x14ac:dyDescent="0.3"/>
    <row r="12460" hidden="1" x14ac:dyDescent="0.3"/>
    <row r="12461" hidden="1" x14ac:dyDescent="0.3"/>
    <row r="12462" hidden="1" x14ac:dyDescent="0.3"/>
    <row r="12463" hidden="1" x14ac:dyDescent="0.3"/>
    <row r="12464" hidden="1" x14ac:dyDescent="0.3"/>
    <row r="12465" hidden="1" x14ac:dyDescent="0.3"/>
    <row r="12466" hidden="1" x14ac:dyDescent="0.3"/>
    <row r="12467" hidden="1" x14ac:dyDescent="0.3"/>
    <row r="12468" hidden="1" x14ac:dyDescent="0.3"/>
    <row r="12469" hidden="1" x14ac:dyDescent="0.3"/>
    <row r="12470" hidden="1" x14ac:dyDescent="0.3"/>
    <row r="12471" hidden="1" x14ac:dyDescent="0.3"/>
    <row r="12472" hidden="1" x14ac:dyDescent="0.3"/>
    <row r="12473" hidden="1" x14ac:dyDescent="0.3"/>
    <row r="12474" hidden="1" x14ac:dyDescent="0.3"/>
    <row r="12475" hidden="1" x14ac:dyDescent="0.3"/>
    <row r="12476" hidden="1" x14ac:dyDescent="0.3"/>
    <row r="12477" hidden="1" x14ac:dyDescent="0.3"/>
    <row r="12478" hidden="1" x14ac:dyDescent="0.3"/>
    <row r="12479" hidden="1" x14ac:dyDescent="0.3"/>
    <row r="12480" hidden="1" x14ac:dyDescent="0.3"/>
    <row r="12481" hidden="1" x14ac:dyDescent="0.3"/>
    <row r="12482" hidden="1" x14ac:dyDescent="0.3"/>
    <row r="12483" hidden="1" x14ac:dyDescent="0.3"/>
    <row r="12484" hidden="1" x14ac:dyDescent="0.3"/>
    <row r="12485" hidden="1" x14ac:dyDescent="0.3"/>
    <row r="12486" hidden="1" x14ac:dyDescent="0.3"/>
    <row r="12487" hidden="1" x14ac:dyDescent="0.3"/>
    <row r="12488" hidden="1" x14ac:dyDescent="0.3"/>
    <row r="12489" hidden="1" x14ac:dyDescent="0.3"/>
    <row r="12490" hidden="1" x14ac:dyDescent="0.3"/>
    <row r="12491" hidden="1" x14ac:dyDescent="0.3"/>
    <row r="12492" hidden="1" x14ac:dyDescent="0.3"/>
    <row r="12493" hidden="1" x14ac:dyDescent="0.3"/>
    <row r="12494" hidden="1" x14ac:dyDescent="0.3"/>
    <row r="12495" hidden="1" x14ac:dyDescent="0.3"/>
    <row r="12496" hidden="1" x14ac:dyDescent="0.3"/>
    <row r="12497" hidden="1" x14ac:dyDescent="0.3"/>
    <row r="12498" hidden="1" x14ac:dyDescent="0.3"/>
    <row r="12499" hidden="1" x14ac:dyDescent="0.3"/>
    <row r="12500" hidden="1" x14ac:dyDescent="0.3"/>
    <row r="12501" hidden="1" x14ac:dyDescent="0.3"/>
    <row r="12502" hidden="1" x14ac:dyDescent="0.3"/>
    <row r="12503" hidden="1" x14ac:dyDescent="0.3"/>
    <row r="12504" hidden="1" x14ac:dyDescent="0.3"/>
    <row r="12505" hidden="1" x14ac:dyDescent="0.3"/>
    <row r="12506" hidden="1" x14ac:dyDescent="0.3"/>
    <row r="12507" hidden="1" x14ac:dyDescent="0.3"/>
    <row r="12508" hidden="1" x14ac:dyDescent="0.3"/>
    <row r="12509" hidden="1" x14ac:dyDescent="0.3"/>
    <row r="12510" hidden="1" x14ac:dyDescent="0.3"/>
    <row r="12511" hidden="1" x14ac:dyDescent="0.3"/>
    <row r="12512" hidden="1" x14ac:dyDescent="0.3"/>
    <row r="12513" hidden="1" x14ac:dyDescent="0.3"/>
    <row r="12514" hidden="1" x14ac:dyDescent="0.3"/>
    <row r="12515" hidden="1" x14ac:dyDescent="0.3"/>
    <row r="12516" hidden="1" x14ac:dyDescent="0.3"/>
    <row r="12517" hidden="1" x14ac:dyDescent="0.3"/>
    <row r="12518" hidden="1" x14ac:dyDescent="0.3"/>
    <row r="12519" hidden="1" x14ac:dyDescent="0.3"/>
    <row r="12520" hidden="1" x14ac:dyDescent="0.3"/>
    <row r="12521" hidden="1" x14ac:dyDescent="0.3"/>
    <row r="12522" hidden="1" x14ac:dyDescent="0.3"/>
    <row r="12523" hidden="1" x14ac:dyDescent="0.3"/>
    <row r="12524" hidden="1" x14ac:dyDescent="0.3"/>
    <row r="12525" hidden="1" x14ac:dyDescent="0.3"/>
    <row r="12526" hidden="1" x14ac:dyDescent="0.3"/>
    <row r="12527" hidden="1" x14ac:dyDescent="0.3"/>
    <row r="12528" hidden="1" x14ac:dyDescent="0.3"/>
    <row r="12529" hidden="1" x14ac:dyDescent="0.3"/>
    <row r="12530" hidden="1" x14ac:dyDescent="0.3"/>
    <row r="12531" hidden="1" x14ac:dyDescent="0.3"/>
    <row r="12532" hidden="1" x14ac:dyDescent="0.3"/>
    <row r="12533" hidden="1" x14ac:dyDescent="0.3"/>
    <row r="12534" hidden="1" x14ac:dyDescent="0.3"/>
    <row r="12535" hidden="1" x14ac:dyDescent="0.3"/>
    <row r="12536" hidden="1" x14ac:dyDescent="0.3"/>
    <row r="12537" hidden="1" x14ac:dyDescent="0.3"/>
    <row r="12538" hidden="1" x14ac:dyDescent="0.3"/>
    <row r="12539" hidden="1" x14ac:dyDescent="0.3"/>
    <row r="12540" hidden="1" x14ac:dyDescent="0.3"/>
    <row r="12541" hidden="1" x14ac:dyDescent="0.3"/>
    <row r="12542" hidden="1" x14ac:dyDescent="0.3"/>
    <row r="12543" hidden="1" x14ac:dyDescent="0.3"/>
    <row r="12544" hidden="1" x14ac:dyDescent="0.3"/>
    <row r="12545" hidden="1" x14ac:dyDescent="0.3"/>
    <row r="12546" hidden="1" x14ac:dyDescent="0.3"/>
    <row r="12547" hidden="1" x14ac:dyDescent="0.3"/>
    <row r="12548" hidden="1" x14ac:dyDescent="0.3"/>
    <row r="12549" hidden="1" x14ac:dyDescent="0.3"/>
    <row r="12550" hidden="1" x14ac:dyDescent="0.3"/>
    <row r="12551" hidden="1" x14ac:dyDescent="0.3"/>
    <row r="12552" hidden="1" x14ac:dyDescent="0.3"/>
    <row r="12553" hidden="1" x14ac:dyDescent="0.3"/>
    <row r="12554" hidden="1" x14ac:dyDescent="0.3"/>
    <row r="12555" hidden="1" x14ac:dyDescent="0.3"/>
    <row r="12556" hidden="1" x14ac:dyDescent="0.3"/>
    <row r="12557" hidden="1" x14ac:dyDescent="0.3"/>
    <row r="12558" hidden="1" x14ac:dyDescent="0.3"/>
    <row r="12559" hidden="1" x14ac:dyDescent="0.3"/>
    <row r="12560" hidden="1" x14ac:dyDescent="0.3"/>
    <row r="12561" hidden="1" x14ac:dyDescent="0.3"/>
    <row r="12562" hidden="1" x14ac:dyDescent="0.3"/>
    <row r="12563" hidden="1" x14ac:dyDescent="0.3"/>
    <row r="12564" hidden="1" x14ac:dyDescent="0.3"/>
    <row r="12565" hidden="1" x14ac:dyDescent="0.3"/>
    <row r="12566" hidden="1" x14ac:dyDescent="0.3"/>
    <row r="12567" hidden="1" x14ac:dyDescent="0.3"/>
    <row r="12568" hidden="1" x14ac:dyDescent="0.3"/>
    <row r="12569" hidden="1" x14ac:dyDescent="0.3"/>
    <row r="12570" hidden="1" x14ac:dyDescent="0.3"/>
    <row r="12571" hidden="1" x14ac:dyDescent="0.3"/>
    <row r="12572" hidden="1" x14ac:dyDescent="0.3"/>
    <row r="12573" hidden="1" x14ac:dyDescent="0.3"/>
    <row r="12574" hidden="1" x14ac:dyDescent="0.3"/>
    <row r="12575" hidden="1" x14ac:dyDescent="0.3"/>
    <row r="12576" hidden="1" x14ac:dyDescent="0.3"/>
    <row r="12577" hidden="1" x14ac:dyDescent="0.3"/>
    <row r="12578" hidden="1" x14ac:dyDescent="0.3"/>
    <row r="12579" hidden="1" x14ac:dyDescent="0.3"/>
    <row r="12580" hidden="1" x14ac:dyDescent="0.3"/>
    <row r="12581" hidden="1" x14ac:dyDescent="0.3"/>
    <row r="12582" hidden="1" x14ac:dyDescent="0.3"/>
    <row r="12583" hidden="1" x14ac:dyDescent="0.3"/>
    <row r="12584" hidden="1" x14ac:dyDescent="0.3"/>
    <row r="12585" hidden="1" x14ac:dyDescent="0.3"/>
    <row r="12586" hidden="1" x14ac:dyDescent="0.3"/>
    <row r="12587" hidden="1" x14ac:dyDescent="0.3"/>
    <row r="12588" hidden="1" x14ac:dyDescent="0.3"/>
    <row r="12589" hidden="1" x14ac:dyDescent="0.3"/>
    <row r="12590" hidden="1" x14ac:dyDescent="0.3"/>
    <row r="12591" hidden="1" x14ac:dyDescent="0.3"/>
    <row r="12592" hidden="1" x14ac:dyDescent="0.3"/>
    <row r="12593" hidden="1" x14ac:dyDescent="0.3"/>
    <row r="12594" hidden="1" x14ac:dyDescent="0.3"/>
    <row r="12595" hidden="1" x14ac:dyDescent="0.3"/>
    <row r="12596" hidden="1" x14ac:dyDescent="0.3"/>
    <row r="12597" hidden="1" x14ac:dyDescent="0.3"/>
    <row r="12598" hidden="1" x14ac:dyDescent="0.3"/>
    <row r="12599" hidden="1" x14ac:dyDescent="0.3"/>
    <row r="12600" hidden="1" x14ac:dyDescent="0.3"/>
    <row r="12601" hidden="1" x14ac:dyDescent="0.3"/>
    <row r="12602" hidden="1" x14ac:dyDescent="0.3"/>
    <row r="12603" hidden="1" x14ac:dyDescent="0.3"/>
    <row r="12604" hidden="1" x14ac:dyDescent="0.3"/>
    <row r="12605" hidden="1" x14ac:dyDescent="0.3"/>
    <row r="12606" hidden="1" x14ac:dyDescent="0.3"/>
    <row r="12607" hidden="1" x14ac:dyDescent="0.3"/>
    <row r="12608" hidden="1" x14ac:dyDescent="0.3"/>
    <row r="12609" hidden="1" x14ac:dyDescent="0.3"/>
    <row r="12610" hidden="1" x14ac:dyDescent="0.3"/>
    <row r="12611" hidden="1" x14ac:dyDescent="0.3"/>
    <row r="12612" hidden="1" x14ac:dyDescent="0.3"/>
    <row r="12613" hidden="1" x14ac:dyDescent="0.3"/>
    <row r="12614" hidden="1" x14ac:dyDescent="0.3"/>
    <row r="12615" hidden="1" x14ac:dyDescent="0.3"/>
    <row r="12616" hidden="1" x14ac:dyDescent="0.3"/>
    <row r="12617" hidden="1" x14ac:dyDescent="0.3"/>
    <row r="12618" hidden="1" x14ac:dyDescent="0.3"/>
    <row r="12619" hidden="1" x14ac:dyDescent="0.3"/>
    <row r="12620" hidden="1" x14ac:dyDescent="0.3"/>
    <row r="12621" hidden="1" x14ac:dyDescent="0.3"/>
    <row r="12622" hidden="1" x14ac:dyDescent="0.3"/>
    <row r="12623" hidden="1" x14ac:dyDescent="0.3"/>
    <row r="12624" hidden="1" x14ac:dyDescent="0.3"/>
    <row r="12625" hidden="1" x14ac:dyDescent="0.3"/>
    <row r="12626" hidden="1" x14ac:dyDescent="0.3"/>
    <row r="12627" hidden="1" x14ac:dyDescent="0.3"/>
    <row r="12628" hidden="1" x14ac:dyDescent="0.3"/>
    <row r="12629" hidden="1" x14ac:dyDescent="0.3"/>
    <row r="12630" hidden="1" x14ac:dyDescent="0.3"/>
    <row r="12631" hidden="1" x14ac:dyDescent="0.3"/>
    <row r="12632" hidden="1" x14ac:dyDescent="0.3"/>
    <row r="12633" hidden="1" x14ac:dyDescent="0.3"/>
    <row r="12634" hidden="1" x14ac:dyDescent="0.3"/>
    <row r="12635" hidden="1" x14ac:dyDescent="0.3"/>
    <row r="12636" hidden="1" x14ac:dyDescent="0.3"/>
    <row r="12637" hidden="1" x14ac:dyDescent="0.3"/>
    <row r="12638" hidden="1" x14ac:dyDescent="0.3"/>
    <row r="12639" hidden="1" x14ac:dyDescent="0.3"/>
    <row r="12640" hidden="1" x14ac:dyDescent="0.3"/>
    <row r="12641" hidden="1" x14ac:dyDescent="0.3"/>
    <row r="12642" hidden="1" x14ac:dyDescent="0.3"/>
    <row r="12643" hidden="1" x14ac:dyDescent="0.3"/>
    <row r="12644" hidden="1" x14ac:dyDescent="0.3"/>
    <row r="12645" hidden="1" x14ac:dyDescent="0.3"/>
    <row r="12646" hidden="1" x14ac:dyDescent="0.3"/>
    <row r="12647" hidden="1" x14ac:dyDescent="0.3"/>
    <row r="12648" hidden="1" x14ac:dyDescent="0.3"/>
    <row r="12649" hidden="1" x14ac:dyDescent="0.3"/>
    <row r="12650" hidden="1" x14ac:dyDescent="0.3"/>
    <row r="12651" hidden="1" x14ac:dyDescent="0.3"/>
    <row r="12652" hidden="1" x14ac:dyDescent="0.3"/>
    <row r="12653" hidden="1" x14ac:dyDescent="0.3"/>
    <row r="12654" hidden="1" x14ac:dyDescent="0.3"/>
    <row r="12655" hidden="1" x14ac:dyDescent="0.3"/>
    <row r="12656" hidden="1" x14ac:dyDescent="0.3"/>
    <row r="12657" hidden="1" x14ac:dyDescent="0.3"/>
    <row r="12658" hidden="1" x14ac:dyDescent="0.3"/>
    <row r="12659" hidden="1" x14ac:dyDescent="0.3"/>
    <row r="12660" hidden="1" x14ac:dyDescent="0.3"/>
    <row r="12661" hidden="1" x14ac:dyDescent="0.3"/>
    <row r="12662" hidden="1" x14ac:dyDescent="0.3"/>
    <row r="12663" hidden="1" x14ac:dyDescent="0.3"/>
    <row r="12664" hidden="1" x14ac:dyDescent="0.3"/>
    <row r="12665" hidden="1" x14ac:dyDescent="0.3"/>
    <row r="12666" hidden="1" x14ac:dyDescent="0.3"/>
    <row r="12667" hidden="1" x14ac:dyDescent="0.3"/>
    <row r="12668" hidden="1" x14ac:dyDescent="0.3"/>
    <row r="12669" hidden="1" x14ac:dyDescent="0.3"/>
    <row r="12670" hidden="1" x14ac:dyDescent="0.3"/>
    <row r="12671" hidden="1" x14ac:dyDescent="0.3"/>
    <row r="12672" hidden="1" x14ac:dyDescent="0.3"/>
    <row r="12673" hidden="1" x14ac:dyDescent="0.3"/>
    <row r="12674" hidden="1" x14ac:dyDescent="0.3"/>
    <row r="12675" hidden="1" x14ac:dyDescent="0.3"/>
    <row r="12676" hidden="1" x14ac:dyDescent="0.3"/>
    <row r="12677" hidden="1" x14ac:dyDescent="0.3"/>
    <row r="12678" hidden="1" x14ac:dyDescent="0.3"/>
    <row r="12679" hidden="1" x14ac:dyDescent="0.3"/>
    <row r="12680" hidden="1" x14ac:dyDescent="0.3"/>
    <row r="12681" hidden="1" x14ac:dyDescent="0.3"/>
    <row r="12682" hidden="1" x14ac:dyDescent="0.3"/>
    <row r="12683" hidden="1" x14ac:dyDescent="0.3"/>
    <row r="12684" hidden="1" x14ac:dyDescent="0.3"/>
    <row r="12685" hidden="1" x14ac:dyDescent="0.3"/>
    <row r="12686" hidden="1" x14ac:dyDescent="0.3"/>
    <row r="12687" hidden="1" x14ac:dyDescent="0.3"/>
    <row r="12688" hidden="1" x14ac:dyDescent="0.3"/>
    <row r="12689" hidden="1" x14ac:dyDescent="0.3"/>
    <row r="12690" hidden="1" x14ac:dyDescent="0.3"/>
    <row r="12691" hidden="1" x14ac:dyDescent="0.3"/>
    <row r="12692" hidden="1" x14ac:dyDescent="0.3"/>
    <row r="12693" hidden="1" x14ac:dyDescent="0.3"/>
    <row r="12694" hidden="1" x14ac:dyDescent="0.3"/>
    <row r="12695" hidden="1" x14ac:dyDescent="0.3"/>
    <row r="12696" hidden="1" x14ac:dyDescent="0.3"/>
    <row r="12697" hidden="1" x14ac:dyDescent="0.3"/>
    <row r="12698" hidden="1" x14ac:dyDescent="0.3"/>
    <row r="12699" hidden="1" x14ac:dyDescent="0.3"/>
    <row r="12700" hidden="1" x14ac:dyDescent="0.3"/>
    <row r="12701" hidden="1" x14ac:dyDescent="0.3"/>
    <row r="12702" hidden="1" x14ac:dyDescent="0.3"/>
    <row r="12703" hidden="1" x14ac:dyDescent="0.3"/>
    <row r="12704" hidden="1" x14ac:dyDescent="0.3"/>
    <row r="12705" hidden="1" x14ac:dyDescent="0.3"/>
    <row r="12706" hidden="1" x14ac:dyDescent="0.3"/>
    <row r="12707" hidden="1" x14ac:dyDescent="0.3"/>
    <row r="12708" hidden="1" x14ac:dyDescent="0.3"/>
    <row r="12709" hidden="1" x14ac:dyDescent="0.3"/>
    <row r="12710" hidden="1" x14ac:dyDescent="0.3"/>
    <row r="12711" hidden="1" x14ac:dyDescent="0.3"/>
    <row r="12712" hidden="1" x14ac:dyDescent="0.3"/>
    <row r="12713" hidden="1" x14ac:dyDescent="0.3"/>
    <row r="12714" hidden="1" x14ac:dyDescent="0.3"/>
    <row r="12715" hidden="1" x14ac:dyDescent="0.3"/>
    <row r="12716" hidden="1" x14ac:dyDescent="0.3"/>
    <row r="12717" hidden="1" x14ac:dyDescent="0.3"/>
    <row r="12718" hidden="1" x14ac:dyDescent="0.3"/>
    <row r="12719" hidden="1" x14ac:dyDescent="0.3"/>
    <row r="12720" hidden="1" x14ac:dyDescent="0.3"/>
    <row r="12721" hidden="1" x14ac:dyDescent="0.3"/>
    <row r="12722" hidden="1" x14ac:dyDescent="0.3"/>
    <row r="12723" hidden="1" x14ac:dyDescent="0.3"/>
    <row r="12724" hidden="1" x14ac:dyDescent="0.3"/>
    <row r="12725" hidden="1" x14ac:dyDescent="0.3"/>
    <row r="12726" hidden="1" x14ac:dyDescent="0.3"/>
    <row r="12727" hidden="1" x14ac:dyDescent="0.3"/>
    <row r="12728" hidden="1" x14ac:dyDescent="0.3"/>
    <row r="12729" hidden="1" x14ac:dyDescent="0.3"/>
    <row r="12730" hidden="1" x14ac:dyDescent="0.3"/>
    <row r="12731" hidden="1" x14ac:dyDescent="0.3"/>
    <row r="12732" hidden="1" x14ac:dyDescent="0.3"/>
    <row r="12733" hidden="1" x14ac:dyDescent="0.3"/>
    <row r="12734" hidden="1" x14ac:dyDescent="0.3"/>
    <row r="12735" hidden="1" x14ac:dyDescent="0.3"/>
    <row r="12736" hidden="1" x14ac:dyDescent="0.3"/>
    <row r="12737" hidden="1" x14ac:dyDescent="0.3"/>
    <row r="12738" hidden="1" x14ac:dyDescent="0.3"/>
    <row r="12739" hidden="1" x14ac:dyDescent="0.3"/>
    <row r="12740" hidden="1" x14ac:dyDescent="0.3"/>
    <row r="12741" hidden="1" x14ac:dyDescent="0.3"/>
    <row r="12742" hidden="1" x14ac:dyDescent="0.3"/>
    <row r="12743" hidden="1" x14ac:dyDescent="0.3"/>
    <row r="12744" hidden="1" x14ac:dyDescent="0.3"/>
    <row r="12745" hidden="1" x14ac:dyDescent="0.3"/>
    <row r="12746" hidden="1" x14ac:dyDescent="0.3"/>
    <row r="12747" hidden="1" x14ac:dyDescent="0.3"/>
    <row r="12748" hidden="1" x14ac:dyDescent="0.3"/>
    <row r="12749" hidden="1" x14ac:dyDescent="0.3"/>
    <row r="12750" hidden="1" x14ac:dyDescent="0.3"/>
    <row r="12751" hidden="1" x14ac:dyDescent="0.3"/>
    <row r="12752" hidden="1" x14ac:dyDescent="0.3"/>
    <row r="12753" hidden="1" x14ac:dyDescent="0.3"/>
    <row r="12754" hidden="1" x14ac:dyDescent="0.3"/>
    <row r="12755" hidden="1" x14ac:dyDescent="0.3"/>
    <row r="12756" hidden="1" x14ac:dyDescent="0.3"/>
    <row r="12757" hidden="1" x14ac:dyDescent="0.3"/>
    <row r="12758" hidden="1" x14ac:dyDescent="0.3"/>
    <row r="12759" hidden="1" x14ac:dyDescent="0.3"/>
    <row r="12760" hidden="1" x14ac:dyDescent="0.3"/>
    <row r="12761" hidden="1" x14ac:dyDescent="0.3"/>
    <row r="12762" hidden="1" x14ac:dyDescent="0.3"/>
    <row r="12763" hidden="1" x14ac:dyDescent="0.3"/>
    <row r="12764" hidden="1" x14ac:dyDescent="0.3"/>
    <row r="12765" hidden="1" x14ac:dyDescent="0.3"/>
    <row r="12766" hidden="1" x14ac:dyDescent="0.3"/>
    <row r="12767" hidden="1" x14ac:dyDescent="0.3"/>
    <row r="12768" hidden="1" x14ac:dyDescent="0.3"/>
    <row r="12769" hidden="1" x14ac:dyDescent="0.3"/>
    <row r="12770" hidden="1" x14ac:dyDescent="0.3"/>
    <row r="12771" hidden="1" x14ac:dyDescent="0.3"/>
    <row r="12772" hidden="1" x14ac:dyDescent="0.3"/>
    <row r="12773" hidden="1" x14ac:dyDescent="0.3"/>
    <row r="12774" hidden="1" x14ac:dyDescent="0.3"/>
    <row r="12775" hidden="1" x14ac:dyDescent="0.3"/>
    <row r="12776" hidden="1" x14ac:dyDescent="0.3"/>
    <row r="12777" hidden="1" x14ac:dyDescent="0.3"/>
    <row r="12778" hidden="1" x14ac:dyDescent="0.3"/>
    <row r="12779" hidden="1" x14ac:dyDescent="0.3"/>
    <row r="12780" hidden="1" x14ac:dyDescent="0.3"/>
    <row r="12781" hidden="1" x14ac:dyDescent="0.3"/>
    <row r="12782" hidden="1" x14ac:dyDescent="0.3"/>
    <row r="12783" hidden="1" x14ac:dyDescent="0.3"/>
    <row r="12784" hidden="1" x14ac:dyDescent="0.3"/>
    <row r="12785" hidden="1" x14ac:dyDescent="0.3"/>
    <row r="12786" hidden="1" x14ac:dyDescent="0.3"/>
    <row r="12787" hidden="1" x14ac:dyDescent="0.3"/>
    <row r="12788" hidden="1" x14ac:dyDescent="0.3"/>
    <row r="12789" hidden="1" x14ac:dyDescent="0.3"/>
    <row r="12790" hidden="1" x14ac:dyDescent="0.3"/>
    <row r="12791" hidden="1" x14ac:dyDescent="0.3"/>
    <row r="12792" hidden="1" x14ac:dyDescent="0.3"/>
    <row r="12793" hidden="1" x14ac:dyDescent="0.3"/>
    <row r="12794" hidden="1" x14ac:dyDescent="0.3"/>
    <row r="12795" hidden="1" x14ac:dyDescent="0.3"/>
    <row r="12796" hidden="1" x14ac:dyDescent="0.3"/>
    <row r="12797" hidden="1" x14ac:dyDescent="0.3"/>
    <row r="12798" hidden="1" x14ac:dyDescent="0.3"/>
    <row r="12799" hidden="1" x14ac:dyDescent="0.3"/>
    <row r="12800" hidden="1" x14ac:dyDescent="0.3"/>
    <row r="12801" hidden="1" x14ac:dyDescent="0.3"/>
    <row r="12802" hidden="1" x14ac:dyDescent="0.3"/>
    <row r="12803" hidden="1" x14ac:dyDescent="0.3"/>
    <row r="12804" hidden="1" x14ac:dyDescent="0.3"/>
    <row r="12805" hidden="1" x14ac:dyDescent="0.3"/>
    <row r="12806" hidden="1" x14ac:dyDescent="0.3"/>
    <row r="12807" hidden="1" x14ac:dyDescent="0.3"/>
    <row r="12808" hidden="1" x14ac:dyDescent="0.3"/>
    <row r="12809" hidden="1" x14ac:dyDescent="0.3"/>
    <row r="12810" hidden="1" x14ac:dyDescent="0.3"/>
    <row r="12811" hidden="1" x14ac:dyDescent="0.3"/>
    <row r="12812" hidden="1" x14ac:dyDescent="0.3"/>
    <row r="12813" hidden="1" x14ac:dyDescent="0.3"/>
    <row r="12814" hidden="1" x14ac:dyDescent="0.3"/>
    <row r="12815" hidden="1" x14ac:dyDescent="0.3"/>
    <row r="12816" hidden="1" x14ac:dyDescent="0.3"/>
    <row r="12817" hidden="1" x14ac:dyDescent="0.3"/>
    <row r="12818" hidden="1" x14ac:dyDescent="0.3"/>
    <row r="12819" hidden="1" x14ac:dyDescent="0.3"/>
    <row r="12820" hidden="1" x14ac:dyDescent="0.3"/>
    <row r="12821" hidden="1" x14ac:dyDescent="0.3"/>
    <row r="12822" hidden="1" x14ac:dyDescent="0.3"/>
    <row r="12823" hidden="1" x14ac:dyDescent="0.3"/>
    <row r="12824" hidden="1" x14ac:dyDescent="0.3"/>
    <row r="12825" hidden="1" x14ac:dyDescent="0.3"/>
    <row r="12826" hidden="1" x14ac:dyDescent="0.3"/>
    <row r="12827" hidden="1" x14ac:dyDescent="0.3"/>
    <row r="12828" hidden="1" x14ac:dyDescent="0.3"/>
    <row r="12829" hidden="1" x14ac:dyDescent="0.3"/>
    <row r="12830" hidden="1" x14ac:dyDescent="0.3"/>
    <row r="12831" hidden="1" x14ac:dyDescent="0.3"/>
    <row r="12832" hidden="1" x14ac:dyDescent="0.3"/>
    <row r="12833" hidden="1" x14ac:dyDescent="0.3"/>
    <row r="12834" hidden="1" x14ac:dyDescent="0.3"/>
    <row r="12835" hidden="1" x14ac:dyDescent="0.3"/>
    <row r="12836" hidden="1" x14ac:dyDescent="0.3"/>
    <row r="12837" hidden="1" x14ac:dyDescent="0.3"/>
    <row r="12838" hidden="1" x14ac:dyDescent="0.3"/>
    <row r="12839" hidden="1" x14ac:dyDescent="0.3"/>
    <row r="12840" hidden="1" x14ac:dyDescent="0.3"/>
    <row r="12841" hidden="1" x14ac:dyDescent="0.3"/>
    <row r="12842" hidden="1" x14ac:dyDescent="0.3"/>
    <row r="12843" hidden="1" x14ac:dyDescent="0.3"/>
    <row r="12844" hidden="1" x14ac:dyDescent="0.3"/>
    <row r="12845" hidden="1" x14ac:dyDescent="0.3"/>
    <row r="12846" hidden="1" x14ac:dyDescent="0.3"/>
    <row r="12847" hidden="1" x14ac:dyDescent="0.3"/>
    <row r="12848" hidden="1" x14ac:dyDescent="0.3"/>
    <row r="12849" hidden="1" x14ac:dyDescent="0.3"/>
    <row r="12850" hidden="1" x14ac:dyDescent="0.3"/>
    <row r="12851" hidden="1" x14ac:dyDescent="0.3"/>
    <row r="12852" hidden="1" x14ac:dyDescent="0.3"/>
    <row r="12853" hidden="1" x14ac:dyDescent="0.3"/>
    <row r="12854" hidden="1" x14ac:dyDescent="0.3"/>
    <row r="12855" hidden="1" x14ac:dyDescent="0.3"/>
    <row r="12856" hidden="1" x14ac:dyDescent="0.3"/>
    <row r="12857" hidden="1" x14ac:dyDescent="0.3"/>
    <row r="12858" hidden="1" x14ac:dyDescent="0.3"/>
    <row r="12859" hidden="1" x14ac:dyDescent="0.3"/>
    <row r="12860" hidden="1" x14ac:dyDescent="0.3"/>
    <row r="12861" hidden="1" x14ac:dyDescent="0.3"/>
    <row r="12862" hidden="1" x14ac:dyDescent="0.3"/>
    <row r="12863" hidden="1" x14ac:dyDescent="0.3"/>
    <row r="12864" hidden="1" x14ac:dyDescent="0.3"/>
    <row r="12865" hidden="1" x14ac:dyDescent="0.3"/>
    <row r="12866" hidden="1" x14ac:dyDescent="0.3"/>
    <row r="12867" hidden="1" x14ac:dyDescent="0.3"/>
    <row r="12868" hidden="1" x14ac:dyDescent="0.3"/>
    <row r="12869" hidden="1" x14ac:dyDescent="0.3"/>
    <row r="12870" hidden="1" x14ac:dyDescent="0.3"/>
    <row r="12871" hidden="1" x14ac:dyDescent="0.3"/>
    <row r="12872" hidden="1" x14ac:dyDescent="0.3"/>
    <row r="12873" hidden="1" x14ac:dyDescent="0.3"/>
    <row r="12874" hidden="1" x14ac:dyDescent="0.3"/>
    <row r="12875" hidden="1" x14ac:dyDescent="0.3"/>
    <row r="12876" hidden="1" x14ac:dyDescent="0.3"/>
    <row r="12877" hidden="1" x14ac:dyDescent="0.3"/>
    <row r="12878" hidden="1" x14ac:dyDescent="0.3"/>
    <row r="12879" hidden="1" x14ac:dyDescent="0.3"/>
    <row r="12880" hidden="1" x14ac:dyDescent="0.3"/>
    <row r="12881" hidden="1" x14ac:dyDescent="0.3"/>
    <row r="12882" hidden="1" x14ac:dyDescent="0.3"/>
    <row r="12883" hidden="1" x14ac:dyDescent="0.3"/>
    <row r="12884" hidden="1" x14ac:dyDescent="0.3"/>
    <row r="12885" hidden="1" x14ac:dyDescent="0.3"/>
    <row r="12886" hidden="1" x14ac:dyDescent="0.3"/>
    <row r="12887" hidden="1" x14ac:dyDescent="0.3"/>
    <row r="12888" hidden="1" x14ac:dyDescent="0.3"/>
    <row r="12889" hidden="1" x14ac:dyDescent="0.3"/>
    <row r="12890" hidden="1" x14ac:dyDescent="0.3"/>
    <row r="12891" hidden="1" x14ac:dyDescent="0.3"/>
    <row r="12892" hidden="1" x14ac:dyDescent="0.3"/>
    <row r="12893" hidden="1" x14ac:dyDescent="0.3"/>
    <row r="12894" hidden="1" x14ac:dyDescent="0.3"/>
    <row r="12895" hidden="1" x14ac:dyDescent="0.3"/>
    <row r="12896" hidden="1" x14ac:dyDescent="0.3"/>
    <row r="12897" hidden="1" x14ac:dyDescent="0.3"/>
    <row r="12898" hidden="1" x14ac:dyDescent="0.3"/>
    <row r="12899" hidden="1" x14ac:dyDescent="0.3"/>
    <row r="12900" hidden="1" x14ac:dyDescent="0.3"/>
    <row r="12901" hidden="1" x14ac:dyDescent="0.3"/>
    <row r="12902" hidden="1" x14ac:dyDescent="0.3"/>
    <row r="12903" hidden="1" x14ac:dyDescent="0.3"/>
    <row r="12904" hidden="1" x14ac:dyDescent="0.3"/>
    <row r="12905" hidden="1" x14ac:dyDescent="0.3"/>
    <row r="12906" hidden="1" x14ac:dyDescent="0.3"/>
    <row r="12907" hidden="1" x14ac:dyDescent="0.3"/>
    <row r="12908" hidden="1" x14ac:dyDescent="0.3"/>
    <row r="12909" hidden="1" x14ac:dyDescent="0.3"/>
    <row r="12910" hidden="1" x14ac:dyDescent="0.3"/>
    <row r="12911" hidden="1" x14ac:dyDescent="0.3"/>
    <row r="12912" hidden="1" x14ac:dyDescent="0.3"/>
    <row r="12913" hidden="1" x14ac:dyDescent="0.3"/>
    <row r="12914" hidden="1" x14ac:dyDescent="0.3"/>
    <row r="12915" hidden="1" x14ac:dyDescent="0.3"/>
    <row r="12916" hidden="1" x14ac:dyDescent="0.3"/>
    <row r="12917" hidden="1" x14ac:dyDescent="0.3"/>
    <row r="12918" hidden="1" x14ac:dyDescent="0.3"/>
    <row r="12919" hidden="1" x14ac:dyDescent="0.3"/>
    <row r="12920" hidden="1" x14ac:dyDescent="0.3"/>
    <row r="12921" hidden="1" x14ac:dyDescent="0.3"/>
    <row r="12922" hidden="1" x14ac:dyDescent="0.3"/>
    <row r="12923" hidden="1" x14ac:dyDescent="0.3"/>
    <row r="12924" hidden="1" x14ac:dyDescent="0.3"/>
    <row r="12925" hidden="1" x14ac:dyDescent="0.3"/>
    <row r="12926" hidden="1" x14ac:dyDescent="0.3"/>
    <row r="12927" hidden="1" x14ac:dyDescent="0.3"/>
    <row r="12928" hidden="1" x14ac:dyDescent="0.3"/>
    <row r="12929" hidden="1" x14ac:dyDescent="0.3"/>
    <row r="12930" hidden="1" x14ac:dyDescent="0.3"/>
    <row r="12931" hidden="1" x14ac:dyDescent="0.3"/>
    <row r="12932" hidden="1" x14ac:dyDescent="0.3"/>
    <row r="12933" hidden="1" x14ac:dyDescent="0.3"/>
    <row r="12934" hidden="1" x14ac:dyDescent="0.3"/>
    <row r="12935" hidden="1" x14ac:dyDescent="0.3"/>
    <row r="12936" hidden="1" x14ac:dyDescent="0.3"/>
    <row r="12937" hidden="1" x14ac:dyDescent="0.3"/>
    <row r="12938" hidden="1" x14ac:dyDescent="0.3"/>
    <row r="12939" hidden="1" x14ac:dyDescent="0.3"/>
    <row r="12940" hidden="1" x14ac:dyDescent="0.3"/>
    <row r="12941" hidden="1" x14ac:dyDescent="0.3"/>
    <row r="12942" hidden="1" x14ac:dyDescent="0.3"/>
    <row r="12943" hidden="1" x14ac:dyDescent="0.3"/>
    <row r="12944" hidden="1" x14ac:dyDescent="0.3"/>
    <row r="12945" hidden="1" x14ac:dyDescent="0.3"/>
    <row r="12946" hidden="1" x14ac:dyDescent="0.3"/>
    <row r="12947" hidden="1" x14ac:dyDescent="0.3"/>
    <row r="12948" hidden="1" x14ac:dyDescent="0.3"/>
    <row r="12949" hidden="1" x14ac:dyDescent="0.3"/>
    <row r="12950" hidden="1" x14ac:dyDescent="0.3"/>
    <row r="12951" hidden="1" x14ac:dyDescent="0.3"/>
    <row r="12952" hidden="1" x14ac:dyDescent="0.3"/>
    <row r="12953" hidden="1" x14ac:dyDescent="0.3"/>
    <row r="12954" hidden="1" x14ac:dyDescent="0.3"/>
    <row r="12955" hidden="1" x14ac:dyDescent="0.3"/>
    <row r="12956" hidden="1" x14ac:dyDescent="0.3"/>
    <row r="12957" hidden="1" x14ac:dyDescent="0.3"/>
    <row r="12958" hidden="1" x14ac:dyDescent="0.3"/>
    <row r="12959" hidden="1" x14ac:dyDescent="0.3"/>
    <row r="12960" hidden="1" x14ac:dyDescent="0.3"/>
    <row r="12961" hidden="1" x14ac:dyDescent="0.3"/>
    <row r="12962" hidden="1" x14ac:dyDescent="0.3"/>
    <row r="12963" hidden="1" x14ac:dyDescent="0.3"/>
    <row r="12964" hidden="1" x14ac:dyDescent="0.3"/>
    <row r="12965" hidden="1" x14ac:dyDescent="0.3"/>
    <row r="12966" hidden="1" x14ac:dyDescent="0.3"/>
    <row r="12967" hidden="1" x14ac:dyDescent="0.3"/>
    <row r="12968" hidden="1" x14ac:dyDescent="0.3"/>
    <row r="12969" hidden="1" x14ac:dyDescent="0.3"/>
    <row r="12970" hidden="1" x14ac:dyDescent="0.3"/>
    <row r="12971" hidden="1" x14ac:dyDescent="0.3"/>
    <row r="12972" hidden="1" x14ac:dyDescent="0.3"/>
    <row r="12973" hidden="1" x14ac:dyDescent="0.3"/>
    <row r="12974" hidden="1" x14ac:dyDescent="0.3"/>
    <row r="12975" hidden="1" x14ac:dyDescent="0.3"/>
    <row r="12976" hidden="1" x14ac:dyDescent="0.3"/>
    <row r="12977" hidden="1" x14ac:dyDescent="0.3"/>
    <row r="12978" hidden="1" x14ac:dyDescent="0.3"/>
    <row r="12979" hidden="1" x14ac:dyDescent="0.3"/>
    <row r="12980" hidden="1" x14ac:dyDescent="0.3"/>
    <row r="12981" hidden="1" x14ac:dyDescent="0.3"/>
    <row r="12982" hidden="1" x14ac:dyDescent="0.3"/>
    <row r="12983" hidden="1" x14ac:dyDescent="0.3"/>
    <row r="12984" hidden="1" x14ac:dyDescent="0.3"/>
    <row r="12985" hidden="1" x14ac:dyDescent="0.3"/>
    <row r="12986" hidden="1" x14ac:dyDescent="0.3"/>
    <row r="12987" hidden="1" x14ac:dyDescent="0.3"/>
    <row r="12988" hidden="1" x14ac:dyDescent="0.3"/>
    <row r="12989" hidden="1" x14ac:dyDescent="0.3"/>
    <row r="12990" hidden="1" x14ac:dyDescent="0.3"/>
    <row r="12991" hidden="1" x14ac:dyDescent="0.3"/>
    <row r="12992" hidden="1" x14ac:dyDescent="0.3"/>
    <row r="12993" hidden="1" x14ac:dyDescent="0.3"/>
    <row r="12994" hidden="1" x14ac:dyDescent="0.3"/>
    <row r="12995" hidden="1" x14ac:dyDescent="0.3"/>
    <row r="12996" hidden="1" x14ac:dyDescent="0.3"/>
    <row r="12997" hidden="1" x14ac:dyDescent="0.3"/>
    <row r="12998" hidden="1" x14ac:dyDescent="0.3"/>
    <row r="12999" hidden="1" x14ac:dyDescent="0.3"/>
    <row r="13000" hidden="1" x14ac:dyDescent="0.3"/>
    <row r="13001" hidden="1" x14ac:dyDescent="0.3"/>
    <row r="13002" hidden="1" x14ac:dyDescent="0.3"/>
    <row r="13003" hidden="1" x14ac:dyDescent="0.3"/>
    <row r="13004" hidden="1" x14ac:dyDescent="0.3"/>
    <row r="13005" hidden="1" x14ac:dyDescent="0.3"/>
    <row r="13006" hidden="1" x14ac:dyDescent="0.3"/>
    <row r="13007" hidden="1" x14ac:dyDescent="0.3"/>
    <row r="13008" hidden="1" x14ac:dyDescent="0.3"/>
    <row r="13009" hidden="1" x14ac:dyDescent="0.3"/>
    <row r="13010" hidden="1" x14ac:dyDescent="0.3"/>
    <row r="13011" hidden="1" x14ac:dyDescent="0.3"/>
    <row r="13012" hidden="1" x14ac:dyDescent="0.3"/>
    <row r="13013" hidden="1" x14ac:dyDescent="0.3"/>
    <row r="13014" hidden="1" x14ac:dyDescent="0.3"/>
    <row r="13015" hidden="1" x14ac:dyDescent="0.3"/>
    <row r="13016" hidden="1" x14ac:dyDescent="0.3"/>
    <row r="13017" hidden="1" x14ac:dyDescent="0.3"/>
    <row r="13018" hidden="1" x14ac:dyDescent="0.3"/>
    <row r="13019" hidden="1" x14ac:dyDescent="0.3"/>
    <row r="13020" hidden="1" x14ac:dyDescent="0.3"/>
    <row r="13021" hidden="1" x14ac:dyDescent="0.3"/>
    <row r="13022" hidden="1" x14ac:dyDescent="0.3"/>
    <row r="13023" hidden="1" x14ac:dyDescent="0.3"/>
    <row r="13024" hidden="1" x14ac:dyDescent="0.3"/>
    <row r="13025" hidden="1" x14ac:dyDescent="0.3"/>
    <row r="13026" hidden="1" x14ac:dyDescent="0.3"/>
    <row r="13027" hidden="1" x14ac:dyDescent="0.3"/>
    <row r="13028" hidden="1" x14ac:dyDescent="0.3"/>
    <row r="13029" hidden="1" x14ac:dyDescent="0.3"/>
    <row r="13030" hidden="1" x14ac:dyDescent="0.3"/>
    <row r="13031" hidden="1" x14ac:dyDescent="0.3"/>
    <row r="13032" hidden="1" x14ac:dyDescent="0.3"/>
    <row r="13033" hidden="1" x14ac:dyDescent="0.3"/>
    <row r="13034" hidden="1" x14ac:dyDescent="0.3"/>
    <row r="13035" hidden="1" x14ac:dyDescent="0.3"/>
    <row r="13036" hidden="1" x14ac:dyDescent="0.3"/>
    <row r="13037" hidden="1" x14ac:dyDescent="0.3"/>
    <row r="13038" hidden="1" x14ac:dyDescent="0.3"/>
    <row r="13039" hidden="1" x14ac:dyDescent="0.3"/>
    <row r="13040" hidden="1" x14ac:dyDescent="0.3"/>
    <row r="13041" hidden="1" x14ac:dyDescent="0.3"/>
    <row r="13042" hidden="1" x14ac:dyDescent="0.3"/>
    <row r="13043" hidden="1" x14ac:dyDescent="0.3"/>
    <row r="13044" hidden="1" x14ac:dyDescent="0.3"/>
    <row r="13045" hidden="1" x14ac:dyDescent="0.3"/>
    <row r="13046" hidden="1" x14ac:dyDescent="0.3"/>
    <row r="13047" hidden="1" x14ac:dyDescent="0.3"/>
    <row r="13048" hidden="1" x14ac:dyDescent="0.3"/>
    <row r="13049" hidden="1" x14ac:dyDescent="0.3"/>
    <row r="13050" hidden="1" x14ac:dyDescent="0.3"/>
    <row r="13051" hidden="1" x14ac:dyDescent="0.3"/>
    <row r="13052" hidden="1" x14ac:dyDescent="0.3"/>
    <row r="13053" hidden="1" x14ac:dyDescent="0.3"/>
    <row r="13054" hidden="1" x14ac:dyDescent="0.3"/>
    <row r="13055" hidden="1" x14ac:dyDescent="0.3"/>
    <row r="13056" hidden="1" x14ac:dyDescent="0.3"/>
    <row r="13057" hidden="1" x14ac:dyDescent="0.3"/>
    <row r="13058" hidden="1" x14ac:dyDescent="0.3"/>
    <row r="13059" hidden="1" x14ac:dyDescent="0.3"/>
    <row r="13060" hidden="1" x14ac:dyDescent="0.3"/>
    <row r="13061" hidden="1" x14ac:dyDescent="0.3"/>
    <row r="13062" hidden="1" x14ac:dyDescent="0.3"/>
    <row r="13063" hidden="1" x14ac:dyDescent="0.3"/>
    <row r="13064" hidden="1" x14ac:dyDescent="0.3"/>
    <row r="13065" hidden="1" x14ac:dyDescent="0.3"/>
    <row r="13066" hidden="1" x14ac:dyDescent="0.3"/>
    <row r="13067" hidden="1" x14ac:dyDescent="0.3"/>
    <row r="13068" hidden="1" x14ac:dyDescent="0.3"/>
    <row r="13069" hidden="1" x14ac:dyDescent="0.3"/>
    <row r="13070" hidden="1" x14ac:dyDescent="0.3"/>
    <row r="13071" hidden="1" x14ac:dyDescent="0.3"/>
    <row r="13072" hidden="1" x14ac:dyDescent="0.3"/>
    <row r="13073" hidden="1" x14ac:dyDescent="0.3"/>
    <row r="13074" hidden="1" x14ac:dyDescent="0.3"/>
    <row r="13075" hidden="1" x14ac:dyDescent="0.3"/>
    <row r="13076" hidden="1" x14ac:dyDescent="0.3"/>
    <row r="13077" hidden="1" x14ac:dyDescent="0.3"/>
    <row r="13078" hidden="1" x14ac:dyDescent="0.3"/>
    <row r="13079" hidden="1" x14ac:dyDescent="0.3"/>
    <row r="13080" hidden="1" x14ac:dyDescent="0.3"/>
    <row r="13081" hidden="1" x14ac:dyDescent="0.3"/>
    <row r="13082" hidden="1" x14ac:dyDescent="0.3"/>
    <row r="13083" hidden="1" x14ac:dyDescent="0.3"/>
    <row r="13084" hidden="1" x14ac:dyDescent="0.3"/>
    <row r="13085" hidden="1" x14ac:dyDescent="0.3"/>
    <row r="13086" hidden="1" x14ac:dyDescent="0.3"/>
    <row r="13087" hidden="1" x14ac:dyDescent="0.3"/>
    <row r="13088" hidden="1" x14ac:dyDescent="0.3"/>
    <row r="13089" hidden="1" x14ac:dyDescent="0.3"/>
    <row r="13090" hidden="1" x14ac:dyDescent="0.3"/>
    <row r="13091" hidden="1" x14ac:dyDescent="0.3"/>
    <row r="13092" hidden="1" x14ac:dyDescent="0.3"/>
    <row r="13093" hidden="1" x14ac:dyDescent="0.3"/>
    <row r="13094" hidden="1" x14ac:dyDescent="0.3"/>
    <row r="13095" hidden="1" x14ac:dyDescent="0.3"/>
    <row r="13096" hidden="1" x14ac:dyDescent="0.3"/>
    <row r="13097" hidden="1" x14ac:dyDescent="0.3"/>
    <row r="13098" hidden="1" x14ac:dyDescent="0.3"/>
    <row r="13099" hidden="1" x14ac:dyDescent="0.3"/>
    <row r="13100" hidden="1" x14ac:dyDescent="0.3"/>
    <row r="13101" hidden="1" x14ac:dyDescent="0.3"/>
    <row r="13102" hidden="1" x14ac:dyDescent="0.3"/>
    <row r="13103" hidden="1" x14ac:dyDescent="0.3"/>
    <row r="13104" hidden="1" x14ac:dyDescent="0.3"/>
    <row r="13105" hidden="1" x14ac:dyDescent="0.3"/>
    <row r="13106" hidden="1" x14ac:dyDescent="0.3"/>
    <row r="13107" hidden="1" x14ac:dyDescent="0.3"/>
    <row r="13108" hidden="1" x14ac:dyDescent="0.3"/>
    <row r="13109" hidden="1" x14ac:dyDescent="0.3"/>
    <row r="13110" hidden="1" x14ac:dyDescent="0.3"/>
    <row r="13111" hidden="1" x14ac:dyDescent="0.3"/>
    <row r="13112" hidden="1" x14ac:dyDescent="0.3"/>
    <row r="13113" hidden="1" x14ac:dyDescent="0.3"/>
    <row r="13114" hidden="1" x14ac:dyDescent="0.3"/>
    <row r="13115" hidden="1" x14ac:dyDescent="0.3"/>
    <row r="13116" hidden="1" x14ac:dyDescent="0.3"/>
    <row r="13117" hidden="1" x14ac:dyDescent="0.3"/>
    <row r="13118" hidden="1" x14ac:dyDescent="0.3"/>
    <row r="13119" hidden="1" x14ac:dyDescent="0.3"/>
    <row r="13120" hidden="1" x14ac:dyDescent="0.3"/>
    <row r="13121" hidden="1" x14ac:dyDescent="0.3"/>
    <row r="13122" hidden="1" x14ac:dyDescent="0.3"/>
    <row r="13123" hidden="1" x14ac:dyDescent="0.3"/>
    <row r="13124" hidden="1" x14ac:dyDescent="0.3"/>
    <row r="13125" hidden="1" x14ac:dyDescent="0.3"/>
    <row r="13126" hidden="1" x14ac:dyDescent="0.3"/>
    <row r="13127" hidden="1" x14ac:dyDescent="0.3"/>
    <row r="13128" hidden="1" x14ac:dyDescent="0.3"/>
    <row r="13129" hidden="1" x14ac:dyDescent="0.3"/>
    <row r="13130" hidden="1" x14ac:dyDescent="0.3"/>
    <row r="13131" hidden="1" x14ac:dyDescent="0.3"/>
    <row r="13132" hidden="1" x14ac:dyDescent="0.3"/>
    <row r="13133" hidden="1" x14ac:dyDescent="0.3"/>
    <row r="13134" hidden="1" x14ac:dyDescent="0.3"/>
    <row r="13135" hidden="1" x14ac:dyDescent="0.3"/>
    <row r="13136" hidden="1" x14ac:dyDescent="0.3"/>
    <row r="13137" hidden="1" x14ac:dyDescent="0.3"/>
    <row r="13138" hidden="1" x14ac:dyDescent="0.3"/>
    <row r="13139" hidden="1" x14ac:dyDescent="0.3"/>
    <row r="13140" hidden="1" x14ac:dyDescent="0.3"/>
    <row r="13141" hidden="1" x14ac:dyDescent="0.3"/>
    <row r="13142" hidden="1" x14ac:dyDescent="0.3"/>
    <row r="13143" hidden="1" x14ac:dyDescent="0.3"/>
    <row r="13144" hidden="1" x14ac:dyDescent="0.3"/>
    <row r="13145" hidden="1" x14ac:dyDescent="0.3"/>
    <row r="13146" hidden="1" x14ac:dyDescent="0.3"/>
    <row r="13147" hidden="1" x14ac:dyDescent="0.3"/>
    <row r="13148" hidden="1" x14ac:dyDescent="0.3"/>
    <row r="13149" hidden="1" x14ac:dyDescent="0.3"/>
    <row r="13150" hidden="1" x14ac:dyDescent="0.3"/>
    <row r="13151" hidden="1" x14ac:dyDescent="0.3"/>
    <row r="13152" hidden="1" x14ac:dyDescent="0.3"/>
    <row r="13153" hidden="1" x14ac:dyDescent="0.3"/>
    <row r="13154" hidden="1" x14ac:dyDescent="0.3"/>
    <row r="13155" hidden="1" x14ac:dyDescent="0.3"/>
    <row r="13156" hidden="1" x14ac:dyDescent="0.3"/>
    <row r="13157" hidden="1" x14ac:dyDescent="0.3"/>
    <row r="13158" hidden="1" x14ac:dyDescent="0.3"/>
    <row r="13159" hidden="1" x14ac:dyDescent="0.3"/>
    <row r="13160" hidden="1" x14ac:dyDescent="0.3"/>
    <row r="13161" hidden="1" x14ac:dyDescent="0.3"/>
    <row r="13162" hidden="1" x14ac:dyDescent="0.3"/>
    <row r="13163" hidden="1" x14ac:dyDescent="0.3"/>
    <row r="13164" hidden="1" x14ac:dyDescent="0.3"/>
    <row r="13165" hidden="1" x14ac:dyDescent="0.3"/>
    <row r="13166" hidden="1" x14ac:dyDescent="0.3"/>
    <row r="13167" hidden="1" x14ac:dyDescent="0.3"/>
    <row r="13168" hidden="1" x14ac:dyDescent="0.3"/>
    <row r="13169" hidden="1" x14ac:dyDescent="0.3"/>
    <row r="13170" hidden="1" x14ac:dyDescent="0.3"/>
    <row r="13171" hidden="1" x14ac:dyDescent="0.3"/>
    <row r="13172" hidden="1" x14ac:dyDescent="0.3"/>
    <row r="13173" hidden="1" x14ac:dyDescent="0.3"/>
    <row r="13174" hidden="1" x14ac:dyDescent="0.3"/>
    <row r="13175" hidden="1" x14ac:dyDescent="0.3"/>
    <row r="13176" hidden="1" x14ac:dyDescent="0.3"/>
    <row r="13177" hidden="1" x14ac:dyDescent="0.3"/>
    <row r="13178" hidden="1" x14ac:dyDescent="0.3"/>
    <row r="13179" hidden="1" x14ac:dyDescent="0.3"/>
    <row r="13180" hidden="1" x14ac:dyDescent="0.3"/>
    <row r="13181" hidden="1" x14ac:dyDescent="0.3"/>
    <row r="13182" hidden="1" x14ac:dyDescent="0.3"/>
    <row r="13183" hidden="1" x14ac:dyDescent="0.3"/>
    <row r="13184" hidden="1" x14ac:dyDescent="0.3"/>
    <row r="13185" hidden="1" x14ac:dyDescent="0.3"/>
    <row r="13186" hidden="1" x14ac:dyDescent="0.3"/>
    <row r="13187" hidden="1" x14ac:dyDescent="0.3"/>
    <row r="13188" hidden="1" x14ac:dyDescent="0.3"/>
    <row r="13189" hidden="1" x14ac:dyDescent="0.3"/>
    <row r="13190" hidden="1" x14ac:dyDescent="0.3"/>
    <row r="13191" hidden="1" x14ac:dyDescent="0.3"/>
    <row r="13192" hidden="1" x14ac:dyDescent="0.3"/>
    <row r="13193" hidden="1" x14ac:dyDescent="0.3"/>
    <row r="13194" hidden="1" x14ac:dyDescent="0.3"/>
    <row r="13195" hidden="1" x14ac:dyDescent="0.3"/>
    <row r="13196" hidden="1" x14ac:dyDescent="0.3"/>
    <row r="13197" hidden="1" x14ac:dyDescent="0.3"/>
    <row r="13198" hidden="1" x14ac:dyDescent="0.3"/>
    <row r="13199" hidden="1" x14ac:dyDescent="0.3"/>
    <row r="13200" hidden="1" x14ac:dyDescent="0.3"/>
    <row r="13201" hidden="1" x14ac:dyDescent="0.3"/>
    <row r="13202" hidden="1" x14ac:dyDescent="0.3"/>
    <row r="13203" hidden="1" x14ac:dyDescent="0.3"/>
    <row r="13204" hidden="1" x14ac:dyDescent="0.3"/>
    <row r="13205" hidden="1" x14ac:dyDescent="0.3"/>
    <row r="13206" hidden="1" x14ac:dyDescent="0.3"/>
    <row r="13207" hidden="1" x14ac:dyDescent="0.3"/>
    <row r="13208" hidden="1" x14ac:dyDescent="0.3"/>
    <row r="13209" hidden="1" x14ac:dyDescent="0.3"/>
    <row r="13210" hidden="1" x14ac:dyDescent="0.3"/>
    <row r="13211" hidden="1" x14ac:dyDescent="0.3"/>
    <row r="13212" hidden="1" x14ac:dyDescent="0.3"/>
    <row r="13213" hidden="1" x14ac:dyDescent="0.3"/>
    <row r="13214" hidden="1" x14ac:dyDescent="0.3"/>
    <row r="13215" hidden="1" x14ac:dyDescent="0.3"/>
    <row r="13216" hidden="1" x14ac:dyDescent="0.3"/>
    <row r="13217" hidden="1" x14ac:dyDescent="0.3"/>
    <row r="13218" hidden="1" x14ac:dyDescent="0.3"/>
    <row r="13219" hidden="1" x14ac:dyDescent="0.3"/>
    <row r="13220" hidden="1" x14ac:dyDescent="0.3"/>
    <row r="13221" hidden="1" x14ac:dyDescent="0.3"/>
    <row r="13222" hidden="1" x14ac:dyDescent="0.3"/>
    <row r="13223" hidden="1" x14ac:dyDescent="0.3"/>
    <row r="13224" hidden="1" x14ac:dyDescent="0.3"/>
    <row r="13225" hidden="1" x14ac:dyDescent="0.3"/>
    <row r="13226" hidden="1" x14ac:dyDescent="0.3"/>
    <row r="13227" hidden="1" x14ac:dyDescent="0.3"/>
    <row r="13228" hidden="1" x14ac:dyDescent="0.3"/>
    <row r="13229" hidden="1" x14ac:dyDescent="0.3"/>
    <row r="13230" hidden="1" x14ac:dyDescent="0.3"/>
    <row r="13231" hidden="1" x14ac:dyDescent="0.3"/>
    <row r="13232" hidden="1" x14ac:dyDescent="0.3"/>
    <row r="13233" hidden="1" x14ac:dyDescent="0.3"/>
    <row r="13234" hidden="1" x14ac:dyDescent="0.3"/>
    <row r="13235" hidden="1" x14ac:dyDescent="0.3"/>
    <row r="13236" hidden="1" x14ac:dyDescent="0.3"/>
    <row r="13237" hidden="1" x14ac:dyDescent="0.3"/>
    <row r="13238" hidden="1" x14ac:dyDescent="0.3"/>
    <row r="13239" hidden="1" x14ac:dyDescent="0.3"/>
    <row r="13240" hidden="1" x14ac:dyDescent="0.3"/>
    <row r="13241" hidden="1" x14ac:dyDescent="0.3"/>
    <row r="13242" hidden="1" x14ac:dyDescent="0.3"/>
    <row r="13243" hidden="1" x14ac:dyDescent="0.3"/>
    <row r="13244" hidden="1" x14ac:dyDescent="0.3"/>
    <row r="13245" hidden="1" x14ac:dyDescent="0.3"/>
    <row r="13246" hidden="1" x14ac:dyDescent="0.3"/>
    <row r="13247" hidden="1" x14ac:dyDescent="0.3"/>
    <row r="13248" hidden="1" x14ac:dyDescent="0.3"/>
    <row r="13249" hidden="1" x14ac:dyDescent="0.3"/>
    <row r="13250" hidden="1" x14ac:dyDescent="0.3"/>
    <row r="13251" hidden="1" x14ac:dyDescent="0.3"/>
    <row r="13252" hidden="1" x14ac:dyDescent="0.3"/>
    <row r="13253" hidden="1" x14ac:dyDescent="0.3"/>
    <row r="13254" hidden="1" x14ac:dyDescent="0.3"/>
    <row r="13255" hidden="1" x14ac:dyDescent="0.3"/>
    <row r="13256" hidden="1" x14ac:dyDescent="0.3"/>
    <row r="13257" hidden="1" x14ac:dyDescent="0.3"/>
    <row r="13258" hidden="1" x14ac:dyDescent="0.3"/>
    <row r="13259" hidden="1" x14ac:dyDescent="0.3"/>
    <row r="13260" hidden="1" x14ac:dyDescent="0.3"/>
    <row r="13261" hidden="1" x14ac:dyDescent="0.3"/>
    <row r="13262" hidden="1" x14ac:dyDescent="0.3"/>
    <row r="13263" hidden="1" x14ac:dyDescent="0.3"/>
    <row r="13264" hidden="1" x14ac:dyDescent="0.3"/>
    <row r="13265" hidden="1" x14ac:dyDescent="0.3"/>
    <row r="13266" hidden="1" x14ac:dyDescent="0.3"/>
    <row r="13267" hidden="1" x14ac:dyDescent="0.3"/>
    <row r="13268" hidden="1" x14ac:dyDescent="0.3"/>
    <row r="13269" hidden="1" x14ac:dyDescent="0.3"/>
    <row r="13270" hidden="1" x14ac:dyDescent="0.3"/>
    <row r="13271" hidden="1" x14ac:dyDescent="0.3"/>
    <row r="13272" hidden="1" x14ac:dyDescent="0.3"/>
    <row r="13273" hidden="1" x14ac:dyDescent="0.3"/>
    <row r="13274" hidden="1" x14ac:dyDescent="0.3"/>
    <row r="13275" hidden="1" x14ac:dyDescent="0.3"/>
    <row r="13276" hidden="1" x14ac:dyDescent="0.3"/>
    <row r="13277" hidden="1" x14ac:dyDescent="0.3"/>
    <row r="13278" hidden="1" x14ac:dyDescent="0.3"/>
    <row r="13279" hidden="1" x14ac:dyDescent="0.3"/>
    <row r="13280" hidden="1" x14ac:dyDescent="0.3"/>
    <row r="13281" hidden="1" x14ac:dyDescent="0.3"/>
    <row r="13282" hidden="1" x14ac:dyDescent="0.3"/>
    <row r="13283" hidden="1" x14ac:dyDescent="0.3"/>
    <row r="13284" hidden="1" x14ac:dyDescent="0.3"/>
    <row r="13285" hidden="1" x14ac:dyDescent="0.3"/>
    <row r="13286" hidden="1" x14ac:dyDescent="0.3"/>
    <row r="13287" hidden="1" x14ac:dyDescent="0.3"/>
    <row r="13288" hidden="1" x14ac:dyDescent="0.3"/>
    <row r="13289" hidden="1" x14ac:dyDescent="0.3"/>
    <row r="13290" hidden="1" x14ac:dyDescent="0.3"/>
    <row r="13291" hidden="1" x14ac:dyDescent="0.3"/>
    <row r="13292" hidden="1" x14ac:dyDescent="0.3"/>
    <row r="13293" hidden="1" x14ac:dyDescent="0.3"/>
    <row r="13294" hidden="1" x14ac:dyDescent="0.3"/>
    <row r="13295" hidden="1" x14ac:dyDescent="0.3"/>
    <row r="13296" hidden="1" x14ac:dyDescent="0.3"/>
    <row r="13297" hidden="1" x14ac:dyDescent="0.3"/>
    <row r="13298" hidden="1" x14ac:dyDescent="0.3"/>
    <row r="13299" hidden="1" x14ac:dyDescent="0.3"/>
    <row r="13300" hidden="1" x14ac:dyDescent="0.3"/>
    <row r="13301" hidden="1" x14ac:dyDescent="0.3"/>
    <row r="13302" hidden="1" x14ac:dyDescent="0.3"/>
    <row r="13303" hidden="1" x14ac:dyDescent="0.3"/>
    <row r="13304" hidden="1" x14ac:dyDescent="0.3"/>
    <row r="13305" hidden="1" x14ac:dyDescent="0.3"/>
    <row r="13306" hidden="1" x14ac:dyDescent="0.3"/>
    <row r="13307" hidden="1" x14ac:dyDescent="0.3"/>
    <row r="13308" hidden="1" x14ac:dyDescent="0.3"/>
    <row r="13309" hidden="1" x14ac:dyDescent="0.3"/>
    <row r="13310" hidden="1" x14ac:dyDescent="0.3"/>
    <row r="13311" hidden="1" x14ac:dyDescent="0.3"/>
    <row r="13312" hidden="1" x14ac:dyDescent="0.3"/>
    <row r="13313" hidden="1" x14ac:dyDescent="0.3"/>
    <row r="13314" hidden="1" x14ac:dyDescent="0.3"/>
    <row r="13315" hidden="1" x14ac:dyDescent="0.3"/>
    <row r="13316" hidden="1" x14ac:dyDescent="0.3"/>
    <row r="13317" hidden="1" x14ac:dyDescent="0.3"/>
    <row r="13318" hidden="1" x14ac:dyDescent="0.3"/>
    <row r="13319" hidden="1" x14ac:dyDescent="0.3"/>
    <row r="13320" hidden="1" x14ac:dyDescent="0.3"/>
    <row r="13321" hidden="1" x14ac:dyDescent="0.3"/>
    <row r="13322" hidden="1" x14ac:dyDescent="0.3"/>
    <row r="13323" hidden="1" x14ac:dyDescent="0.3"/>
    <row r="13324" hidden="1" x14ac:dyDescent="0.3"/>
    <row r="13325" hidden="1" x14ac:dyDescent="0.3"/>
    <row r="13326" hidden="1" x14ac:dyDescent="0.3"/>
    <row r="13327" hidden="1" x14ac:dyDescent="0.3"/>
    <row r="13328" hidden="1" x14ac:dyDescent="0.3"/>
    <row r="13329" hidden="1" x14ac:dyDescent="0.3"/>
    <row r="13330" hidden="1" x14ac:dyDescent="0.3"/>
    <row r="13331" hidden="1" x14ac:dyDescent="0.3"/>
    <row r="13332" hidden="1" x14ac:dyDescent="0.3"/>
    <row r="13333" hidden="1" x14ac:dyDescent="0.3"/>
    <row r="13334" hidden="1" x14ac:dyDescent="0.3"/>
    <row r="13335" hidden="1" x14ac:dyDescent="0.3"/>
    <row r="13336" hidden="1" x14ac:dyDescent="0.3"/>
    <row r="13337" hidden="1" x14ac:dyDescent="0.3"/>
    <row r="13338" hidden="1" x14ac:dyDescent="0.3"/>
    <row r="13339" hidden="1" x14ac:dyDescent="0.3"/>
    <row r="13340" hidden="1" x14ac:dyDescent="0.3"/>
    <row r="13341" hidden="1" x14ac:dyDescent="0.3"/>
    <row r="13342" hidden="1" x14ac:dyDescent="0.3"/>
    <row r="13343" hidden="1" x14ac:dyDescent="0.3"/>
    <row r="13344" hidden="1" x14ac:dyDescent="0.3"/>
    <row r="13345" hidden="1" x14ac:dyDescent="0.3"/>
    <row r="13346" hidden="1" x14ac:dyDescent="0.3"/>
    <row r="13347" hidden="1" x14ac:dyDescent="0.3"/>
    <row r="13348" hidden="1" x14ac:dyDescent="0.3"/>
    <row r="13349" hidden="1" x14ac:dyDescent="0.3"/>
    <row r="13350" hidden="1" x14ac:dyDescent="0.3"/>
    <row r="13351" hidden="1" x14ac:dyDescent="0.3"/>
    <row r="13352" hidden="1" x14ac:dyDescent="0.3"/>
    <row r="13353" hidden="1" x14ac:dyDescent="0.3"/>
    <row r="13354" hidden="1" x14ac:dyDescent="0.3"/>
    <row r="13355" hidden="1" x14ac:dyDescent="0.3"/>
    <row r="13356" hidden="1" x14ac:dyDescent="0.3"/>
    <row r="13357" hidden="1" x14ac:dyDescent="0.3"/>
    <row r="13358" hidden="1" x14ac:dyDescent="0.3"/>
    <row r="13359" hidden="1" x14ac:dyDescent="0.3"/>
    <row r="13360" hidden="1" x14ac:dyDescent="0.3"/>
    <row r="13361" hidden="1" x14ac:dyDescent="0.3"/>
    <row r="13362" hidden="1" x14ac:dyDescent="0.3"/>
    <row r="13363" hidden="1" x14ac:dyDescent="0.3"/>
    <row r="13364" hidden="1" x14ac:dyDescent="0.3"/>
    <row r="13365" hidden="1" x14ac:dyDescent="0.3"/>
    <row r="13366" hidden="1" x14ac:dyDescent="0.3"/>
    <row r="13367" hidden="1" x14ac:dyDescent="0.3"/>
    <row r="13368" hidden="1" x14ac:dyDescent="0.3"/>
    <row r="13369" hidden="1" x14ac:dyDescent="0.3"/>
    <row r="13370" hidden="1" x14ac:dyDescent="0.3"/>
    <row r="13371" hidden="1" x14ac:dyDescent="0.3"/>
    <row r="13372" hidden="1" x14ac:dyDescent="0.3"/>
    <row r="13373" hidden="1" x14ac:dyDescent="0.3"/>
    <row r="13374" hidden="1" x14ac:dyDescent="0.3"/>
    <row r="13375" hidden="1" x14ac:dyDescent="0.3"/>
    <row r="13376" hidden="1" x14ac:dyDescent="0.3"/>
    <row r="13377" hidden="1" x14ac:dyDescent="0.3"/>
    <row r="13378" hidden="1" x14ac:dyDescent="0.3"/>
    <row r="13379" hidden="1" x14ac:dyDescent="0.3"/>
    <row r="13380" hidden="1" x14ac:dyDescent="0.3"/>
    <row r="13381" hidden="1" x14ac:dyDescent="0.3"/>
    <row r="13382" hidden="1" x14ac:dyDescent="0.3"/>
    <row r="13383" hidden="1" x14ac:dyDescent="0.3"/>
    <row r="13384" hidden="1" x14ac:dyDescent="0.3"/>
    <row r="13385" hidden="1" x14ac:dyDescent="0.3"/>
    <row r="13386" hidden="1" x14ac:dyDescent="0.3"/>
    <row r="13387" hidden="1" x14ac:dyDescent="0.3"/>
    <row r="13388" hidden="1" x14ac:dyDescent="0.3"/>
    <row r="13389" hidden="1" x14ac:dyDescent="0.3"/>
    <row r="13390" hidden="1" x14ac:dyDescent="0.3"/>
    <row r="13391" hidden="1" x14ac:dyDescent="0.3"/>
    <row r="13392" hidden="1" x14ac:dyDescent="0.3"/>
    <row r="13393" hidden="1" x14ac:dyDescent="0.3"/>
    <row r="13394" hidden="1" x14ac:dyDescent="0.3"/>
    <row r="13395" hidden="1" x14ac:dyDescent="0.3"/>
    <row r="13396" hidden="1" x14ac:dyDescent="0.3"/>
    <row r="13397" hidden="1" x14ac:dyDescent="0.3"/>
    <row r="13398" hidden="1" x14ac:dyDescent="0.3"/>
    <row r="13399" hidden="1" x14ac:dyDescent="0.3"/>
    <row r="13400" hidden="1" x14ac:dyDescent="0.3"/>
    <row r="13401" hidden="1" x14ac:dyDescent="0.3"/>
    <row r="13402" hidden="1" x14ac:dyDescent="0.3"/>
    <row r="13403" hidden="1" x14ac:dyDescent="0.3"/>
    <row r="13404" hidden="1" x14ac:dyDescent="0.3"/>
    <row r="13405" hidden="1" x14ac:dyDescent="0.3"/>
    <row r="13406" hidden="1" x14ac:dyDescent="0.3"/>
    <row r="13407" hidden="1" x14ac:dyDescent="0.3"/>
    <row r="13408" hidden="1" x14ac:dyDescent="0.3"/>
    <row r="13409" hidden="1" x14ac:dyDescent="0.3"/>
    <row r="13410" hidden="1" x14ac:dyDescent="0.3"/>
    <row r="13411" hidden="1" x14ac:dyDescent="0.3"/>
    <row r="13412" hidden="1" x14ac:dyDescent="0.3"/>
    <row r="13413" hidden="1" x14ac:dyDescent="0.3"/>
    <row r="13414" hidden="1" x14ac:dyDescent="0.3"/>
    <row r="13415" hidden="1" x14ac:dyDescent="0.3"/>
    <row r="13416" hidden="1" x14ac:dyDescent="0.3"/>
    <row r="13417" hidden="1" x14ac:dyDescent="0.3"/>
    <row r="13418" hidden="1" x14ac:dyDescent="0.3"/>
    <row r="13419" hidden="1" x14ac:dyDescent="0.3"/>
    <row r="13420" hidden="1" x14ac:dyDescent="0.3"/>
    <row r="13421" hidden="1" x14ac:dyDescent="0.3"/>
    <row r="13422" hidden="1" x14ac:dyDescent="0.3"/>
    <row r="13423" hidden="1" x14ac:dyDescent="0.3"/>
    <row r="13424" hidden="1" x14ac:dyDescent="0.3"/>
    <row r="13425" hidden="1" x14ac:dyDescent="0.3"/>
    <row r="13426" hidden="1" x14ac:dyDescent="0.3"/>
    <row r="13427" hidden="1" x14ac:dyDescent="0.3"/>
    <row r="13428" hidden="1" x14ac:dyDescent="0.3"/>
    <row r="13429" hidden="1" x14ac:dyDescent="0.3"/>
    <row r="13430" hidden="1" x14ac:dyDescent="0.3"/>
    <row r="13431" hidden="1" x14ac:dyDescent="0.3"/>
    <row r="13432" hidden="1" x14ac:dyDescent="0.3"/>
    <row r="13433" hidden="1" x14ac:dyDescent="0.3"/>
    <row r="13434" hidden="1" x14ac:dyDescent="0.3"/>
    <row r="13435" hidden="1" x14ac:dyDescent="0.3"/>
    <row r="13436" hidden="1" x14ac:dyDescent="0.3"/>
    <row r="13437" hidden="1" x14ac:dyDescent="0.3"/>
    <row r="13438" hidden="1" x14ac:dyDescent="0.3"/>
    <row r="13439" hidden="1" x14ac:dyDescent="0.3"/>
    <row r="13440" hidden="1" x14ac:dyDescent="0.3"/>
    <row r="13441" hidden="1" x14ac:dyDescent="0.3"/>
    <row r="13442" hidden="1" x14ac:dyDescent="0.3"/>
    <row r="13443" hidden="1" x14ac:dyDescent="0.3"/>
    <row r="13444" hidden="1" x14ac:dyDescent="0.3"/>
    <row r="13445" hidden="1" x14ac:dyDescent="0.3"/>
    <row r="13446" hidden="1" x14ac:dyDescent="0.3"/>
    <row r="13447" hidden="1" x14ac:dyDescent="0.3"/>
    <row r="13448" hidden="1" x14ac:dyDescent="0.3"/>
    <row r="13449" hidden="1" x14ac:dyDescent="0.3"/>
    <row r="13450" hidden="1" x14ac:dyDescent="0.3"/>
    <row r="13451" hidden="1" x14ac:dyDescent="0.3"/>
    <row r="13452" hidden="1" x14ac:dyDescent="0.3"/>
    <row r="13453" hidden="1" x14ac:dyDescent="0.3"/>
    <row r="13454" hidden="1" x14ac:dyDescent="0.3"/>
    <row r="13455" hidden="1" x14ac:dyDescent="0.3"/>
    <row r="13456" hidden="1" x14ac:dyDescent="0.3"/>
    <row r="13457" hidden="1" x14ac:dyDescent="0.3"/>
    <row r="13458" hidden="1" x14ac:dyDescent="0.3"/>
    <row r="13459" hidden="1" x14ac:dyDescent="0.3"/>
    <row r="13460" hidden="1" x14ac:dyDescent="0.3"/>
    <row r="13461" hidden="1" x14ac:dyDescent="0.3"/>
    <row r="13462" hidden="1" x14ac:dyDescent="0.3"/>
    <row r="13463" hidden="1" x14ac:dyDescent="0.3"/>
    <row r="13464" hidden="1" x14ac:dyDescent="0.3"/>
    <row r="13465" hidden="1" x14ac:dyDescent="0.3"/>
    <row r="13466" hidden="1" x14ac:dyDescent="0.3"/>
    <row r="13467" hidden="1" x14ac:dyDescent="0.3"/>
    <row r="13468" hidden="1" x14ac:dyDescent="0.3"/>
    <row r="13469" hidden="1" x14ac:dyDescent="0.3"/>
    <row r="13470" hidden="1" x14ac:dyDescent="0.3"/>
    <row r="13471" hidden="1" x14ac:dyDescent="0.3"/>
    <row r="13472" hidden="1" x14ac:dyDescent="0.3"/>
    <row r="13473" hidden="1" x14ac:dyDescent="0.3"/>
    <row r="13474" hidden="1" x14ac:dyDescent="0.3"/>
    <row r="13475" hidden="1" x14ac:dyDescent="0.3"/>
    <row r="13476" hidden="1" x14ac:dyDescent="0.3"/>
    <row r="13477" hidden="1" x14ac:dyDescent="0.3"/>
    <row r="13478" hidden="1" x14ac:dyDescent="0.3"/>
    <row r="13479" hidden="1" x14ac:dyDescent="0.3"/>
    <row r="13480" hidden="1" x14ac:dyDescent="0.3"/>
    <row r="13481" hidden="1" x14ac:dyDescent="0.3"/>
    <row r="13482" hidden="1" x14ac:dyDescent="0.3"/>
    <row r="13483" hidden="1" x14ac:dyDescent="0.3"/>
    <row r="13484" hidden="1" x14ac:dyDescent="0.3"/>
    <row r="13485" hidden="1" x14ac:dyDescent="0.3"/>
    <row r="13486" hidden="1" x14ac:dyDescent="0.3"/>
    <row r="13487" hidden="1" x14ac:dyDescent="0.3"/>
    <row r="13488" hidden="1" x14ac:dyDescent="0.3"/>
    <row r="13489" hidden="1" x14ac:dyDescent="0.3"/>
    <row r="13490" hidden="1" x14ac:dyDescent="0.3"/>
    <row r="13491" hidden="1" x14ac:dyDescent="0.3"/>
    <row r="13492" hidden="1" x14ac:dyDescent="0.3"/>
    <row r="13493" hidden="1" x14ac:dyDescent="0.3"/>
    <row r="13494" hidden="1" x14ac:dyDescent="0.3"/>
    <row r="13495" hidden="1" x14ac:dyDescent="0.3"/>
    <row r="13496" hidden="1" x14ac:dyDescent="0.3"/>
    <row r="13497" hidden="1" x14ac:dyDescent="0.3"/>
    <row r="13498" hidden="1" x14ac:dyDescent="0.3"/>
    <row r="13499" hidden="1" x14ac:dyDescent="0.3"/>
    <row r="13500" hidden="1" x14ac:dyDescent="0.3"/>
    <row r="13501" hidden="1" x14ac:dyDescent="0.3"/>
    <row r="13502" hidden="1" x14ac:dyDescent="0.3"/>
    <row r="13503" hidden="1" x14ac:dyDescent="0.3"/>
    <row r="13504" hidden="1" x14ac:dyDescent="0.3"/>
    <row r="13505" hidden="1" x14ac:dyDescent="0.3"/>
    <row r="13506" hidden="1" x14ac:dyDescent="0.3"/>
    <row r="13507" hidden="1" x14ac:dyDescent="0.3"/>
    <row r="13508" hidden="1" x14ac:dyDescent="0.3"/>
    <row r="13509" hidden="1" x14ac:dyDescent="0.3"/>
    <row r="13510" hidden="1" x14ac:dyDescent="0.3"/>
    <row r="13511" hidden="1" x14ac:dyDescent="0.3"/>
    <row r="13512" hidden="1" x14ac:dyDescent="0.3"/>
    <row r="13513" hidden="1" x14ac:dyDescent="0.3"/>
    <row r="13514" hidden="1" x14ac:dyDescent="0.3"/>
    <row r="13515" hidden="1" x14ac:dyDescent="0.3"/>
    <row r="13516" hidden="1" x14ac:dyDescent="0.3"/>
    <row r="13517" hidden="1" x14ac:dyDescent="0.3"/>
    <row r="13518" hidden="1" x14ac:dyDescent="0.3"/>
    <row r="13519" hidden="1" x14ac:dyDescent="0.3"/>
    <row r="13520" hidden="1" x14ac:dyDescent="0.3"/>
    <row r="13521" hidden="1" x14ac:dyDescent="0.3"/>
    <row r="13522" hidden="1" x14ac:dyDescent="0.3"/>
    <row r="13523" hidden="1" x14ac:dyDescent="0.3"/>
    <row r="13524" hidden="1" x14ac:dyDescent="0.3"/>
    <row r="13525" hidden="1" x14ac:dyDescent="0.3"/>
    <row r="13526" hidden="1" x14ac:dyDescent="0.3"/>
    <row r="13527" hidden="1" x14ac:dyDescent="0.3"/>
    <row r="13528" hidden="1" x14ac:dyDescent="0.3"/>
    <row r="13529" hidden="1" x14ac:dyDescent="0.3"/>
    <row r="13530" hidden="1" x14ac:dyDescent="0.3"/>
    <row r="13531" hidden="1" x14ac:dyDescent="0.3"/>
    <row r="13532" hidden="1" x14ac:dyDescent="0.3"/>
    <row r="13533" hidden="1" x14ac:dyDescent="0.3"/>
    <row r="13534" hidden="1" x14ac:dyDescent="0.3"/>
    <row r="13535" hidden="1" x14ac:dyDescent="0.3"/>
    <row r="13536" hidden="1" x14ac:dyDescent="0.3"/>
    <row r="13537" hidden="1" x14ac:dyDescent="0.3"/>
    <row r="13538" hidden="1" x14ac:dyDescent="0.3"/>
    <row r="13539" hidden="1" x14ac:dyDescent="0.3"/>
    <row r="13540" hidden="1" x14ac:dyDescent="0.3"/>
    <row r="13541" hidden="1" x14ac:dyDescent="0.3"/>
    <row r="13542" hidden="1" x14ac:dyDescent="0.3"/>
    <row r="13543" hidden="1" x14ac:dyDescent="0.3"/>
    <row r="13544" hidden="1" x14ac:dyDescent="0.3"/>
    <row r="13545" hidden="1" x14ac:dyDescent="0.3"/>
    <row r="13546" hidden="1" x14ac:dyDescent="0.3"/>
    <row r="13547" hidden="1" x14ac:dyDescent="0.3"/>
    <row r="13548" hidden="1" x14ac:dyDescent="0.3"/>
    <row r="13549" hidden="1" x14ac:dyDescent="0.3"/>
    <row r="13550" hidden="1" x14ac:dyDescent="0.3"/>
    <row r="13551" hidden="1" x14ac:dyDescent="0.3"/>
    <row r="13552" hidden="1" x14ac:dyDescent="0.3"/>
    <row r="13553" hidden="1" x14ac:dyDescent="0.3"/>
    <row r="13554" hidden="1" x14ac:dyDescent="0.3"/>
    <row r="13555" hidden="1" x14ac:dyDescent="0.3"/>
    <row r="13556" hidden="1" x14ac:dyDescent="0.3"/>
    <row r="13557" hidden="1" x14ac:dyDescent="0.3"/>
    <row r="13558" hidden="1" x14ac:dyDescent="0.3"/>
    <row r="13559" hidden="1" x14ac:dyDescent="0.3"/>
    <row r="13560" hidden="1" x14ac:dyDescent="0.3"/>
    <row r="13561" hidden="1" x14ac:dyDescent="0.3"/>
    <row r="13562" hidden="1" x14ac:dyDescent="0.3"/>
    <row r="13563" hidden="1" x14ac:dyDescent="0.3"/>
    <row r="13564" hidden="1" x14ac:dyDescent="0.3"/>
    <row r="13565" hidden="1" x14ac:dyDescent="0.3"/>
    <row r="13566" hidden="1" x14ac:dyDescent="0.3"/>
    <row r="13567" hidden="1" x14ac:dyDescent="0.3"/>
    <row r="13568" hidden="1" x14ac:dyDescent="0.3"/>
    <row r="13569" hidden="1" x14ac:dyDescent="0.3"/>
    <row r="13570" hidden="1" x14ac:dyDescent="0.3"/>
    <row r="13571" hidden="1" x14ac:dyDescent="0.3"/>
    <row r="13572" hidden="1" x14ac:dyDescent="0.3"/>
    <row r="13573" hidden="1" x14ac:dyDescent="0.3"/>
    <row r="13574" hidden="1" x14ac:dyDescent="0.3"/>
    <row r="13575" hidden="1" x14ac:dyDescent="0.3"/>
    <row r="13576" hidden="1" x14ac:dyDescent="0.3"/>
    <row r="13577" hidden="1" x14ac:dyDescent="0.3"/>
    <row r="13578" hidden="1" x14ac:dyDescent="0.3"/>
    <row r="13579" hidden="1" x14ac:dyDescent="0.3"/>
    <row r="13580" hidden="1" x14ac:dyDescent="0.3"/>
    <row r="13581" hidden="1" x14ac:dyDescent="0.3"/>
    <row r="13582" hidden="1" x14ac:dyDescent="0.3"/>
    <row r="13583" hidden="1" x14ac:dyDescent="0.3"/>
    <row r="13584" hidden="1" x14ac:dyDescent="0.3"/>
    <row r="13585" hidden="1" x14ac:dyDescent="0.3"/>
    <row r="13586" hidden="1" x14ac:dyDescent="0.3"/>
    <row r="13587" hidden="1" x14ac:dyDescent="0.3"/>
    <row r="13588" hidden="1" x14ac:dyDescent="0.3"/>
    <row r="13589" hidden="1" x14ac:dyDescent="0.3"/>
    <row r="13590" hidden="1" x14ac:dyDescent="0.3"/>
    <row r="13591" hidden="1" x14ac:dyDescent="0.3"/>
    <row r="13592" hidden="1" x14ac:dyDescent="0.3"/>
    <row r="13593" hidden="1" x14ac:dyDescent="0.3"/>
    <row r="13594" hidden="1" x14ac:dyDescent="0.3"/>
    <row r="13595" hidden="1" x14ac:dyDescent="0.3"/>
    <row r="13596" hidden="1" x14ac:dyDescent="0.3"/>
    <row r="13597" hidden="1" x14ac:dyDescent="0.3"/>
    <row r="13598" hidden="1" x14ac:dyDescent="0.3"/>
    <row r="13599" hidden="1" x14ac:dyDescent="0.3"/>
    <row r="13600" hidden="1" x14ac:dyDescent="0.3"/>
    <row r="13601" hidden="1" x14ac:dyDescent="0.3"/>
    <row r="13602" hidden="1" x14ac:dyDescent="0.3"/>
    <row r="13603" hidden="1" x14ac:dyDescent="0.3"/>
    <row r="13604" hidden="1" x14ac:dyDescent="0.3"/>
    <row r="13605" hidden="1" x14ac:dyDescent="0.3"/>
    <row r="13606" hidden="1" x14ac:dyDescent="0.3"/>
    <row r="13607" hidden="1" x14ac:dyDescent="0.3"/>
    <row r="13608" hidden="1" x14ac:dyDescent="0.3"/>
    <row r="13609" hidden="1" x14ac:dyDescent="0.3"/>
    <row r="13610" hidden="1" x14ac:dyDescent="0.3"/>
    <row r="13611" hidden="1" x14ac:dyDescent="0.3"/>
    <row r="13612" hidden="1" x14ac:dyDescent="0.3"/>
    <row r="13613" hidden="1" x14ac:dyDescent="0.3"/>
    <row r="13614" hidden="1" x14ac:dyDescent="0.3"/>
    <row r="13615" hidden="1" x14ac:dyDescent="0.3"/>
    <row r="13616" hidden="1" x14ac:dyDescent="0.3"/>
    <row r="13617" hidden="1" x14ac:dyDescent="0.3"/>
    <row r="13618" hidden="1" x14ac:dyDescent="0.3"/>
    <row r="13619" hidden="1" x14ac:dyDescent="0.3"/>
    <row r="13620" hidden="1" x14ac:dyDescent="0.3"/>
    <row r="13621" hidden="1" x14ac:dyDescent="0.3"/>
    <row r="13622" hidden="1" x14ac:dyDescent="0.3"/>
    <row r="13623" hidden="1" x14ac:dyDescent="0.3"/>
    <row r="13624" hidden="1" x14ac:dyDescent="0.3"/>
    <row r="13625" hidden="1" x14ac:dyDescent="0.3"/>
    <row r="13626" hidden="1" x14ac:dyDescent="0.3"/>
    <row r="13627" hidden="1" x14ac:dyDescent="0.3"/>
    <row r="13628" hidden="1" x14ac:dyDescent="0.3"/>
    <row r="13629" hidden="1" x14ac:dyDescent="0.3"/>
    <row r="13630" hidden="1" x14ac:dyDescent="0.3"/>
    <row r="13631" hidden="1" x14ac:dyDescent="0.3"/>
    <row r="13632" hidden="1" x14ac:dyDescent="0.3"/>
    <row r="13633" hidden="1" x14ac:dyDescent="0.3"/>
    <row r="13634" hidden="1" x14ac:dyDescent="0.3"/>
    <row r="13635" hidden="1" x14ac:dyDescent="0.3"/>
    <row r="13636" hidden="1" x14ac:dyDescent="0.3"/>
    <row r="13637" hidden="1" x14ac:dyDescent="0.3"/>
    <row r="13638" hidden="1" x14ac:dyDescent="0.3"/>
    <row r="13639" hidden="1" x14ac:dyDescent="0.3"/>
    <row r="13640" hidden="1" x14ac:dyDescent="0.3"/>
    <row r="13641" hidden="1" x14ac:dyDescent="0.3"/>
    <row r="13642" hidden="1" x14ac:dyDescent="0.3"/>
    <row r="13643" hidden="1" x14ac:dyDescent="0.3"/>
    <row r="13644" hidden="1" x14ac:dyDescent="0.3"/>
    <row r="13645" hidden="1" x14ac:dyDescent="0.3"/>
    <row r="13646" hidden="1" x14ac:dyDescent="0.3"/>
    <row r="13647" hidden="1" x14ac:dyDescent="0.3"/>
    <row r="13648" hidden="1" x14ac:dyDescent="0.3"/>
    <row r="13649" hidden="1" x14ac:dyDescent="0.3"/>
    <row r="13650" hidden="1" x14ac:dyDescent="0.3"/>
    <row r="13651" hidden="1" x14ac:dyDescent="0.3"/>
    <row r="13652" hidden="1" x14ac:dyDescent="0.3"/>
    <row r="13653" hidden="1" x14ac:dyDescent="0.3"/>
    <row r="13654" hidden="1" x14ac:dyDescent="0.3"/>
    <row r="13655" hidden="1" x14ac:dyDescent="0.3"/>
    <row r="13656" hidden="1" x14ac:dyDescent="0.3"/>
    <row r="13657" hidden="1" x14ac:dyDescent="0.3"/>
    <row r="13658" hidden="1" x14ac:dyDescent="0.3"/>
    <row r="13659" hidden="1" x14ac:dyDescent="0.3"/>
    <row r="13660" hidden="1" x14ac:dyDescent="0.3"/>
    <row r="13661" hidden="1" x14ac:dyDescent="0.3"/>
    <row r="13662" hidden="1" x14ac:dyDescent="0.3"/>
    <row r="13663" hidden="1" x14ac:dyDescent="0.3"/>
    <row r="13664" hidden="1" x14ac:dyDescent="0.3"/>
    <row r="13665" hidden="1" x14ac:dyDescent="0.3"/>
    <row r="13666" hidden="1" x14ac:dyDescent="0.3"/>
    <row r="13667" hidden="1" x14ac:dyDescent="0.3"/>
    <row r="13668" hidden="1" x14ac:dyDescent="0.3"/>
    <row r="13669" hidden="1" x14ac:dyDescent="0.3"/>
    <row r="13670" hidden="1" x14ac:dyDescent="0.3"/>
    <row r="13671" hidden="1" x14ac:dyDescent="0.3"/>
    <row r="13672" hidden="1" x14ac:dyDescent="0.3"/>
    <row r="13673" hidden="1" x14ac:dyDescent="0.3"/>
    <row r="13674" hidden="1" x14ac:dyDescent="0.3"/>
    <row r="13675" hidden="1" x14ac:dyDescent="0.3"/>
    <row r="13676" hidden="1" x14ac:dyDescent="0.3"/>
    <row r="13677" hidden="1" x14ac:dyDescent="0.3"/>
    <row r="13678" hidden="1" x14ac:dyDescent="0.3"/>
    <row r="13679" hidden="1" x14ac:dyDescent="0.3"/>
    <row r="13680" hidden="1" x14ac:dyDescent="0.3"/>
    <row r="13681" hidden="1" x14ac:dyDescent="0.3"/>
    <row r="13682" hidden="1" x14ac:dyDescent="0.3"/>
    <row r="13683" hidden="1" x14ac:dyDescent="0.3"/>
    <row r="13684" hidden="1" x14ac:dyDescent="0.3"/>
    <row r="13685" hidden="1" x14ac:dyDescent="0.3"/>
    <row r="13686" hidden="1" x14ac:dyDescent="0.3"/>
    <row r="13687" hidden="1" x14ac:dyDescent="0.3"/>
    <row r="13688" hidden="1" x14ac:dyDescent="0.3"/>
    <row r="13689" hidden="1" x14ac:dyDescent="0.3"/>
    <row r="13690" hidden="1" x14ac:dyDescent="0.3"/>
    <row r="13691" hidden="1" x14ac:dyDescent="0.3"/>
    <row r="13692" hidden="1" x14ac:dyDescent="0.3"/>
    <row r="13693" hidden="1" x14ac:dyDescent="0.3"/>
    <row r="13694" hidden="1" x14ac:dyDescent="0.3"/>
    <row r="13695" hidden="1" x14ac:dyDescent="0.3"/>
    <row r="13696" hidden="1" x14ac:dyDescent="0.3"/>
    <row r="13697" hidden="1" x14ac:dyDescent="0.3"/>
    <row r="13698" hidden="1" x14ac:dyDescent="0.3"/>
    <row r="13699" hidden="1" x14ac:dyDescent="0.3"/>
    <row r="13700" hidden="1" x14ac:dyDescent="0.3"/>
    <row r="13701" hidden="1" x14ac:dyDescent="0.3"/>
    <row r="13702" hidden="1" x14ac:dyDescent="0.3"/>
    <row r="13703" hidden="1" x14ac:dyDescent="0.3"/>
    <row r="13704" hidden="1" x14ac:dyDescent="0.3"/>
    <row r="13705" hidden="1" x14ac:dyDescent="0.3"/>
    <row r="13706" hidden="1" x14ac:dyDescent="0.3"/>
    <row r="13707" hidden="1" x14ac:dyDescent="0.3"/>
    <row r="13708" hidden="1" x14ac:dyDescent="0.3"/>
    <row r="13709" hidden="1" x14ac:dyDescent="0.3"/>
    <row r="13710" hidden="1" x14ac:dyDescent="0.3"/>
    <row r="13711" hidden="1" x14ac:dyDescent="0.3"/>
    <row r="13712" hidden="1" x14ac:dyDescent="0.3"/>
    <row r="13713" hidden="1" x14ac:dyDescent="0.3"/>
    <row r="13714" hidden="1" x14ac:dyDescent="0.3"/>
    <row r="13715" hidden="1" x14ac:dyDescent="0.3"/>
    <row r="13716" hidden="1" x14ac:dyDescent="0.3"/>
    <row r="13717" hidden="1" x14ac:dyDescent="0.3"/>
    <row r="13718" hidden="1" x14ac:dyDescent="0.3"/>
    <row r="13719" hidden="1" x14ac:dyDescent="0.3"/>
    <row r="13720" hidden="1" x14ac:dyDescent="0.3"/>
    <row r="13721" hidden="1" x14ac:dyDescent="0.3"/>
    <row r="13722" hidden="1" x14ac:dyDescent="0.3"/>
    <row r="13723" hidden="1" x14ac:dyDescent="0.3"/>
    <row r="13724" hidden="1" x14ac:dyDescent="0.3"/>
    <row r="13725" hidden="1" x14ac:dyDescent="0.3"/>
    <row r="13726" hidden="1" x14ac:dyDescent="0.3"/>
    <row r="13727" hidden="1" x14ac:dyDescent="0.3"/>
    <row r="13728" hidden="1" x14ac:dyDescent="0.3"/>
    <row r="13729" hidden="1" x14ac:dyDescent="0.3"/>
    <row r="13730" hidden="1" x14ac:dyDescent="0.3"/>
    <row r="13731" hidden="1" x14ac:dyDescent="0.3"/>
    <row r="13732" hidden="1" x14ac:dyDescent="0.3"/>
    <row r="13733" hidden="1" x14ac:dyDescent="0.3"/>
    <row r="13734" hidden="1" x14ac:dyDescent="0.3"/>
    <row r="13735" hidden="1" x14ac:dyDescent="0.3"/>
    <row r="13736" hidden="1" x14ac:dyDescent="0.3"/>
    <row r="13737" hidden="1" x14ac:dyDescent="0.3"/>
    <row r="13738" hidden="1" x14ac:dyDescent="0.3"/>
    <row r="13739" hidden="1" x14ac:dyDescent="0.3"/>
    <row r="13740" hidden="1" x14ac:dyDescent="0.3"/>
    <row r="13741" hidden="1" x14ac:dyDescent="0.3"/>
    <row r="13742" hidden="1" x14ac:dyDescent="0.3"/>
    <row r="13743" hidden="1" x14ac:dyDescent="0.3"/>
    <row r="13744" hidden="1" x14ac:dyDescent="0.3"/>
    <row r="13745" hidden="1" x14ac:dyDescent="0.3"/>
    <row r="13746" hidden="1" x14ac:dyDescent="0.3"/>
    <row r="13747" hidden="1" x14ac:dyDescent="0.3"/>
    <row r="13748" hidden="1" x14ac:dyDescent="0.3"/>
    <row r="13749" hidden="1" x14ac:dyDescent="0.3"/>
    <row r="13750" hidden="1" x14ac:dyDescent="0.3"/>
    <row r="13751" hidden="1" x14ac:dyDescent="0.3"/>
    <row r="13752" hidden="1" x14ac:dyDescent="0.3"/>
    <row r="13753" hidden="1" x14ac:dyDescent="0.3"/>
    <row r="13754" hidden="1" x14ac:dyDescent="0.3"/>
    <row r="13755" hidden="1" x14ac:dyDescent="0.3"/>
    <row r="13756" hidden="1" x14ac:dyDescent="0.3"/>
    <row r="13757" hidden="1" x14ac:dyDescent="0.3"/>
    <row r="13758" hidden="1" x14ac:dyDescent="0.3"/>
    <row r="13759" hidden="1" x14ac:dyDescent="0.3"/>
    <row r="13760" hidden="1" x14ac:dyDescent="0.3"/>
    <row r="13761" hidden="1" x14ac:dyDescent="0.3"/>
    <row r="13762" hidden="1" x14ac:dyDescent="0.3"/>
    <row r="13763" hidden="1" x14ac:dyDescent="0.3"/>
    <row r="13764" hidden="1" x14ac:dyDescent="0.3"/>
    <row r="13765" hidden="1" x14ac:dyDescent="0.3"/>
    <row r="13766" hidden="1" x14ac:dyDescent="0.3"/>
    <row r="13767" hidden="1" x14ac:dyDescent="0.3"/>
    <row r="13768" hidden="1" x14ac:dyDescent="0.3"/>
    <row r="13769" hidden="1" x14ac:dyDescent="0.3"/>
    <row r="13770" hidden="1" x14ac:dyDescent="0.3"/>
    <row r="13771" hidden="1" x14ac:dyDescent="0.3"/>
    <row r="13772" hidden="1" x14ac:dyDescent="0.3"/>
    <row r="13773" hidden="1" x14ac:dyDescent="0.3"/>
    <row r="13774" hidden="1" x14ac:dyDescent="0.3"/>
    <row r="13775" hidden="1" x14ac:dyDescent="0.3"/>
    <row r="13776" hidden="1" x14ac:dyDescent="0.3"/>
    <row r="13777" hidden="1" x14ac:dyDescent="0.3"/>
    <row r="13778" hidden="1" x14ac:dyDescent="0.3"/>
    <row r="13779" hidden="1" x14ac:dyDescent="0.3"/>
    <row r="13780" hidden="1" x14ac:dyDescent="0.3"/>
    <row r="13781" hidden="1" x14ac:dyDescent="0.3"/>
    <row r="13782" hidden="1" x14ac:dyDescent="0.3"/>
    <row r="13783" hidden="1" x14ac:dyDescent="0.3"/>
    <row r="13784" hidden="1" x14ac:dyDescent="0.3"/>
    <row r="13785" hidden="1" x14ac:dyDescent="0.3"/>
    <row r="13786" hidden="1" x14ac:dyDescent="0.3"/>
    <row r="13787" hidden="1" x14ac:dyDescent="0.3"/>
    <row r="13788" hidden="1" x14ac:dyDescent="0.3"/>
    <row r="13789" hidden="1" x14ac:dyDescent="0.3"/>
    <row r="13790" hidden="1" x14ac:dyDescent="0.3"/>
    <row r="13791" hidden="1" x14ac:dyDescent="0.3"/>
    <row r="13792" hidden="1" x14ac:dyDescent="0.3"/>
    <row r="13793" hidden="1" x14ac:dyDescent="0.3"/>
    <row r="13794" hidden="1" x14ac:dyDescent="0.3"/>
    <row r="13795" hidden="1" x14ac:dyDescent="0.3"/>
    <row r="13796" hidden="1" x14ac:dyDescent="0.3"/>
    <row r="13797" hidden="1" x14ac:dyDescent="0.3"/>
    <row r="13798" hidden="1" x14ac:dyDescent="0.3"/>
    <row r="13799" hidden="1" x14ac:dyDescent="0.3"/>
    <row r="13800" hidden="1" x14ac:dyDescent="0.3"/>
    <row r="13801" hidden="1" x14ac:dyDescent="0.3"/>
    <row r="13802" hidden="1" x14ac:dyDescent="0.3"/>
    <row r="13803" hidden="1" x14ac:dyDescent="0.3"/>
    <row r="13804" hidden="1" x14ac:dyDescent="0.3"/>
    <row r="13805" hidden="1" x14ac:dyDescent="0.3"/>
    <row r="13806" hidden="1" x14ac:dyDescent="0.3"/>
    <row r="13807" hidden="1" x14ac:dyDescent="0.3"/>
    <row r="13808" hidden="1" x14ac:dyDescent="0.3"/>
    <row r="13809" hidden="1" x14ac:dyDescent="0.3"/>
    <row r="13810" hidden="1" x14ac:dyDescent="0.3"/>
    <row r="13811" hidden="1" x14ac:dyDescent="0.3"/>
    <row r="13812" hidden="1" x14ac:dyDescent="0.3"/>
    <row r="13813" hidden="1" x14ac:dyDescent="0.3"/>
    <row r="13814" hidden="1" x14ac:dyDescent="0.3"/>
    <row r="13815" hidden="1" x14ac:dyDescent="0.3"/>
    <row r="13816" hidden="1" x14ac:dyDescent="0.3"/>
    <row r="13817" hidden="1" x14ac:dyDescent="0.3"/>
    <row r="13818" hidden="1" x14ac:dyDescent="0.3"/>
    <row r="13819" hidden="1" x14ac:dyDescent="0.3"/>
    <row r="13820" hidden="1" x14ac:dyDescent="0.3"/>
    <row r="13821" hidden="1" x14ac:dyDescent="0.3"/>
    <row r="13822" hidden="1" x14ac:dyDescent="0.3"/>
    <row r="13823" hidden="1" x14ac:dyDescent="0.3"/>
    <row r="13824" hidden="1" x14ac:dyDescent="0.3"/>
    <row r="13825" hidden="1" x14ac:dyDescent="0.3"/>
    <row r="13826" hidden="1" x14ac:dyDescent="0.3"/>
    <row r="13827" hidden="1" x14ac:dyDescent="0.3"/>
    <row r="13828" hidden="1" x14ac:dyDescent="0.3"/>
    <row r="13829" hidden="1" x14ac:dyDescent="0.3"/>
    <row r="13830" hidden="1" x14ac:dyDescent="0.3"/>
    <row r="13831" hidden="1" x14ac:dyDescent="0.3"/>
    <row r="13832" hidden="1" x14ac:dyDescent="0.3"/>
    <row r="13833" hidden="1" x14ac:dyDescent="0.3"/>
    <row r="13834" hidden="1" x14ac:dyDescent="0.3"/>
    <row r="13835" hidden="1" x14ac:dyDescent="0.3"/>
    <row r="13836" hidden="1" x14ac:dyDescent="0.3"/>
    <row r="13837" hidden="1" x14ac:dyDescent="0.3"/>
    <row r="13838" hidden="1" x14ac:dyDescent="0.3"/>
    <row r="13839" hidden="1" x14ac:dyDescent="0.3"/>
    <row r="13840" hidden="1" x14ac:dyDescent="0.3"/>
    <row r="13841" hidden="1" x14ac:dyDescent="0.3"/>
    <row r="13842" hidden="1" x14ac:dyDescent="0.3"/>
    <row r="13843" hidden="1" x14ac:dyDescent="0.3"/>
    <row r="13844" hidden="1" x14ac:dyDescent="0.3"/>
    <row r="13845" hidden="1" x14ac:dyDescent="0.3"/>
    <row r="13846" hidden="1" x14ac:dyDescent="0.3"/>
    <row r="13847" hidden="1" x14ac:dyDescent="0.3"/>
    <row r="13848" hidden="1" x14ac:dyDescent="0.3"/>
    <row r="13849" hidden="1" x14ac:dyDescent="0.3"/>
    <row r="13850" hidden="1" x14ac:dyDescent="0.3"/>
    <row r="13851" hidden="1" x14ac:dyDescent="0.3"/>
    <row r="13852" hidden="1" x14ac:dyDescent="0.3"/>
    <row r="13853" hidden="1" x14ac:dyDescent="0.3"/>
    <row r="13854" hidden="1" x14ac:dyDescent="0.3"/>
    <row r="13855" hidden="1" x14ac:dyDescent="0.3"/>
    <row r="13856" hidden="1" x14ac:dyDescent="0.3"/>
    <row r="13857" hidden="1" x14ac:dyDescent="0.3"/>
    <row r="13858" hidden="1" x14ac:dyDescent="0.3"/>
    <row r="13859" hidden="1" x14ac:dyDescent="0.3"/>
    <row r="13860" hidden="1" x14ac:dyDescent="0.3"/>
    <row r="13861" hidden="1" x14ac:dyDescent="0.3"/>
    <row r="13862" hidden="1" x14ac:dyDescent="0.3"/>
    <row r="13863" hidden="1" x14ac:dyDescent="0.3"/>
    <row r="13864" hidden="1" x14ac:dyDescent="0.3"/>
    <row r="13865" hidden="1" x14ac:dyDescent="0.3"/>
    <row r="13866" hidden="1" x14ac:dyDescent="0.3"/>
    <row r="13867" hidden="1" x14ac:dyDescent="0.3"/>
    <row r="13868" hidden="1" x14ac:dyDescent="0.3"/>
    <row r="13869" hidden="1" x14ac:dyDescent="0.3"/>
    <row r="13870" hidden="1" x14ac:dyDescent="0.3"/>
    <row r="13871" hidden="1" x14ac:dyDescent="0.3"/>
    <row r="13872" hidden="1" x14ac:dyDescent="0.3"/>
    <row r="13873" hidden="1" x14ac:dyDescent="0.3"/>
    <row r="13874" hidden="1" x14ac:dyDescent="0.3"/>
    <row r="13875" hidden="1" x14ac:dyDescent="0.3"/>
    <row r="13876" hidden="1" x14ac:dyDescent="0.3"/>
    <row r="13877" hidden="1" x14ac:dyDescent="0.3"/>
    <row r="13878" hidden="1" x14ac:dyDescent="0.3"/>
    <row r="13879" hidden="1" x14ac:dyDescent="0.3"/>
    <row r="13880" hidden="1" x14ac:dyDescent="0.3"/>
    <row r="13881" hidden="1" x14ac:dyDescent="0.3"/>
    <row r="13882" hidden="1" x14ac:dyDescent="0.3"/>
    <row r="13883" hidden="1" x14ac:dyDescent="0.3"/>
    <row r="13884" hidden="1" x14ac:dyDescent="0.3"/>
    <row r="13885" hidden="1" x14ac:dyDescent="0.3"/>
    <row r="13886" hidden="1" x14ac:dyDescent="0.3"/>
    <row r="13887" hidden="1" x14ac:dyDescent="0.3"/>
    <row r="13888" hidden="1" x14ac:dyDescent="0.3"/>
    <row r="13889" hidden="1" x14ac:dyDescent="0.3"/>
    <row r="13890" hidden="1" x14ac:dyDescent="0.3"/>
    <row r="13891" hidden="1" x14ac:dyDescent="0.3"/>
    <row r="13892" hidden="1" x14ac:dyDescent="0.3"/>
    <row r="13893" hidden="1" x14ac:dyDescent="0.3"/>
    <row r="13894" hidden="1" x14ac:dyDescent="0.3"/>
    <row r="13895" hidden="1" x14ac:dyDescent="0.3"/>
    <row r="13896" hidden="1" x14ac:dyDescent="0.3"/>
    <row r="13897" hidden="1" x14ac:dyDescent="0.3"/>
    <row r="13898" hidden="1" x14ac:dyDescent="0.3"/>
    <row r="13899" hidden="1" x14ac:dyDescent="0.3"/>
    <row r="13900" hidden="1" x14ac:dyDescent="0.3"/>
    <row r="13901" hidden="1" x14ac:dyDescent="0.3"/>
    <row r="13902" hidden="1" x14ac:dyDescent="0.3"/>
    <row r="13903" hidden="1" x14ac:dyDescent="0.3"/>
    <row r="13904" hidden="1" x14ac:dyDescent="0.3"/>
    <row r="13905" hidden="1" x14ac:dyDescent="0.3"/>
    <row r="13906" hidden="1" x14ac:dyDescent="0.3"/>
    <row r="13907" hidden="1" x14ac:dyDescent="0.3"/>
    <row r="13908" hidden="1" x14ac:dyDescent="0.3"/>
    <row r="13909" hidden="1" x14ac:dyDescent="0.3"/>
    <row r="13910" hidden="1" x14ac:dyDescent="0.3"/>
    <row r="13911" hidden="1" x14ac:dyDescent="0.3"/>
    <row r="13912" hidden="1" x14ac:dyDescent="0.3"/>
    <row r="13913" hidden="1" x14ac:dyDescent="0.3"/>
    <row r="13914" hidden="1" x14ac:dyDescent="0.3"/>
    <row r="13915" hidden="1" x14ac:dyDescent="0.3"/>
    <row r="13916" hidden="1" x14ac:dyDescent="0.3"/>
    <row r="13917" hidden="1" x14ac:dyDescent="0.3"/>
    <row r="13918" hidden="1" x14ac:dyDescent="0.3"/>
    <row r="13919" hidden="1" x14ac:dyDescent="0.3"/>
    <row r="13920" hidden="1" x14ac:dyDescent="0.3"/>
    <row r="13921" hidden="1" x14ac:dyDescent="0.3"/>
    <row r="13922" hidden="1" x14ac:dyDescent="0.3"/>
    <row r="13923" hidden="1" x14ac:dyDescent="0.3"/>
    <row r="13924" hidden="1" x14ac:dyDescent="0.3"/>
    <row r="13925" hidden="1" x14ac:dyDescent="0.3"/>
    <row r="13926" hidden="1" x14ac:dyDescent="0.3"/>
    <row r="13927" hidden="1" x14ac:dyDescent="0.3"/>
    <row r="13928" hidden="1" x14ac:dyDescent="0.3"/>
    <row r="13929" hidden="1" x14ac:dyDescent="0.3"/>
    <row r="13930" hidden="1" x14ac:dyDescent="0.3"/>
    <row r="13931" hidden="1" x14ac:dyDescent="0.3"/>
    <row r="13932" hidden="1" x14ac:dyDescent="0.3"/>
    <row r="13933" hidden="1" x14ac:dyDescent="0.3"/>
    <row r="13934" hidden="1" x14ac:dyDescent="0.3"/>
    <row r="13935" hidden="1" x14ac:dyDescent="0.3"/>
    <row r="13936" hidden="1" x14ac:dyDescent="0.3"/>
    <row r="13937" hidden="1" x14ac:dyDescent="0.3"/>
    <row r="13938" hidden="1" x14ac:dyDescent="0.3"/>
    <row r="13939" hidden="1" x14ac:dyDescent="0.3"/>
    <row r="13940" hidden="1" x14ac:dyDescent="0.3"/>
    <row r="13941" hidden="1" x14ac:dyDescent="0.3"/>
    <row r="13942" hidden="1" x14ac:dyDescent="0.3"/>
    <row r="13943" hidden="1" x14ac:dyDescent="0.3"/>
    <row r="13944" hidden="1" x14ac:dyDescent="0.3"/>
    <row r="13945" hidden="1" x14ac:dyDescent="0.3"/>
    <row r="13946" hidden="1" x14ac:dyDescent="0.3"/>
    <row r="13947" hidden="1" x14ac:dyDescent="0.3"/>
    <row r="13948" hidden="1" x14ac:dyDescent="0.3"/>
    <row r="13949" hidden="1" x14ac:dyDescent="0.3"/>
    <row r="13950" hidden="1" x14ac:dyDescent="0.3"/>
    <row r="13951" hidden="1" x14ac:dyDescent="0.3"/>
    <row r="13952" hidden="1" x14ac:dyDescent="0.3"/>
    <row r="13953" hidden="1" x14ac:dyDescent="0.3"/>
    <row r="13954" hidden="1" x14ac:dyDescent="0.3"/>
    <row r="13955" hidden="1" x14ac:dyDescent="0.3"/>
    <row r="13956" hidden="1" x14ac:dyDescent="0.3"/>
    <row r="13957" hidden="1" x14ac:dyDescent="0.3"/>
    <row r="13958" hidden="1" x14ac:dyDescent="0.3"/>
    <row r="13959" hidden="1" x14ac:dyDescent="0.3"/>
    <row r="13960" hidden="1" x14ac:dyDescent="0.3"/>
    <row r="13961" hidden="1" x14ac:dyDescent="0.3"/>
    <row r="13962" hidden="1" x14ac:dyDescent="0.3"/>
    <row r="13963" hidden="1" x14ac:dyDescent="0.3"/>
    <row r="13964" hidden="1" x14ac:dyDescent="0.3"/>
    <row r="13965" hidden="1" x14ac:dyDescent="0.3"/>
    <row r="13966" hidden="1" x14ac:dyDescent="0.3"/>
    <row r="13967" hidden="1" x14ac:dyDescent="0.3"/>
    <row r="13968" hidden="1" x14ac:dyDescent="0.3"/>
    <row r="13969" hidden="1" x14ac:dyDescent="0.3"/>
    <row r="13970" hidden="1" x14ac:dyDescent="0.3"/>
    <row r="13971" hidden="1" x14ac:dyDescent="0.3"/>
    <row r="13972" hidden="1" x14ac:dyDescent="0.3"/>
    <row r="13973" hidden="1" x14ac:dyDescent="0.3"/>
    <row r="13974" hidden="1" x14ac:dyDescent="0.3"/>
    <row r="13975" hidden="1" x14ac:dyDescent="0.3"/>
    <row r="13976" hidden="1" x14ac:dyDescent="0.3"/>
    <row r="13977" hidden="1" x14ac:dyDescent="0.3"/>
    <row r="13978" hidden="1" x14ac:dyDescent="0.3"/>
    <row r="13979" hidden="1" x14ac:dyDescent="0.3"/>
    <row r="13980" hidden="1" x14ac:dyDescent="0.3"/>
    <row r="13981" hidden="1" x14ac:dyDescent="0.3"/>
    <row r="13982" hidden="1" x14ac:dyDescent="0.3"/>
    <row r="13983" hidden="1" x14ac:dyDescent="0.3"/>
    <row r="13984" hidden="1" x14ac:dyDescent="0.3"/>
    <row r="13985" hidden="1" x14ac:dyDescent="0.3"/>
    <row r="13986" hidden="1" x14ac:dyDescent="0.3"/>
    <row r="13987" hidden="1" x14ac:dyDescent="0.3"/>
    <row r="13988" hidden="1" x14ac:dyDescent="0.3"/>
    <row r="13989" hidden="1" x14ac:dyDescent="0.3"/>
    <row r="13990" hidden="1" x14ac:dyDescent="0.3"/>
    <row r="13991" hidden="1" x14ac:dyDescent="0.3"/>
    <row r="13992" hidden="1" x14ac:dyDescent="0.3"/>
    <row r="13993" hidden="1" x14ac:dyDescent="0.3"/>
    <row r="13994" hidden="1" x14ac:dyDescent="0.3"/>
    <row r="13995" hidden="1" x14ac:dyDescent="0.3"/>
    <row r="13996" hidden="1" x14ac:dyDescent="0.3"/>
    <row r="13997" hidden="1" x14ac:dyDescent="0.3"/>
    <row r="13998" hidden="1" x14ac:dyDescent="0.3"/>
    <row r="13999" hidden="1" x14ac:dyDescent="0.3"/>
    <row r="14000" hidden="1" x14ac:dyDescent="0.3"/>
    <row r="14001" hidden="1" x14ac:dyDescent="0.3"/>
    <row r="14002" hidden="1" x14ac:dyDescent="0.3"/>
    <row r="14003" hidden="1" x14ac:dyDescent="0.3"/>
    <row r="14004" hidden="1" x14ac:dyDescent="0.3"/>
    <row r="14005" hidden="1" x14ac:dyDescent="0.3"/>
    <row r="14006" hidden="1" x14ac:dyDescent="0.3"/>
    <row r="14007" hidden="1" x14ac:dyDescent="0.3"/>
    <row r="14008" hidden="1" x14ac:dyDescent="0.3"/>
    <row r="14009" hidden="1" x14ac:dyDescent="0.3"/>
    <row r="14010" hidden="1" x14ac:dyDescent="0.3"/>
    <row r="14011" hidden="1" x14ac:dyDescent="0.3"/>
    <row r="14012" hidden="1" x14ac:dyDescent="0.3"/>
    <row r="14013" hidden="1" x14ac:dyDescent="0.3"/>
    <row r="14014" hidden="1" x14ac:dyDescent="0.3"/>
    <row r="14015" hidden="1" x14ac:dyDescent="0.3"/>
    <row r="14016" hidden="1" x14ac:dyDescent="0.3"/>
    <row r="14017" hidden="1" x14ac:dyDescent="0.3"/>
    <row r="14018" hidden="1" x14ac:dyDescent="0.3"/>
    <row r="14019" hidden="1" x14ac:dyDescent="0.3"/>
    <row r="14020" hidden="1" x14ac:dyDescent="0.3"/>
    <row r="14021" hidden="1" x14ac:dyDescent="0.3"/>
    <row r="14022" hidden="1" x14ac:dyDescent="0.3"/>
    <row r="14023" hidden="1" x14ac:dyDescent="0.3"/>
    <row r="14024" hidden="1" x14ac:dyDescent="0.3"/>
    <row r="14025" hidden="1" x14ac:dyDescent="0.3"/>
    <row r="14026" hidden="1" x14ac:dyDescent="0.3"/>
    <row r="14027" hidden="1" x14ac:dyDescent="0.3"/>
    <row r="14028" hidden="1" x14ac:dyDescent="0.3"/>
    <row r="14029" hidden="1" x14ac:dyDescent="0.3"/>
    <row r="14030" hidden="1" x14ac:dyDescent="0.3"/>
    <row r="14031" hidden="1" x14ac:dyDescent="0.3"/>
    <row r="14032" hidden="1" x14ac:dyDescent="0.3"/>
    <row r="14033" hidden="1" x14ac:dyDescent="0.3"/>
    <row r="14034" hidden="1" x14ac:dyDescent="0.3"/>
    <row r="14035" hidden="1" x14ac:dyDescent="0.3"/>
    <row r="14036" hidden="1" x14ac:dyDescent="0.3"/>
    <row r="14037" hidden="1" x14ac:dyDescent="0.3"/>
    <row r="14038" hidden="1" x14ac:dyDescent="0.3"/>
    <row r="14039" hidden="1" x14ac:dyDescent="0.3"/>
    <row r="14040" hidden="1" x14ac:dyDescent="0.3"/>
    <row r="14041" hidden="1" x14ac:dyDescent="0.3"/>
    <row r="14042" hidden="1" x14ac:dyDescent="0.3"/>
    <row r="14043" hidden="1" x14ac:dyDescent="0.3"/>
    <row r="14044" hidden="1" x14ac:dyDescent="0.3"/>
    <row r="14045" hidden="1" x14ac:dyDescent="0.3"/>
    <row r="14046" hidden="1" x14ac:dyDescent="0.3"/>
    <row r="14047" hidden="1" x14ac:dyDescent="0.3"/>
    <row r="14048" hidden="1" x14ac:dyDescent="0.3"/>
    <row r="14049" hidden="1" x14ac:dyDescent="0.3"/>
    <row r="14050" hidden="1" x14ac:dyDescent="0.3"/>
    <row r="14051" hidden="1" x14ac:dyDescent="0.3"/>
    <row r="14052" hidden="1" x14ac:dyDescent="0.3"/>
    <row r="14053" hidden="1" x14ac:dyDescent="0.3"/>
    <row r="14054" hidden="1" x14ac:dyDescent="0.3"/>
    <row r="14055" hidden="1" x14ac:dyDescent="0.3"/>
    <row r="14056" hidden="1" x14ac:dyDescent="0.3"/>
    <row r="14057" hidden="1" x14ac:dyDescent="0.3"/>
    <row r="14058" hidden="1" x14ac:dyDescent="0.3"/>
    <row r="14059" hidden="1" x14ac:dyDescent="0.3"/>
    <row r="14060" hidden="1" x14ac:dyDescent="0.3"/>
    <row r="14061" hidden="1" x14ac:dyDescent="0.3"/>
    <row r="14062" hidden="1" x14ac:dyDescent="0.3"/>
    <row r="14063" hidden="1" x14ac:dyDescent="0.3"/>
    <row r="14064" hidden="1" x14ac:dyDescent="0.3"/>
    <row r="14065" hidden="1" x14ac:dyDescent="0.3"/>
    <row r="14066" hidden="1" x14ac:dyDescent="0.3"/>
    <row r="14067" hidden="1" x14ac:dyDescent="0.3"/>
    <row r="14068" hidden="1" x14ac:dyDescent="0.3"/>
    <row r="14069" hidden="1" x14ac:dyDescent="0.3"/>
    <row r="14070" hidden="1" x14ac:dyDescent="0.3"/>
    <row r="14071" hidden="1" x14ac:dyDescent="0.3"/>
    <row r="14072" hidden="1" x14ac:dyDescent="0.3"/>
    <row r="14073" hidden="1" x14ac:dyDescent="0.3"/>
    <row r="14074" hidden="1" x14ac:dyDescent="0.3"/>
    <row r="14075" hidden="1" x14ac:dyDescent="0.3"/>
    <row r="14076" hidden="1" x14ac:dyDescent="0.3"/>
    <row r="14077" hidden="1" x14ac:dyDescent="0.3"/>
    <row r="14078" hidden="1" x14ac:dyDescent="0.3"/>
    <row r="14079" hidden="1" x14ac:dyDescent="0.3"/>
    <row r="14080" hidden="1" x14ac:dyDescent="0.3"/>
    <row r="14081" hidden="1" x14ac:dyDescent="0.3"/>
    <row r="14082" hidden="1" x14ac:dyDescent="0.3"/>
    <row r="14083" hidden="1" x14ac:dyDescent="0.3"/>
    <row r="14084" hidden="1" x14ac:dyDescent="0.3"/>
    <row r="14085" hidden="1" x14ac:dyDescent="0.3"/>
    <row r="14086" hidden="1" x14ac:dyDescent="0.3"/>
    <row r="14087" hidden="1" x14ac:dyDescent="0.3"/>
    <row r="14088" hidden="1" x14ac:dyDescent="0.3"/>
    <row r="14089" hidden="1" x14ac:dyDescent="0.3"/>
    <row r="14090" hidden="1" x14ac:dyDescent="0.3"/>
    <row r="14091" hidden="1" x14ac:dyDescent="0.3"/>
    <row r="14092" hidden="1" x14ac:dyDescent="0.3"/>
    <row r="14093" hidden="1" x14ac:dyDescent="0.3"/>
    <row r="14094" hidden="1" x14ac:dyDescent="0.3"/>
    <row r="14095" hidden="1" x14ac:dyDescent="0.3"/>
    <row r="14096" hidden="1" x14ac:dyDescent="0.3"/>
    <row r="14097" hidden="1" x14ac:dyDescent="0.3"/>
    <row r="14098" hidden="1" x14ac:dyDescent="0.3"/>
    <row r="14099" hidden="1" x14ac:dyDescent="0.3"/>
    <row r="14100" hidden="1" x14ac:dyDescent="0.3"/>
    <row r="14101" hidden="1" x14ac:dyDescent="0.3"/>
    <row r="14102" hidden="1" x14ac:dyDescent="0.3"/>
    <row r="14103" hidden="1" x14ac:dyDescent="0.3"/>
    <row r="14104" hidden="1" x14ac:dyDescent="0.3"/>
    <row r="14105" hidden="1" x14ac:dyDescent="0.3"/>
    <row r="14106" hidden="1" x14ac:dyDescent="0.3"/>
    <row r="14107" hidden="1" x14ac:dyDescent="0.3"/>
    <row r="14108" hidden="1" x14ac:dyDescent="0.3"/>
    <row r="14109" hidden="1" x14ac:dyDescent="0.3"/>
    <row r="14110" hidden="1" x14ac:dyDescent="0.3"/>
    <row r="14111" hidden="1" x14ac:dyDescent="0.3"/>
    <row r="14112" hidden="1" x14ac:dyDescent="0.3"/>
    <row r="14113" hidden="1" x14ac:dyDescent="0.3"/>
    <row r="14114" hidden="1" x14ac:dyDescent="0.3"/>
    <row r="14115" hidden="1" x14ac:dyDescent="0.3"/>
    <row r="14116" hidden="1" x14ac:dyDescent="0.3"/>
    <row r="14117" hidden="1" x14ac:dyDescent="0.3"/>
    <row r="14118" hidden="1" x14ac:dyDescent="0.3"/>
    <row r="14119" hidden="1" x14ac:dyDescent="0.3"/>
    <row r="14120" hidden="1" x14ac:dyDescent="0.3"/>
    <row r="14121" hidden="1" x14ac:dyDescent="0.3"/>
    <row r="14122" hidden="1" x14ac:dyDescent="0.3"/>
    <row r="14123" hidden="1" x14ac:dyDescent="0.3"/>
    <row r="14124" hidden="1" x14ac:dyDescent="0.3"/>
    <row r="14125" hidden="1" x14ac:dyDescent="0.3"/>
    <row r="14126" hidden="1" x14ac:dyDescent="0.3"/>
    <row r="14127" hidden="1" x14ac:dyDescent="0.3"/>
    <row r="14128" hidden="1" x14ac:dyDescent="0.3"/>
    <row r="14129" hidden="1" x14ac:dyDescent="0.3"/>
    <row r="14130" hidden="1" x14ac:dyDescent="0.3"/>
    <row r="14131" hidden="1" x14ac:dyDescent="0.3"/>
    <row r="14132" hidden="1" x14ac:dyDescent="0.3"/>
    <row r="14133" hidden="1" x14ac:dyDescent="0.3"/>
    <row r="14134" hidden="1" x14ac:dyDescent="0.3"/>
    <row r="14135" hidden="1" x14ac:dyDescent="0.3"/>
    <row r="14136" hidden="1" x14ac:dyDescent="0.3"/>
    <row r="14137" hidden="1" x14ac:dyDescent="0.3"/>
    <row r="14138" hidden="1" x14ac:dyDescent="0.3"/>
    <row r="14139" hidden="1" x14ac:dyDescent="0.3"/>
    <row r="14140" hidden="1" x14ac:dyDescent="0.3"/>
    <row r="14141" hidden="1" x14ac:dyDescent="0.3"/>
    <row r="14142" hidden="1" x14ac:dyDescent="0.3"/>
    <row r="14143" hidden="1" x14ac:dyDescent="0.3"/>
    <row r="14144" hidden="1" x14ac:dyDescent="0.3"/>
    <row r="14145" hidden="1" x14ac:dyDescent="0.3"/>
    <row r="14146" hidden="1" x14ac:dyDescent="0.3"/>
    <row r="14147" hidden="1" x14ac:dyDescent="0.3"/>
    <row r="14148" hidden="1" x14ac:dyDescent="0.3"/>
    <row r="14149" hidden="1" x14ac:dyDescent="0.3"/>
    <row r="14150" hidden="1" x14ac:dyDescent="0.3"/>
    <row r="14151" hidden="1" x14ac:dyDescent="0.3"/>
    <row r="14152" hidden="1" x14ac:dyDescent="0.3"/>
    <row r="14153" hidden="1" x14ac:dyDescent="0.3"/>
    <row r="14154" hidden="1" x14ac:dyDescent="0.3"/>
    <row r="14155" hidden="1" x14ac:dyDescent="0.3"/>
    <row r="14156" hidden="1" x14ac:dyDescent="0.3"/>
    <row r="14157" hidden="1" x14ac:dyDescent="0.3"/>
    <row r="14158" hidden="1" x14ac:dyDescent="0.3"/>
    <row r="14159" hidden="1" x14ac:dyDescent="0.3"/>
    <row r="14160" hidden="1" x14ac:dyDescent="0.3"/>
    <row r="14161" hidden="1" x14ac:dyDescent="0.3"/>
    <row r="14162" hidden="1" x14ac:dyDescent="0.3"/>
    <row r="14163" hidden="1" x14ac:dyDescent="0.3"/>
    <row r="14164" hidden="1" x14ac:dyDescent="0.3"/>
    <row r="14165" hidden="1" x14ac:dyDescent="0.3"/>
    <row r="14166" hidden="1" x14ac:dyDescent="0.3"/>
    <row r="14167" hidden="1" x14ac:dyDescent="0.3"/>
    <row r="14168" hidden="1" x14ac:dyDescent="0.3"/>
    <row r="14169" hidden="1" x14ac:dyDescent="0.3"/>
    <row r="14170" hidden="1" x14ac:dyDescent="0.3"/>
    <row r="14171" hidden="1" x14ac:dyDescent="0.3"/>
    <row r="14172" hidden="1" x14ac:dyDescent="0.3"/>
    <row r="14173" hidden="1" x14ac:dyDescent="0.3"/>
    <row r="14174" hidden="1" x14ac:dyDescent="0.3"/>
    <row r="14175" hidden="1" x14ac:dyDescent="0.3"/>
    <row r="14176" hidden="1" x14ac:dyDescent="0.3"/>
    <row r="14177" hidden="1" x14ac:dyDescent="0.3"/>
    <row r="14178" hidden="1" x14ac:dyDescent="0.3"/>
    <row r="14179" hidden="1" x14ac:dyDescent="0.3"/>
    <row r="14180" hidden="1" x14ac:dyDescent="0.3"/>
    <row r="14181" hidden="1" x14ac:dyDescent="0.3"/>
    <row r="14182" hidden="1" x14ac:dyDescent="0.3"/>
    <row r="14183" hidden="1" x14ac:dyDescent="0.3"/>
    <row r="14184" hidden="1" x14ac:dyDescent="0.3"/>
    <row r="14185" hidden="1" x14ac:dyDescent="0.3"/>
    <row r="14186" hidden="1" x14ac:dyDescent="0.3"/>
    <row r="14187" hidden="1" x14ac:dyDescent="0.3"/>
    <row r="14188" hidden="1" x14ac:dyDescent="0.3"/>
    <row r="14189" hidden="1" x14ac:dyDescent="0.3"/>
    <row r="14190" hidden="1" x14ac:dyDescent="0.3"/>
    <row r="14191" hidden="1" x14ac:dyDescent="0.3"/>
    <row r="14192" hidden="1" x14ac:dyDescent="0.3"/>
    <row r="14193" hidden="1" x14ac:dyDescent="0.3"/>
    <row r="14194" hidden="1" x14ac:dyDescent="0.3"/>
    <row r="14195" hidden="1" x14ac:dyDescent="0.3"/>
    <row r="14196" hidden="1" x14ac:dyDescent="0.3"/>
    <row r="14197" hidden="1" x14ac:dyDescent="0.3"/>
    <row r="14198" hidden="1" x14ac:dyDescent="0.3"/>
    <row r="14199" hidden="1" x14ac:dyDescent="0.3"/>
    <row r="14200" hidden="1" x14ac:dyDescent="0.3"/>
    <row r="14201" hidden="1" x14ac:dyDescent="0.3"/>
    <row r="14202" hidden="1" x14ac:dyDescent="0.3"/>
    <row r="14203" hidden="1" x14ac:dyDescent="0.3"/>
    <row r="14204" hidden="1" x14ac:dyDescent="0.3"/>
    <row r="14205" hidden="1" x14ac:dyDescent="0.3"/>
    <row r="14206" hidden="1" x14ac:dyDescent="0.3"/>
    <row r="14207" hidden="1" x14ac:dyDescent="0.3"/>
    <row r="14208" hidden="1" x14ac:dyDescent="0.3"/>
    <row r="14209" hidden="1" x14ac:dyDescent="0.3"/>
    <row r="14210" hidden="1" x14ac:dyDescent="0.3"/>
    <row r="14211" hidden="1" x14ac:dyDescent="0.3"/>
    <row r="14212" hidden="1" x14ac:dyDescent="0.3"/>
    <row r="14213" hidden="1" x14ac:dyDescent="0.3"/>
    <row r="14214" hidden="1" x14ac:dyDescent="0.3"/>
    <row r="14215" hidden="1" x14ac:dyDescent="0.3"/>
    <row r="14216" hidden="1" x14ac:dyDescent="0.3"/>
    <row r="14217" hidden="1" x14ac:dyDescent="0.3"/>
    <row r="14218" hidden="1" x14ac:dyDescent="0.3"/>
    <row r="14219" hidden="1" x14ac:dyDescent="0.3"/>
    <row r="14220" hidden="1" x14ac:dyDescent="0.3"/>
    <row r="14221" hidden="1" x14ac:dyDescent="0.3"/>
    <row r="14222" hidden="1" x14ac:dyDescent="0.3"/>
    <row r="14223" hidden="1" x14ac:dyDescent="0.3"/>
    <row r="14224" hidden="1" x14ac:dyDescent="0.3"/>
    <row r="14225" hidden="1" x14ac:dyDescent="0.3"/>
    <row r="14226" hidden="1" x14ac:dyDescent="0.3"/>
    <row r="14227" hidden="1" x14ac:dyDescent="0.3"/>
    <row r="14228" hidden="1" x14ac:dyDescent="0.3"/>
    <row r="14229" hidden="1" x14ac:dyDescent="0.3"/>
    <row r="14230" hidden="1" x14ac:dyDescent="0.3"/>
    <row r="14231" hidden="1" x14ac:dyDescent="0.3"/>
    <row r="14232" hidden="1" x14ac:dyDescent="0.3"/>
    <row r="14233" hidden="1" x14ac:dyDescent="0.3"/>
    <row r="14234" hidden="1" x14ac:dyDescent="0.3"/>
    <row r="14235" hidden="1" x14ac:dyDescent="0.3"/>
    <row r="14236" hidden="1" x14ac:dyDescent="0.3"/>
    <row r="14237" hidden="1" x14ac:dyDescent="0.3"/>
    <row r="14238" hidden="1" x14ac:dyDescent="0.3"/>
    <row r="14239" hidden="1" x14ac:dyDescent="0.3"/>
    <row r="14240" hidden="1" x14ac:dyDescent="0.3"/>
    <row r="14241" hidden="1" x14ac:dyDescent="0.3"/>
    <row r="14242" hidden="1" x14ac:dyDescent="0.3"/>
    <row r="14243" hidden="1" x14ac:dyDescent="0.3"/>
    <row r="14244" hidden="1" x14ac:dyDescent="0.3"/>
    <row r="14245" hidden="1" x14ac:dyDescent="0.3"/>
    <row r="14246" hidden="1" x14ac:dyDescent="0.3"/>
    <row r="14247" hidden="1" x14ac:dyDescent="0.3"/>
    <row r="14248" hidden="1" x14ac:dyDescent="0.3"/>
    <row r="14249" hidden="1" x14ac:dyDescent="0.3"/>
    <row r="14250" hidden="1" x14ac:dyDescent="0.3"/>
    <row r="14251" hidden="1" x14ac:dyDescent="0.3"/>
    <row r="14252" hidden="1" x14ac:dyDescent="0.3"/>
    <row r="14253" hidden="1" x14ac:dyDescent="0.3"/>
    <row r="14254" hidden="1" x14ac:dyDescent="0.3"/>
    <row r="14255" hidden="1" x14ac:dyDescent="0.3"/>
    <row r="14256" hidden="1" x14ac:dyDescent="0.3"/>
    <row r="14257" hidden="1" x14ac:dyDescent="0.3"/>
    <row r="14258" hidden="1" x14ac:dyDescent="0.3"/>
    <row r="14259" hidden="1" x14ac:dyDescent="0.3"/>
    <row r="14260" hidden="1" x14ac:dyDescent="0.3"/>
    <row r="14261" hidden="1" x14ac:dyDescent="0.3"/>
    <row r="14262" hidden="1" x14ac:dyDescent="0.3"/>
    <row r="14263" hidden="1" x14ac:dyDescent="0.3"/>
    <row r="14264" hidden="1" x14ac:dyDescent="0.3"/>
    <row r="14265" hidden="1" x14ac:dyDescent="0.3"/>
    <row r="14266" hidden="1" x14ac:dyDescent="0.3"/>
    <row r="14267" hidden="1" x14ac:dyDescent="0.3"/>
    <row r="14268" hidden="1" x14ac:dyDescent="0.3"/>
    <row r="14269" hidden="1" x14ac:dyDescent="0.3"/>
    <row r="14270" hidden="1" x14ac:dyDescent="0.3"/>
    <row r="14271" hidden="1" x14ac:dyDescent="0.3"/>
    <row r="14272" hidden="1" x14ac:dyDescent="0.3"/>
    <row r="14273" hidden="1" x14ac:dyDescent="0.3"/>
    <row r="14274" hidden="1" x14ac:dyDescent="0.3"/>
    <row r="14275" hidden="1" x14ac:dyDescent="0.3"/>
    <row r="14276" hidden="1" x14ac:dyDescent="0.3"/>
    <row r="14277" hidden="1" x14ac:dyDescent="0.3"/>
    <row r="14278" hidden="1" x14ac:dyDescent="0.3"/>
    <row r="14279" hidden="1" x14ac:dyDescent="0.3"/>
    <row r="14280" hidden="1" x14ac:dyDescent="0.3"/>
    <row r="14281" hidden="1" x14ac:dyDescent="0.3"/>
    <row r="14282" hidden="1" x14ac:dyDescent="0.3"/>
    <row r="14283" hidden="1" x14ac:dyDescent="0.3"/>
    <row r="14284" hidden="1" x14ac:dyDescent="0.3"/>
    <row r="14285" hidden="1" x14ac:dyDescent="0.3"/>
    <row r="14286" hidden="1" x14ac:dyDescent="0.3"/>
    <row r="14287" hidden="1" x14ac:dyDescent="0.3"/>
    <row r="14288" hidden="1" x14ac:dyDescent="0.3"/>
    <row r="14289" hidden="1" x14ac:dyDescent="0.3"/>
    <row r="14290" hidden="1" x14ac:dyDescent="0.3"/>
    <row r="14291" hidden="1" x14ac:dyDescent="0.3"/>
    <row r="14292" hidden="1" x14ac:dyDescent="0.3"/>
    <row r="14293" hidden="1" x14ac:dyDescent="0.3"/>
    <row r="14294" hidden="1" x14ac:dyDescent="0.3"/>
    <row r="14295" hidden="1" x14ac:dyDescent="0.3"/>
    <row r="14296" hidden="1" x14ac:dyDescent="0.3"/>
    <row r="14297" hidden="1" x14ac:dyDescent="0.3"/>
    <row r="14298" hidden="1" x14ac:dyDescent="0.3"/>
    <row r="14299" hidden="1" x14ac:dyDescent="0.3"/>
    <row r="14300" hidden="1" x14ac:dyDescent="0.3"/>
    <row r="14301" hidden="1" x14ac:dyDescent="0.3"/>
    <row r="14302" hidden="1" x14ac:dyDescent="0.3"/>
    <row r="14303" hidden="1" x14ac:dyDescent="0.3"/>
    <row r="14304" hidden="1" x14ac:dyDescent="0.3"/>
    <row r="14305" hidden="1" x14ac:dyDescent="0.3"/>
    <row r="14306" hidden="1" x14ac:dyDescent="0.3"/>
    <row r="14307" hidden="1" x14ac:dyDescent="0.3"/>
    <row r="14308" hidden="1" x14ac:dyDescent="0.3"/>
    <row r="14309" hidden="1" x14ac:dyDescent="0.3"/>
    <row r="14310" hidden="1" x14ac:dyDescent="0.3"/>
    <row r="14311" hidden="1" x14ac:dyDescent="0.3"/>
    <row r="14312" hidden="1" x14ac:dyDescent="0.3"/>
    <row r="14313" hidden="1" x14ac:dyDescent="0.3"/>
    <row r="14314" hidden="1" x14ac:dyDescent="0.3"/>
    <row r="14315" hidden="1" x14ac:dyDescent="0.3"/>
    <row r="14316" hidden="1" x14ac:dyDescent="0.3"/>
    <row r="14317" hidden="1" x14ac:dyDescent="0.3"/>
    <row r="14318" hidden="1" x14ac:dyDescent="0.3"/>
    <row r="14319" hidden="1" x14ac:dyDescent="0.3"/>
    <row r="14320" hidden="1" x14ac:dyDescent="0.3"/>
    <row r="14321" hidden="1" x14ac:dyDescent="0.3"/>
    <row r="14322" hidden="1" x14ac:dyDescent="0.3"/>
    <row r="14323" hidden="1" x14ac:dyDescent="0.3"/>
    <row r="14324" hidden="1" x14ac:dyDescent="0.3"/>
    <row r="14325" hidden="1" x14ac:dyDescent="0.3"/>
    <row r="14326" hidden="1" x14ac:dyDescent="0.3"/>
    <row r="14327" hidden="1" x14ac:dyDescent="0.3"/>
    <row r="14328" hidden="1" x14ac:dyDescent="0.3"/>
    <row r="14329" hidden="1" x14ac:dyDescent="0.3"/>
    <row r="14330" hidden="1" x14ac:dyDescent="0.3"/>
    <row r="14331" hidden="1" x14ac:dyDescent="0.3"/>
    <row r="14332" hidden="1" x14ac:dyDescent="0.3"/>
    <row r="14333" hidden="1" x14ac:dyDescent="0.3"/>
    <row r="14334" hidden="1" x14ac:dyDescent="0.3"/>
    <row r="14335" hidden="1" x14ac:dyDescent="0.3"/>
    <row r="14336" hidden="1" x14ac:dyDescent="0.3"/>
    <row r="14337" hidden="1" x14ac:dyDescent="0.3"/>
    <row r="14338" hidden="1" x14ac:dyDescent="0.3"/>
    <row r="14339" hidden="1" x14ac:dyDescent="0.3"/>
    <row r="14340" hidden="1" x14ac:dyDescent="0.3"/>
    <row r="14341" hidden="1" x14ac:dyDescent="0.3"/>
    <row r="14342" hidden="1" x14ac:dyDescent="0.3"/>
    <row r="14343" hidden="1" x14ac:dyDescent="0.3"/>
    <row r="14344" hidden="1" x14ac:dyDescent="0.3"/>
    <row r="14345" hidden="1" x14ac:dyDescent="0.3"/>
    <row r="14346" hidden="1" x14ac:dyDescent="0.3"/>
    <row r="14347" hidden="1" x14ac:dyDescent="0.3"/>
    <row r="14348" hidden="1" x14ac:dyDescent="0.3"/>
    <row r="14349" hidden="1" x14ac:dyDescent="0.3"/>
    <row r="14350" hidden="1" x14ac:dyDescent="0.3"/>
    <row r="14351" hidden="1" x14ac:dyDescent="0.3"/>
    <row r="14352" hidden="1" x14ac:dyDescent="0.3"/>
    <row r="14353" hidden="1" x14ac:dyDescent="0.3"/>
    <row r="14354" hidden="1" x14ac:dyDescent="0.3"/>
    <row r="14355" hidden="1" x14ac:dyDescent="0.3"/>
    <row r="14356" hidden="1" x14ac:dyDescent="0.3"/>
    <row r="14357" hidden="1" x14ac:dyDescent="0.3"/>
    <row r="14358" hidden="1" x14ac:dyDescent="0.3"/>
    <row r="14359" hidden="1" x14ac:dyDescent="0.3"/>
    <row r="14360" hidden="1" x14ac:dyDescent="0.3"/>
    <row r="14361" hidden="1" x14ac:dyDescent="0.3"/>
    <row r="14362" hidden="1" x14ac:dyDescent="0.3"/>
    <row r="14363" hidden="1" x14ac:dyDescent="0.3"/>
    <row r="14364" hidden="1" x14ac:dyDescent="0.3"/>
    <row r="14365" hidden="1" x14ac:dyDescent="0.3"/>
    <row r="14366" hidden="1" x14ac:dyDescent="0.3"/>
    <row r="14367" hidden="1" x14ac:dyDescent="0.3"/>
    <row r="14368" hidden="1" x14ac:dyDescent="0.3"/>
    <row r="14369" hidden="1" x14ac:dyDescent="0.3"/>
    <row r="14370" hidden="1" x14ac:dyDescent="0.3"/>
    <row r="14371" hidden="1" x14ac:dyDescent="0.3"/>
    <row r="14372" hidden="1" x14ac:dyDescent="0.3"/>
    <row r="14373" hidden="1" x14ac:dyDescent="0.3"/>
    <row r="14374" hidden="1" x14ac:dyDescent="0.3"/>
    <row r="14375" hidden="1" x14ac:dyDescent="0.3"/>
    <row r="14376" hidden="1" x14ac:dyDescent="0.3"/>
    <row r="14377" hidden="1" x14ac:dyDescent="0.3"/>
    <row r="14378" hidden="1" x14ac:dyDescent="0.3"/>
    <row r="14379" hidden="1" x14ac:dyDescent="0.3"/>
    <row r="14380" hidden="1" x14ac:dyDescent="0.3"/>
    <row r="14381" hidden="1" x14ac:dyDescent="0.3"/>
    <row r="14382" hidden="1" x14ac:dyDescent="0.3"/>
    <row r="14383" hidden="1" x14ac:dyDescent="0.3"/>
    <row r="14384" hidden="1" x14ac:dyDescent="0.3"/>
    <row r="14385" hidden="1" x14ac:dyDescent="0.3"/>
    <row r="14386" hidden="1" x14ac:dyDescent="0.3"/>
    <row r="14387" hidden="1" x14ac:dyDescent="0.3"/>
    <row r="14388" hidden="1" x14ac:dyDescent="0.3"/>
    <row r="14389" hidden="1" x14ac:dyDescent="0.3"/>
    <row r="14390" hidden="1" x14ac:dyDescent="0.3"/>
    <row r="14391" hidden="1" x14ac:dyDescent="0.3"/>
    <row r="14392" hidden="1" x14ac:dyDescent="0.3"/>
    <row r="14393" hidden="1" x14ac:dyDescent="0.3"/>
    <row r="14394" hidden="1" x14ac:dyDescent="0.3"/>
    <row r="14395" hidden="1" x14ac:dyDescent="0.3"/>
    <row r="14396" hidden="1" x14ac:dyDescent="0.3"/>
    <row r="14397" hidden="1" x14ac:dyDescent="0.3"/>
    <row r="14398" hidden="1" x14ac:dyDescent="0.3"/>
    <row r="14399" hidden="1" x14ac:dyDescent="0.3"/>
    <row r="14400" hidden="1" x14ac:dyDescent="0.3"/>
    <row r="14401" hidden="1" x14ac:dyDescent="0.3"/>
    <row r="14402" hidden="1" x14ac:dyDescent="0.3"/>
    <row r="14403" hidden="1" x14ac:dyDescent="0.3"/>
    <row r="14404" hidden="1" x14ac:dyDescent="0.3"/>
    <row r="14405" hidden="1" x14ac:dyDescent="0.3"/>
    <row r="14406" hidden="1" x14ac:dyDescent="0.3"/>
    <row r="14407" hidden="1" x14ac:dyDescent="0.3"/>
    <row r="14408" hidden="1" x14ac:dyDescent="0.3"/>
    <row r="14409" hidden="1" x14ac:dyDescent="0.3"/>
    <row r="14410" hidden="1" x14ac:dyDescent="0.3"/>
    <row r="14411" hidden="1" x14ac:dyDescent="0.3"/>
    <row r="14412" hidden="1" x14ac:dyDescent="0.3"/>
    <row r="14413" hidden="1" x14ac:dyDescent="0.3"/>
    <row r="14414" hidden="1" x14ac:dyDescent="0.3"/>
    <row r="14415" hidden="1" x14ac:dyDescent="0.3"/>
    <row r="14416" hidden="1" x14ac:dyDescent="0.3"/>
    <row r="14417" hidden="1" x14ac:dyDescent="0.3"/>
    <row r="14418" hidden="1" x14ac:dyDescent="0.3"/>
    <row r="14419" hidden="1" x14ac:dyDescent="0.3"/>
    <row r="14420" hidden="1" x14ac:dyDescent="0.3"/>
    <row r="14421" hidden="1" x14ac:dyDescent="0.3"/>
    <row r="14422" hidden="1" x14ac:dyDescent="0.3"/>
    <row r="14423" hidden="1" x14ac:dyDescent="0.3"/>
    <row r="14424" hidden="1" x14ac:dyDescent="0.3"/>
    <row r="14425" hidden="1" x14ac:dyDescent="0.3"/>
    <row r="14426" hidden="1" x14ac:dyDescent="0.3"/>
    <row r="14427" hidden="1" x14ac:dyDescent="0.3"/>
    <row r="14428" hidden="1" x14ac:dyDescent="0.3"/>
    <row r="14429" hidden="1" x14ac:dyDescent="0.3"/>
    <row r="14430" hidden="1" x14ac:dyDescent="0.3"/>
    <row r="14431" hidden="1" x14ac:dyDescent="0.3"/>
    <row r="14432" hidden="1" x14ac:dyDescent="0.3"/>
    <row r="14433" hidden="1" x14ac:dyDescent="0.3"/>
    <row r="14434" hidden="1" x14ac:dyDescent="0.3"/>
    <row r="14435" hidden="1" x14ac:dyDescent="0.3"/>
    <row r="14436" hidden="1" x14ac:dyDescent="0.3"/>
    <row r="14437" hidden="1" x14ac:dyDescent="0.3"/>
    <row r="14438" hidden="1" x14ac:dyDescent="0.3"/>
    <row r="14439" hidden="1" x14ac:dyDescent="0.3"/>
    <row r="14440" hidden="1" x14ac:dyDescent="0.3"/>
    <row r="14441" hidden="1" x14ac:dyDescent="0.3"/>
    <row r="14442" hidden="1" x14ac:dyDescent="0.3"/>
    <row r="14443" hidden="1" x14ac:dyDescent="0.3"/>
    <row r="14444" hidden="1" x14ac:dyDescent="0.3"/>
    <row r="14445" hidden="1" x14ac:dyDescent="0.3"/>
    <row r="14446" hidden="1" x14ac:dyDescent="0.3"/>
    <row r="14447" hidden="1" x14ac:dyDescent="0.3"/>
    <row r="14448" hidden="1" x14ac:dyDescent="0.3"/>
    <row r="14449" hidden="1" x14ac:dyDescent="0.3"/>
    <row r="14450" hidden="1" x14ac:dyDescent="0.3"/>
    <row r="14451" hidden="1" x14ac:dyDescent="0.3"/>
    <row r="14452" hidden="1" x14ac:dyDescent="0.3"/>
    <row r="14453" hidden="1" x14ac:dyDescent="0.3"/>
    <row r="14454" hidden="1" x14ac:dyDescent="0.3"/>
    <row r="14455" hidden="1" x14ac:dyDescent="0.3"/>
    <row r="14456" hidden="1" x14ac:dyDescent="0.3"/>
    <row r="14457" hidden="1" x14ac:dyDescent="0.3"/>
    <row r="14458" hidden="1" x14ac:dyDescent="0.3"/>
    <row r="14459" hidden="1" x14ac:dyDescent="0.3"/>
    <row r="14460" hidden="1" x14ac:dyDescent="0.3"/>
    <row r="14461" hidden="1" x14ac:dyDescent="0.3"/>
    <row r="14462" hidden="1" x14ac:dyDescent="0.3"/>
    <row r="14463" hidden="1" x14ac:dyDescent="0.3"/>
    <row r="14464" hidden="1" x14ac:dyDescent="0.3"/>
    <row r="14465" hidden="1" x14ac:dyDescent="0.3"/>
    <row r="14466" hidden="1" x14ac:dyDescent="0.3"/>
    <row r="14467" hidden="1" x14ac:dyDescent="0.3"/>
    <row r="14468" hidden="1" x14ac:dyDescent="0.3"/>
    <row r="14469" hidden="1" x14ac:dyDescent="0.3"/>
    <row r="14470" hidden="1" x14ac:dyDescent="0.3"/>
    <row r="14471" hidden="1" x14ac:dyDescent="0.3"/>
    <row r="14472" hidden="1" x14ac:dyDescent="0.3"/>
    <row r="14473" hidden="1" x14ac:dyDescent="0.3"/>
    <row r="14474" hidden="1" x14ac:dyDescent="0.3"/>
    <row r="14475" hidden="1" x14ac:dyDescent="0.3"/>
    <row r="14476" hidden="1" x14ac:dyDescent="0.3"/>
    <row r="14477" hidden="1" x14ac:dyDescent="0.3"/>
    <row r="14478" hidden="1" x14ac:dyDescent="0.3"/>
    <row r="14479" hidden="1" x14ac:dyDescent="0.3"/>
    <row r="14480" hidden="1" x14ac:dyDescent="0.3"/>
    <row r="14481" hidden="1" x14ac:dyDescent="0.3"/>
    <row r="14482" hidden="1" x14ac:dyDescent="0.3"/>
    <row r="14483" hidden="1" x14ac:dyDescent="0.3"/>
    <row r="14484" hidden="1" x14ac:dyDescent="0.3"/>
    <row r="14485" hidden="1" x14ac:dyDescent="0.3"/>
    <row r="14486" hidden="1" x14ac:dyDescent="0.3"/>
    <row r="14487" hidden="1" x14ac:dyDescent="0.3"/>
    <row r="14488" hidden="1" x14ac:dyDescent="0.3"/>
    <row r="14489" hidden="1" x14ac:dyDescent="0.3"/>
    <row r="14490" hidden="1" x14ac:dyDescent="0.3"/>
    <row r="14491" hidden="1" x14ac:dyDescent="0.3"/>
    <row r="14492" hidden="1" x14ac:dyDescent="0.3"/>
    <row r="14493" hidden="1" x14ac:dyDescent="0.3"/>
    <row r="14494" hidden="1" x14ac:dyDescent="0.3"/>
    <row r="14495" hidden="1" x14ac:dyDescent="0.3"/>
    <row r="14496" hidden="1" x14ac:dyDescent="0.3"/>
    <row r="14497" hidden="1" x14ac:dyDescent="0.3"/>
    <row r="14498" hidden="1" x14ac:dyDescent="0.3"/>
    <row r="14499" hidden="1" x14ac:dyDescent="0.3"/>
    <row r="14500" hidden="1" x14ac:dyDescent="0.3"/>
    <row r="14501" hidden="1" x14ac:dyDescent="0.3"/>
    <row r="14502" hidden="1" x14ac:dyDescent="0.3"/>
    <row r="14503" hidden="1" x14ac:dyDescent="0.3"/>
    <row r="14504" hidden="1" x14ac:dyDescent="0.3"/>
    <row r="14505" hidden="1" x14ac:dyDescent="0.3"/>
    <row r="14506" hidden="1" x14ac:dyDescent="0.3"/>
    <row r="14507" hidden="1" x14ac:dyDescent="0.3"/>
    <row r="14508" hidden="1" x14ac:dyDescent="0.3"/>
    <row r="14509" hidden="1" x14ac:dyDescent="0.3"/>
    <row r="14510" hidden="1" x14ac:dyDescent="0.3"/>
    <row r="14511" hidden="1" x14ac:dyDescent="0.3"/>
    <row r="14512" hidden="1" x14ac:dyDescent="0.3"/>
    <row r="14513" hidden="1" x14ac:dyDescent="0.3"/>
    <row r="14514" hidden="1" x14ac:dyDescent="0.3"/>
    <row r="14515" hidden="1" x14ac:dyDescent="0.3"/>
    <row r="14516" hidden="1" x14ac:dyDescent="0.3"/>
    <row r="14517" hidden="1" x14ac:dyDescent="0.3"/>
    <row r="14518" hidden="1" x14ac:dyDescent="0.3"/>
    <row r="14519" hidden="1" x14ac:dyDescent="0.3"/>
    <row r="14520" hidden="1" x14ac:dyDescent="0.3"/>
    <row r="14521" hidden="1" x14ac:dyDescent="0.3"/>
    <row r="14522" hidden="1" x14ac:dyDescent="0.3"/>
    <row r="14523" hidden="1" x14ac:dyDescent="0.3"/>
    <row r="14524" hidden="1" x14ac:dyDescent="0.3"/>
    <row r="14525" hidden="1" x14ac:dyDescent="0.3"/>
    <row r="14526" hidden="1" x14ac:dyDescent="0.3"/>
    <row r="14527" hidden="1" x14ac:dyDescent="0.3"/>
    <row r="14528" hidden="1" x14ac:dyDescent="0.3"/>
    <row r="14529" hidden="1" x14ac:dyDescent="0.3"/>
    <row r="14530" hidden="1" x14ac:dyDescent="0.3"/>
    <row r="14531" hidden="1" x14ac:dyDescent="0.3"/>
    <row r="14532" hidden="1" x14ac:dyDescent="0.3"/>
    <row r="14533" hidden="1" x14ac:dyDescent="0.3"/>
    <row r="14534" hidden="1" x14ac:dyDescent="0.3"/>
    <row r="14535" hidden="1" x14ac:dyDescent="0.3"/>
    <row r="14536" hidden="1" x14ac:dyDescent="0.3"/>
    <row r="14537" hidden="1" x14ac:dyDescent="0.3"/>
    <row r="14538" hidden="1" x14ac:dyDescent="0.3"/>
    <row r="14539" hidden="1" x14ac:dyDescent="0.3"/>
    <row r="14540" hidden="1" x14ac:dyDescent="0.3"/>
    <row r="14541" hidden="1" x14ac:dyDescent="0.3"/>
    <row r="14542" hidden="1" x14ac:dyDescent="0.3"/>
    <row r="14543" hidden="1" x14ac:dyDescent="0.3"/>
    <row r="14544" hidden="1" x14ac:dyDescent="0.3"/>
    <row r="14545" hidden="1" x14ac:dyDescent="0.3"/>
    <row r="14546" hidden="1" x14ac:dyDescent="0.3"/>
    <row r="14547" hidden="1" x14ac:dyDescent="0.3"/>
    <row r="14548" hidden="1" x14ac:dyDescent="0.3"/>
    <row r="14549" hidden="1" x14ac:dyDescent="0.3"/>
    <row r="14550" hidden="1" x14ac:dyDescent="0.3"/>
    <row r="14551" hidden="1" x14ac:dyDescent="0.3"/>
    <row r="14552" hidden="1" x14ac:dyDescent="0.3"/>
    <row r="14553" hidden="1" x14ac:dyDescent="0.3"/>
    <row r="14554" hidden="1" x14ac:dyDescent="0.3"/>
    <row r="14555" hidden="1" x14ac:dyDescent="0.3"/>
    <row r="14556" hidden="1" x14ac:dyDescent="0.3"/>
    <row r="14557" hidden="1" x14ac:dyDescent="0.3"/>
    <row r="14558" hidden="1" x14ac:dyDescent="0.3"/>
    <row r="14559" hidden="1" x14ac:dyDescent="0.3"/>
    <row r="14560" hidden="1" x14ac:dyDescent="0.3"/>
    <row r="14561" hidden="1" x14ac:dyDescent="0.3"/>
    <row r="14562" hidden="1" x14ac:dyDescent="0.3"/>
    <row r="14563" hidden="1" x14ac:dyDescent="0.3"/>
    <row r="14564" hidden="1" x14ac:dyDescent="0.3"/>
    <row r="14565" hidden="1" x14ac:dyDescent="0.3"/>
    <row r="14566" hidden="1" x14ac:dyDescent="0.3"/>
    <row r="14567" hidden="1" x14ac:dyDescent="0.3"/>
    <row r="14568" hidden="1" x14ac:dyDescent="0.3"/>
    <row r="14569" hidden="1" x14ac:dyDescent="0.3"/>
    <row r="14570" hidden="1" x14ac:dyDescent="0.3"/>
    <row r="14571" hidden="1" x14ac:dyDescent="0.3"/>
    <row r="14572" hidden="1" x14ac:dyDescent="0.3"/>
    <row r="14573" hidden="1" x14ac:dyDescent="0.3"/>
    <row r="14574" hidden="1" x14ac:dyDescent="0.3"/>
    <row r="14575" hidden="1" x14ac:dyDescent="0.3"/>
    <row r="14576" hidden="1" x14ac:dyDescent="0.3"/>
    <row r="14577" hidden="1" x14ac:dyDescent="0.3"/>
    <row r="14578" hidden="1" x14ac:dyDescent="0.3"/>
    <row r="14579" hidden="1" x14ac:dyDescent="0.3"/>
    <row r="14580" hidden="1" x14ac:dyDescent="0.3"/>
    <row r="14581" hidden="1" x14ac:dyDescent="0.3"/>
    <row r="14582" hidden="1" x14ac:dyDescent="0.3"/>
    <row r="14583" hidden="1" x14ac:dyDescent="0.3"/>
    <row r="14584" hidden="1" x14ac:dyDescent="0.3"/>
    <row r="14585" hidden="1" x14ac:dyDescent="0.3"/>
    <row r="14586" hidden="1" x14ac:dyDescent="0.3"/>
    <row r="14587" hidden="1" x14ac:dyDescent="0.3"/>
    <row r="14588" hidden="1" x14ac:dyDescent="0.3"/>
    <row r="14589" hidden="1" x14ac:dyDescent="0.3"/>
    <row r="14590" hidden="1" x14ac:dyDescent="0.3"/>
    <row r="14591" hidden="1" x14ac:dyDescent="0.3"/>
    <row r="14592" hidden="1" x14ac:dyDescent="0.3"/>
    <row r="14593" hidden="1" x14ac:dyDescent="0.3"/>
    <row r="14594" hidden="1" x14ac:dyDescent="0.3"/>
    <row r="14595" hidden="1" x14ac:dyDescent="0.3"/>
    <row r="14596" hidden="1" x14ac:dyDescent="0.3"/>
    <row r="14597" hidden="1" x14ac:dyDescent="0.3"/>
    <row r="14598" hidden="1" x14ac:dyDescent="0.3"/>
    <row r="14599" hidden="1" x14ac:dyDescent="0.3"/>
    <row r="14600" hidden="1" x14ac:dyDescent="0.3"/>
    <row r="14601" hidden="1" x14ac:dyDescent="0.3"/>
    <row r="14602" hidden="1" x14ac:dyDescent="0.3"/>
    <row r="14603" hidden="1" x14ac:dyDescent="0.3"/>
    <row r="14604" hidden="1" x14ac:dyDescent="0.3"/>
    <row r="14605" hidden="1" x14ac:dyDescent="0.3"/>
    <row r="14606" hidden="1" x14ac:dyDescent="0.3"/>
    <row r="14607" hidden="1" x14ac:dyDescent="0.3"/>
    <row r="14608" hidden="1" x14ac:dyDescent="0.3"/>
    <row r="14609" hidden="1" x14ac:dyDescent="0.3"/>
    <row r="14610" hidden="1" x14ac:dyDescent="0.3"/>
    <row r="14611" hidden="1" x14ac:dyDescent="0.3"/>
    <row r="14612" hidden="1" x14ac:dyDescent="0.3"/>
    <row r="14613" hidden="1" x14ac:dyDescent="0.3"/>
    <row r="14614" hidden="1" x14ac:dyDescent="0.3"/>
    <row r="14615" hidden="1" x14ac:dyDescent="0.3"/>
    <row r="14616" hidden="1" x14ac:dyDescent="0.3"/>
    <row r="14617" hidden="1" x14ac:dyDescent="0.3"/>
    <row r="14618" hidden="1" x14ac:dyDescent="0.3"/>
    <row r="14619" hidden="1" x14ac:dyDescent="0.3"/>
    <row r="14620" hidden="1" x14ac:dyDescent="0.3"/>
    <row r="14621" hidden="1" x14ac:dyDescent="0.3"/>
    <row r="14622" hidden="1" x14ac:dyDescent="0.3"/>
    <row r="14623" hidden="1" x14ac:dyDescent="0.3"/>
    <row r="14624" hidden="1" x14ac:dyDescent="0.3"/>
    <row r="14625" hidden="1" x14ac:dyDescent="0.3"/>
    <row r="14626" hidden="1" x14ac:dyDescent="0.3"/>
    <row r="14627" hidden="1" x14ac:dyDescent="0.3"/>
    <row r="14628" hidden="1" x14ac:dyDescent="0.3"/>
    <row r="14629" hidden="1" x14ac:dyDescent="0.3"/>
    <row r="14630" hidden="1" x14ac:dyDescent="0.3"/>
    <row r="14631" hidden="1" x14ac:dyDescent="0.3"/>
    <row r="14632" hidden="1" x14ac:dyDescent="0.3"/>
    <row r="14633" hidden="1" x14ac:dyDescent="0.3"/>
    <row r="14634" hidden="1" x14ac:dyDescent="0.3"/>
    <row r="14635" hidden="1" x14ac:dyDescent="0.3"/>
    <row r="14636" hidden="1" x14ac:dyDescent="0.3"/>
    <row r="14637" hidden="1" x14ac:dyDescent="0.3"/>
    <row r="14638" hidden="1" x14ac:dyDescent="0.3"/>
    <row r="14639" hidden="1" x14ac:dyDescent="0.3"/>
    <row r="14640" hidden="1" x14ac:dyDescent="0.3"/>
    <row r="14641" hidden="1" x14ac:dyDescent="0.3"/>
    <row r="14642" hidden="1" x14ac:dyDescent="0.3"/>
    <row r="14643" hidden="1" x14ac:dyDescent="0.3"/>
    <row r="14644" hidden="1" x14ac:dyDescent="0.3"/>
    <row r="14645" hidden="1" x14ac:dyDescent="0.3"/>
    <row r="14646" hidden="1" x14ac:dyDescent="0.3"/>
    <row r="14647" hidden="1" x14ac:dyDescent="0.3"/>
    <row r="14648" hidden="1" x14ac:dyDescent="0.3"/>
    <row r="14649" hidden="1" x14ac:dyDescent="0.3"/>
    <row r="14650" hidden="1" x14ac:dyDescent="0.3"/>
    <row r="14651" hidden="1" x14ac:dyDescent="0.3"/>
    <row r="14652" hidden="1" x14ac:dyDescent="0.3"/>
    <row r="14653" hidden="1" x14ac:dyDescent="0.3"/>
    <row r="14654" hidden="1" x14ac:dyDescent="0.3"/>
    <row r="14655" hidden="1" x14ac:dyDescent="0.3"/>
    <row r="14656" hidden="1" x14ac:dyDescent="0.3"/>
    <row r="14657" hidden="1" x14ac:dyDescent="0.3"/>
    <row r="14658" hidden="1" x14ac:dyDescent="0.3"/>
    <row r="14659" hidden="1" x14ac:dyDescent="0.3"/>
    <row r="14660" hidden="1" x14ac:dyDescent="0.3"/>
    <row r="14661" hidden="1" x14ac:dyDescent="0.3"/>
    <row r="14662" hidden="1" x14ac:dyDescent="0.3"/>
    <row r="14663" hidden="1" x14ac:dyDescent="0.3"/>
    <row r="14664" hidden="1" x14ac:dyDescent="0.3"/>
    <row r="14665" hidden="1" x14ac:dyDescent="0.3"/>
    <row r="14666" hidden="1" x14ac:dyDescent="0.3"/>
    <row r="14667" hidden="1" x14ac:dyDescent="0.3"/>
    <row r="14668" hidden="1" x14ac:dyDescent="0.3"/>
    <row r="14669" hidden="1" x14ac:dyDescent="0.3"/>
    <row r="14670" hidden="1" x14ac:dyDescent="0.3"/>
    <row r="14671" hidden="1" x14ac:dyDescent="0.3"/>
    <row r="14672" hidden="1" x14ac:dyDescent="0.3"/>
    <row r="14673" hidden="1" x14ac:dyDescent="0.3"/>
    <row r="14674" hidden="1" x14ac:dyDescent="0.3"/>
    <row r="14675" hidden="1" x14ac:dyDescent="0.3"/>
    <row r="14676" hidden="1" x14ac:dyDescent="0.3"/>
    <row r="14677" hidden="1" x14ac:dyDescent="0.3"/>
    <row r="14678" hidden="1" x14ac:dyDescent="0.3"/>
    <row r="14679" hidden="1" x14ac:dyDescent="0.3"/>
    <row r="14680" hidden="1" x14ac:dyDescent="0.3"/>
    <row r="14681" hidden="1" x14ac:dyDescent="0.3"/>
    <row r="14682" hidden="1" x14ac:dyDescent="0.3"/>
    <row r="14683" hidden="1" x14ac:dyDescent="0.3"/>
    <row r="14684" hidden="1" x14ac:dyDescent="0.3"/>
    <row r="14685" hidden="1" x14ac:dyDescent="0.3"/>
    <row r="14686" hidden="1" x14ac:dyDescent="0.3"/>
    <row r="14687" hidden="1" x14ac:dyDescent="0.3"/>
    <row r="14688" hidden="1" x14ac:dyDescent="0.3"/>
    <row r="14689" hidden="1" x14ac:dyDescent="0.3"/>
    <row r="14690" hidden="1" x14ac:dyDescent="0.3"/>
    <row r="14691" hidden="1" x14ac:dyDescent="0.3"/>
    <row r="14692" hidden="1" x14ac:dyDescent="0.3"/>
    <row r="14693" hidden="1" x14ac:dyDescent="0.3"/>
    <row r="14694" hidden="1" x14ac:dyDescent="0.3"/>
    <row r="14695" hidden="1" x14ac:dyDescent="0.3"/>
    <row r="14696" hidden="1" x14ac:dyDescent="0.3"/>
    <row r="14697" hidden="1" x14ac:dyDescent="0.3"/>
    <row r="14698" hidden="1" x14ac:dyDescent="0.3"/>
    <row r="14699" hidden="1" x14ac:dyDescent="0.3"/>
    <row r="14700" hidden="1" x14ac:dyDescent="0.3"/>
    <row r="14701" hidden="1" x14ac:dyDescent="0.3"/>
    <row r="14702" hidden="1" x14ac:dyDescent="0.3"/>
    <row r="14703" hidden="1" x14ac:dyDescent="0.3"/>
    <row r="14704" hidden="1" x14ac:dyDescent="0.3"/>
    <row r="14705" hidden="1" x14ac:dyDescent="0.3"/>
    <row r="14706" hidden="1" x14ac:dyDescent="0.3"/>
    <row r="14707" hidden="1" x14ac:dyDescent="0.3"/>
    <row r="14708" hidden="1" x14ac:dyDescent="0.3"/>
    <row r="14709" hidden="1" x14ac:dyDescent="0.3"/>
    <row r="14710" hidden="1" x14ac:dyDescent="0.3"/>
    <row r="14711" hidden="1" x14ac:dyDescent="0.3"/>
    <row r="14712" hidden="1" x14ac:dyDescent="0.3"/>
    <row r="14713" hidden="1" x14ac:dyDescent="0.3"/>
    <row r="14714" hidden="1" x14ac:dyDescent="0.3"/>
    <row r="14715" hidden="1" x14ac:dyDescent="0.3"/>
    <row r="14716" hidden="1" x14ac:dyDescent="0.3"/>
    <row r="14717" hidden="1" x14ac:dyDescent="0.3"/>
    <row r="14718" hidden="1" x14ac:dyDescent="0.3"/>
    <row r="14719" hidden="1" x14ac:dyDescent="0.3"/>
    <row r="14720" hidden="1" x14ac:dyDescent="0.3"/>
    <row r="14721" hidden="1" x14ac:dyDescent="0.3"/>
    <row r="14722" hidden="1" x14ac:dyDescent="0.3"/>
    <row r="14723" hidden="1" x14ac:dyDescent="0.3"/>
    <row r="14724" hidden="1" x14ac:dyDescent="0.3"/>
    <row r="14725" hidden="1" x14ac:dyDescent="0.3"/>
    <row r="14726" hidden="1" x14ac:dyDescent="0.3"/>
    <row r="14727" hidden="1" x14ac:dyDescent="0.3"/>
    <row r="14728" hidden="1" x14ac:dyDescent="0.3"/>
    <row r="14729" hidden="1" x14ac:dyDescent="0.3"/>
    <row r="14730" hidden="1" x14ac:dyDescent="0.3"/>
    <row r="14731" hidden="1" x14ac:dyDescent="0.3"/>
    <row r="14732" hidden="1" x14ac:dyDescent="0.3"/>
    <row r="14733" hidden="1" x14ac:dyDescent="0.3"/>
    <row r="14734" hidden="1" x14ac:dyDescent="0.3"/>
    <row r="14735" hidden="1" x14ac:dyDescent="0.3"/>
    <row r="14736" hidden="1" x14ac:dyDescent="0.3"/>
    <row r="14737" hidden="1" x14ac:dyDescent="0.3"/>
    <row r="14738" hidden="1" x14ac:dyDescent="0.3"/>
    <row r="14739" hidden="1" x14ac:dyDescent="0.3"/>
    <row r="14740" hidden="1" x14ac:dyDescent="0.3"/>
    <row r="14741" hidden="1" x14ac:dyDescent="0.3"/>
    <row r="14742" hidden="1" x14ac:dyDescent="0.3"/>
    <row r="14743" hidden="1" x14ac:dyDescent="0.3"/>
    <row r="14744" hidden="1" x14ac:dyDescent="0.3"/>
    <row r="14745" hidden="1" x14ac:dyDescent="0.3"/>
    <row r="14746" hidden="1" x14ac:dyDescent="0.3"/>
    <row r="14747" hidden="1" x14ac:dyDescent="0.3"/>
    <row r="14748" hidden="1" x14ac:dyDescent="0.3"/>
    <row r="14749" hidden="1" x14ac:dyDescent="0.3"/>
    <row r="14750" hidden="1" x14ac:dyDescent="0.3"/>
    <row r="14751" hidden="1" x14ac:dyDescent="0.3"/>
    <row r="14752" hidden="1" x14ac:dyDescent="0.3"/>
    <row r="14753" hidden="1" x14ac:dyDescent="0.3"/>
    <row r="14754" hidden="1" x14ac:dyDescent="0.3"/>
    <row r="14755" hidden="1" x14ac:dyDescent="0.3"/>
    <row r="14756" hidden="1" x14ac:dyDescent="0.3"/>
    <row r="14757" hidden="1" x14ac:dyDescent="0.3"/>
    <row r="14758" hidden="1" x14ac:dyDescent="0.3"/>
    <row r="14759" hidden="1" x14ac:dyDescent="0.3"/>
    <row r="14760" hidden="1" x14ac:dyDescent="0.3"/>
    <row r="14761" hidden="1" x14ac:dyDescent="0.3"/>
    <row r="14762" hidden="1" x14ac:dyDescent="0.3"/>
    <row r="14763" hidden="1" x14ac:dyDescent="0.3"/>
    <row r="14764" hidden="1" x14ac:dyDescent="0.3"/>
    <row r="14765" hidden="1" x14ac:dyDescent="0.3"/>
    <row r="14766" hidden="1" x14ac:dyDescent="0.3"/>
    <row r="14767" hidden="1" x14ac:dyDescent="0.3"/>
    <row r="14768" hidden="1" x14ac:dyDescent="0.3"/>
    <row r="14769" hidden="1" x14ac:dyDescent="0.3"/>
    <row r="14770" hidden="1" x14ac:dyDescent="0.3"/>
    <row r="14771" hidden="1" x14ac:dyDescent="0.3"/>
    <row r="14772" hidden="1" x14ac:dyDescent="0.3"/>
    <row r="14773" hidden="1" x14ac:dyDescent="0.3"/>
    <row r="14774" hidden="1" x14ac:dyDescent="0.3"/>
    <row r="14775" hidden="1" x14ac:dyDescent="0.3"/>
    <row r="14776" hidden="1" x14ac:dyDescent="0.3"/>
    <row r="14777" hidden="1" x14ac:dyDescent="0.3"/>
    <row r="14778" hidden="1" x14ac:dyDescent="0.3"/>
    <row r="14779" hidden="1" x14ac:dyDescent="0.3"/>
    <row r="14780" hidden="1" x14ac:dyDescent="0.3"/>
    <row r="14781" hidden="1" x14ac:dyDescent="0.3"/>
    <row r="14782" hidden="1" x14ac:dyDescent="0.3"/>
    <row r="14783" hidden="1" x14ac:dyDescent="0.3"/>
    <row r="14784" hidden="1" x14ac:dyDescent="0.3"/>
    <row r="14785" hidden="1" x14ac:dyDescent="0.3"/>
    <row r="14786" hidden="1" x14ac:dyDescent="0.3"/>
    <row r="14787" hidden="1" x14ac:dyDescent="0.3"/>
    <row r="14788" hidden="1" x14ac:dyDescent="0.3"/>
    <row r="14789" hidden="1" x14ac:dyDescent="0.3"/>
    <row r="14790" hidden="1" x14ac:dyDescent="0.3"/>
    <row r="14791" hidden="1" x14ac:dyDescent="0.3"/>
    <row r="14792" hidden="1" x14ac:dyDescent="0.3"/>
    <row r="14793" hidden="1" x14ac:dyDescent="0.3"/>
    <row r="14794" hidden="1" x14ac:dyDescent="0.3"/>
    <row r="14795" hidden="1" x14ac:dyDescent="0.3"/>
    <row r="14796" hidden="1" x14ac:dyDescent="0.3"/>
    <row r="14797" hidden="1" x14ac:dyDescent="0.3"/>
    <row r="14798" hidden="1" x14ac:dyDescent="0.3"/>
    <row r="14799" hidden="1" x14ac:dyDescent="0.3"/>
    <row r="14800" hidden="1" x14ac:dyDescent="0.3"/>
    <row r="14801" hidden="1" x14ac:dyDescent="0.3"/>
    <row r="14802" hidden="1" x14ac:dyDescent="0.3"/>
    <row r="14803" hidden="1" x14ac:dyDescent="0.3"/>
    <row r="14804" hidden="1" x14ac:dyDescent="0.3"/>
    <row r="14805" hidden="1" x14ac:dyDescent="0.3"/>
    <row r="14806" hidden="1" x14ac:dyDescent="0.3"/>
    <row r="14807" hidden="1" x14ac:dyDescent="0.3"/>
    <row r="14808" hidden="1" x14ac:dyDescent="0.3"/>
    <row r="14809" hidden="1" x14ac:dyDescent="0.3"/>
    <row r="14810" hidden="1" x14ac:dyDescent="0.3"/>
    <row r="14811" hidden="1" x14ac:dyDescent="0.3"/>
    <row r="14812" hidden="1" x14ac:dyDescent="0.3"/>
    <row r="14813" hidden="1" x14ac:dyDescent="0.3"/>
    <row r="14814" hidden="1" x14ac:dyDescent="0.3"/>
    <row r="14815" hidden="1" x14ac:dyDescent="0.3"/>
    <row r="14816" hidden="1" x14ac:dyDescent="0.3"/>
    <row r="14817" hidden="1" x14ac:dyDescent="0.3"/>
    <row r="14818" hidden="1" x14ac:dyDescent="0.3"/>
    <row r="14819" hidden="1" x14ac:dyDescent="0.3"/>
    <row r="14820" hidden="1" x14ac:dyDescent="0.3"/>
    <row r="14821" hidden="1" x14ac:dyDescent="0.3"/>
    <row r="14822" hidden="1" x14ac:dyDescent="0.3"/>
    <row r="14823" hidden="1" x14ac:dyDescent="0.3"/>
    <row r="14824" hidden="1" x14ac:dyDescent="0.3"/>
    <row r="14825" hidden="1" x14ac:dyDescent="0.3"/>
    <row r="14826" hidden="1" x14ac:dyDescent="0.3"/>
    <row r="14827" hidden="1" x14ac:dyDescent="0.3"/>
    <row r="14828" hidden="1" x14ac:dyDescent="0.3"/>
    <row r="14829" hidden="1" x14ac:dyDescent="0.3"/>
    <row r="14830" hidden="1" x14ac:dyDescent="0.3"/>
    <row r="14831" hidden="1" x14ac:dyDescent="0.3"/>
    <row r="14832" hidden="1" x14ac:dyDescent="0.3"/>
    <row r="14833" hidden="1" x14ac:dyDescent="0.3"/>
    <row r="14834" hidden="1" x14ac:dyDescent="0.3"/>
    <row r="14835" hidden="1" x14ac:dyDescent="0.3"/>
    <row r="14836" hidden="1" x14ac:dyDescent="0.3"/>
    <row r="14837" hidden="1" x14ac:dyDescent="0.3"/>
    <row r="14838" hidden="1" x14ac:dyDescent="0.3"/>
    <row r="14839" hidden="1" x14ac:dyDescent="0.3"/>
    <row r="14840" hidden="1" x14ac:dyDescent="0.3"/>
    <row r="14841" hidden="1" x14ac:dyDescent="0.3"/>
    <row r="14842" hidden="1" x14ac:dyDescent="0.3"/>
    <row r="14843" hidden="1" x14ac:dyDescent="0.3"/>
    <row r="14844" hidden="1" x14ac:dyDescent="0.3"/>
    <row r="14845" hidden="1" x14ac:dyDescent="0.3"/>
    <row r="14846" hidden="1" x14ac:dyDescent="0.3"/>
    <row r="14847" hidden="1" x14ac:dyDescent="0.3"/>
    <row r="14848" hidden="1" x14ac:dyDescent="0.3"/>
    <row r="14849" hidden="1" x14ac:dyDescent="0.3"/>
    <row r="14850" hidden="1" x14ac:dyDescent="0.3"/>
    <row r="14851" hidden="1" x14ac:dyDescent="0.3"/>
    <row r="14852" hidden="1" x14ac:dyDescent="0.3"/>
    <row r="14853" hidden="1" x14ac:dyDescent="0.3"/>
    <row r="14854" hidden="1" x14ac:dyDescent="0.3"/>
    <row r="14855" hidden="1" x14ac:dyDescent="0.3"/>
    <row r="14856" hidden="1" x14ac:dyDescent="0.3"/>
    <row r="14857" hidden="1" x14ac:dyDescent="0.3"/>
    <row r="14858" hidden="1" x14ac:dyDescent="0.3"/>
    <row r="14859" hidden="1" x14ac:dyDescent="0.3"/>
    <row r="14860" hidden="1" x14ac:dyDescent="0.3"/>
    <row r="14861" hidden="1" x14ac:dyDescent="0.3"/>
    <row r="14862" hidden="1" x14ac:dyDescent="0.3"/>
    <row r="14863" hidden="1" x14ac:dyDescent="0.3"/>
    <row r="14864" hidden="1" x14ac:dyDescent="0.3"/>
    <row r="14865" hidden="1" x14ac:dyDescent="0.3"/>
    <row r="14866" hidden="1" x14ac:dyDescent="0.3"/>
    <row r="14867" hidden="1" x14ac:dyDescent="0.3"/>
    <row r="14868" hidden="1" x14ac:dyDescent="0.3"/>
    <row r="14869" hidden="1" x14ac:dyDescent="0.3"/>
    <row r="14870" hidden="1" x14ac:dyDescent="0.3"/>
    <row r="14871" hidden="1" x14ac:dyDescent="0.3"/>
    <row r="14872" hidden="1" x14ac:dyDescent="0.3"/>
    <row r="14873" hidden="1" x14ac:dyDescent="0.3"/>
    <row r="14874" hidden="1" x14ac:dyDescent="0.3"/>
    <row r="14875" hidden="1" x14ac:dyDescent="0.3"/>
    <row r="14876" hidden="1" x14ac:dyDescent="0.3"/>
    <row r="14877" hidden="1" x14ac:dyDescent="0.3"/>
    <row r="14878" hidden="1" x14ac:dyDescent="0.3"/>
    <row r="14879" hidden="1" x14ac:dyDescent="0.3"/>
    <row r="14880" hidden="1" x14ac:dyDescent="0.3"/>
    <row r="14881" hidden="1" x14ac:dyDescent="0.3"/>
    <row r="14882" hidden="1" x14ac:dyDescent="0.3"/>
    <row r="14883" hidden="1" x14ac:dyDescent="0.3"/>
    <row r="14884" hidden="1" x14ac:dyDescent="0.3"/>
    <row r="14885" hidden="1" x14ac:dyDescent="0.3"/>
    <row r="14886" hidden="1" x14ac:dyDescent="0.3"/>
    <row r="14887" hidden="1" x14ac:dyDescent="0.3"/>
    <row r="14888" hidden="1" x14ac:dyDescent="0.3"/>
    <row r="14889" hidden="1" x14ac:dyDescent="0.3"/>
    <row r="14890" hidden="1" x14ac:dyDescent="0.3"/>
    <row r="14891" hidden="1" x14ac:dyDescent="0.3"/>
    <row r="14892" hidden="1" x14ac:dyDescent="0.3"/>
    <row r="14893" hidden="1" x14ac:dyDescent="0.3"/>
    <row r="14894" hidden="1" x14ac:dyDescent="0.3"/>
    <row r="14895" hidden="1" x14ac:dyDescent="0.3"/>
    <row r="14896" hidden="1" x14ac:dyDescent="0.3"/>
    <row r="14897" hidden="1" x14ac:dyDescent="0.3"/>
    <row r="14898" hidden="1" x14ac:dyDescent="0.3"/>
    <row r="14899" hidden="1" x14ac:dyDescent="0.3"/>
    <row r="14900" hidden="1" x14ac:dyDescent="0.3"/>
    <row r="14901" hidden="1" x14ac:dyDescent="0.3"/>
    <row r="14902" hidden="1" x14ac:dyDescent="0.3"/>
    <row r="14903" hidden="1" x14ac:dyDescent="0.3"/>
    <row r="14904" hidden="1" x14ac:dyDescent="0.3"/>
    <row r="14905" hidden="1" x14ac:dyDescent="0.3"/>
    <row r="14906" hidden="1" x14ac:dyDescent="0.3"/>
    <row r="14907" hidden="1" x14ac:dyDescent="0.3"/>
    <row r="14908" hidden="1" x14ac:dyDescent="0.3"/>
    <row r="14909" hidden="1" x14ac:dyDescent="0.3"/>
    <row r="14910" hidden="1" x14ac:dyDescent="0.3"/>
    <row r="14911" hidden="1" x14ac:dyDescent="0.3"/>
    <row r="14912" hidden="1" x14ac:dyDescent="0.3"/>
    <row r="14913" hidden="1" x14ac:dyDescent="0.3"/>
    <row r="14914" hidden="1" x14ac:dyDescent="0.3"/>
    <row r="14915" hidden="1" x14ac:dyDescent="0.3"/>
    <row r="14916" hidden="1" x14ac:dyDescent="0.3"/>
    <row r="14917" hidden="1" x14ac:dyDescent="0.3"/>
    <row r="14918" hidden="1" x14ac:dyDescent="0.3"/>
    <row r="14919" hidden="1" x14ac:dyDescent="0.3"/>
    <row r="14920" hidden="1" x14ac:dyDescent="0.3"/>
    <row r="14921" hidden="1" x14ac:dyDescent="0.3"/>
    <row r="14922" hidden="1" x14ac:dyDescent="0.3"/>
    <row r="14923" hidden="1" x14ac:dyDescent="0.3"/>
    <row r="14924" hidden="1" x14ac:dyDescent="0.3"/>
    <row r="14925" hidden="1" x14ac:dyDescent="0.3"/>
    <row r="14926" hidden="1" x14ac:dyDescent="0.3"/>
    <row r="14927" hidden="1" x14ac:dyDescent="0.3"/>
    <row r="14928" hidden="1" x14ac:dyDescent="0.3"/>
    <row r="14929" hidden="1" x14ac:dyDescent="0.3"/>
    <row r="14930" hidden="1" x14ac:dyDescent="0.3"/>
    <row r="14931" hidden="1" x14ac:dyDescent="0.3"/>
    <row r="14932" hidden="1" x14ac:dyDescent="0.3"/>
    <row r="14933" hidden="1" x14ac:dyDescent="0.3"/>
    <row r="14934" hidden="1" x14ac:dyDescent="0.3"/>
    <row r="14935" hidden="1" x14ac:dyDescent="0.3"/>
    <row r="14936" hidden="1" x14ac:dyDescent="0.3"/>
    <row r="14937" hidden="1" x14ac:dyDescent="0.3"/>
    <row r="14938" hidden="1" x14ac:dyDescent="0.3"/>
    <row r="14939" hidden="1" x14ac:dyDescent="0.3"/>
    <row r="14940" hidden="1" x14ac:dyDescent="0.3"/>
    <row r="14941" hidden="1" x14ac:dyDescent="0.3"/>
    <row r="14942" hidden="1" x14ac:dyDescent="0.3"/>
    <row r="14943" hidden="1" x14ac:dyDescent="0.3"/>
    <row r="14944" hidden="1" x14ac:dyDescent="0.3"/>
    <row r="14945" hidden="1" x14ac:dyDescent="0.3"/>
    <row r="14946" hidden="1" x14ac:dyDescent="0.3"/>
    <row r="14947" hidden="1" x14ac:dyDescent="0.3"/>
    <row r="14948" hidden="1" x14ac:dyDescent="0.3"/>
    <row r="14949" hidden="1" x14ac:dyDescent="0.3"/>
    <row r="14950" hidden="1" x14ac:dyDescent="0.3"/>
    <row r="14951" hidden="1" x14ac:dyDescent="0.3"/>
    <row r="14952" hidden="1" x14ac:dyDescent="0.3"/>
    <row r="14953" hidden="1" x14ac:dyDescent="0.3"/>
    <row r="14954" hidden="1" x14ac:dyDescent="0.3"/>
    <row r="14955" hidden="1" x14ac:dyDescent="0.3"/>
    <row r="14956" hidden="1" x14ac:dyDescent="0.3"/>
    <row r="14957" hidden="1" x14ac:dyDescent="0.3"/>
    <row r="14958" hidden="1" x14ac:dyDescent="0.3"/>
    <row r="14959" hidden="1" x14ac:dyDescent="0.3"/>
    <row r="14960" hidden="1" x14ac:dyDescent="0.3"/>
    <row r="14961" hidden="1" x14ac:dyDescent="0.3"/>
    <row r="14962" hidden="1" x14ac:dyDescent="0.3"/>
    <row r="14963" hidden="1" x14ac:dyDescent="0.3"/>
    <row r="14964" hidden="1" x14ac:dyDescent="0.3"/>
    <row r="14965" hidden="1" x14ac:dyDescent="0.3"/>
    <row r="14966" hidden="1" x14ac:dyDescent="0.3"/>
    <row r="14967" hidden="1" x14ac:dyDescent="0.3"/>
    <row r="14968" hidden="1" x14ac:dyDescent="0.3"/>
    <row r="14969" hidden="1" x14ac:dyDescent="0.3"/>
    <row r="14970" hidden="1" x14ac:dyDescent="0.3"/>
    <row r="14971" hidden="1" x14ac:dyDescent="0.3"/>
    <row r="14972" hidden="1" x14ac:dyDescent="0.3"/>
    <row r="14973" hidden="1" x14ac:dyDescent="0.3"/>
    <row r="14974" hidden="1" x14ac:dyDescent="0.3"/>
    <row r="14975" hidden="1" x14ac:dyDescent="0.3"/>
    <row r="14976" hidden="1" x14ac:dyDescent="0.3"/>
    <row r="14977" hidden="1" x14ac:dyDescent="0.3"/>
    <row r="14978" hidden="1" x14ac:dyDescent="0.3"/>
    <row r="14979" hidden="1" x14ac:dyDescent="0.3"/>
    <row r="14980" hidden="1" x14ac:dyDescent="0.3"/>
    <row r="14981" hidden="1" x14ac:dyDescent="0.3"/>
    <row r="14982" hidden="1" x14ac:dyDescent="0.3"/>
    <row r="14983" hidden="1" x14ac:dyDescent="0.3"/>
    <row r="14984" hidden="1" x14ac:dyDescent="0.3"/>
    <row r="14985" hidden="1" x14ac:dyDescent="0.3"/>
    <row r="14986" hidden="1" x14ac:dyDescent="0.3"/>
    <row r="14987" hidden="1" x14ac:dyDescent="0.3"/>
    <row r="14988" hidden="1" x14ac:dyDescent="0.3"/>
    <row r="14989" hidden="1" x14ac:dyDescent="0.3"/>
    <row r="14990" hidden="1" x14ac:dyDescent="0.3"/>
    <row r="14991" hidden="1" x14ac:dyDescent="0.3"/>
    <row r="14992" hidden="1" x14ac:dyDescent="0.3"/>
    <row r="14993" hidden="1" x14ac:dyDescent="0.3"/>
    <row r="14994" hidden="1" x14ac:dyDescent="0.3"/>
    <row r="14995" hidden="1" x14ac:dyDescent="0.3"/>
    <row r="14996" hidden="1" x14ac:dyDescent="0.3"/>
    <row r="14997" hidden="1" x14ac:dyDescent="0.3"/>
    <row r="14998" hidden="1" x14ac:dyDescent="0.3"/>
    <row r="14999" hidden="1" x14ac:dyDescent="0.3"/>
    <row r="15000" hidden="1" x14ac:dyDescent="0.3"/>
    <row r="15001" hidden="1" x14ac:dyDescent="0.3"/>
    <row r="15002" hidden="1" x14ac:dyDescent="0.3"/>
    <row r="15003" hidden="1" x14ac:dyDescent="0.3"/>
    <row r="15004" hidden="1" x14ac:dyDescent="0.3"/>
    <row r="15005" hidden="1" x14ac:dyDescent="0.3"/>
    <row r="15006" hidden="1" x14ac:dyDescent="0.3"/>
    <row r="15007" hidden="1" x14ac:dyDescent="0.3"/>
    <row r="15008" hidden="1" x14ac:dyDescent="0.3"/>
    <row r="15009" hidden="1" x14ac:dyDescent="0.3"/>
    <row r="15010" hidden="1" x14ac:dyDescent="0.3"/>
    <row r="15011" hidden="1" x14ac:dyDescent="0.3"/>
    <row r="15012" hidden="1" x14ac:dyDescent="0.3"/>
    <row r="15013" hidden="1" x14ac:dyDescent="0.3"/>
    <row r="15014" hidden="1" x14ac:dyDescent="0.3"/>
    <row r="15015" hidden="1" x14ac:dyDescent="0.3"/>
    <row r="15016" hidden="1" x14ac:dyDescent="0.3"/>
    <row r="15017" hidden="1" x14ac:dyDescent="0.3"/>
    <row r="15018" hidden="1" x14ac:dyDescent="0.3"/>
    <row r="15019" hidden="1" x14ac:dyDescent="0.3"/>
    <row r="15020" hidden="1" x14ac:dyDescent="0.3"/>
    <row r="15021" hidden="1" x14ac:dyDescent="0.3"/>
    <row r="15022" hidden="1" x14ac:dyDescent="0.3"/>
    <row r="15023" hidden="1" x14ac:dyDescent="0.3"/>
    <row r="15024" hidden="1" x14ac:dyDescent="0.3"/>
    <row r="15025" hidden="1" x14ac:dyDescent="0.3"/>
    <row r="15026" hidden="1" x14ac:dyDescent="0.3"/>
    <row r="15027" hidden="1" x14ac:dyDescent="0.3"/>
    <row r="15028" hidden="1" x14ac:dyDescent="0.3"/>
    <row r="15029" hidden="1" x14ac:dyDescent="0.3"/>
    <row r="15030" hidden="1" x14ac:dyDescent="0.3"/>
    <row r="15031" hidden="1" x14ac:dyDescent="0.3"/>
    <row r="15032" hidden="1" x14ac:dyDescent="0.3"/>
    <row r="15033" hidden="1" x14ac:dyDescent="0.3"/>
    <row r="15034" hidden="1" x14ac:dyDescent="0.3"/>
    <row r="15035" hidden="1" x14ac:dyDescent="0.3"/>
    <row r="15036" hidden="1" x14ac:dyDescent="0.3"/>
    <row r="15037" hidden="1" x14ac:dyDescent="0.3"/>
    <row r="15038" hidden="1" x14ac:dyDescent="0.3"/>
    <row r="15039" hidden="1" x14ac:dyDescent="0.3"/>
    <row r="15040" hidden="1" x14ac:dyDescent="0.3"/>
    <row r="15041" hidden="1" x14ac:dyDescent="0.3"/>
    <row r="15042" hidden="1" x14ac:dyDescent="0.3"/>
    <row r="15043" hidden="1" x14ac:dyDescent="0.3"/>
    <row r="15044" hidden="1" x14ac:dyDescent="0.3"/>
    <row r="15045" hidden="1" x14ac:dyDescent="0.3"/>
    <row r="15046" hidden="1" x14ac:dyDescent="0.3"/>
    <row r="15047" hidden="1" x14ac:dyDescent="0.3"/>
    <row r="15048" hidden="1" x14ac:dyDescent="0.3"/>
    <row r="15049" hidden="1" x14ac:dyDescent="0.3"/>
    <row r="15050" hidden="1" x14ac:dyDescent="0.3"/>
    <row r="15051" hidden="1" x14ac:dyDescent="0.3"/>
    <row r="15052" hidden="1" x14ac:dyDescent="0.3"/>
    <row r="15053" hidden="1" x14ac:dyDescent="0.3"/>
    <row r="15054" hidden="1" x14ac:dyDescent="0.3"/>
    <row r="15055" hidden="1" x14ac:dyDescent="0.3"/>
    <row r="15056" hidden="1" x14ac:dyDescent="0.3"/>
    <row r="15057" hidden="1" x14ac:dyDescent="0.3"/>
    <row r="15058" hidden="1" x14ac:dyDescent="0.3"/>
    <row r="15059" hidden="1" x14ac:dyDescent="0.3"/>
    <row r="15060" hidden="1" x14ac:dyDescent="0.3"/>
    <row r="15061" hidden="1" x14ac:dyDescent="0.3"/>
    <row r="15062" hidden="1" x14ac:dyDescent="0.3"/>
    <row r="15063" hidden="1" x14ac:dyDescent="0.3"/>
    <row r="15064" hidden="1" x14ac:dyDescent="0.3"/>
    <row r="15065" hidden="1" x14ac:dyDescent="0.3"/>
    <row r="15066" hidden="1" x14ac:dyDescent="0.3"/>
    <row r="15067" hidden="1" x14ac:dyDescent="0.3"/>
    <row r="15068" hidden="1" x14ac:dyDescent="0.3"/>
    <row r="15069" hidden="1" x14ac:dyDescent="0.3"/>
    <row r="15070" hidden="1" x14ac:dyDescent="0.3"/>
    <row r="15071" hidden="1" x14ac:dyDescent="0.3"/>
    <row r="15072" hidden="1" x14ac:dyDescent="0.3"/>
    <row r="15073" hidden="1" x14ac:dyDescent="0.3"/>
    <row r="15074" hidden="1" x14ac:dyDescent="0.3"/>
    <row r="15075" hidden="1" x14ac:dyDescent="0.3"/>
    <row r="15076" hidden="1" x14ac:dyDescent="0.3"/>
    <row r="15077" hidden="1" x14ac:dyDescent="0.3"/>
    <row r="15078" hidden="1" x14ac:dyDescent="0.3"/>
    <row r="15079" hidden="1" x14ac:dyDescent="0.3"/>
    <row r="15080" hidden="1" x14ac:dyDescent="0.3"/>
    <row r="15081" hidden="1" x14ac:dyDescent="0.3"/>
    <row r="15082" hidden="1" x14ac:dyDescent="0.3"/>
    <row r="15083" hidden="1" x14ac:dyDescent="0.3"/>
    <row r="15084" hidden="1" x14ac:dyDescent="0.3"/>
    <row r="15085" hidden="1" x14ac:dyDescent="0.3"/>
    <row r="15086" hidden="1" x14ac:dyDescent="0.3"/>
    <row r="15087" hidden="1" x14ac:dyDescent="0.3"/>
    <row r="15088" hidden="1" x14ac:dyDescent="0.3"/>
    <row r="15089" hidden="1" x14ac:dyDescent="0.3"/>
    <row r="15090" hidden="1" x14ac:dyDescent="0.3"/>
    <row r="15091" hidden="1" x14ac:dyDescent="0.3"/>
    <row r="15092" hidden="1" x14ac:dyDescent="0.3"/>
    <row r="15093" hidden="1" x14ac:dyDescent="0.3"/>
    <row r="15094" hidden="1" x14ac:dyDescent="0.3"/>
    <row r="15095" hidden="1" x14ac:dyDescent="0.3"/>
    <row r="15096" hidden="1" x14ac:dyDescent="0.3"/>
    <row r="15097" hidden="1" x14ac:dyDescent="0.3"/>
    <row r="15098" hidden="1" x14ac:dyDescent="0.3"/>
    <row r="15099" hidden="1" x14ac:dyDescent="0.3"/>
    <row r="15100" hidden="1" x14ac:dyDescent="0.3"/>
    <row r="15101" hidden="1" x14ac:dyDescent="0.3"/>
    <row r="15102" hidden="1" x14ac:dyDescent="0.3"/>
    <row r="15103" hidden="1" x14ac:dyDescent="0.3"/>
    <row r="15104" hidden="1" x14ac:dyDescent="0.3"/>
    <row r="15105" hidden="1" x14ac:dyDescent="0.3"/>
    <row r="15106" hidden="1" x14ac:dyDescent="0.3"/>
    <row r="15107" hidden="1" x14ac:dyDescent="0.3"/>
    <row r="15108" hidden="1" x14ac:dyDescent="0.3"/>
    <row r="15109" hidden="1" x14ac:dyDescent="0.3"/>
    <row r="15110" hidden="1" x14ac:dyDescent="0.3"/>
    <row r="15111" hidden="1" x14ac:dyDescent="0.3"/>
    <row r="15112" hidden="1" x14ac:dyDescent="0.3"/>
    <row r="15113" hidden="1" x14ac:dyDescent="0.3"/>
    <row r="15114" hidden="1" x14ac:dyDescent="0.3"/>
    <row r="15115" hidden="1" x14ac:dyDescent="0.3"/>
    <row r="15116" hidden="1" x14ac:dyDescent="0.3"/>
    <row r="15117" hidden="1" x14ac:dyDescent="0.3"/>
    <row r="15118" hidden="1" x14ac:dyDescent="0.3"/>
    <row r="15119" hidden="1" x14ac:dyDescent="0.3"/>
    <row r="15120" hidden="1" x14ac:dyDescent="0.3"/>
    <row r="15121" hidden="1" x14ac:dyDescent="0.3"/>
    <row r="15122" hidden="1" x14ac:dyDescent="0.3"/>
    <row r="15123" hidden="1" x14ac:dyDescent="0.3"/>
    <row r="15124" hidden="1" x14ac:dyDescent="0.3"/>
    <row r="15125" hidden="1" x14ac:dyDescent="0.3"/>
    <row r="15126" hidden="1" x14ac:dyDescent="0.3"/>
    <row r="15127" hidden="1" x14ac:dyDescent="0.3"/>
    <row r="15128" hidden="1" x14ac:dyDescent="0.3"/>
    <row r="15129" hidden="1" x14ac:dyDescent="0.3"/>
    <row r="15130" hidden="1" x14ac:dyDescent="0.3"/>
    <row r="15131" hidden="1" x14ac:dyDescent="0.3"/>
    <row r="15132" hidden="1" x14ac:dyDescent="0.3"/>
    <row r="15133" hidden="1" x14ac:dyDescent="0.3"/>
    <row r="15134" hidden="1" x14ac:dyDescent="0.3"/>
    <row r="15135" hidden="1" x14ac:dyDescent="0.3"/>
    <row r="15136" hidden="1" x14ac:dyDescent="0.3"/>
    <row r="15137" hidden="1" x14ac:dyDescent="0.3"/>
    <row r="15138" hidden="1" x14ac:dyDescent="0.3"/>
    <row r="15139" hidden="1" x14ac:dyDescent="0.3"/>
    <row r="15140" hidden="1" x14ac:dyDescent="0.3"/>
    <row r="15141" hidden="1" x14ac:dyDescent="0.3"/>
    <row r="15142" hidden="1" x14ac:dyDescent="0.3"/>
    <row r="15143" hidden="1" x14ac:dyDescent="0.3"/>
    <row r="15144" hidden="1" x14ac:dyDescent="0.3"/>
    <row r="15145" hidden="1" x14ac:dyDescent="0.3"/>
    <row r="15146" hidden="1" x14ac:dyDescent="0.3"/>
    <row r="15147" hidden="1" x14ac:dyDescent="0.3"/>
    <row r="15148" hidden="1" x14ac:dyDescent="0.3"/>
    <row r="15149" hidden="1" x14ac:dyDescent="0.3"/>
    <row r="15150" hidden="1" x14ac:dyDescent="0.3"/>
    <row r="15151" hidden="1" x14ac:dyDescent="0.3"/>
    <row r="15152" hidden="1" x14ac:dyDescent="0.3"/>
    <row r="15153" hidden="1" x14ac:dyDescent="0.3"/>
    <row r="15154" hidden="1" x14ac:dyDescent="0.3"/>
    <row r="15155" hidden="1" x14ac:dyDescent="0.3"/>
    <row r="15156" hidden="1" x14ac:dyDescent="0.3"/>
    <row r="15157" hidden="1" x14ac:dyDescent="0.3"/>
    <row r="15158" hidden="1" x14ac:dyDescent="0.3"/>
    <row r="15159" hidden="1" x14ac:dyDescent="0.3"/>
    <row r="15160" hidden="1" x14ac:dyDescent="0.3"/>
    <row r="15161" hidden="1" x14ac:dyDescent="0.3"/>
    <row r="15162" hidden="1" x14ac:dyDescent="0.3"/>
    <row r="15163" hidden="1" x14ac:dyDescent="0.3"/>
    <row r="15164" hidden="1" x14ac:dyDescent="0.3"/>
    <row r="15165" hidden="1" x14ac:dyDescent="0.3"/>
    <row r="15166" hidden="1" x14ac:dyDescent="0.3"/>
    <row r="15167" hidden="1" x14ac:dyDescent="0.3"/>
    <row r="15168" hidden="1" x14ac:dyDescent="0.3"/>
    <row r="15169" hidden="1" x14ac:dyDescent="0.3"/>
    <row r="15170" hidden="1" x14ac:dyDescent="0.3"/>
    <row r="15171" hidden="1" x14ac:dyDescent="0.3"/>
    <row r="15172" hidden="1" x14ac:dyDescent="0.3"/>
    <row r="15173" hidden="1" x14ac:dyDescent="0.3"/>
    <row r="15174" hidden="1" x14ac:dyDescent="0.3"/>
    <row r="15175" hidden="1" x14ac:dyDescent="0.3"/>
    <row r="15176" hidden="1" x14ac:dyDescent="0.3"/>
    <row r="15177" hidden="1" x14ac:dyDescent="0.3"/>
    <row r="15178" hidden="1" x14ac:dyDescent="0.3"/>
    <row r="15179" hidden="1" x14ac:dyDescent="0.3"/>
    <row r="15180" hidden="1" x14ac:dyDescent="0.3"/>
    <row r="15181" hidden="1" x14ac:dyDescent="0.3"/>
    <row r="15182" hidden="1" x14ac:dyDescent="0.3"/>
    <row r="15183" hidden="1" x14ac:dyDescent="0.3"/>
    <row r="15184" hidden="1" x14ac:dyDescent="0.3"/>
    <row r="15185" hidden="1" x14ac:dyDescent="0.3"/>
    <row r="15186" hidden="1" x14ac:dyDescent="0.3"/>
    <row r="15187" hidden="1" x14ac:dyDescent="0.3"/>
    <row r="15188" hidden="1" x14ac:dyDescent="0.3"/>
    <row r="15189" hidden="1" x14ac:dyDescent="0.3"/>
    <row r="15190" hidden="1" x14ac:dyDescent="0.3"/>
    <row r="15191" hidden="1" x14ac:dyDescent="0.3"/>
    <row r="15192" hidden="1" x14ac:dyDescent="0.3"/>
    <row r="15193" hidden="1" x14ac:dyDescent="0.3"/>
    <row r="15194" hidden="1" x14ac:dyDescent="0.3"/>
    <row r="15195" hidden="1" x14ac:dyDescent="0.3"/>
    <row r="15196" hidden="1" x14ac:dyDescent="0.3"/>
    <row r="15197" hidden="1" x14ac:dyDescent="0.3"/>
    <row r="15198" hidden="1" x14ac:dyDescent="0.3"/>
    <row r="15199" hidden="1" x14ac:dyDescent="0.3"/>
    <row r="15200" hidden="1" x14ac:dyDescent="0.3"/>
    <row r="15201" hidden="1" x14ac:dyDescent="0.3"/>
    <row r="15202" hidden="1" x14ac:dyDescent="0.3"/>
    <row r="15203" hidden="1" x14ac:dyDescent="0.3"/>
    <row r="15204" hidden="1" x14ac:dyDescent="0.3"/>
    <row r="15205" hidden="1" x14ac:dyDescent="0.3"/>
    <row r="15206" hidden="1" x14ac:dyDescent="0.3"/>
    <row r="15207" hidden="1" x14ac:dyDescent="0.3"/>
    <row r="15208" hidden="1" x14ac:dyDescent="0.3"/>
    <row r="15209" hidden="1" x14ac:dyDescent="0.3"/>
    <row r="15210" hidden="1" x14ac:dyDescent="0.3"/>
    <row r="15211" hidden="1" x14ac:dyDescent="0.3"/>
    <row r="15212" hidden="1" x14ac:dyDescent="0.3"/>
    <row r="15213" hidden="1" x14ac:dyDescent="0.3"/>
    <row r="15214" hidden="1" x14ac:dyDescent="0.3"/>
    <row r="15215" hidden="1" x14ac:dyDescent="0.3"/>
    <row r="15216" hidden="1" x14ac:dyDescent="0.3"/>
    <row r="15217" hidden="1" x14ac:dyDescent="0.3"/>
    <row r="15218" hidden="1" x14ac:dyDescent="0.3"/>
    <row r="15219" hidden="1" x14ac:dyDescent="0.3"/>
    <row r="15220" hidden="1" x14ac:dyDescent="0.3"/>
    <row r="15221" hidden="1" x14ac:dyDescent="0.3"/>
    <row r="15222" hidden="1" x14ac:dyDescent="0.3"/>
    <row r="15223" hidden="1" x14ac:dyDescent="0.3"/>
    <row r="15224" hidden="1" x14ac:dyDescent="0.3"/>
    <row r="15225" hidden="1" x14ac:dyDescent="0.3"/>
    <row r="15226" hidden="1" x14ac:dyDescent="0.3"/>
    <row r="15227" hidden="1" x14ac:dyDescent="0.3"/>
    <row r="15228" hidden="1" x14ac:dyDescent="0.3"/>
    <row r="15229" hidden="1" x14ac:dyDescent="0.3"/>
    <row r="15230" hidden="1" x14ac:dyDescent="0.3"/>
    <row r="15231" hidden="1" x14ac:dyDescent="0.3"/>
    <row r="15232" hidden="1" x14ac:dyDescent="0.3"/>
    <row r="15233" hidden="1" x14ac:dyDescent="0.3"/>
    <row r="15234" hidden="1" x14ac:dyDescent="0.3"/>
    <row r="15235" hidden="1" x14ac:dyDescent="0.3"/>
    <row r="15236" hidden="1" x14ac:dyDescent="0.3"/>
    <row r="15237" hidden="1" x14ac:dyDescent="0.3"/>
    <row r="15238" hidden="1" x14ac:dyDescent="0.3"/>
    <row r="15239" hidden="1" x14ac:dyDescent="0.3"/>
    <row r="15240" hidden="1" x14ac:dyDescent="0.3"/>
    <row r="15241" hidden="1" x14ac:dyDescent="0.3"/>
    <row r="15242" hidden="1" x14ac:dyDescent="0.3"/>
    <row r="15243" hidden="1" x14ac:dyDescent="0.3"/>
    <row r="15244" hidden="1" x14ac:dyDescent="0.3"/>
    <row r="15245" hidden="1" x14ac:dyDescent="0.3"/>
    <row r="15246" hidden="1" x14ac:dyDescent="0.3"/>
    <row r="15247" hidden="1" x14ac:dyDescent="0.3"/>
    <row r="15248" hidden="1" x14ac:dyDescent="0.3"/>
    <row r="15249" hidden="1" x14ac:dyDescent="0.3"/>
    <row r="15250" hidden="1" x14ac:dyDescent="0.3"/>
    <row r="15251" hidden="1" x14ac:dyDescent="0.3"/>
    <row r="15252" hidden="1" x14ac:dyDescent="0.3"/>
    <row r="15253" hidden="1" x14ac:dyDescent="0.3"/>
    <row r="15254" hidden="1" x14ac:dyDescent="0.3"/>
    <row r="15255" hidden="1" x14ac:dyDescent="0.3"/>
    <row r="15256" hidden="1" x14ac:dyDescent="0.3"/>
    <row r="15257" hidden="1" x14ac:dyDescent="0.3"/>
    <row r="15258" hidden="1" x14ac:dyDescent="0.3"/>
    <row r="15259" hidden="1" x14ac:dyDescent="0.3"/>
    <row r="15260" hidden="1" x14ac:dyDescent="0.3"/>
    <row r="15261" hidden="1" x14ac:dyDescent="0.3"/>
    <row r="15262" hidden="1" x14ac:dyDescent="0.3"/>
    <row r="15263" hidden="1" x14ac:dyDescent="0.3"/>
    <row r="15264" hidden="1" x14ac:dyDescent="0.3"/>
    <row r="15265" hidden="1" x14ac:dyDescent="0.3"/>
    <row r="15266" hidden="1" x14ac:dyDescent="0.3"/>
    <row r="15267" hidden="1" x14ac:dyDescent="0.3"/>
    <row r="15268" hidden="1" x14ac:dyDescent="0.3"/>
    <row r="15269" hidden="1" x14ac:dyDescent="0.3"/>
    <row r="15270" hidden="1" x14ac:dyDescent="0.3"/>
    <row r="15271" hidden="1" x14ac:dyDescent="0.3"/>
    <row r="15272" hidden="1" x14ac:dyDescent="0.3"/>
    <row r="15273" hidden="1" x14ac:dyDescent="0.3"/>
    <row r="15274" hidden="1" x14ac:dyDescent="0.3"/>
    <row r="15275" hidden="1" x14ac:dyDescent="0.3"/>
    <row r="15276" hidden="1" x14ac:dyDescent="0.3"/>
    <row r="15277" hidden="1" x14ac:dyDescent="0.3"/>
    <row r="15278" hidden="1" x14ac:dyDescent="0.3"/>
    <row r="15279" hidden="1" x14ac:dyDescent="0.3"/>
    <row r="15280" hidden="1" x14ac:dyDescent="0.3"/>
    <row r="15281" hidden="1" x14ac:dyDescent="0.3"/>
    <row r="15282" hidden="1" x14ac:dyDescent="0.3"/>
    <row r="15283" hidden="1" x14ac:dyDescent="0.3"/>
    <row r="15284" hidden="1" x14ac:dyDescent="0.3"/>
    <row r="15285" hidden="1" x14ac:dyDescent="0.3"/>
    <row r="15286" hidden="1" x14ac:dyDescent="0.3"/>
    <row r="15287" hidden="1" x14ac:dyDescent="0.3"/>
    <row r="15288" hidden="1" x14ac:dyDescent="0.3"/>
    <row r="15289" hidden="1" x14ac:dyDescent="0.3"/>
    <row r="15290" hidden="1" x14ac:dyDescent="0.3"/>
    <row r="15291" hidden="1" x14ac:dyDescent="0.3"/>
    <row r="15292" hidden="1" x14ac:dyDescent="0.3"/>
    <row r="15293" hidden="1" x14ac:dyDescent="0.3"/>
    <row r="15294" hidden="1" x14ac:dyDescent="0.3"/>
    <row r="15295" hidden="1" x14ac:dyDescent="0.3"/>
    <row r="15296" hidden="1" x14ac:dyDescent="0.3"/>
    <row r="15297" hidden="1" x14ac:dyDescent="0.3"/>
    <row r="15298" hidden="1" x14ac:dyDescent="0.3"/>
    <row r="15299" hidden="1" x14ac:dyDescent="0.3"/>
    <row r="15300" hidden="1" x14ac:dyDescent="0.3"/>
    <row r="15301" hidden="1" x14ac:dyDescent="0.3"/>
    <row r="15302" hidden="1" x14ac:dyDescent="0.3"/>
    <row r="15303" hidden="1" x14ac:dyDescent="0.3"/>
    <row r="15304" hidden="1" x14ac:dyDescent="0.3"/>
    <row r="15305" hidden="1" x14ac:dyDescent="0.3"/>
    <row r="15306" hidden="1" x14ac:dyDescent="0.3"/>
    <row r="15307" hidden="1" x14ac:dyDescent="0.3"/>
    <row r="15308" hidden="1" x14ac:dyDescent="0.3"/>
    <row r="15309" hidden="1" x14ac:dyDescent="0.3"/>
    <row r="15310" hidden="1" x14ac:dyDescent="0.3"/>
    <row r="15311" hidden="1" x14ac:dyDescent="0.3"/>
    <row r="15312" hidden="1" x14ac:dyDescent="0.3"/>
    <row r="15313" hidden="1" x14ac:dyDescent="0.3"/>
    <row r="15314" hidden="1" x14ac:dyDescent="0.3"/>
    <row r="15315" hidden="1" x14ac:dyDescent="0.3"/>
    <row r="15316" hidden="1" x14ac:dyDescent="0.3"/>
    <row r="15317" hidden="1" x14ac:dyDescent="0.3"/>
    <row r="15318" hidden="1" x14ac:dyDescent="0.3"/>
    <row r="15319" hidden="1" x14ac:dyDescent="0.3"/>
    <row r="15320" hidden="1" x14ac:dyDescent="0.3"/>
    <row r="15321" hidden="1" x14ac:dyDescent="0.3"/>
    <row r="15322" hidden="1" x14ac:dyDescent="0.3"/>
    <row r="15323" hidden="1" x14ac:dyDescent="0.3"/>
    <row r="15324" hidden="1" x14ac:dyDescent="0.3"/>
    <row r="15325" hidden="1" x14ac:dyDescent="0.3"/>
    <row r="15326" hidden="1" x14ac:dyDescent="0.3"/>
    <row r="15327" hidden="1" x14ac:dyDescent="0.3"/>
    <row r="15328" hidden="1" x14ac:dyDescent="0.3"/>
    <row r="15329" hidden="1" x14ac:dyDescent="0.3"/>
    <row r="15330" hidden="1" x14ac:dyDescent="0.3"/>
    <row r="15331" hidden="1" x14ac:dyDescent="0.3"/>
    <row r="15332" hidden="1" x14ac:dyDescent="0.3"/>
    <row r="15333" hidden="1" x14ac:dyDescent="0.3"/>
    <row r="15334" hidden="1" x14ac:dyDescent="0.3"/>
    <row r="15335" hidden="1" x14ac:dyDescent="0.3"/>
    <row r="15336" hidden="1" x14ac:dyDescent="0.3"/>
    <row r="15337" hidden="1" x14ac:dyDescent="0.3"/>
    <row r="15338" hidden="1" x14ac:dyDescent="0.3"/>
    <row r="15339" hidden="1" x14ac:dyDescent="0.3"/>
    <row r="15340" hidden="1" x14ac:dyDescent="0.3"/>
    <row r="15341" hidden="1" x14ac:dyDescent="0.3"/>
    <row r="15342" hidden="1" x14ac:dyDescent="0.3"/>
    <row r="15343" hidden="1" x14ac:dyDescent="0.3"/>
    <row r="15344" hidden="1" x14ac:dyDescent="0.3"/>
    <row r="15345" hidden="1" x14ac:dyDescent="0.3"/>
    <row r="15346" hidden="1" x14ac:dyDescent="0.3"/>
    <row r="15347" hidden="1" x14ac:dyDescent="0.3"/>
    <row r="15348" hidden="1" x14ac:dyDescent="0.3"/>
    <row r="15349" hidden="1" x14ac:dyDescent="0.3"/>
    <row r="15350" hidden="1" x14ac:dyDescent="0.3"/>
    <row r="15351" hidden="1" x14ac:dyDescent="0.3"/>
    <row r="15352" hidden="1" x14ac:dyDescent="0.3"/>
    <row r="15353" hidden="1" x14ac:dyDescent="0.3"/>
    <row r="15354" hidden="1" x14ac:dyDescent="0.3"/>
    <row r="15355" hidden="1" x14ac:dyDescent="0.3"/>
    <row r="15356" hidden="1" x14ac:dyDescent="0.3"/>
    <row r="15357" hidden="1" x14ac:dyDescent="0.3"/>
    <row r="15358" hidden="1" x14ac:dyDescent="0.3"/>
    <row r="15359" hidden="1" x14ac:dyDescent="0.3"/>
    <row r="15360" hidden="1" x14ac:dyDescent="0.3"/>
    <row r="15361" hidden="1" x14ac:dyDescent="0.3"/>
    <row r="15362" hidden="1" x14ac:dyDescent="0.3"/>
    <row r="15363" hidden="1" x14ac:dyDescent="0.3"/>
    <row r="15364" hidden="1" x14ac:dyDescent="0.3"/>
    <row r="15365" hidden="1" x14ac:dyDescent="0.3"/>
    <row r="15366" hidden="1" x14ac:dyDescent="0.3"/>
    <row r="15367" hidden="1" x14ac:dyDescent="0.3"/>
    <row r="15368" hidden="1" x14ac:dyDescent="0.3"/>
    <row r="15369" hidden="1" x14ac:dyDescent="0.3"/>
    <row r="15370" hidden="1" x14ac:dyDescent="0.3"/>
    <row r="15371" hidden="1" x14ac:dyDescent="0.3"/>
    <row r="15372" hidden="1" x14ac:dyDescent="0.3"/>
    <row r="15373" hidden="1" x14ac:dyDescent="0.3"/>
    <row r="15374" hidden="1" x14ac:dyDescent="0.3"/>
    <row r="15375" hidden="1" x14ac:dyDescent="0.3"/>
    <row r="15376" hidden="1" x14ac:dyDescent="0.3"/>
    <row r="15377" hidden="1" x14ac:dyDescent="0.3"/>
    <row r="15378" hidden="1" x14ac:dyDescent="0.3"/>
    <row r="15379" hidden="1" x14ac:dyDescent="0.3"/>
    <row r="15380" hidden="1" x14ac:dyDescent="0.3"/>
    <row r="15381" hidden="1" x14ac:dyDescent="0.3"/>
    <row r="15382" hidden="1" x14ac:dyDescent="0.3"/>
    <row r="15383" hidden="1" x14ac:dyDescent="0.3"/>
    <row r="15384" hidden="1" x14ac:dyDescent="0.3"/>
    <row r="15385" hidden="1" x14ac:dyDescent="0.3"/>
    <row r="15386" hidden="1" x14ac:dyDescent="0.3"/>
    <row r="15387" hidden="1" x14ac:dyDescent="0.3"/>
    <row r="15388" hidden="1" x14ac:dyDescent="0.3"/>
    <row r="15389" hidden="1" x14ac:dyDescent="0.3"/>
    <row r="15390" hidden="1" x14ac:dyDescent="0.3"/>
    <row r="15391" hidden="1" x14ac:dyDescent="0.3"/>
    <row r="15392" hidden="1" x14ac:dyDescent="0.3"/>
    <row r="15393" hidden="1" x14ac:dyDescent="0.3"/>
    <row r="15394" hidden="1" x14ac:dyDescent="0.3"/>
    <row r="15395" hidden="1" x14ac:dyDescent="0.3"/>
    <row r="15396" hidden="1" x14ac:dyDescent="0.3"/>
    <row r="15397" hidden="1" x14ac:dyDescent="0.3"/>
    <row r="15398" hidden="1" x14ac:dyDescent="0.3"/>
    <row r="15399" hidden="1" x14ac:dyDescent="0.3"/>
    <row r="15400" hidden="1" x14ac:dyDescent="0.3"/>
    <row r="15401" hidden="1" x14ac:dyDescent="0.3"/>
    <row r="15402" hidden="1" x14ac:dyDescent="0.3"/>
    <row r="15403" hidden="1" x14ac:dyDescent="0.3"/>
    <row r="15404" hidden="1" x14ac:dyDescent="0.3"/>
    <row r="15405" hidden="1" x14ac:dyDescent="0.3"/>
    <row r="15406" hidden="1" x14ac:dyDescent="0.3"/>
    <row r="15407" hidden="1" x14ac:dyDescent="0.3"/>
    <row r="15408" hidden="1" x14ac:dyDescent="0.3"/>
    <row r="15409" hidden="1" x14ac:dyDescent="0.3"/>
    <row r="15410" hidden="1" x14ac:dyDescent="0.3"/>
    <row r="15411" hidden="1" x14ac:dyDescent="0.3"/>
    <row r="15412" hidden="1" x14ac:dyDescent="0.3"/>
    <row r="15413" hidden="1" x14ac:dyDescent="0.3"/>
    <row r="15414" hidden="1" x14ac:dyDescent="0.3"/>
    <row r="15415" hidden="1" x14ac:dyDescent="0.3"/>
    <row r="15416" hidden="1" x14ac:dyDescent="0.3"/>
    <row r="15417" hidden="1" x14ac:dyDescent="0.3"/>
    <row r="15418" hidden="1" x14ac:dyDescent="0.3"/>
    <row r="15419" hidden="1" x14ac:dyDescent="0.3"/>
    <row r="15420" hidden="1" x14ac:dyDescent="0.3"/>
    <row r="15421" hidden="1" x14ac:dyDescent="0.3"/>
    <row r="15422" hidden="1" x14ac:dyDescent="0.3"/>
    <row r="15423" hidden="1" x14ac:dyDescent="0.3"/>
    <row r="15424" hidden="1" x14ac:dyDescent="0.3"/>
    <row r="15425" hidden="1" x14ac:dyDescent="0.3"/>
    <row r="15426" hidden="1" x14ac:dyDescent="0.3"/>
    <row r="15427" hidden="1" x14ac:dyDescent="0.3"/>
    <row r="15428" hidden="1" x14ac:dyDescent="0.3"/>
    <row r="15429" hidden="1" x14ac:dyDescent="0.3"/>
    <row r="15430" hidden="1" x14ac:dyDescent="0.3"/>
    <row r="15431" hidden="1" x14ac:dyDescent="0.3"/>
    <row r="15432" hidden="1" x14ac:dyDescent="0.3"/>
    <row r="15433" hidden="1" x14ac:dyDescent="0.3"/>
    <row r="15434" hidden="1" x14ac:dyDescent="0.3"/>
    <row r="15435" hidden="1" x14ac:dyDescent="0.3"/>
    <row r="15436" hidden="1" x14ac:dyDescent="0.3"/>
    <row r="15437" hidden="1" x14ac:dyDescent="0.3"/>
    <row r="15438" hidden="1" x14ac:dyDescent="0.3"/>
    <row r="15439" hidden="1" x14ac:dyDescent="0.3"/>
    <row r="15440" hidden="1" x14ac:dyDescent="0.3"/>
    <row r="15441" hidden="1" x14ac:dyDescent="0.3"/>
    <row r="15442" hidden="1" x14ac:dyDescent="0.3"/>
    <row r="15443" hidden="1" x14ac:dyDescent="0.3"/>
    <row r="15444" hidden="1" x14ac:dyDescent="0.3"/>
    <row r="15445" hidden="1" x14ac:dyDescent="0.3"/>
    <row r="15446" hidden="1" x14ac:dyDescent="0.3"/>
    <row r="15447" hidden="1" x14ac:dyDescent="0.3"/>
    <row r="15448" hidden="1" x14ac:dyDescent="0.3"/>
    <row r="15449" hidden="1" x14ac:dyDescent="0.3"/>
    <row r="15450" hidden="1" x14ac:dyDescent="0.3"/>
    <row r="15451" hidden="1" x14ac:dyDescent="0.3"/>
    <row r="15452" hidden="1" x14ac:dyDescent="0.3"/>
    <row r="15453" hidden="1" x14ac:dyDescent="0.3"/>
    <row r="15454" hidden="1" x14ac:dyDescent="0.3"/>
    <row r="15455" hidden="1" x14ac:dyDescent="0.3"/>
    <row r="15456" hidden="1" x14ac:dyDescent="0.3"/>
    <row r="15457" hidden="1" x14ac:dyDescent="0.3"/>
    <row r="15458" hidden="1" x14ac:dyDescent="0.3"/>
    <row r="15459" hidden="1" x14ac:dyDescent="0.3"/>
    <row r="15460" hidden="1" x14ac:dyDescent="0.3"/>
    <row r="15461" hidden="1" x14ac:dyDescent="0.3"/>
    <row r="15462" hidden="1" x14ac:dyDescent="0.3"/>
    <row r="15463" hidden="1" x14ac:dyDescent="0.3"/>
    <row r="15464" hidden="1" x14ac:dyDescent="0.3"/>
    <row r="15465" hidden="1" x14ac:dyDescent="0.3"/>
    <row r="15466" hidden="1" x14ac:dyDescent="0.3"/>
    <row r="15467" hidden="1" x14ac:dyDescent="0.3"/>
    <row r="15468" hidden="1" x14ac:dyDescent="0.3"/>
    <row r="15469" hidden="1" x14ac:dyDescent="0.3"/>
    <row r="15470" hidden="1" x14ac:dyDescent="0.3"/>
    <row r="15471" hidden="1" x14ac:dyDescent="0.3"/>
    <row r="15472" hidden="1" x14ac:dyDescent="0.3"/>
    <row r="15473" hidden="1" x14ac:dyDescent="0.3"/>
    <row r="15474" hidden="1" x14ac:dyDescent="0.3"/>
    <row r="15475" hidden="1" x14ac:dyDescent="0.3"/>
    <row r="15476" hidden="1" x14ac:dyDescent="0.3"/>
    <row r="15477" hidden="1" x14ac:dyDescent="0.3"/>
    <row r="15478" hidden="1" x14ac:dyDescent="0.3"/>
    <row r="15479" hidden="1" x14ac:dyDescent="0.3"/>
    <row r="15480" hidden="1" x14ac:dyDescent="0.3"/>
    <row r="15481" hidden="1" x14ac:dyDescent="0.3"/>
    <row r="15482" hidden="1" x14ac:dyDescent="0.3"/>
    <row r="15483" hidden="1" x14ac:dyDescent="0.3"/>
    <row r="15484" hidden="1" x14ac:dyDescent="0.3"/>
    <row r="15485" hidden="1" x14ac:dyDescent="0.3"/>
    <row r="15486" hidden="1" x14ac:dyDescent="0.3"/>
    <row r="15487" hidden="1" x14ac:dyDescent="0.3"/>
    <row r="15488" hidden="1" x14ac:dyDescent="0.3"/>
    <row r="15489" hidden="1" x14ac:dyDescent="0.3"/>
    <row r="15490" hidden="1" x14ac:dyDescent="0.3"/>
    <row r="15491" hidden="1" x14ac:dyDescent="0.3"/>
    <row r="15492" hidden="1" x14ac:dyDescent="0.3"/>
    <row r="15493" hidden="1" x14ac:dyDescent="0.3"/>
    <row r="15494" hidden="1" x14ac:dyDescent="0.3"/>
    <row r="15495" hidden="1" x14ac:dyDescent="0.3"/>
    <row r="15496" hidden="1" x14ac:dyDescent="0.3"/>
    <row r="15497" hidden="1" x14ac:dyDescent="0.3"/>
    <row r="15498" hidden="1" x14ac:dyDescent="0.3"/>
    <row r="15499" hidden="1" x14ac:dyDescent="0.3"/>
    <row r="15500" hidden="1" x14ac:dyDescent="0.3"/>
    <row r="15501" hidden="1" x14ac:dyDescent="0.3"/>
    <row r="15502" hidden="1" x14ac:dyDescent="0.3"/>
    <row r="15503" hidden="1" x14ac:dyDescent="0.3"/>
    <row r="15504" hidden="1" x14ac:dyDescent="0.3"/>
    <row r="15505" hidden="1" x14ac:dyDescent="0.3"/>
    <row r="15506" hidden="1" x14ac:dyDescent="0.3"/>
    <row r="15507" hidden="1" x14ac:dyDescent="0.3"/>
    <row r="15508" hidden="1" x14ac:dyDescent="0.3"/>
    <row r="15509" hidden="1" x14ac:dyDescent="0.3"/>
    <row r="15510" hidden="1" x14ac:dyDescent="0.3"/>
    <row r="15511" hidden="1" x14ac:dyDescent="0.3"/>
    <row r="15512" hidden="1" x14ac:dyDescent="0.3"/>
    <row r="15513" hidden="1" x14ac:dyDescent="0.3"/>
    <row r="15514" hidden="1" x14ac:dyDescent="0.3"/>
    <row r="15515" hidden="1" x14ac:dyDescent="0.3"/>
    <row r="15516" hidden="1" x14ac:dyDescent="0.3"/>
    <row r="15517" hidden="1" x14ac:dyDescent="0.3"/>
    <row r="15518" hidden="1" x14ac:dyDescent="0.3"/>
    <row r="15519" hidden="1" x14ac:dyDescent="0.3"/>
    <row r="15520" hidden="1" x14ac:dyDescent="0.3"/>
    <row r="15521" hidden="1" x14ac:dyDescent="0.3"/>
    <row r="15522" hidden="1" x14ac:dyDescent="0.3"/>
    <row r="15523" hidden="1" x14ac:dyDescent="0.3"/>
    <row r="15524" hidden="1" x14ac:dyDescent="0.3"/>
    <row r="15525" hidden="1" x14ac:dyDescent="0.3"/>
    <row r="15526" hidden="1" x14ac:dyDescent="0.3"/>
    <row r="15527" hidden="1" x14ac:dyDescent="0.3"/>
    <row r="15528" hidden="1" x14ac:dyDescent="0.3"/>
    <row r="15529" hidden="1" x14ac:dyDescent="0.3"/>
    <row r="15530" hidden="1" x14ac:dyDescent="0.3"/>
    <row r="15531" hidden="1" x14ac:dyDescent="0.3"/>
    <row r="15532" hidden="1" x14ac:dyDescent="0.3"/>
    <row r="15533" hidden="1" x14ac:dyDescent="0.3"/>
    <row r="15534" hidden="1" x14ac:dyDescent="0.3"/>
    <row r="15535" hidden="1" x14ac:dyDescent="0.3"/>
    <row r="15536" hidden="1" x14ac:dyDescent="0.3"/>
    <row r="15537" hidden="1" x14ac:dyDescent="0.3"/>
    <row r="15538" hidden="1" x14ac:dyDescent="0.3"/>
    <row r="15539" hidden="1" x14ac:dyDescent="0.3"/>
    <row r="15540" hidden="1" x14ac:dyDescent="0.3"/>
    <row r="15541" hidden="1" x14ac:dyDescent="0.3"/>
    <row r="15542" hidden="1" x14ac:dyDescent="0.3"/>
    <row r="15543" hidden="1" x14ac:dyDescent="0.3"/>
    <row r="15544" hidden="1" x14ac:dyDescent="0.3"/>
    <row r="15545" hidden="1" x14ac:dyDescent="0.3"/>
    <row r="15546" hidden="1" x14ac:dyDescent="0.3"/>
    <row r="15547" hidden="1" x14ac:dyDescent="0.3"/>
    <row r="15548" hidden="1" x14ac:dyDescent="0.3"/>
    <row r="15549" hidden="1" x14ac:dyDescent="0.3"/>
    <row r="15550" hidden="1" x14ac:dyDescent="0.3"/>
    <row r="15551" hidden="1" x14ac:dyDescent="0.3"/>
    <row r="15552" hidden="1" x14ac:dyDescent="0.3"/>
    <row r="15553" hidden="1" x14ac:dyDescent="0.3"/>
    <row r="15554" hidden="1" x14ac:dyDescent="0.3"/>
    <row r="15555" hidden="1" x14ac:dyDescent="0.3"/>
    <row r="15556" hidden="1" x14ac:dyDescent="0.3"/>
    <row r="15557" hidden="1" x14ac:dyDescent="0.3"/>
    <row r="15558" hidden="1" x14ac:dyDescent="0.3"/>
    <row r="15559" hidden="1" x14ac:dyDescent="0.3"/>
    <row r="15560" hidden="1" x14ac:dyDescent="0.3"/>
    <row r="15561" hidden="1" x14ac:dyDescent="0.3"/>
    <row r="15562" hidden="1" x14ac:dyDescent="0.3"/>
    <row r="15563" hidden="1" x14ac:dyDescent="0.3"/>
    <row r="15564" hidden="1" x14ac:dyDescent="0.3"/>
    <row r="15565" hidden="1" x14ac:dyDescent="0.3"/>
    <row r="15566" hidden="1" x14ac:dyDescent="0.3"/>
    <row r="15567" hidden="1" x14ac:dyDescent="0.3"/>
    <row r="15568" hidden="1" x14ac:dyDescent="0.3"/>
    <row r="15569" hidden="1" x14ac:dyDescent="0.3"/>
    <row r="15570" hidden="1" x14ac:dyDescent="0.3"/>
    <row r="15571" hidden="1" x14ac:dyDescent="0.3"/>
    <row r="15572" hidden="1" x14ac:dyDescent="0.3"/>
    <row r="15573" hidden="1" x14ac:dyDescent="0.3"/>
    <row r="15574" hidden="1" x14ac:dyDescent="0.3"/>
    <row r="15575" hidden="1" x14ac:dyDescent="0.3"/>
    <row r="15576" hidden="1" x14ac:dyDescent="0.3"/>
    <row r="15577" hidden="1" x14ac:dyDescent="0.3"/>
    <row r="15578" hidden="1" x14ac:dyDescent="0.3"/>
    <row r="15579" hidden="1" x14ac:dyDescent="0.3"/>
    <row r="15580" hidden="1" x14ac:dyDescent="0.3"/>
    <row r="15581" hidden="1" x14ac:dyDescent="0.3"/>
    <row r="15582" hidden="1" x14ac:dyDescent="0.3"/>
    <row r="15583" hidden="1" x14ac:dyDescent="0.3"/>
    <row r="15584" hidden="1" x14ac:dyDescent="0.3"/>
    <row r="15585" hidden="1" x14ac:dyDescent="0.3"/>
    <row r="15586" hidden="1" x14ac:dyDescent="0.3"/>
    <row r="15587" hidden="1" x14ac:dyDescent="0.3"/>
    <row r="15588" hidden="1" x14ac:dyDescent="0.3"/>
    <row r="15589" hidden="1" x14ac:dyDescent="0.3"/>
    <row r="15590" hidden="1" x14ac:dyDescent="0.3"/>
    <row r="15591" hidden="1" x14ac:dyDescent="0.3"/>
    <row r="15592" hidden="1" x14ac:dyDescent="0.3"/>
    <row r="15593" hidden="1" x14ac:dyDescent="0.3"/>
    <row r="15594" hidden="1" x14ac:dyDescent="0.3"/>
    <row r="15595" hidden="1" x14ac:dyDescent="0.3"/>
    <row r="15596" hidden="1" x14ac:dyDescent="0.3"/>
    <row r="15597" hidden="1" x14ac:dyDescent="0.3"/>
    <row r="15598" hidden="1" x14ac:dyDescent="0.3"/>
    <row r="15599" hidden="1" x14ac:dyDescent="0.3"/>
    <row r="15600" hidden="1" x14ac:dyDescent="0.3"/>
    <row r="15601" hidden="1" x14ac:dyDescent="0.3"/>
    <row r="15602" hidden="1" x14ac:dyDescent="0.3"/>
    <row r="15603" hidden="1" x14ac:dyDescent="0.3"/>
    <row r="15604" hidden="1" x14ac:dyDescent="0.3"/>
    <row r="15605" hidden="1" x14ac:dyDescent="0.3"/>
    <row r="15606" hidden="1" x14ac:dyDescent="0.3"/>
    <row r="15607" hidden="1" x14ac:dyDescent="0.3"/>
    <row r="15608" hidden="1" x14ac:dyDescent="0.3"/>
    <row r="15609" hidden="1" x14ac:dyDescent="0.3"/>
    <row r="15610" hidden="1" x14ac:dyDescent="0.3"/>
    <row r="15611" hidden="1" x14ac:dyDescent="0.3"/>
    <row r="15612" hidden="1" x14ac:dyDescent="0.3"/>
    <row r="15613" hidden="1" x14ac:dyDescent="0.3"/>
    <row r="15614" hidden="1" x14ac:dyDescent="0.3"/>
    <row r="15615" hidden="1" x14ac:dyDescent="0.3"/>
    <row r="15616" hidden="1" x14ac:dyDescent="0.3"/>
    <row r="15617" hidden="1" x14ac:dyDescent="0.3"/>
    <row r="15618" hidden="1" x14ac:dyDescent="0.3"/>
    <row r="15619" hidden="1" x14ac:dyDescent="0.3"/>
    <row r="15620" hidden="1" x14ac:dyDescent="0.3"/>
    <row r="15621" hidden="1" x14ac:dyDescent="0.3"/>
    <row r="15622" hidden="1" x14ac:dyDescent="0.3"/>
    <row r="15623" hidden="1" x14ac:dyDescent="0.3"/>
    <row r="15624" hidden="1" x14ac:dyDescent="0.3"/>
    <row r="15625" hidden="1" x14ac:dyDescent="0.3"/>
    <row r="15626" hidden="1" x14ac:dyDescent="0.3"/>
    <row r="15627" hidden="1" x14ac:dyDescent="0.3"/>
    <row r="15628" hidden="1" x14ac:dyDescent="0.3"/>
    <row r="15629" hidden="1" x14ac:dyDescent="0.3"/>
    <row r="15630" hidden="1" x14ac:dyDescent="0.3"/>
    <row r="15631" hidden="1" x14ac:dyDescent="0.3"/>
    <row r="15632" hidden="1" x14ac:dyDescent="0.3"/>
    <row r="15633" hidden="1" x14ac:dyDescent="0.3"/>
    <row r="15634" hidden="1" x14ac:dyDescent="0.3"/>
    <row r="15635" hidden="1" x14ac:dyDescent="0.3"/>
    <row r="15636" hidden="1" x14ac:dyDescent="0.3"/>
    <row r="15637" hidden="1" x14ac:dyDescent="0.3"/>
    <row r="15638" hidden="1" x14ac:dyDescent="0.3"/>
    <row r="15639" hidden="1" x14ac:dyDescent="0.3"/>
    <row r="15640" hidden="1" x14ac:dyDescent="0.3"/>
    <row r="15641" hidden="1" x14ac:dyDescent="0.3"/>
    <row r="15642" hidden="1" x14ac:dyDescent="0.3"/>
    <row r="15643" hidden="1" x14ac:dyDescent="0.3"/>
    <row r="15644" hidden="1" x14ac:dyDescent="0.3"/>
    <row r="15645" hidden="1" x14ac:dyDescent="0.3"/>
    <row r="15646" hidden="1" x14ac:dyDescent="0.3"/>
    <row r="15647" hidden="1" x14ac:dyDescent="0.3"/>
    <row r="15648" hidden="1" x14ac:dyDescent="0.3"/>
    <row r="15649" hidden="1" x14ac:dyDescent="0.3"/>
    <row r="15650" hidden="1" x14ac:dyDescent="0.3"/>
    <row r="15651" hidden="1" x14ac:dyDescent="0.3"/>
    <row r="15652" hidden="1" x14ac:dyDescent="0.3"/>
    <row r="15653" hidden="1" x14ac:dyDescent="0.3"/>
    <row r="15654" hidden="1" x14ac:dyDescent="0.3"/>
    <row r="15655" hidden="1" x14ac:dyDescent="0.3"/>
    <row r="15656" hidden="1" x14ac:dyDescent="0.3"/>
    <row r="15657" hidden="1" x14ac:dyDescent="0.3"/>
    <row r="15658" hidden="1" x14ac:dyDescent="0.3"/>
    <row r="15659" hidden="1" x14ac:dyDescent="0.3"/>
    <row r="15660" hidden="1" x14ac:dyDescent="0.3"/>
    <row r="15661" hidden="1" x14ac:dyDescent="0.3"/>
    <row r="15662" hidden="1" x14ac:dyDescent="0.3"/>
    <row r="15663" hidden="1" x14ac:dyDescent="0.3"/>
    <row r="15664" hidden="1" x14ac:dyDescent="0.3"/>
    <row r="15665" hidden="1" x14ac:dyDescent="0.3"/>
    <row r="15666" hidden="1" x14ac:dyDescent="0.3"/>
    <row r="15667" hidden="1" x14ac:dyDescent="0.3"/>
    <row r="15668" hidden="1" x14ac:dyDescent="0.3"/>
    <row r="15669" hidden="1" x14ac:dyDescent="0.3"/>
    <row r="15670" hidden="1" x14ac:dyDescent="0.3"/>
    <row r="15671" hidden="1" x14ac:dyDescent="0.3"/>
    <row r="15672" hidden="1" x14ac:dyDescent="0.3"/>
    <row r="15673" hidden="1" x14ac:dyDescent="0.3"/>
    <row r="15674" hidden="1" x14ac:dyDescent="0.3"/>
    <row r="15675" hidden="1" x14ac:dyDescent="0.3"/>
    <row r="15676" hidden="1" x14ac:dyDescent="0.3"/>
    <row r="15677" hidden="1" x14ac:dyDescent="0.3"/>
    <row r="15678" hidden="1" x14ac:dyDescent="0.3"/>
    <row r="15679" hidden="1" x14ac:dyDescent="0.3"/>
    <row r="15680" hidden="1" x14ac:dyDescent="0.3"/>
    <row r="15681" hidden="1" x14ac:dyDescent="0.3"/>
    <row r="15682" hidden="1" x14ac:dyDescent="0.3"/>
    <row r="15683" hidden="1" x14ac:dyDescent="0.3"/>
    <row r="15684" hidden="1" x14ac:dyDescent="0.3"/>
    <row r="15685" hidden="1" x14ac:dyDescent="0.3"/>
    <row r="15686" hidden="1" x14ac:dyDescent="0.3"/>
    <row r="15687" hidden="1" x14ac:dyDescent="0.3"/>
    <row r="15688" hidden="1" x14ac:dyDescent="0.3"/>
    <row r="15689" hidden="1" x14ac:dyDescent="0.3"/>
    <row r="15690" hidden="1" x14ac:dyDescent="0.3"/>
    <row r="15691" hidden="1" x14ac:dyDescent="0.3"/>
    <row r="15692" hidden="1" x14ac:dyDescent="0.3"/>
    <row r="15693" hidden="1" x14ac:dyDescent="0.3"/>
    <row r="15694" hidden="1" x14ac:dyDescent="0.3"/>
    <row r="15695" hidden="1" x14ac:dyDescent="0.3"/>
    <row r="15696" hidden="1" x14ac:dyDescent="0.3"/>
    <row r="15697" hidden="1" x14ac:dyDescent="0.3"/>
    <row r="15698" hidden="1" x14ac:dyDescent="0.3"/>
    <row r="15699" hidden="1" x14ac:dyDescent="0.3"/>
    <row r="15700" hidden="1" x14ac:dyDescent="0.3"/>
    <row r="15701" hidden="1" x14ac:dyDescent="0.3"/>
    <row r="15702" hidden="1" x14ac:dyDescent="0.3"/>
    <row r="15703" hidden="1" x14ac:dyDescent="0.3"/>
    <row r="15704" hidden="1" x14ac:dyDescent="0.3"/>
    <row r="15705" hidden="1" x14ac:dyDescent="0.3"/>
    <row r="15706" hidden="1" x14ac:dyDescent="0.3"/>
    <row r="15707" hidden="1" x14ac:dyDescent="0.3"/>
    <row r="15708" hidden="1" x14ac:dyDescent="0.3"/>
    <row r="15709" hidden="1" x14ac:dyDescent="0.3"/>
    <row r="15710" hidden="1" x14ac:dyDescent="0.3"/>
    <row r="15711" hidden="1" x14ac:dyDescent="0.3"/>
    <row r="15712" hidden="1" x14ac:dyDescent="0.3"/>
    <row r="15713" hidden="1" x14ac:dyDescent="0.3"/>
    <row r="15714" hidden="1" x14ac:dyDescent="0.3"/>
    <row r="15715" hidden="1" x14ac:dyDescent="0.3"/>
    <row r="15716" hidden="1" x14ac:dyDescent="0.3"/>
    <row r="15717" hidden="1" x14ac:dyDescent="0.3"/>
    <row r="15718" hidden="1" x14ac:dyDescent="0.3"/>
    <row r="15719" hidden="1" x14ac:dyDescent="0.3"/>
    <row r="15720" hidden="1" x14ac:dyDescent="0.3"/>
    <row r="15721" hidden="1" x14ac:dyDescent="0.3"/>
    <row r="15722" hidden="1" x14ac:dyDescent="0.3"/>
    <row r="15723" hidden="1" x14ac:dyDescent="0.3"/>
    <row r="15724" hidden="1" x14ac:dyDescent="0.3"/>
    <row r="15725" hidden="1" x14ac:dyDescent="0.3"/>
    <row r="15726" hidden="1" x14ac:dyDescent="0.3"/>
    <row r="15727" hidden="1" x14ac:dyDescent="0.3"/>
    <row r="15728" hidden="1" x14ac:dyDescent="0.3"/>
    <row r="15729" hidden="1" x14ac:dyDescent="0.3"/>
    <row r="15730" hidden="1" x14ac:dyDescent="0.3"/>
    <row r="15731" hidden="1" x14ac:dyDescent="0.3"/>
    <row r="15732" hidden="1" x14ac:dyDescent="0.3"/>
    <row r="15733" hidden="1" x14ac:dyDescent="0.3"/>
    <row r="15734" hidden="1" x14ac:dyDescent="0.3"/>
    <row r="15735" hidden="1" x14ac:dyDescent="0.3"/>
    <row r="15736" hidden="1" x14ac:dyDescent="0.3"/>
    <row r="15737" hidden="1" x14ac:dyDescent="0.3"/>
    <row r="15738" hidden="1" x14ac:dyDescent="0.3"/>
    <row r="15739" hidden="1" x14ac:dyDescent="0.3"/>
    <row r="15740" hidden="1" x14ac:dyDescent="0.3"/>
    <row r="15741" hidden="1" x14ac:dyDescent="0.3"/>
    <row r="15742" hidden="1" x14ac:dyDescent="0.3"/>
    <row r="15743" hidden="1" x14ac:dyDescent="0.3"/>
    <row r="15744" hidden="1" x14ac:dyDescent="0.3"/>
    <row r="15745" hidden="1" x14ac:dyDescent="0.3"/>
    <row r="15746" hidden="1" x14ac:dyDescent="0.3"/>
  </sheetData>
  <sheetProtection selectLockedCells="1" selectUnlockedCells="1"/>
  <mergeCells count="500">
    <mergeCell ref="A399:B399"/>
    <mergeCell ref="C399:D399"/>
    <mergeCell ref="A401:B401"/>
    <mergeCell ref="C401:D401"/>
    <mergeCell ref="A415:B415"/>
    <mergeCell ref="C415:D415"/>
    <mergeCell ref="A417:B417"/>
    <mergeCell ref="C417:D417"/>
    <mergeCell ref="A409:B409"/>
    <mergeCell ref="C409:D409"/>
    <mergeCell ref="A411:B411"/>
    <mergeCell ref="C411:D411"/>
    <mergeCell ref="A413:B413"/>
    <mergeCell ref="C413:D413"/>
    <mergeCell ref="A373:B373"/>
    <mergeCell ref="C373:D373"/>
    <mergeCell ref="A375:B375"/>
    <mergeCell ref="C375:D375"/>
    <mergeCell ref="A377:B377"/>
    <mergeCell ref="C377:D377"/>
    <mergeCell ref="A379:B379"/>
    <mergeCell ref="C379:D379"/>
    <mergeCell ref="A381:B381"/>
    <mergeCell ref="C381:D381"/>
    <mergeCell ref="A369:B369"/>
    <mergeCell ref="C369:D369"/>
    <mergeCell ref="A359:B359"/>
    <mergeCell ref="C359:D359"/>
    <mergeCell ref="A361:B361"/>
    <mergeCell ref="C361:D361"/>
    <mergeCell ref="A363:B363"/>
    <mergeCell ref="C363:D363"/>
    <mergeCell ref="A371:B371"/>
    <mergeCell ref="C371:D371"/>
    <mergeCell ref="A343:B343"/>
    <mergeCell ref="C343:D343"/>
    <mergeCell ref="A357:B357"/>
    <mergeCell ref="C357:D357"/>
    <mergeCell ref="A355:B355"/>
    <mergeCell ref="C355:D355"/>
    <mergeCell ref="A365:B365"/>
    <mergeCell ref="C365:D365"/>
    <mergeCell ref="A367:B367"/>
    <mergeCell ref="C367:D367"/>
    <mergeCell ref="A345:B345"/>
    <mergeCell ref="C345:D345"/>
    <mergeCell ref="A347:B347"/>
    <mergeCell ref="C347:D347"/>
    <mergeCell ref="A349:B349"/>
    <mergeCell ref="C349:D349"/>
    <mergeCell ref="A351:B351"/>
    <mergeCell ref="C351:D351"/>
    <mergeCell ref="A353:B353"/>
    <mergeCell ref="C353:D353"/>
    <mergeCell ref="A333:B333"/>
    <mergeCell ref="C333:D333"/>
    <mergeCell ref="A337:B337"/>
    <mergeCell ref="C337:D337"/>
    <mergeCell ref="A339:B339"/>
    <mergeCell ref="C339:D339"/>
    <mergeCell ref="A341:B341"/>
    <mergeCell ref="C341:D341"/>
    <mergeCell ref="A335:B335"/>
    <mergeCell ref="C335:D335"/>
    <mergeCell ref="A299:B299"/>
    <mergeCell ref="C299:D299"/>
    <mergeCell ref="A301:B301"/>
    <mergeCell ref="C301:D301"/>
    <mergeCell ref="A303:B303"/>
    <mergeCell ref="C303:D303"/>
    <mergeCell ref="A305:B305"/>
    <mergeCell ref="C305:D305"/>
    <mergeCell ref="A315:B315"/>
    <mergeCell ref="C315:D315"/>
    <mergeCell ref="A307:B307"/>
    <mergeCell ref="C307:D307"/>
    <mergeCell ref="A309:B309"/>
    <mergeCell ref="C309:D309"/>
    <mergeCell ref="A311:B311"/>
    <mergeCell ref="C311:D311"/>
    <mergeCell ref="A313:B313"/>
    <mergeCell ref="C313:D313"/>
    <mergeCell ref="A255:B255"/>
    <mergeCell ref="C255:D255"/>
    <mergeCell ref="A267:B267"/>
    <mergeCell ref="C267:D267"/>
    <mergeCell ref="A277:B277"/>
    <mergeCell ref="C277:D277"/>
    <mergeCell ref="A279:B279"/>
    <mergeCell ref="C279:D279"/>
    <mergeCell ref="A281:B281"/>
    <mergeCell ref="C281:D281"/>
    <mergeCell ref="A273:B273"/>
    <mergeCell ref="C273:D273"/>
    <mergeCell ref="A275:B275"/>
    <mergeCell ref="C275:D27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45:B245"/>
    <mergeCell ref="C245:D245"/>
    <mergeCell ref="A247:B247"/>
    <mergeCell ref="C247:D247"/>
    <mergeCell ref="A249:B249"/>
    <mergeCell ref="C249:D249"/>
    <mergeCell ref="A251:B251"/>
    <mergeCell ref="C251:D251"/>
    <mergeCell ref="A253:B253"/>
    <mergeCell ref="C253:D253"/>
    <mergeCell ref="A241:B241"/>
    <mergeCell ref="C241:D241"/>
    <mergeCell ref="A243:B243"/>
    <mergeCell ref="C243:D243"/>
    <mergeCell ref="A233:B233"/>
    <mergeCell ref="C233:D233"/>
    <mergeCell ref="A235:B235"/>
    <mergeCell ref="C235:D235"/>
    <mergeCell ref="A237:B237"/>
    <mergeCell ref="C237:D237"/>
    <mergeCell ref="A217:B217"/>
    <mergeCell ref="C217:D217"/>
    <mergeCell ref="A231:B231"/>
    <mergeCell ref="C231:D231"/>
    <mergeCell ref="A229:B229"/>
    <mergeCell ref="C229:D229"/>
    <mergeCell ref="A239:B239"/>
    <mergeCell ref="C239:D239"/>
    <mergeCell ref="A219:B219"/>
    <mergeCell ref="C219:D219"/>
    <mergeCell ref="A221:B221"/>
    <mergeCell ref="C221:D221"/>
    <mergeCell ref="A223:B223"/>
    <mergeCell ref="C223:D223"/>
    <mergeCell ref="A225:B225"/>
    <mergeCell ref="C225:D225"/>
    <mergeCell ref="A227:B227"/>
    <mergeCell ref="C227:D227"/>
    <mergeCell ref="A207:B207"/>
    <mergeCell ref="C207:D207"/>
    <mergeCell ref="A211:B211"/>
    <mergeCell ref="C211:D211"/>
    <mergeCell ref="A213:B213"/>
    <mergeCell ref="C213:D213"/>
    <mergeCell ref="A209:B209"/>
    <mergeCell ref="C209:D209"/>
    <mergeCell ref="A215:B215"/>
    <mergeCell ref="C215:D215"/>
    <mergeCell ref="A173:B173"/>
    <mergeCell ref="C173:D173"/>
    <mergeCell ref="A175:B175"/>
    <mergeCell ref="C175:D175"/>
    <mergeCell ref="A177:B177"/>
    <mergeCell ref="C177:D177"/>
    <mergeCell ref="A179:B179"/>
    <mergeCell ref="C179:D179"/>
    <mergeCell ref="A189:B189"/>
    <mergeCell ref="C189:D189"/>
    <mergeCell ref="A181:B181"/>
    <mergeCell ref="C181:D181"/>
    <mergeCell ref="A183:B183"/>
    <mergeCell ref="C183:D183"/>
    <mergeCell ref="A185:B185"/>
    <mergeCell ref="C185:D185"/>
    <mergeCell ref="A187:B187"/>
    <mergeCell ref="C187:D187"/>
    <mergeCell ref="A129:B129"/>
    <mergeCell ref="C129:D129"/>
    <mergeCell ref="A141:B141"/>
    <mergeCell ref="C141:D141"/>
    <mergeCell ref="A151:B151"/>
    <mergeCell ref="C151:D151"/>
    <mergeCell ref="A153:B153"/>
    <mergeCell ref="C153:D153"/>
    <mergeCell ref="A155:B155"/>
    <mergeCell ref="C155:D155"/>
    <mergeCell ref="A147:B147"/>
    <mergeCell ref="C147:D147"/>
    <mergeCell ref="A149:B149"/>
    <mergeCell ref="C149:D149"/>
    <mergeCell ref="A131:B131"/>
    <mergeCell ref="C131:D131"/>
    <mergeCell ref="A133:B133"/>
    <mergeCell ref="C133:D133"/>
    <mergeCell ref="A135:B135"/>
    <mergeCell ref="C135:D135"/>
    <mergeCell ref="A137:B137"/>
    <mergeCell ref="C137:D137"/>
    <mergeCell ref="A139:B139"/>
    <mergeCell ref="C139:D139"/>
    <mergeCell ref="A119:B119"/>
    <mergeCell ref="C119:D119"/>
    <mergeCell ref="A121:B121"/>
    <mergeCell ref="C121:D121"/>
    <mergeCell ref="A123:B123"/>
    <mergeCell ref="C123:D123"/>
    <mergeCell ref="A125:B125"/>
    <mergeCell ref="C125:D125"/>
    <mergeCell ref="A127:B127"/>
    <mergeCell ref="C127:D127"/>
    <mergeCell ref="A113:B113"/>
    <mergeCell ref="C113:D113"/>
    <mergeCell ref="A115:B115"/>
    <mergeCell ref="C115:D115"/>
    <mergeCell ref="A117:B117"/>
    <mergeCell ref="C117:D117"/>
    <mergeCell ref="A107:B107"/>
    <mergeCell ref="C107:D107"/>
    <mergeCell ref="A109:B109"/>
    <mergeCell ref="C109:D109"/>
    <mergeCell ref="A111:B111"/>
    <mergeCell ref="C111:D111"/>
    <mergeCell ref="A85:B85"/>
    <mergeCell ref="C85:D85"/>
    <mergeCell ref="A87:B87"/>
    <mergeCell ref="C87:D87"/>
    <mergeCell ref="A89:B89"/>
    <mergeCell ref="C89:D89"/>
    <mergeCell ref="A91:B91"/>
    <mergeCell ref="C91:D91"/>
    <mergeCell ref="A105:B105"/>
    <mergeCell ref="C105:D105"/>
    <mergeCell ref="A103:B103"/>
    <mergeCell ref="C103:D103"/>
    <mergeCell ref="A93:B93"/>
    <mergeCell ref="C93:D93"/>
    <mergeCell ref="A95:B95"/>
    <mergeCell ref="C95:D95"/>
    <mergeCell ref="A97:B97"/>
    <mergeCell ref="C97:D97"/>
    <mergeCell ref="A99:B99"/>
    <mergeCell ref="C99:D99"/>
    <mergeCell ref="A101:B101"/>
    <mergeCell ref="C101:D101"/>
    <mergeCell ref="A41:B41"/>
    <mergeCell ref="C41:D41"/>
    <mergeCell ref="A53:B53"/>
    <mergeCell ref="C53:D53"/>
    <mergeCell ref="A63:B63"/>
    <mergeCell ref="C63:D63"/>
    <mergeCell ref="A65:B65"/>
    <mergeCell ref="C65:D65"/>
    <mergeCell ref="A67:B67"/>
    <mergeCell ref="C67:D67"/>
    <mergeCell ref="A43:B43"/>
    <mergeCell ref="C43:D43"/>
    <mergeCell ref="A45:B45"/>
    <mergeCell ref="C45:D45"/>
    <mergeCell ref="A47:B47"/>
    <mergeCell ref="C47:D47"/>
    <mergeCell ref="A49:B49"/>
    <mergeCell ref="C49:D49"/>
    <mergeCell ref="A51:B51"/>
    <mergeCell ref="C51:D51"/>
    <mergeCell ref="A55:B55"/>
    <mergeCell ref="C55:D55"/>
    <mergeCell ref="A57:B57"/>
    <mergeCell ref="C57:D57"/>
    <mergeCell ref="A37:B37"/>
    <mergeCell ref="C37:D37"/>
    <mergeCell ref="A39:B39"/>
    <mergeCell ref="C39:D39"/>
    <mergeCell ref="A31:B31"/>
    <mergeCell ref="C31:D31"/>
    <mergeCell ref="A33:B33"/>
    <mergeCell ref="C33:D33"/>
    <mergeCell ref="A35:B35"/>
    <mergeCell ref="C35:D3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7:B17"/>
    <mergeCell ref="C17:D17"/>
    <mergeCell ref="A7:B7"/>
    <mergeCell ref="C7:D7"/>
    <mergeCell ref="A9:B9"/>
    <mergeCell ref="C9:D9"/>
    <mergeCell ref="A11:B11"/>
    <mergeCell ref="C11:D11"/>
    <mergeCell ref="A25:B25"/>
    <mergeCell ref="C25:D25"/>
    <mergeCell ref="A1:B1"/>
    <mergeCell ref="C1:D1"/>
    <mergeCell ref="A3:B3"/>
    <mergeCell ref="C3:D3"/>
    <mergeCell ref="A5:B5"/>
    <mergeCell ref="C5:D5"/>
    <mergeCell ref="A13:B13"/>
    <mergeCell ref="C13:D13"/>
    <mergeCell ref="A15:B15"/>
    <mergeCell ref="C15:D15"/>
    <mergeCell ref="A59:B59"/>
    <mergeCell ref="C59:D59"/>
    <mergeCell ref="A61:B61"/>
    <mergeCell ref="C61:D61"/>
    <mergeCell ref="A83:B83"/>
    <mergeCell ref="C83:D83"/>
    <mergeCell ref="A75:B75"/>
    <mergeCell ref="C75:D75"/>
    <mergeCell ref="A77:B77"/>
    <mergeCell ref="C77:D77"/>
    <mergeCell ref="A79:B79"/>
    <mergeCell ref="C79:D79"/>
    <mergeCell ref="A69:B69"/>
    <mergeCell ref="C69:D69"/>
    <mergeCell ref="A71:B71"/>
    <mergeCell ref="C71:D71"/>
    <mergeCell ref="A73:B73"/>
    <mergeCell ref="C73:D73"/>
    <mergeCell ref="A81:B81"/>
    <mergeCell ref="C81:D81"/>
    <mergeCell ref="A143:B143"/>
    <mergeCell ref="C143:D143"/>
    <mergeCell ref="A145:B145"/>
    <mergeCell ref="C145:D145"/>
    <mergeCell ref="A167:B167"/>
    <mergeCell ref="C167:D167"/>
    <mergeCell ref="A169:B169"/>
    <mergeCell ref="C169:D169"/>
    <mergeCell ref="A171:B171"/>
    <mergeCell ref="C171:D171"/>
    <mergeCell ref="A163:B163"/>
    <mergeCell ref="C163:D163"/>
    <mergeCell ref="A165:B165"/>
    <mergeCell ref="C165:D165"/>
    <mergeCell ref="A157:B157"/>
    <mergeCell ref="C157:D157"/>
    <mergeCell ref="A159:B159"/>
    <mergeCell ref="C159:D159"/>
    <mergeCell ref="A161:B161"/>
    <mergeCell ref="C161:D161"/>
    <mergeCell ref="A191:B191"/>
    <mergeCell ref="C191:D191"/>
    <mergeCell ref="A193:B193"/>
    <mergeCell ref="C193:D193"/>
    <mergeCell ref="A201:B201"/>
    <mergeCell ref="C201:D201"/>
    <mergeCell ref="A203:B203"/>
    <mergeCell ref="C203:D203"/>
    <mergeCell ref="A205:B205"/>
    <mergeCell ref="C205:D205"/>
    <mergeCell ref="A195:B195"/>
    <mergeCell ref="C195:D195"/>
    <mergeCell ref="A197:B197"/>
    <mergeCell ref="C197:D197"/>
    <mergeCell ref="A199:B199"/>
    <mergeCell ref="C199:D199"/>
    <mergeCell ref="A269:B269"/>
    <mergeCell ref="C269:D269"/>
    <mergeCell ref="A271:B271"/>
    <mergeCell ref="C271:D271"/>
    <mergeCell ref="A293:B293"/>
    <mergeCell ref="C293:D293"/>
    <mergeCell ref="A295:B295"/>
    <mergeCell ref="C295:D295"/>
    <mergeCell ref="A297:B297"/>
    <mergeCell ref="C297:D297"/>
    <mergeCell ref="A289:B289"/>
    <mergeCell ref="C289:D289"/>
    <mergeCell ref="A291:B291"/>
    <mergeCell ref="C291:D291"/>
    <mergeCell ref="A283:B283"/>
    <mergeCell ref="C283:D283"/>
    <mergeCell ref="A285:B285"/>
    <mergeCell ref="C285:D285"/>
    <mergeCell ref="A287:B287"/>
    <mergeCell ref="C287:D287"/>
    <mergeCell ref="A317:B317"/>
    <mergeCell ref="C317:D317"/>
    <mergeCell ref="A319:B319"/>
    <mergeCell ref="C319:D319"/>
    <mergeCell ref="A327:B327"/>
    <mergeCell ref="C327:D327"/>
    <mergeCell ref="A329:B329"/>
    <mergeCell ref="C329:D329"/>
    <mergeCell ref="A331:B331"/>
    <mergeCell ref="C331:D331"/>
    <mergeCell ref="A321:B321"/>
    <mergeCell ref="C321:D321"/>
    <mergeCell ref="A323:B323"/>
    <mergeCell ref="C323:D323"/>
    <mergeCell ref="A325:B325"/>
    <mergeCell ref="C325:D325"/>
    <mergeCell ref="A445:B445"/>
    <mergeCell ref="C445:D445"/>
    <mergeCell ref="A447:B447"/>
    <mergeCell ref="C447:D447"/>
    <mergeCell ref="A429:B429"/>
    <mergeCell ref="C429:D42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21:B421"/>
    <mergeCell ref="C421:D421"/>
    <mergeCell ref="A423:B423"/>
    <mergeCell ref="C423:D423"/>
    <mergeCell ref="A425:B425"/>
    <mergeCell ref="C425:D425"/>
    <mergeCell ref="A441:B441"/>
    <mergeCell ref="C441:D441"/>
    <mergeCell ref="A443:B443"/>
    <mergeCell ref="C443:D443"/>
    <mergeCell ref="A439:B439"/>
    <mergeCell ref="C439:D439"/>
    <mergeCell ref="A427:B427"/>
    <mergeCell ref="C427:D427"/>
    <mergeCell ref="A419:B419"/>
    <mergeCell ref="C419:D419"/>
    <mergeCell ref="A395:B395"/>
    <mergeCell ref="C395:D395"/>
    <mergeCell ref="A397:B397"/>
    <mergeCell ref="C397:D397"/>
    <mergeCell ref="A383:B383"/>
    <mergeCell ref="C383:D383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403:B403"/>
    <mergeCell ref="C403:D403"/>
    <mergeCell ref="A405:B405"/>
    <mergeCell ref="C405:D405"/>
    <mergeCell ref="A407:B407"/>
    <mergeCell ref="C407:D407"/>
    <mergeCell ref="A449:B449"/>
    <mergeCell ref="C449:D449"/>
    <mergeCell ref="A451:B451"/>
    <mergeCell ref="C451:D451"/>
    <mergeCell ref="A453:B453"/>
    <mergeCell ref="C453:D453"/>
    <mergeCell ref="A455:B455"/>
    <mergeCell ref="C455:D455"/>
    <mergeCell ref="A471:B471"/>
    <mergeCell ref="C471:D471"/>
    <mergeCell ref="A457:B457"/>
    <mergeCell ref="C457:D457"/>
    <mergeCell ref="A459:B459"/>
    <mergeCell ref="C459:D459"/>
    <mergeCell ref="A481:B481"/>
    <mergeCell ref="C481:D481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91:B491"/>
    <mergeCell ref="C491:D491"/>
    <mergeCell ref="A493:B493"/>
    <mergeCell ref="C493:D493"/>
    <mergeCell ref="A495:B495"/>
    <mergeCell ref="C495:D495"/>
    <mergeCell ref="A497:B497"/>
    <mergeCell ref="C497:D497"/>
    <mergeCell ref="A499:B499"/>
    <mergeCell ref="C499:D499"/>
  </mergeCells>
  <pageMargins left="0.7" right="0.7" top="0.75" bottom="0.75" header="0.3" footer="0.3"/>
  <pageSetup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55D7-F34F-42AE-8B44-0D086B8A0C40}">
  <sheetPr codeName="Blad10"/>
  <dimension ref="A1:XFC20"/>
  <sheetViews>
    <sheetView showGridLines="0" showRowColHeaders="0" zoomScaleNormal="100" workbookViewId="0">
      <pane xSplit="4" ySplit="20" topLeftCell="E21" activePane="bottomRight" state="frozen"/>
      <selection pane="topRight" activeCell="E1" sqref="E1"/>
      <selection pane="bottomLeft" activeCell="A21" sqref="A21"/>
      <selection pane="bottomRight" activeCell="E1" sqref="E1"/>
    </sheetView>
  </sheetViews>
  <sheetFormatPr defaultColWidth="0" defaultRowHeight="14.4" zeroHeight="1" x14ac:dyDescent="0.3"/>
  <cols>
    <col min="1" max="1" width="17.33203125" style="23" customWidth="1"/>
    <col min="2" max="2" width="27.77734375" style="23" customWidth="1"/>
    <col min="3" max="3" width="17.33203125" style="23" customWidth="1"/>
    <col min="4" max="4" width="27.77734375" style="23" customWidth="1"/>
    <col min="5" max="5" width="0.88671875" style="23" customWidth="1"/>
    <col min="6" max="16383" width="9.109375" style="23" hidden="1"/>
    <col min="16384" max="16384" width="4.6640625" style="23" hidden="1" customWidth="1"/>
  </cols>
  <sheetData>
    <row r="1" spans="1:4" ht="52.8" x14ac:dyDescent="0.3">
      <c r="A1" s="128" t="str">
        <f>IF(A2="","",IF(ISNUMBER(LOOKUP("Â",Code128(A2),1)),"Error!",Code128(A2)))</f>
        <v>ÌUITvÎ</v>
      </c>
      <c r="B1" s="128"/>
      <c r="C1" s="128" t="str">
        <f>IF(C2="","",IF(ISNUMBER(LOOKUP("Â",Code128(C2),1)),"Error!",Code128(C2)))</f>
        <v>ÌIN?Î</v>
      </c>
      <c r="D1" s="128"/>
    </row>
    <row r="2" spans="1:4" x14ac:dyDescent="0.3">
      <c r="A2" s="105" t="str">
        <f>UPPER("UIT")</f>
        <v>UIT</v>
      </c>
      <c r="B2" s="106" t="str">
        <f>CONCATENATE(" Selecteer het vakje ",'Uitlenen en innemen'!B5)</f>
        <v xml:space="preserve"> Selecteer het vakje Voorwerp uitlenen</v>
      </c>
      <c r="C2" s="105" t="str">
        <f>UPPER("IN")</f>
        <v>IN</v>
      </c>
      <c r="D2" s="106" t="str">
        <f>CONCATENATE(" Selecteer het vakje ",'Uitlenen en innemen'!B8)</f>
        <v xml:space="preserve"> Selecteer het vakje Voorwerp innemen</v>
      </c>
    </row>
    <row r="3" spans="1:4" ht="52.8" x14ac:dyDescent="0.3">
      <c r="A3" s="128" t="str">
        <f>IF(A4="","",IF(ISNUMBER(LOOKUP("Â",Code128(A4),1)),"Error!",Code128(A4)))</f>
        <v>ÌUSERID`Î</v>
      </c>
      <c r="B3" s="128"/>
      <c r="C3" s="128" t="str">
        <f>IF(C4="","",IF(ISNUMBER(LOOKUP("Â",Code128(C4),1)),"Error!",Code128(C4)))</f>
        <v>ÌUSERNAgÎ</v>
      </c>
      <c r="D3" s="128"/>
    </row>
    <row r="4" spans="1:4" x14ac:dyDescent="0.3">
      <c r="A4" s="105" t="str">
        <f>UPPER("USERID")</f>
        <v>USERID</v>
      </c>
      <c r="B4" s="106" t="str">
        <f>CONCATENATE(" Selecteer het vakje ",Instellingen!B2)</f>
        <v xml:space="preserve"> Selecteer het vakje Gebruiker ID</v>
      </c>
      <c r="C4" s="105" t="str">
        <f>UPPER("UserNa")</f>
        <v>USERNA</v>
      </c>
      <c r="D4" s="106" t="str">
        <f>CONCATENATE(" Selecteer het vakje ",Instellingen!B5)</f>
        <v xml:space="preserve"> Selecteer het vakje Gebruiker naam</v>
      </c>
    </row>
    <row r="5" spans="1:4" ht="52.8" x14ac:dyDescent="0.3">
      <c r="A5" s="128" t="str">
        <f>IF(A6="","",IF(ISNUMBER(LOOKUP("Â",Code128(A6),1)),"Error!",Code128(A6)))</f>
        <v>ÌITEMIDBÎ</v>
      </c>
      <c r="B5" s="128"/>
      <c r="C5" s="128" t="str">
        <f>IF(C6="","",IF(ISNUMBER(LOOKUP("Â",Code128(C6),1)),"Error!",Code128(C6)))</f>
        <v>ÌITEMNAIÎ</v>
      </c>
      <c r="D5" s="128"/>
    </row>
    <row r="6" spans="1:4" x14ac:dyDescent="0.3">
      <c r="A6" s="105" t="str">
        <f>UPPER("ItemID")</f>
        <v>ITEMID</v>
      </c>
      <c r="B6" s="106" t="str">
        <f>CONCATENATE(" Selecteer het vakje ",Instellingen!B9)</f>
        <v xml:space="preserve"> Selecteer het vakje Voorwerp ID</v>
      </c>
      <c r="C6" s="105" t="str">
        <f>UPPER("ItemNa")</f>
        <v>ITEMNA</v>
      </c>
      <c r="D6" s="106" t="str">
        <f>CONCATENATE(" Selecteer het vakje ",Instellingen!B12)</f>
        <v xml:space="preserve"> Selecteer het vakje Voorwerp naam</v>
      </c>
    </row>
    <row r="7" spans="1:4" ht="52.8" x14ac:dyDescent="0.3">
      <c r="A7" s="129" t="str">
        <f t="shared" ref="A7:A19" si="0">IF(A8="","",CONCATENATE("*",A8,"*"))</f>
        <v/>
      </c>
      <c r="B7" s="129"/>
      <c r="C7" s="129" t="str">
        <f t="shared" ref="C7:C19" si="1">IF(C8="","",CONCATENATE("*",C8,"*"))</f>
        <v/>
      </c>
      <c r="D7" s="129"/>
    </row>
    <row r="8" spans="1:4" x14ac:dyDescent="0.3">
      <c r="A8" s="105" t="str">
        <f>UPPER("")</f>
        <v/>
      </c>
      <c r="B8" s="106"/>
      <c r="C8" s="105" t="str">
        <f>UPPER("")</f>
        <v/>
      </c>
      <c r="D8" s="106"/>
    </row>
    <row r="9" spans="1:4" ht="52.8" x14ac:dyDescent="0.3">
      <c r="A9" s="129" t="str">
        <f t="shared" ref="A9" si="2">IF(A10="","",CONCATENATE("*",A10,"*"))</f>
        <v/>
      </c>
      <c r="B9" s="129"/>
      <c r="C9" s="129" t="str">
        <f t="shared" ref="C9" si="3">IF(C10="","",CONCATENATE("*",C10,"*"))</f>
        <v/>
      </c>
      <c r="D9" s="129"/>
    </row>
    <row r="10" spans="1:4" x14ac:dyDescent="0.3">
      <c r="A10" s="105" t="str">
        <f>UPPER("")</f>
        <v/>
      </c>
      <c r="B10" s="106"/>
      <c r="C10" s="105" t="str">
        <f>UPPER("")</f>
        <v/>
      </c>
      <c r="D10" s="106"/>
    </row>
    <row r="11" spans="1:4" ht="52.8" x14ac:dyDescent="0.3">
      <c r="A11" s="129" t="str">
        <f t="shared" si="0"/>
        <v/>
      </c>
      <c r="B11" s="129"/>
      <c r="C11" s="129" t="str">
        <f t="shared" si="1"/>
        <v/>
      </c>
      <c r="D11" s="129"/>
    </row>
    <row r="12" spans="1:4" x14ac:dyDescent="0.3">
      <c r="A12" s="105" t="str">
        <f>UPPER("")</f>
        <v/>
      </c>
      <c r="B12" s="106"/>
      <c r="C12" s="105" t="str">
        <f>UPPER("")</f>
        <v/>
      </c>
      <c r="D12" s="106"/>
    </row>
    <row r="13" spans="1:4" ht="52.8" x14ac:dyDescent="0.3">
      <c r="A13" s="129" t="str">
        <f t="shared" ref="A13" si="4">IF(A14="","",CONCATENATE("*",A14,"*"))</f>
        <v/>
      </c>
      <c r="B13" s="129"/>
      <c r="C13" s="129" t="str">
        <f t="shared" ref="C13" si="5">IF(C14="","",CONCATENATE("*",C14,"*"))</f>
        <v/>
      </c>
      <c r="D13" s="129"/>
    </row>
    <row r="14" spans="1:4" x14ac:dyDescent="0.3">
      <c r="A14" s="105" t="str">
        <f>UPPER("")</f>
        <v/>
      </c>
      <c r="B14" s="106"/>
      <c r="C14" s="105" t="str">
        <f>UPPER("")</f>
        <v/>
      </c>
      <c r="D14" s="106"/>
    </row>
    <row r="15" spans="1:4" ht="52.8" x14ac:dyDescent="0.3">
      <c r="A15" s="129" t="str">
        <f t="shared" si="0"/>
        <v/>
      </c>
      <c r="B15" s="129"/>
      <c r="C15" s="129" t="str">
        <f t="shared" si="1"/>
        <v/>
      </c>
      <c r="D15" s="129"/>
    </row>
    <row r="16" spans="1:4" x14ac:dyDescent="0.3">
      <c r="A16" s="105" t="str">
        <f>UPPER("")</f>
        <v/>
      </c>
      <c r="B16" s="106"/>
      <c r="C16" s="105" t="str">
        <f>UPPER("")</f>
        <v/>
      </c>
      <c r="D16" s="106"/>
    </row>
    <row r="17" spans="1:4" ht="52.8" x14ac:dyDescent="0.3">
      <c r="A17" s="129" t="str">
        <f t="shared" ref="A17" si="6">IF(A18="","",CONCATENATE("*",A18,"*"))</f>
        <v/>
      </c>
      <c r="B17" s="129"/>
      <c r="C17" s="129" t="str">
        <f t="shared" ref="C17" si="7">IF(C18="","",CONCATENATE("*",C18,"*"))</f>
        <v/>
      </c>
      <c r="D17" s="129"/>
    </row>
    <row r="18" spans="1:4" x14ac:dyDescent="0.3">
      <c r="A18" s="105"/>
      <c r="B18" s="106"/>
      <c r="C18" s="105"/>
      <c r="D18" s="106"/>
    </row>
    <row r="19" spans="1:4" ht="52.8" x14ac:dyDescent="0.3">
      <c r="A19" s="129" t="str">
        <f t="shared" si="0"/>
        <v/>
      </c>
      <c r="B19" s="129"/>
      <c r="C19" s="129" t="str">
        <f t="shared" si="1"/>
        <v/>
      </c>
      <c r="D19" s="129"/>
    </row>
    <row r="20" spans="1:4" x14ac:dyDescent="0.3">
      <c r="A20" s="45"/>
      <c r="B20" s="47"/>
      <c r="C20" s="45"/>
      <c r="D20" s="46"/>
    </row>
  </sheetData>
  <sheetProtection algorithmName="SHA-512" hashValue="vGh5MK2s72EyoGLTj4lywgB5TmmjrXPeCpbZc3gga7RK7CwlO1Uf69IDKsymsUK9yWGSFfg3lXQjCzYBGoL3Cw==" saltValue="WDMt/fFzLd15dlEtZkDjDA==" spinCount="100000" sheet="1" objects="1" scenarios="1" selectLockedCells="1" selectUnlockedCells="1"/>
  <mergeCells count="20">
    <mergeCell ref="A19:B19"/>
    <mergeCell ref="C19:D19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</mergeCells>
  <pageMargins left="0.7" right="0.7" top="0.75" bottom="0.75" header="0.3" footer="0.3"/>
  <pageSetup orientation="portrait" r:id="rId1"/>
  <ignoredErrors>
    <ignoredError sqref="C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EDE4-3F3B-4DC8-9DD0-39388A2C5AEF}">
  <sheetPr codeName="Blad3"/>
  <dimension ref="A1:H49"/>
  <sheetViews>
    <sheetView showGridLines="0" showRowColHeaders="0" zoomScale="175" zoomScaleNormal="175" workbookViewId="0">
      <pane xSplit="8" ySplit="21" topLeftCell="I22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bestFit="1" customWidth="1"/>
    <col min="3" max="3" width="17.88671875" customWidth="1"/>
    <col min="4" max="4" width="2.88671875" customWidth="1"/>
    <col min="5" max="5" width="9.88671875" customWidth="1"/>
    <col min="6" max="6" width="2.88671875" customWidth="1"/>
    <col min="7" max="7" width="23.44140625" bestFit="1" customWidth="1"/>
    <col min="8" max="8" width="2.88671875" customWidth="1"/>
    <col min="9" max="9" width="9.109375" hidden="1" customWidth="1"/>
    <col min="10" max="16384" width="9.109375" hidden="1"/>
  </cols>
  <sheetData>
    <row r="1" spans="1:8" x14ac:dyDescent="0.3">
      <c r="A1" s="24"/>
      <c r="B1" s="24"/>
      <c r="C1" s="24"/>
      <c r="D1" s="24"/>
      <c r="E1" s="24"/>
      <c r="F1" s="24"/>
      <c r="G1" s="18" t="s">
        <v>22</v>
      </c>
      <c r="H1" s="24"/>
    </row>
    <row r="2" spans="1:8" x14ac:dyDescent="0.3">
      <c r="A2" s="24"/>
      <c r="B2" s="2" t="s">
        <v>2</v>
      </c>
      <c r="C2" s="3" t="s">
        <v>10</v>
      </c>
      <c r="D2" s="24" t="s">
        <v>17</v>
      </c>
      <c r="E2" s="55" t="s">
        <v>4</v>
      </c>
      <c r="F2" s="24"/>
      <c r="G2" s="20"/>
      <c r="H2" s="24"/>
    </row>
    <row r="3" spans="1:8" ht="7.5" customHeight="1" x14ac:dyDescent="0.3">
      <c r="A3" s="24"/>
      <c r="B3" s="24"/>
      <c r="C3" s="24" t="s">
        <v>10</v>
      </c>
      <c r="D3" s="24"/>
      <c r="E3" s="24"/>
      <c r="F3" s="24"/>
      <c r="G3" s="130"/>
      <c r="H3" s="24"/>
    </row>
    <row r="4" spans="1:8" ht="7.5" customHeight="1" x14ac:dyDescent="0.3">
      <c r="A4" s="24"/>
      <c r="B4" s="24"/>
      <c r="C4" s="24" t="s">
        <v>10</v>
      </c>
      <c r="D4" s="24"/>
      <c r="E4" s="24"/>
      <c r="F4" s="24"/>
      <c r="G4" s="130"/>
      <c r="H4" s="24"/>
    </row>
    <row r="5" spans="1:8" x14ac:dyDescent="0.3">
      <c r="A5" s="24"/>
      <c r="B5" s="2" t="s">
        <v>3</v>
      </c>
      <c r="C5" s="3" t="s">
        <v>10</v>
      </c>
      <c r="D5" s="24" t="s">
        <v>17</v>
      </c>
      <c r="E5" s="54" t="s">
        <v>5</v>
      </c>
      <c r="F5" s="24"/>
      <c r="G5" s="19"/>
      <c r="H5" s="24"/>
    </row>
    <row r="6" spans="1:8" ht="3.75" customHeight="1" x14ac:dyDescent="0.3">
      <c r="A6" s="24"/>
      <c r="B6" s="24"/>
      <c r="C6" s="24" t="s">
        <v>10</v>
      </c>
      <c r="D6" s="24"/>
      <c r="E6" s="24"/>
      <c r="F6" s="24"/>
      <c r="G6" s="24"/>
      <c r="H6" s="24"/>
    </row>
    <row r="7" spans="1:8" ht="15" customHeight="1" x14ac:dyDescent="0.3">
      <c r="A7" s="24"/>
      <c r="B7" s="24"/>
      <c r="C7" s="24" t="s">
        <v>10</v>
      </c>
      <c r="D7" s="24"/>
      <c r="E7" s="24"/>
      <c r="F7" s="24"/>
      <c r="G7" s="51"/>
      <c r="H7" s="24"/>
    </row>
    <row r="8" spans="1:8" ht="3.75" customHeight="1" x14ac:dyDescent="0.3">
      <c r="A8" s="24"/>
      <c r="B8" s="24"/>
      <c r="C8" s="24" t="s">
        <v>10</v>
      </c>
      <c r="D8" s="24"/>
      <c r="E8" s="24"/>
      <c r="F8" s="24"/>
      <c r="G8" s="51"/>
      <c r="H8" s="24"/>
    </row>
    <row r="9" spans="1:8" x14ac:dyDescent="0.3">
      <c r="A9" s="24"/>
      <c r="B9" s="2" t="s">
        <v>19</v>
      </c>
      <c r="C9" s="3" t="s">
        <v>10</v>
      </c>
      <c r="D9" s="24" t="s">
        <v>17</v>
      </c>
      <c r="E9" s="55" t="s">
        <v>4</v>
      </c>
      <c r="F9" s="24"/>
      <c r="G9" s="52"/>
      <c r="H9" s="24"/>
    </row>
    <row r="10" spans="1:8" ht="3.75" customHeight="1" x14ac:dyDescent="0.3">
      <c r="A10" s="24"/>
      <c r="B10" s="24"/>
      <c r="C10" s="24" t="s">
        <v>10</v>
      </c>
      <c r="D10" s="24"/>
      <c r="E10" s="24"/>
      <c r="F10" s="24"/>
      <c r="G10" s="52"/>
      <c r="H10" s="24"/>
    </row>
    <row r="11" spans="1:8" ht="3.75" customHeight="1" x14ac:dyDescent="0.3">
      <c r="A11" s="24"/>
      <c r="B11" s="24"/>
      <c r="C11" s="24" t="s">
        <v>10</v>
      </c>
      <c r="D11" s="24"/>
      <c r="E11" s="24"/>
      <c r="F11" s="24"/>
      <c r="G11" s="53"/>
      <c r="H11" s="24"/>
    </row>
    <row r="12" spans="1:8" x14ac:dyDescent="0.3">
      <c r="A12" s="24"/>
      <c r="B12" s="2" t="s">
        <v>20</v>
      </c>
      <c r="C12" s="3" t="s">
        <v>10</v>
      </c>
      <c r="D12" s="24" t="s">
        <v>17</v>
      </c>
      <c r="E12" s="54" t="s">
        <v>5</v>
      </c>
      <c r="F12" s="24"/>
      <c r="G12" s="53"/>
      <c r="H12" s="24"/>
    </row>
    <row r="13" spans="1:8" ht="3.75" customHeight="1" x14ac:dyDescent="0.3">
      <c r="A13" s="24"/>
      <c r="B13" s="24"/>
      <c r="C13" s="24"/>
      <c r="D13" s="24"/>
      <c r="E13" s="24"/>
      <c r="F13" s="24"/>
      <c r="G13" s="24"/>
      <c r="H13" s="24"/>
    </row>
    <row r="14" spans="1:8" ht="15" hidden="1" customHeight="1" x14ac:dyDescent="0.3">
      <c r="A14" s="24"/>
      <c r="B14" s="24"/>
      <c r="C14" s="24"/>
      <c r="D14" s="24"/>
      <c r="E14" s="24"/>
      <c r="F14" s="24"/>
      <c r="G14" s="24"/>
      <c r="H14" s="24"/>
    </row>
    <row r="15" spans="1:8" hidden="1" x14ac:dyDescent="0.3">
      <c r="A15" s="24"/>
      <c r="B15" s="56" t="s">
        <v>21</v>
      </c>
      <c r="C15" s="2" t="s">
        <v>420</v>
      </c>
      <c r="D15" s="24" t="s">
        <v>17</v>
      </c>
      <c r="E15" s="2" t="s">
        <v>421</v>
      </c>
      <c r="F15" s="24"/>
      <c r="G15" s="2" t="s">
        <v>418</v>
      </c>
      <c r="H15" s="24"/>
    </row>
    <row r="16" spans="1:8" hidden="1" x14ac:dyDescent="0.3">
      <c r="A16" s="24"/>
      <c r="B16" s="44" t="s">
        <v>12</v>
      </c>
      <c r="C16" s="43">
        <v>2000</v>
      </c>
      <c r="D16" s="24"/>
      <c r="E16" s="43" t="s">
        <v>422</v>
      </c>
      <c r="F16" s="24"/>
      <c r="G16" s="24" t="s">
        <v>419</v>
      </c>
      <c r="H16" s="24"/>
    </row>
    <row r="17" spans="1:8" hidden="1" x14ac:dyDescent="0.3">
      <c r="A17" s="24"/>
      <c r="B17" s="43" t="s">
        <v>11</v>
      </c>
      <c r="C17" s="24"/>
      <c r="D17" s="24"/>
      <c r="E17" s="24"/>
      <c r="F17" s="53"/>
      <c r="G17" s="57" t="s">
        <v>423</v>
      </c>
      <c r="H17" s="24"/>
    </row>
    <row r="18" spans="1:8" hidden="1" x14ac:dyDescent="0.3">
      <c r="A18" s="24"/>
      <c r="B18" s="43" t="s">
        <v>14</v>
      </c>
      <c r="D18" s="24"/>
      <c r="E18" s="23"/>
      <c r="F18" s="58"/>
      <c r="G18" s="51"/>
      <c r="H18" s="24"/>
    </row>
    <row r="19" spans="1:8" hidden="1" x14ac:dyDescent="0.3">
      <c r="A19" s="24"/>
      <c r="B19" s="43" t="s">
        <v>13</v>
      </c>
      <c r="C19" s="24"/>
      <c r="D19" s="24"/>
      <c r="E19" s="24"/>
      <c r="F19" s="58"/>
      <c r="G19" s="51"/>
      <c r="H19" s="24"/>
    </row>
    <row r="20" spans="1:8" hidden="1" x14ac:dyDescent="0.3">
      <c r="A20" s="24"/>
      <c r="B20" s="43" t="s">
        <v>24</v>
      </c>
      <c r="C20" s="24"/>
      <c r="D20" s="24"/>
      <c r="E20" s="24"/>
      <c r="F20" s="58"/>
      <c r="G20" s="51"/>
      <c r="H20" s="24"/>
    </row>
    <row r="21" spans="1:8" s="23" customFormat="1" x14ac:dyDescent="0.3">
      <c r="A21" s="24"/>
      <c r="B21" s="24"/>
      <c r="C21" s="24"/>
      <c r="D21" s="24"/>
      <c r="E21" s="24"/>
      <c r="F21" s="58"/>
      <c r="G21" s="51"/>
      <c r="H21" s="24"/>
    </row>
    <row r="22" spans="1:8" ht="14.4" hidden="1" customHeight="1" x14ac:dyDescent="0.3">
      <c r="A22" s="24"/>
      <c r="B22" s="24"/>
      <c r="C22" s="24"/>
      <c r="D22" s="24"/>
      <c r="E22" s="24"/>
      <c r="F22" s="24"/>
      <c r="G22" s="18" t="s">
        <v>22</v>
      </c>
      <c r="H22" s="24"/>
    </row>
    <row r="23" spans="1:8" hidden="1" x14ac:dyDescent="0.3">
      <c r="A23" s="24"/>
      <c r="B23" s="2" t="s">
        <v>2</v>
      </c>
      <c r="C23" s="3" t="s">
        <v>10</v>
      </c>
      <c r="D23" s="24" t="s">
        <v>17</v>
      </c>
      <c r="E23" s="55" t="s">
        <v>4</v>
      </c>
      <c r="F23" s="24"/>
      <c r="G23" s="20"/>
      <c r="H23" s="24"/>
    </row>
    <row r="24" spans="1:8" ht="7.5" hidden="1" customHeight="1" x14ac:dyDescent="0.3">
      <c r="A24" s="24"/>
      <c r="B24" s="24"/>
      <c r="C24" s="24" t="s">
        <v>10</v>
      </c>
      <c r="D24" s="24"/>
      <c r="E24" s="24"/>
      <c r="F24" s="24"/>
      <c r="G24" s="130"/>
      <c r="H24" s="24"/>
    </row>
    <row r="25" spans="1:8" ht="7.5" hidden="1" customHeight="1" x14ac:dyDescent="0.3">
      <c r="A25" s="24"/>
      <c r="B25" s="24"/>
      <c r="C25" s="24" t="s">
        <v>10</v>
      </c>
      <c r="D25" s="24"/>
      <c r="E25" s="24"/>
      <c r="F25" s="24"/>
      <c r="G25" s="130"/>
      <c r="H25" s="24"/>
    </row>
    <row r="26" spans="1:8" hidden="1" x14ac:dyDescent="0.3">
      <c r="A26" s="24"/>
      <c r="B26" s="2" t="s">
        <v>3</v>
      </c>
      <c r="C26" s="3" t="s">
        <v>10</v>
      </c>
      <c r="D26" s="24" t="s">
        <v>17</v>
      </c>
      <c r="E26" s="54" t="s">
        <v>5</v>
      </c>
      <c r="F26" s="24"/>
      <c r="G26" s="19"/>
      <c r="H26" s="24"/>
    </row>
    <row r="27" spans="1:8" ht="3.75" hidden="1" customHeight="1" x14ac:dyDescent="0.3">
      <c r="A27" s="24"/>
      <c r="B27" s="24"/>
      <c r="C27" s="24" t="s">
        <v>10</v>
      </c>
      <c r="D27" s="24"/>
      <c r="E27" s="24"/>
      <c r="F27" s="24"/>
      <c r="G27" s="24"/>
      <c r="H27" s="24"/>
    </row>
    <row r="28" spans="1:8" hidden="1" x14ac:dyDescent="0.3">
      <c r="A28" s="24"/>
      <c r="B28" s="24"/>
      <c r="C28" s="24" t="s">
        <v>10</v>
      </c>
      <c r="D28" s="24"/>
      <c r="E28" s="24"/>
      <c r="F28" s="24"/>
      <c r="G28" s="51"/>
      <c r="H28" s="24"/>
    </row>
    <row r="29" spans="1:8" ht="3.75" hidden="1" customHeight="1" x14ac:dyDescent="0.3">
      <c r="A29" s="24"/>
      <c r="B29" s="24"/>
      <c r="C29" s="24" t="s">
        <v>10</v>
      </c>
      <c r="D29" s="24"/>
      <c r="E29" s="24"/>
      <c r="F29" s="24"/>
      <c r="G29" s="51"/>
      <c r="H29" s="24"/>
    </row>
    <row r="30" spans="1:8" hidden="1" x14ac:dyDescent="0.3">
      <c r="A30" s="24"/>
      <c r="B30" s="2" t="s">
        <v>19</v>
      </c>
      <c r="C30" s="3" t="s">
        <v>10</v>
      </c>
      <c r="D30" s="24" t="s">
        <v>17</v>
      </c>
      <c r="E30" s="55" t="s">
        <v>4</v>
      </c>
      <c r="F30" s="24"/>
      <c r="G30" s="52"/>
      <c r="H30" s="24"/>
    </row>
    <row r="31" spans="1:8" ht="3.75" hidden="1" customHeight="1" x14ac:dyDescent="0.3">
      <c r="A31" s="24"/>
      <c r="B31" s="24"/>
      <c r="C31" s="24" t="s">
        <v>10</v>
      </c>
      <c r="D31" s="24"/>
      <c r="E31" s="24"/>
      <c r="F31" s="24"/>
      <c r="G31" s="52"/>
      <c r="H31" s="24"/>
    </row>
    <row r="32" spans="1:8" ht="3.75" hidden="1" customHeight="1" x14ac:dyDescent="0.3">
      <c r="A32" s="24"/>
      <c r="B32" s="24"/>
      <c r="C32" s="24" t="s">
        <v>10</v>
      </c>
      <c r="D32" s="24"/>
      <c r="E32" s="24"/>
      <c r="F32" s="24"/>
      <c r="G32" s="53"/>
      <c r="H32" s="24"/>
    </row>
    <row r="33" spans="1:8" hidden="1" x14ac:dyDescent="0.3">
      <c r="A33" s="24"/>
      <c r="B33" s="2" t="s">
        <v>20</v>
      </c>
      <c r="C33" s="3" t="s">
        <v>10</v>
      </c>
      <c r="D33" s="24" t="s">
        <v>17</v>
      </c>
      <c r="E33" s="54" t="s">
        <v>5</v>
      </c>
      <c r="F33" s="24"/>
      <c r="G33" s="53"/>
      <c r="H33" s="24"/>
    </row>
    <row r="34" spans="1:8" ht="3.75" hidden="1" customHeight="1" x14ac:dyDescent="0.3">
      <c r="A34" s="24"/>
      <c r="B34" s="24"/>
      <c r="C34" s="24"/>
      <c r="D34" s="24"/>
      <c r="E34" s="24"/>
      <c r="F34" s="24"/>
      <c r="G34" s="24"/>
      <c r="H34" s="24"/>
    </row>
    <row r="35" spans="1:8" ht="15" hidden="1" thickBot="1" x14ac:dyDescent="0.35">
      <c r="A35" s="24"/>
      <c r="B35" s="24"/>
      <c r="C35" s="24"/>
      <c r="D35" s="24"/>
      <c r="E35" s="24"/>
      <c r="F35" s="24"/>
      <c r="G35" s="24"/>
      <c r="H35" s="24"/>
    </row>
    <row r="36" spans="1:8" ht="15" hidden="1" thickBot="1" x14ac:dyDescent="0.35">
      <c r="A36" s="24"/>
      <c r="B36" s="48" t="s">
        <v>2</v>
      </c>
      <c r="C36" s="49" t="s">
        <v>3</v>
      </c>
      <c r="D36" s="50" t="s">
        <v>7</v>
      </c>
      <c r="E36" s="50" t="s">
        <v>8</v>
      </c>
      <c r="F36" s="49" t="s">
        <v>16</v>
      </c>
      <c r="G36" s="24" t="s">
        <v>17</v>
      </c>
      <c r="H36" s="24"/>
    </row>
    <row r="37" spans="1:8" hidden="1" x14ac:dyDescent="0.3">
      <c r="A37" s="24"/>
      <c r="B37" s="24"/>
      <c r="C37" s="24"/>
      <c r="D37" s="24"/>
      <c r="E37" s="24"/>
      <c r="F37" s="24"/>
      <c r="G37" s="24"/>
      <c r="H37" s="24"/>
    </row>
    <row r="38" spans="1:8" hidden="1" x14ac:dyDescent="0.3"/>
    <row r="39" spans="1:8" hidden="1" x14ac:dyDescent="0.3"/>
    <row r="40" spans="1:8" hidden="1" x14ac:dyDescent="0.3"/>
    <row r="41" spans="1:8" hidden="1" x14ac:dyDescent="0.3"/>
    <row r="42" spans="1:8" hidden="1" x14ac:dyDescent="0.3"/>
    <row r="43" spans="1:8" hidden="1" x14ac:dyDescent="0.3"/>
    <row r="44" spans="1:8" hidden="1" x14ac:dyDescent="0.3"/>
    <row r="45" spans="1:8" hidden="1" x14ac:dyDescent="0.3"/>
    <row r="46" spans="1:8" hidden="1" x14ac:dyDescent="0.3"/>
    <row r="47" spans="1:8" hidden="1" x14ac:dyDescent="0.3"/>
    <row r="48" spans="1:8" hidden="1" x14ac:dyDescent="0.3"/>
    <row r="49" hidden="1" x14ac:dyDescent="0.3"/>
  </sheetData>
  <mergeCells count="2">
    <mergeCell ref="G3:G4"/>
    <mergeCell ref="G24:G2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D97A-7828-42B1-ADA3-7C0654442D59}">
  <sheetPr codeName="Blad4"/>
  <dimension ref="A1:I309"/>
  <sheetViews>
    <sheetView zoomScaleNormal="100" workbookViewId="0">
      <pane xSplit="5" ySplit="2" topLeftCell="F230" activePane="bottomRight" state="frozen"/>
      <selection pane="topRight" activeCell="F1" sqref="F1"/>
      <selection pane="bottomLeft" activeCell="A3" sqref="A3"/>
      <selection pane="bottomRight" activeCell="E3" sqref="A3:E271"/>
    </sheetView>
  </sheetViews>
  <sheetFormatPr defaultColWidth="0" defaultRowHeight="14.4" x14ac:dyDescent="0.3"/>
  <cols>
    <col min="1" max="1" width="14.33203125" style="31" customWidth="1"/>
    <col min="2" max="2" width="25.6640625" style="29" bestFit="1" customWidth="1"/>
    <col min="3" max="3" width="2.88671875" style="14" customWidth="1"/>
    <col min="4" max="4" width="14.33203125" style="31" customWidth="1"/>
    <col min="5" max="5" width="21.44140625" style="29" customWidth="1"/>
    <col min="6" max="6" width="2.44140625" hidden="1" customWidth="1"/>
    <col min="7" max="7" width="7.109375" style="4" hidden="1" customWidth="1"/>
    <col min="8" max="8" width="7.109375" style="5" hidden="1" customWidth="1"/>
    <col min="9" max="9" width="3.33203125" customWidth="1"/>
    <col min="10" max="16384" width="9.109375" hidden="1"/>
  </cols>
  <sheetData>
    <row r="1" spans="1:9" x14ac:dyDescent="0.3">
      <c r="A1" s="131" t="s">
        <v>6</v>
      </c>
      <c r="B1" s="132"/>
      <c r="C1" s="12"/>
      <c r="D1" s="131" t="s">
        <v>9</v>
      </c>
      <c r="E1" s="132"/>
      <c r="G1" s="95"/>
      <c r="H1" s="96"/>
    </row>
    <row r="2" spans="1:9" ht="15" thickBot="1" x14ac:dyDescent="0.35">
      <c r="A2" s="133" t="s">
        <v>7</v>
      </c>
      <c r="B2" s="134" t="s">
        <v>8</v>
      </c>
      <c r="C2" s="12"/>
      <c r="D2" s="21" t="s">
        <v>7</v>
      </c>
      <c r="E2" s="22" t="s">
        <v>8</v>
      </c>
      <c r="I2" s="23"/>
    </row>
    <row r="3" spans="1:9" x14ac:dyDescent="0.3">
      <c r="C3" s="135"/>
      <c r="G3" s="69" t="s">
        <v>28</v>
      </c>
      <c r="H3" s="70" t="s">
        <v>29</v>
      </c>
      <c r="I3" s="23"/>
    </row>
    <row r="4" spans="1:9" x14ac:dyDescent="0.3">
      <c r="C4" s="135"/>
      <c r="G4" s="69" t="s">
        <v>378</v>
      </c>
      <c r="H4" s="70" t="s">
        <v>379</v>
      </c>
      <c r="I4" s="23"/>
    </row>
    <row r="5" spans="1:9" x14ac:dyDescent="0.3">
      <c r="C5" s="135"/>
      <c r="G5" s="69" t="s">
        <v>380</v>
      </c>
      <c r="H5" s="70" t="s">
        <v>381</v>
      </c>
      <c r="I5" s="23"/>
    </row>
    <row r="6" spans="1:9" x14ac:dyDescent="0.3">
      <c r="C6" s="135"/>
      <c r="G6" s="69" t="s">
        <v>382</v>
      </c>
      <c r="H6" s="70" t="s">
        <v>383</v>
      </c>
      <c r="I6" s="23"/>
    </row>
    <row r="7" spans="1:9" x14ac:dyDescent="0.3">
      <c r="C7" s="135"/>
      <c r="G7" s="69" t="s">
        <v>384</v>
      </c>
      <c r="H7" s="70" t="s">
        <v>385</v>
      </c>
      <c r="I7" s="23"/>
    </row>
    <row r="8" spans="1:9" x14ac:dyDescent="0.3">
      <c r="C8" s="135"/>
      <c r="G8" s="69" t="s">
        <v>386</v>
      </c>
      <c r="H8" s="70" t="s">
        <v>387</v>
      </c>
      <c r="I8" s="23"/>
    </row>
    <row r="9" spans="1:9" x14ac:dyDescent="0.3">
      <c r="C9" s="136"/>
      <c r="G9" s="69" t="s">
        <v>388</v>
      </c>
      <c r="H9" s="70" t="s">
        <v>389</v>
      </c>
      <c r="I9" s="23"/>
    </row>
    <row r="10" spans="1:9" x14ac:dyDescent="0.3">
      <c r="C10" s="136"/>
      <c r="G10" s="69" t="s">
        <v>390</v>
      </c>
      <c r="H10" s="70" t="s">
        <v>391</v>
      </c>
      <c r="I10" s="23"/>
    </row>
    <row r="11" spans="1:9" x14ac:dyDescent="0.3">
      <c r="C11" s="136"/>
      <c r="G11" s="69" t="s">
        <v>392</v>
      </c>
      <c r="H11" s="70" t="s">
        <v>393</v>
      </c>
      <c r="I11" s="23"/>
    </row>
    <row r="12" spans="1:9" x14ac:dyDescent="0.3">
      <c r="C12" s="136"/>
      <c r="G12" s="69" t="s">
        <v>394</v>
      </c>
      <c r="H12" s="70" t="s">
        <v>395</v>
      </c>
      <c r="I12" s="23"/>
    </row>
    <row r="13" spans="1:9" x14ac:dyDescent="0.3">
      <c r="C13" s="136"/>
      <c r="G13" s="69" t="s">
        <v>360</v>
      </c>
      <c r="H13" s="70" t="s">
        <v>361</v>
      </c>
      <c r="I13" s="23"/>
    </row>
    <row r="14" spans="1:9" x14ac:dyDescent="0.3">
      <c r="C14" s="136"/>
      <c r="G14" s="69" t="s">
        <v>362</v>
      </c>
      <c r="H14" s="70" t="s">
        <v>363</v>
      </c>
      <c r="I14" s="23"/>
    </row>
    <row r="15" spans="1:9" x14ac:dyDescent="0.3">
      <c r="C15" s="136"/>
      <c r="G15" s="69" t="s">
        <v>364</v>
      </c>
      <c r="H15" s="70" t="s">
        <v>365</v>
      </c>
      <c r="I15" s="23"/>
    </row>
    <row r="16" spans="1:9" x14ac:dyDescent="0.3">
      <c r="C16" s="136"/>
      <c r="G16" s="69" t="s">
        <v>366</v>
      </c>
      <c r="H16" s="70" t="s">
        <v>367</v>
      </c>
      <c r="I16" s="23"/>
    </row>
    <row r="17" spans="3:9" x14ac:dyDescent="0.3">
      <c r="C17" s="136"/>
      <c r="G17" s="69" t="s">
        <v>368</v>
      </c>
      <c r="H17" s="70" t="s">
        <v>369</v>
      </c>
      <c r="I17" s="23"/>
    </row>
    <row r="18" spans="3:9" x14ac:dyDescent="0.3">
      <c r="C18" s="136"/>
      <c r="G18" s="69" t="s">
        <v>370</v>
      </c>
      <c r="H18" s="70" t="s">
        <v>371</v>
      </c>
      <c r="I18" s="23"/>
    </row>
    <row r="19" spans="3:9" x14ac:dyDescent="0.3">
      <c r="C19" s="136"/>
      <c r="G19" s="69" t="s">
        <v>372</v>
      </c>
      <c r="H19" s="70" t="s">
        <v>373</v>
      </c>
      <c r="I19" s="23"/>
    </row>
    <row r="20" spans="3:9" x14ac:dyDescent="0.3">
      <c r="C20" s="136"/>
      <c r="G20" s="69" t="s">
        <v>374</v>
      </c>
      <c r="H20" s="70" t="s">
        <v>375</v>
      </c>
      <c r="I20" s="23"/>
    </row>
    <row r="21" spans="3:9" x14ac:dyDescent="0.3">
      <c r="C21" s="136"/>
      <c r="G21" s="69" t="s">
        <v>376</v>
      </c>
      <c r="H21" s="70" t="s">
        <v>377</v>
      </c>
      <c r="I21" s="23"/>
    </row>
    <row r="22" spans="3:9" x14ac:dyDescent="0.3">
      <c r="C22" s="136"/>
      <c r="G22" s="69" t="s">
        <v>30</v>
      </c>
      <c r="H22" s="70" t="s">
        <v>31</v>
      </c>
      <c r="I22" s="23"/>
    </row>
    <row r="23" spans="3:9" x14ac:dyDescent="0.3">
      <c r="C23" s="136"/>
      <c r="G23" s="69" t="s">
        <v>32</v>
      </c>
      <c r="H23" s="70" t="s">
        <v>33</v>
      </c>
      <c r="I23" s="23"/>
    </row>
    <row r="24" spans="3:9" x14ac:dyDescent="0.3">
      <c r="C24" s="136"/>
      <c r="G24" s="69" t="s">
        <v>34</v>
      </c>
      <c r="H24" s="70" t="s">
        <v>35</v>
      </c>
      <c r="I24" s="23"/>
    </row>
    <row r="25" spans="3:9" x14ac:dyDescent="0.3">
      <c r="C25" s="136"/>
      <c r="G25" s="69" t="s">
        <v>38</v>
      </c>
      <c r="H25" s="70" t="s">
        <v>39</v>
      </c>
      <c r="I25" s="23"/>
    </row>
    <row r="26" spans="3:9" x14ac:dyDescent="0.3">
      <c r="C26" s="136"/>
      <c r="G26" s="69" t="s">
        <v>40</v>
      </c>
      <c r="H26" s="70" t="s">
        <v>41</v>
      </c>
      <c r="I26" s="23"/>
    </row>
    <row r="27" spans="3:9" x14ac:dyDescent="0.3">
      <c r="C27" s="136"/>
      <c r="G27" s="69" t="s">
        <v>42</v>
      </c>
      <c r="H27" s="70" t="s">
        <v>43</v>
      </c>
      <c r="I27" s="23"/>
    </row>
    <row r="28" spans="3:9" x14ac:dyDescent="0.3">
      <c r="C28" s="136"/>
      <c r="G28" s="69" t="s">
        <v>36</v>
      </c>
      <c r="H28" s="70" t="s">
        <v>37</v>
      </c>
      <c r="I28" s="23"/>
    </row>
    <row r="29" spans="3:9" x14ac:dyDescent="0.3">
      <c r="C29" s="136"/>
      <c r="G29" s="69" t="s">
        <v>44</v>
      </c>
      <c r="H29" s="70" t="s">
        <v>45</v>
      </c>
      <c r="I29" s="23"/>
    </row>
    <row r="30" spans="3:9" x14ac:dyDescent="0.3">
      <c r="C30" s="136"/>
      <c r="G30" s="69" t="s">
        <v>46</v>
      </c>
      <c r="H30" s="70" t="s">
        <v>47</v>
      </c>
      <c r="I30" s="23"/>
    </row>
    <row r="31" spans="3:9" x14ac:dyDescent="0.3">
      <c r="C31" s="136"/>
      <c r="G31" s="69" t="s">
        <v>48</v>
      </c>
      <c r="H31" s="70" t="s">
        <v>49</v>
      </c>
      <c r="I31" s="23"/>
    </row>
    <row r="32" spans="3:9" x14ac:dyDescent="0.3">
      <c r="C32" s="136"/>
      <c r="G32" s="69" t="s">
        <v>50</v>
      </c>
      <c r="H32" s="70" t="s">
        <v>51</v>
      </c>
      <c r="I32" s="23"/>
    </row>
    <row r="33" spans="2:9" x14ac:dyDescent="0.3">
      <c r="C33" s="136"/>
      <c r="G33" s="69" t="s">
        <v>52</v>
      </c>
      <c r="H33" s="70" t="s">
        <v>53</v>
      </c>
      <c r="I33" s="23"/>
    </row>
    <row r="34" spans="2:9" x14ac:dyDescent="0.3">
      <c r="C34" s="136"/>
      <c r="G34" s="69" t="s">
        <v>54</v>
      </c>
      <c r="H34" s="70" t="s">
        <v>55</v>
      </c>
      <c r="I34" s="23"/>
    </row>
    <row r="35" spans="2:9" x14ac:dyDescent="0.3">
      <c r="C35" s="136"/>
      <c r="G35" s="69" t="s">
        <v>56</v>
      </c>
      <c r="H35" s="70" t="s">
        <v>57</v>
      </c>
      <c r="I35" s="23"/>
    </row>
    <row r="36" spans="2:9" x14ac:dyDescent="0.3">
      <c r="C36" s="136"/>
      <c r="G36" s="69" t="s">
        <v>58</v>
      </c>
      <c r="H36" s="70" t="s">
        <v>59</v>
      </c>
      <c r="I36" s="23"/>
    </row>
    <row r="37" spans="2:9" x14ac:dyDescent="0.3">
      <c r="C37" s="136"/>
      <c r="G37" s="69" t="s">
        <v>60</v>
      </c>
      <c r="H37" s="70" t="s">
        <v>61</v>
      </c>
      <c r="I37" s="23"/>
    </row>
    <row r="38" spans="2:9" x14ac:dyDescent="0.3">
      <c r="C38" s="136"/>
      <c r="G38" s="31"/>
      <c r="H38" s="29"/>
      <c r="I38" s="23"/>
    </row>
    <row r="39" spans="2:9" x14ac:dyDescent="0.3">
      <c r="C39" s="136"/>
      <c r="G39" s="31"/>
      <c r="H39" s="29"/>
      <c r="I39" s="23"/>
    </row>
    <row r="40" spans="2:9" x14ac:dyDescent="0.3">
      <c r="C40" s="136"/>
      <c r="G40" s="31"/>
      <c r="H40" s="29"/>
      <c r="I40" s="23"/>
    </row>
    <row r="41" spans="2:9" x14ac:dyDescent="0.3">
      <c r="C41" s="136"/>
      <c r="G41" s="31"/>
      <c r="H41" s="29"/>
      <c r="I41" s="23"/>
    </row>
    <row r="42" spans="2:9" x14ac:dyDescent="0.3">
      <c r="C42" s="136"/>
      <c r="G42" s="31"/>
      <c r="H42" s="29"/>
      <c r="I42" s="23"/>
    </row>
    <row r="43" spans="2:9" x14ac:dyDescent="0.3">
      <c r="B43" s="137"/>
      <c r="C43" s="136"/>
      <c r="G43" s="66" t="s">
        <v>132</v>
      </c>
      <c r="H43" s="67" t="s">
        <v>133</v>
      </c>
      <c r="I43" s="23"/>
    </row>
    <row r="44" spans="2:9" x14ac:dyDescent="0.3">
      <c r="C44" s="136"/>
      <c r="G44" s="66" t="s">
        <v>62</v>
      </c>
      <c r="H44" s="67" t="s">
        <v>63</v>
      </c>
      <c r="I44" s="23"/>
    </row>
    <row r="45" spans="2:9" x14ac:dyDescent="0.3">
      <c r="C45" s="136"/>
      <c r="G45" s="66" t="s">
        <v>64</v>
      </c>
      <c r="H45" s="67" t="s">
        <v>65</v>
      </c>
      <c r="I45" s="23"/>
    </row>
    <row r="46" spans="2:9" x14ac:dyDescent="0.3">
      <c r="C46" s="136"/>
      <c r="G46" s="66" t="s">
        <v>92</v>
      </c>
      <c r="H46" s="67" t="s">
        <v>93</v>
      </c>
      <c r="I46" s="23"/>
    </row>
    <row r="47" spans="2:9" x14ac:dyDescent="0.3">
      <c r="C47" s="136"/>
      <c r="G47" s="66" t="s">
        <v>94</v>
      </c>
      <c r="H47" s="67" t="s">
        <v>95</v>
      </c>
      <c r="I47" s="23"/>
    </row>
    <row r="48" spans="2:9" x14ac:dyDescent="0.3">
      <c r="C48" s="136"/>
      <c r="G48" s="66" t="s">
        <v>96</v>
      </c>
      <c r="H48" s="68" t="s">
        <v>97</v>
      </c>
      <c r="I48" s="23"/>
    </row>
    <row r="49" spans="3:9" x14ac:dyDescent="0.3">
      <c r="C49" s="136"/>
      <c r="G49" s="66" t="s">
        <v>98</v>
      </c>
      <c r="H49" s="67" t="s">
        <v>425</v>
      </c>
      <c r="I49" s="23"/>
    </row>
    <row r="50" spans="3:9" x14ac:dyDescent="0.3">
      <c r="C50" s="136"/>
      <c r="G50" s="66" t="s">
        <v>102</v>
      </c>
      <c r="H50" s="67" t="s">
        <v>103</v>
      </c>
      <c r="I50" s="23"/>
    </row>
    <row r="51" spans="3:9" x14ac:dyDescent="0.3">
      <c r="C51" s="136"/>
      <c r="G51" s="66" t="s">
        <v>104</v>
      </c>
      <c r="H51" s="67" t="s">
        <v>105</v>
      </c>
      <c r="I51" s="23"/>
    </row>
    <row r="52" spans="3:9" x14ac:dyDescent="0.3">
      <c r="C52" s="136"/>
      <c r="G52" s="66" t="s">
        <v>101</v>
      </c>
      <c r="H52" s="67" t="s">
        <v>359</v>
      </c>
      <c r="I52" s="23"/>
    </row>
    <row r="53" spans="3:9" x14ac:dyDescent="0.3">
      <c r="C53" s="136"/>
      <c r="G53" s="66" t="s">
        <v>66</v>
      </c>
      <c r="H53" s="67" t="s">
        <v>67</v>
      </c>
      <c r="I53" s="23"/>
    </row>
    <row r="54" spans="3:9" x14ac:dyDescent="0.3">
      <c r="C54" s="136"/>
      <c r="G54" s="66" t="s">
        <v>99</v>
      </c>
      <c r="H54" s="67" t="s">
        <v>100</v>
      </c>
      <c r="I54" s="23"/>
    </row>
    <row r="55" spans="3:9" x14ac:dyDescent="0.3">
      <c r="C55" s="136"/>
      <c r="G55" s="66" t="s">
        <v>412</v>
      </c>
      <c r="H55" s="67" t="s">
        <v>413</v>
      </c>
      <c r="I55" s="23"/>
    </row>
    <row r="56" spans="3:9" x14ac:dyDescent="0.3">
      <c r="C56" s="136"/>
      <c r="G56" s="31"/>
      <c r="H56" s="29"/>
      <c r="I56" s="23"/>
    </row>
    <row r="57" spans="3:9" x14ac:dyDescent="0.3">
      <c r="C57" s="136"/>
      <c r="G57" s="31"/>
      <c r="H57" s="29"/>
      <c r="I57" s="23"/>
    </row>
    <row r="58" spans="3:9" x14ac:dyDescent="0.3">
      <c r="C58" s="136"/>
      <c r="G58" s="31"/>
      <c r="H58" s="29"/>
      <c r="I58" s="23"/>
    </row>
    <row r="59" spans="3:9" x14ac:dyDescent="0.3">
      <c r="C59" s="136"/>
      <c r="G59" s="31"/>
      <c r="H59" s="29"/>
      <c r="I59" s="23"/>
    </row>
    <row r="60" spans="3:9" x14ac:dyDescent="0.3">
      <c r="C60" s="136"/>
      <c r="G60" s="31"/>
      <c r="H60" s="29"/>
      <c r="I60" s="23"/>
    </row>
    <row r="61" spans="3:9" x14ac:dyDescent="0.3">
      <c r="C61" s="136"/>
      <c r="G61" s="31"/>
      <c r="H61" s="29"/>
      <c r="I61" s="23"/>
    </row>
    <row r="62" spans="3:9" x14ac:dyDescent="0.3">
      <c r="C62" s="136"/>
      <c r="G62" s="31"/>
      <c r="H62" s="29"/>
      <c r="I62" s="23"/>
    </row>
    <row r="63" spans="3:9" x14ac:dyDescent="0.3">
      <c r="C63" s="136"/>
      <c r="G63" s="64" t="s">
        <v>68</v>
      </c>
      <c r="H63" s="65" t="s">
        <v>69</v>
      </c>
      <c r="I63" s="23"/>
    </row>
    <row r="64" spans="3:9" x14ac:dyDescent="0.3">
      <c r="C64" s="136"/>
      <c r="G64" s="64" t="s">
        <v>70</v>
      </c>
      <c r="H64" s="65" t="s">
        <v>71</v>
      </c>
      <c r="I64" s="23"/>
    </row>
    <row r="65" spans="3:9" x14ac:dyDescent="0.3">
      <c r="C65" s="136"/>
      <c r="G65" s="64" t="s">
        <v>72</v>
      </c>
      <c r="H65" s="65" t="s">
        <v>73</v>
      </c>
      <c r="I65" s="23"/>
    </row>
    <row r="66" spans="3:9" x14ac:dyDescent="0.3">
      <c r="C66" s="136"/>
      <c r="G66" s="64" t="s">
        <v>74</v>
      </c>
      <c r="H66" s="65" t="s">
        <v>75</v>
      </c>
      <c r="I66" s="23"/>
    </row>
    <row r="67" spans="3:9" x14ac:dyDescent="0.3">
      <c r="C67" s="136"/>
      <c r="G67" s="64" t="s">
        <v>76</v>
      </c>
      <c r="H67" s="65" t="s">
        <v>77</v>
      </c>
      <c r="I67" s="23"/>
    </row>
    <row r="68" spans="3:9" x14ac:dyDescent="0.3">
      <c r="C68" s="136"/>
      <c r="G68" s="64" t="s">
        <v>78</v>
      </c>
      <c r="H68" s="65" t="s">
        <v>79</v>
      </c>
      <c r="I68" s="23"/>
    </row>
    <row r="69" spans="3:9" x14ac:dyDescent="0.3">
      <c r="C69" s="136"/>
      <c r="G69" s="64" t="s">
        <v>80</v>
      </c>
      <c r="H69" s="65" t="s">
        <v>81</v>
      </c>
      <c r="I69" s="23"/>
    </row>
    <row r="70" spans="3:9" x14ac:dyDescent="0.3">
      <c r="C70" s="136"/>
      <c r="G70" s="64" t="s">
        <v>82</v>
      </c>
      <c r="H70" s="65" t="s">
        <v>83</v>
      </c>
      <c r="I70" s="23"/>
    </row>
    <row r="71" spans="3:9" x14ac:dyDescent="0.3">
      <c r="C71" s="136"/>
      <c r="G71" s="64" t="s">
        <v>84</v>
      </c>
      <c r="H71" s="65" t="s">
        <v>85</v>
      </c>
      <c r="I71" s="23"/>
    </row>
    <row r="72" spans="3:9" x14ac:dyDescent="0.3">
      <c r="C72" s="136"/>
      <c r="G72" s="64" t="s">
        <v>86</v>
      </c>
      <c r="H72" s="65" t="s">
        <v>87</v>
      </c>
      <c r="I72" s="23"/>
    </row>
    <row r="73" spans="3:9" x14ac:dyDescent="0.3">
      <c r="C73" s="136"/>
      <c r="G73" s="64" t="s">
        <v>88</v>
      </c>
      <c r="H73" s="65" t="s">
        <v>89</v>
      </c>
      <c r="I73" s="23"/>
    </row>
    <row r="74" spans="3:9" x14ac:dyDescent="0.3">
      <c r="C74" s="136"/>
      <c r="G74" s="64" t="s">
        <v>90</v>
      </c>
      <c r="H74" s="65" t="s">
        <v>91</v>
      </c>
      <c r="I74" s="23"/>
    </row>
    <row r="75" spans="3:9" x14ac:dyDescent="0.3">
      <c r="C75" s="136"/>
      <c r="G75" s="64" t="s">
        <v>396</v>
      </c>
      <c r="H75" s="65" t="s">
        <v>397</v>
      </c>
      <c r="I75" s="23"/>
    </row>
    <row r="76" spans="3:9" x14ac:dyDescent="0.3">
      <c r="C76" s="136"/>
      <c r="G76" s="64" t="s">
        <v>398</v>
      </c>
      <c r="H76" s="65" t="s">
        <v>399</v>
      </c>
      <c r="I76" s="23"/>
    </row>
    <row r="77" spans="3:9" x14ac:dyDescent="0.3">
      <c r="C77" s="136"/>
      <c r="G77" s="64" t="s">
        <v>400</v>
      </c>
      <c r="H77" s="65" t="s">
        <v>401</v>
      </c>
      <c r="I77" s="23"/>
    </row>
    <row r="78" spans="3:9" x14ac:dyDescent="0.3">
      <c r="C78" s="136"/>
      <c r="G78" s="64" t="s">
        <v>402</v>
      </c>
      <c r="H78" s="65" t="s">
        <v>403</v>
      </c>
      <c r="I78" s="23"/>
    </row>
    <row r="79" spans="3:9" x14ac:dyDescent="0.3">
      <c r="C79" s="136"/>
      <c r="G79" s="64" t="s">
        <v>404</v>
      </c>
      <c r="H79" s="65" t="s">
        <v>405</v>
      </c>
      <c r="I79" s="23"/>
    </row>
    <row r="80" spans="3:9" x14ac:dyDescent="0.3">
      <c r="C80" s="136"/>
      <c r="G80" s="64" t="s">
        <v>406</v>
      </c>
      <c r="H80" s="65" t="s">
        <v>407</v>
      </c>
      <c r="I80" s="23"/>
    </row>
    <row r="81" spans="3:9" x14ac:dyDescent="0.3">
      <c r="C81" s="136"/>
      <c r="G81" s="64" t="s">
        <v>408</v>
      </c>
      <c r="H81" s="65" t="s">
        <v>409</v>
      </c>
      <c r="I81" s="23"/>
    </row>
    <row r="82" spans="3:9" x14ac:dyDescent="0.3">
      <c r="C82" s="136"/>
      <c r="G82" s="64" t="s">
        <v>410</v>
      </c>
      <c r="H82" s="65" t="s">
        <v>411</v>
      </c>
      <c r="I82" s="23"/>
    </row>
    <row r="83" spans="3:9" x14ac:dyDescent="0.3">
      <c r="C83" s="136"/>
      <c r="G83" s="64" t="s">
        <v>106</v>
      </c>
      <c r="H83" s="65" t="s">
        <v>107</v>
      </c>
      <c r="I83" s="23"/>
    </row>
    <row r="84" spans="3:9" x14ac:dyDescent="0.3">
      <c r="C84" s="136"/>
      <c r="G84" s="64" t="s">
        <v>108</v>
      </c>
      <c r="H84" s="65" t="s">
        <v>109</v>
      </c>
      <c r="I84" s="23"/>
    </row>
    <row r="85" spans="3:9" x14ac:dyDescent="0.3">
      <c r="C85" s="136"/>
      <c r="G85" s="64" t="s">
        <v>110</v>
      </c>
      <c r="H85" s="65" t="s">
        <v>111</v>
      </c>
      <c r="I85" s="23"/>
    </row>
    <row r="86" spans="3:9" x14ac:dyDescent="0.3">
      <c r="C86" s="136"/>
      <c r="G86" s="64" t="s">
        <v>112</v>
      </c>
      <c r="H86" s="65" t="s">
        <v>113</v>
      </c>
      <c r="I86" s="23"/>
    </row>
    <row r="87" spans="3:9" x14ac:dyDescent="0.3">
      <c r="C87" s="136"/>
      <c r="G87" s="64" t="s">
        <v>114</v>
      </c>
      <c r="H87" s="65" t="s">
        <v>115</v>
      </c>
      <c r="I87" s="23"/>
    </row>
    <row r="88" spans="3:9" x14ac:dyDescent="0.3">
      <c r="C88" s="136"/>
      <c r="G88" s="64" t="s">
        <v>116</v>
      </c>
      <c r="H88" s="65" t="s">
        <v>117</v>
      </c>
      <c r="I88" s="23"/>
    </row>
    <row r="89" spans="3:9" x14ac:dyDescent="0.3">
      <c r="C89" s="136"/>
      <c r="G89" s="64" t="s">
        <v>118</v>
      </c>
      <c r="H89" s="65" t="s">
        <v>119</v>
      </c>
      <c r="I89" s="23"/>
    </row>
    <row r="90" spans="3:9" x14ac:dyDescent="0.3">
      <c r="C90" s="136"/>
      <c r="G90" s="64" t="s">
        <v>120</v>
      </c>
      <c r="H90" s="65" t="s">
        <v>121</v>
      </c>
      <c r="I90" s="23"/>
    </row>
    <row r="91" spans="3:9" x14ac:dyDescent="0.3">
      <c r="C91" s="136"/>
      <c r="G91" s="64" t="s">
        <v>122</v>
      </c>
      <c r="H91" s="65" t="s">
        <v>123</v>
      </c>
      <c r="I91" s="23"/>
    </row>
    <row r="92" spans="3:9" x14ac:dyDescent="0.3">
      <c r="C92" s="136"/>
      <c r="G92" s="64" t="s">
        <v>124</v>
      </c>
      <c r="H92" s="65" t="s">
        <v>125</v>
      </c>
      <c r="I92" s="23"/>
    </row>
    <row r="93" spans="3:9" x14ac:dyDescent="0.3">
      <c r="C93" s="136"/>
      <c r="G93" s="64" t="s">
        <v>126</v>
      </c>
      <c r="H93" s="65" t="s">
        <v>127</v>
      </c>
      <c r="I93" s="23"/>
    </row>
    <row r="94" spans="3:9" x14ac:dyDescent="0.3">
      <c r="C94" s="136"/>
      <c r="G94" s="64" t="s">
        <v>128</v>
      </c>
      <c r="H94" s="65" t="s">
        <v>129</v>
      </c>
      <c r="I94" s="23"/>
    </row>
    <row r="95" spans="3:9" x14ac:dyDescent="0.3">
      <c r="C95" s="136"/>
      <c r="G95" s="64" t="s">
        <v>130</v>
      </c>
      <c r="H95" s="65" t="s">
        <v>131</v>
      </c>
      <c r="I95" s="23"/>
    </row>
    <row r="96" spans="3:9" x14ac:dyDescent="0.3">
      <c r="C96" s="136"/>
      <c r="G96" s="31"/>
      <c r="H96" s="29"/>
      <c r="I96" s="23"/>
    </row>
    <row r="97" spans="1:9" x14ac:dyDescent="0.3">
      <c r="C97" s="136"/>
      <c r="G97" s="31"/>
      <c r="H97" s="29"/>
      <c r="I97" s="23"/>
    </row>
    <row r="98" spans="1:9" x14ac:dyDescent="0.3">
      <c r="C98" s="136"/>
      <c r="G98" s="31"/>
      <c r="H98" s="29"/>
      <c r="I98" s="23"/>
    </row>
    <row r="99" spans="1:9" x14ac:dyDescent="0.3">
      <c r="C99" s="136"/>
      <c r="G99" s="31"/>
      <c r="H99" s="29"/>
      <c r="I99" s="23"/>
    </row>
    <row r="100" spans="1:9" x14ac:dyDescent="0.3">
      <c r="C100" s="136"/>
      <c r="G100" s="31"/>
      <c r="H100" s="29"/>
      <c r="I100" s="23"/>
    </row>
    <row r="101" spans="1:9" x14ac:dyDescent="0.3">
      <c r="C101" s="136"/>
      <c r="G101" s="31"/>
      <c r="H101" s="29"/>
      <c r="I101" s="23"/>
    </row>
    <row r="102" spans="1:9" x14ac:dyDescent="0.3">
      <c r="C102" s="136"/>
      <c r="G102" s="31"/>
      <c r="H102" s="29"/>
      <c r="I102" s="23"/>
    </row>
    <row r="103" spans="1:9" x14ac:dyDescent="0.3">
      <c r="C103" s="136"/>
      <c r="G103" s="71" t="s">
        <v>136</v>
      </c>
      <c r="H103" s="72" t="s">
        <v>137</v>
      </c>
      <c r="I103" s="23"/>
    </row>
    <row r="104" spans="1:9" x14ac:dyDescent="0.3">
      <c r="A104" s="138"/>
      <c r="B104" s="139"/>
      <c r="C104" s="136"/>
      <c r="G104" s="71" t="s">
        <v>134</v>
      </c>
      <c r="H104" s="72" t="s">
        <v>135</v>
      </c>
      <c r="I104" s="23"/>
    </row>
    <row r="105" spans="1:9" x14ac:dyDescent="0.3">
      <c r="A105" s="138"/>
      <c r="B105" s="139"/>
      <c r="C105" s="136"/>
      <c r="G105" s="71" t="s">
        <v>138</v>
      </c>
      <c r="H105" s="72" t="s">
        <v>139</v>
      </c>
      <c r="I105" s="23"/>
    </row>
    <row r="106" spans="1:9" x14ac:dyDescent="0.3">
      <c r="A106" s="138"/>
      <c r="B106" s="139"/>
      <c r="C106" s="136"/>
      <c r="G106" s="71" t="s">
        <v>140</v>
      </c>
      <c r="H106" s="72" t="s">
        <v>141</v>
      </c>
      <c r="I106" s="23"/>
    </row>
    <row r="107" spans="1:9" x14ac:dyDescent="0.3">
      <c r="A107" s="138"/>
      <c r="B107" s="139"/>
      <c r="C107" s="136"/>
      <c r="G107" s="71" t="s">
        <v>142</v>
      </c>
      <c r="H107" s="72" t="s">
        <v>143</v>
      </c>
      <c r="I107" s="23"/>
    </row>
    <row r="108" spans="1:9" x14ac:dyDescent="0.3">
      <c r="A108" s="138"/>
      <c r="B108" s="139"/>
      <c r="C108" s="136"/>
      <c r="G108" s="71" t="s">
        <v>144</v>
      </c>
      <c r="H108" s="72" t="s">
        <v>145</v>
      </c>
      <c r="I108" s="23"/>
    </row>
    <row r="109" spans="1:9" x14ac:dyDescent="0.3">
      <c r="A109" s="138"/>
      <c r="B109" s="139"/>
      <c r="C109" s="136"/>
      <c r="G109" s="31"/>
      <c r="H109" s="29"/>
      <c r="I109" s="23"/>
    </row>
    <row r="110" spans="1:9" x14ac:dyDescent="0.3">
      <c r="A110" s="138"/>
      <c r="B110" s="139"/>
      <c r="C110" s="136"/>
      <c r="G110" s="31"/>
      <c r="H110" s="29"/>
      <c r="I110" s="23"/>
    </row>
    <row r="111" spans="1:9" x14ac:dyDescent="0.3">
      <c r="A111" s="138"/>
      <c r="B111" s="139"/>
      <c r="C111" s="136"/>
      <c r="G111" s="31"/>
      <c r="H111" s="29"/>
      <c r="I111" s="23"/>
    </row>
    <row r="112" spans="1:9" x14ac:dyDescent="0.3">
      <c r="A112" s="138"/>
      <c r="B112" s="139"/>
      <c r="C112" s="136"/>
      <c r="G112" s="31"/>
      <c r="H112" s="29"/>
      <c r="I112" s="23"/>
    </row>
    <row r="113" spans="1:9" x14ac:dyDescent="0.3">
      <c r="A113" s="138"/>
      <c r="B113" s="139"/>
      <c r="C113" s="136"/>
      <c r="G113" s="31"/>
      <c r="H113" s="29"/>
      <c r="I113" s="23"/>
    </row>
    <row r="114" spans="1:9" x14ac:dyDescent="0.3">
      <c r="A114" s="138"/>
      <c r="B114" s="139"/>
      <c r="C114" s="136"/>
      <c r="G114" s="31"/>
      <c r="H114" s="29"/>
      <c r="I114" s="23"/>
    </row>
    <row r="115" spans="1:9" x14ac:dyDescent="0.3">
      <c r="A115" s="138"/>
      <c r="B115" s="139"/>
      <c r="C115" s="136"/>
      <c r="G115" s="31"/>
      <c r="H115" s="29"/>
      <c r="I115" s="23"/>
    </row>
    <row r="116" spans="1:9" x14ac:dyDescent="0.3">
      <c r="A116" s="138"/>
      <c r="B116" s="139"/>
      <c r="C116" s="136"/>
      <c r="G116" s="31"/>
      <c r="H116" s="29"/>
      <c r="I116" s="23"/>
    </row>
    <row r="117" spans="1:9" x14ac:dyDescent="0.3">
      <c r="A117" s="138"/>
      <c r="B117" s="139"/>
      <c r="C117" s="136"/>
      <c r="G117" s="31"/>
      <c r="H117" s="29"/>
      <c r="I117" s="23"/>
    </row>
    <row r="118" spans="1:9" x14ac:dyDescent="0.3">
      <c r="A118" s="138"/>
      <c r="B118" s="139"/>
      <c r="C118" s="136"/>
      <c r="G118" s="31"/>
      <c r="H118" s="29"/>
      <c r="I118" s="23"/>
    </row>
    <row r="119" spans="1:9" x14ac:dyDescent="0.3">
      <c r="A119" s="138"/>
      <c r="B119" s="139"/>
      <c r="C119" s="136"/>
      <c r="G119" s="31"/>
      <c r="H119" s="29"/>
      <c r="I119" s="23"/>
    </row>
    <row r="120" spans="1:9" x14ac:dyDescent="0.3">
      <c r="A120" s="138"/>
      <c r="B120" s="139"/>
      <c r="C120" s="136"/>
      <c r="G120" s="31"/>
      <c r="H120" s="29"/>
      <c r="I120" s="23"/>
    </row>
    <row r="121" spans="1:9" x14ac:dyDescent="0.3">
      <c r="A121" s="138"/>
      <c r="B121" s="139"/>
      <c r="C121" s="136"/>
      <c r="G121" s="31"/>
      <c r="H121" s="29"/>
      <c r="I121" s="23"/>
    </row>
    <row r="122" spans="1:9" x14ac:dyDescent="0.3">
      <c r="A122" s="138"/>
      <c r="B122" s="139"/>
      <c r="C122" s="136"/>
      <c r="G122" s="31"/>
      <c r="H122" s="29"/>
      <c r="I122" s="23"/>
    </row>
    <row r="123" spans="1:9" x14ac:dyDescent="0.3">
      <c r="A123" s="138"/>
      <c r="B123" s="139"/>
      <c r="C123" s="136"/>
      <c r="G123" s="73" t="s">
        <v>173</v>
      </c>
      <c r="H123" s="74" t="s">
        <v>174</v>
      </c>
      <c r="I123" s="23"/>
    </row>
    <row r="124" spans="1:9" x14ac:dyDescent="0.3">
      <c r="A124" s="138"/>
      <c r="B124" s="139"/>
      <c r="C124" s="136"/>
      <c r="G124" s="73" t="s">
        <v>177</v>
      </c>
      <c r="H124" s="74" t="s">
        <v>178</v>
      </c>
      <c r="I124" s="23"/>
    </row>
    <row r="125" spans="1:9" x14ac:dyDescent="0.3">
      <c r="A125" s="138"/>
      <c r="B125" s="139"/>
      <c r="C125" s="136"/>
      <c r="G125" s="73" t="s">
        <v>179</v>
      </c>
      <c r="H125" s="74" t="s">
        <v>358</v>
      </c>
      <c r="I125" s="23"/>
    </row>
    <row r="126" spans="1:9" x14ac:dyDescent="0.3">
      <c r="A126" s="138"/>
      <c r="B126" s="139"/>
      <c r="C126" s="136"/>
      <c r="G126" s="73" t="s">
        <v>180</v>
      </c>
      <c r="H126" s="74" t="s">
        <v>181</v>
      </c>
      <c r="I126" s="23"/>
    </row>
    <row r="127" spans="1:9" x14ac:dyDescent="0.3">
      <c r="A127" s="138"/>
      <c r="B127" s="139"/>
      <c r="C127" s="136"/>
      <c r="G127" s="73" t="s">
        <v>182</v>
      </c>
      <c r="H127" s="74" t="s">
        <v>183</v>
      </c>
      <c r="I127" s="23"/>
    </row>
    <row r="128" spans="1:9" x14ac:dyDescent="0.3">
      <c r="A128" s="138"/>
      <c r="B128" s="139"/>
      <c r="C128" s="136"/>
      <c r="G128" s="73" t="s">
        <v>184</v>
      </c>
      <c r="H128" s="74" t="s">
        <v>185</v>
      </c>
      <c r="I128" s="23"/>
    </row>
    <row r="129" spans="3:9" x14ac:dyDescent="0.3">
      <c r="C129" s="136"/>
      <c r="G129" s="73" t="s">
        <v>186</v>
      </c>
      <c r="H129" s="74" t="s">
        <v>187</v>
      </c>
      <c r="I129" s="23"/>
    </row>
    <row r="130" spans="3:9" x14ac:dyDescent="0.3">
      <c r="C130" s="136"/>
      <c r="G130" s="73" t="s">
        <v>414</v>
      </c>
      <c r="H130" s="74" t="s">
        <v>415</v>
      </c>
      <c r="I130" s="23"/>
    </row>
    <row r="131" spans="3:9" x14ac:dyDescent="0.3">
      <c r="C131" s="136"/>
      <c r="G131" s="73" t="s">
        <v>416</v>
      </c>
      <c r="H131" s="74" t="s">
        <v>417</v>
      </c>
      <c r="I131" s="23"/>
    </row>
    <row r="132" spans="3:9" x14ac:dyDescent="0.3">
      <c r="C132" s="136"/>
      <c r="G132" s="73" t="s">
        <v>188</v>
      </c>
      <c r="H132" s="74" t="s">
        <v>189</v>
      </c>
      <c r="I132" s="23"/>
    </row>
    <row r="133" spans="3:9" x14ac:dyDescent="0.3">
      <c r="C133" s="136"/>
      <c r="G133" s="73" t="s">
        <v>191</v>
      </c>
      <c r="H133" s="74" t="s">
        <v>432</v>
      </c>
      <c r="I133" s="23"/>
    </row>
    <row r="134" spans="3:9" x14ac:dyDescent="0.3">
      <c r="C134" s="136"/>
      <c r="G134" s="73" t="s">
        <v>192</v>
      </c>
      <c r="H134" s="74" t="s">
        <v>193</v>
      </c>
      <c r="I134" s="23"/>
    </row>
    <row r="135" spans="3:9" x14ac:dyDescent="0.3">
      <c r="C135" s="136"/>
      <c r="G135" s="73" t="s">
        <v>190</v>
      </c>
      <c r="H135" s="74" t="s">
        <v>433</v>
      </c>
      <c r="I135" s="23"/>
    </row>
    <row r="136" spans="3:9" x14ac:dyDescent="0.3">
      <c r="C136" s="136"/>
      <c r="G136" s="73" t="s">
        <v>296</v>
      </c>
      <c r="H136" s="74" t="s">
        <v>297</v>
      </c>
      <c r="I136" s="23"/>
    </row>
    <row r="137" spans="3:9" x14ac:dyDescent="0.3">
      <c r="C137" s="136"/>
      <c r="G137" s="31"/>
      <c r="H137" s="29"/>
      <c r="I137" s="23"/>
    </row>
    <row r="138" spans="3:9" x14ac:dyDescent="0.3">
      <c r="C138" s="136"/>
      <c r="G138" s="31"/>
      <c r="H138" s="29"/>
      <c r="I138" s="23"/>
    </row>
    <row r="139" spans="3:9" x14ac:dyDescent="0.3">
      <c r="C139" s="136"/>
      <c r="G139" s="31"/>
      <c r="H139" s="29"/>
      <c r="I139" s="23"/>
    </row>
    <row r="140" spans="3:9" x14ac:dyDescent="0.3">
      <c r="C140" s="136"/>
      <c r="G140" s="31"/>
      <c r="H140" s="29"/>
      <c r="I140" s="23"/>
    </row>
    <row r="141" spans="3:9" x14ac:dyDescent="0.3">
      <c r="C141" s="136"/>
      <c r="G141" s="31"/>
      <c r="H141" s="29"/>
      <c r="I141" s="23"/>
    </row>
    <row r="142" spans="3:9" x14ac:dyDescent="0.3">
      <c r="C142" s="136"/>
      <c r="G142" s="31"/>
      <c r="H142" s="29"/>
      <c r="I142" s="23"/>
    </row>
    <row r="143" spans="3:9" x14ac:dyDescent="0.3">
      <c r="C143" s="136"/>
      <c r="G143" s="75" t="s">
        <v>306</v>
      </c>
      <c r="H143" s="76" t="s">
        <v>307</v>
      </c>
      <c r="I143" s="23"/>
    </row>
    <row r="144" spans="3:9" x14ac:dyDescent="0.3">
      <c r="C144" s="136"/>
      <c r="G144" s="75" t="s">
        <v>308</v>
      </c>
      <c r="H144" s="76" t="s">
        <v>309</v>
      </c>
      <c r="I144" s="23"/>
    </row>
    <row r="145" spans="3:9" x14ac:dyDescent="0.3">
      <c r="C145" s="136"/>
      <c r="G145" s="75" t="s">
        <v>310</v>
      </c>
      <c r="H145" s="76" t="s">
        <v>311</v>
      </c>
      <c r="I145" s="23"/>
    </row>
    <row r="146" spans="3:9" x14ac:dyDescent="0.3">
      <c r="C146" s="136"/>
      <c r="G146" s="75" t="s">
        <v>312</v>
      </c>
      <c r="H146" s="76" t="s">
        <v>313</v>
      </c>
      <c r="I146" s="23"/>
    </row>
    <row r="147" spans="3:9" x14ac:dyDescent="0.3">
      <c r="C147" s="136"/>
      <c r="G147" s="75" t="s">
        <v>314</v>
      </c>
      <c r="H147" s="76" t="s">
        <v>315</v>
      </c>
      <c r="I147" s="23"/>
    </row>
    <row r="148" spans="3:9" x14ac:dyDescent="0.3">
      <c r="C148" s="136"/>
      <c r="G148" s="75" t="s">
        <v>316</v>
      </c>
      <c r="H148" s="76" t="s">
        <v>317</v>
      </c>
      <c r="I148" s="23"/>
    </row>
    <row r="149" spans="3:9" x14ac:dyDescent="0.3">
      <c r="C149" s="136"/>
      <c r="G149" s="75" t="s">
        <v>318</v>
      </c>
      <c r="H149" s="76" t="s">
        <v>319</v>
      </c>
      <c r="I149" s="23"/>
    </row>
    <row r="150" spans="3:9" x14ac:dyDescent="0.3">
      <c r="C150" s="136"/>
      <c r="G150" s="75" t="s">
        <v>320</v>
      </c>
      <c r="H150" s="76" t="s">
        <v>321</v>
      </c>
      <c r="I150" s="23"/>
    </row>
    <row r="151" spans="3:9" x14ac:dyDescent="0.3">
      <c r="C151" s="136"/>
      <c r="G151" s="75" t="s">
        <v>322</v>
      </c>
      <c r="H151" s="76" t="s">
        <v>323</v>
      </c>
      <c r="I151" s="23"/>
    </row>
    <row r="152" spans="3:9" x14ac:dyDescent="0.3">
      <c r="C152" s="136"/>
      <c r="G152" s="75" t="s">
        <v>324</v>
      </c>
      <c r="H152" s="76" t="s">
        <v>321</v>
      </c>
      <c r="I152" s="23"/>
    </row>
    <row r="153" spans="3:9" x14ac:dyDescent="0.3">
      <c r="C153" s="136"/>
      <c r="G153" s="75" t="s">
        <v>325</v>
      </c>
      <c r="H153" s="76" t="s">
        <v>326</v>
      </c>
      <c r="I153" s="23"/>
    </row>
    <row r="154" spans="3:9" x14ac:dyDescent="0.3">
      <c r="C154" s="136"/>
      <c r="G154" s="75" t="s">
        <v>327</v>
      </c>
      <c r="H154" s="76" t="s">
        <v>328</v>
      </c>
      <c r="I154" s="23"/>
    </row>
    <row r="155" spans="3:9" x14ac:dyDescent="0.3">
      <c r="C155" s="136"/>
      <c r="G155" s="75" t="s">
        <v>329</v>
      </c>
      <c r="H155" s="76" t="s">
        <v>330</v>
      </c>
      <c r="I155" s="23"/>
    </row>
    <row r="156" spans="3:9" x14ac:dyDescent="0.3">
      <c r="C156" s="136"/>
      <c r="G156" s="75" t="s">
        <v>331</v>
      </c>
      <c r="H156" s="76" t="s">
        <v>332</v>
      </c>
      <c r="I156" s="23"/>
    </row>
    <row r="157" spans="3:9" x14ac:dyDescent="0.3">
      <c r="C157" s="136"/>
      <c r="G157" s="75" t="s">
        <v>333</v>
      </c>
      <c r="H157" s="76" t="s">
        <v>334</v>
      </c>
      <c r="I157" s="23"/>
    </row>
    <row r="158" spans="3:9" x14ac:dyDescent="0.3">
      <c r="C158" s="136"/>
      <c r="G158" s="75" t="s">
        <v>335</v>
      </c>
      <c r="H158" s="76" t="s">
        <v>336</v>
      </c>
      <c r="I158" s="23"/>
    </row>
    <row r="159" spans="3:9" x14ac:dyDescent="0.3">
      <c r="C159" s="136"/>
      <c r="G159" s="75" t="s">
        <v>337</v>
      </c>
      <c r="H159" s="76" t="s">
        <v>338</v>
      </c>
      <c r="I159" s="23"/>
    </row>
    <row r="160" spans="3:9" x14ac:dyDescent="0.3">
      <c r="C160" s="136"/>
      <c r="G160" s="75" t="s">
        <v>339</v>
      </c>
      <c r="H160" s="76" t="s">
        <v>340</v>
      </c>
      <c r="I160" s="23"/>
    </row>
    <row r="161" spans="3:9" x14ac:dyDescent="0.3">
      <c r="C161" s="136"/>
      <c r="G161" s="75" t="s">
        <v>341</v>
      </c>
      <c r="H161" s="76" t="s">
        <v>342</v>
      </c>
      <c r="I161" s="23"/>
    </row>
    <row r="162" spans="3:9" x14ac:dyDescent="0.3">
      <c r="C162" s="136"/>
      <c r="G162" s="75" t="s">
        <v>343</v>
      </c>
      <c r="H162" s="76" t="s">
        <v>344</v>
      </c>
      <c r="I162" s="23"/>
    </row>
    <row r="163" spans="3:9" x14ac:dyDescent="0.3">
      <c r="C163" s="136"/>
      <c r="G163" s="75" t="s">
        <v>345</v>
      </c>
      <c r="H163" s="76" t="s">
        <v>346</v>
      </c>
      <c r="I163" s="23"/>
    </row>
    <row r="164" spans="3:9" x14ac:dyDescent="0.3">
      <c r="C164" s="136"/>
      <c r="G164" s="75" t="s">
        <v>347</v>
      </c>
      <c r="H164" s="76" t="s">
        <v>348</v>
      </c>
      <c r="I164" s="23"/>
    </row>
    <row r="165" spans="3:9" x14ac:dyDescent="0.3">
      <c r="C165" s="136"/>
      <c r="G165" s="75" t="s">
        <v>349</v>
      </c>
      <c r="H165" s="76" t="s">
        <v>350</v>
      </c>
      <c r="I165" s="23"/>
    </row>
    <row r="166" spans="3:9" x14ac:dyDescent="0.3">
      <c r="C166" s="136"/>
      <c r="G166" s="75" t="s">
        <v>351</v>
      </c>
      <c r="H166" s="76" t="s">
        <v>352</v>
      </c>
      <c r="I166" s="23"/>
    </row>
    <row r="167" spans="3:9" x14ac:dyDescent="0.3">
      <c r="C167" s="136"/>
      <c r="G167" s="75" t="s">
        <v>353</v>
      </c>
      <c r="H167" s="76" t="s">
        <v>354</v>
      </c>
      <c r="I167" s="23"/>
    </row>
    <row r="168" spans="3:9" x14ac:dyDescent="0.3">
      <c r="C168" s="136"/>
      <c r="G168" s="31"/>
      <c r="H168" s="29"/>
      <c r="I168" s="23"/>
    </row>
    <row r="169" spans="3:9" x14ac:dyDescent="0.3">
      <c r="C169" s="136"/>
      <c r="G169" s="31"/>
      <c r="H169" s="29"/>
      <c r="I169" s="23"/>
    </row>
    <row r="170" spans="3:9" x14ac:dyDescent="0.3">
      <c r="C170" s="136"/>
      <c r="G170" s="31"/>
      <c r="H170" s="29"/>
      <c r="I170" s="23"/>
    </row>
    <row r="171" spans="3:9" x14ac:dyDescent="0.3">
      <c r="C171" s="136"/>
      <c r="G171" s="31"/>
      <c r="H171" s="29"/>
      <c r="I171" s="23"/>
    </row>
    <row r="172" spans="3:9" x14ac:dyDescent="0.3">
      <c r="C172" s="136"/>
      <c r="G172" s="31"/>
      <c r="H172" s="29"/>
      <c r="I172" s="23"/>
    </row>
    <row r="173" spans="3:9" x14ac:dyDescent="0.3">
      <c r="C173" s="136"/>
      <c r="G173" s="31"/>
      <c r="H173" s="29"/>
      <c r="I173" s="23"/>
    </row>
    <row r="174" spans="3:9" x14ac:dyDescent="0.3">
      <c r="C174" s="136"/>
      <c r="G174" s="31"/>
      <c r="H174" s="29"/>
      <c r="I174" s="23"/>
    </row>
    <row r="175" spans="3:9" x14ac:dyDescent="0.3">
      <c r="C175" s="136"/>
      <c r="G175" s="31"/>
      <c r="H175" s="29"/>
      <c r="I175" s="23"/>
    </row>
    <row r="176" spans="3:9" x14ac:dyDescent="0.3">
      <c r="C176" s="136"/>
      <c r="G176" s="31"/>
      <c r="H176" s="29"/>
      <c r="I176" s="23"/>
    </row>
    <row r="177" spans="3:9" x14ac:dyDescent="0.3">
      <c r="C177" s="136"/>
      <c r="G177" s="31"/>
      <c r="H177" s="29"/>
      <c r="I177" s="23"/>
    </row>
    <row r="178" spans="3:9" x14ac:dyDescent="0.3">
      <c r="C178" s="136"/>
      <c r="G178" s="31"/>
      <c r="H178" s="29"/>
      <c r="I178" s="23"/>
    </row>
    <row r="179" spans="3:9" x14ac:dyDescent="0.3">
      <c r="C179" s="136"/>
      <c r="G179" s="31"/>
      <c r="H179" s="29"/>
      <c r="I179" s="23"/>
    </row>
    <row r="180" spans="3:9" x14ac:dyDescent="0.3">
      <c r="C180" s="136"/>
      <c r="G180" s="31"/>
      <c r="H180" s="29"/>
      <c r="I180" s="23"/>
    </row>
    <row r="181" spans="3:9" x14ac:dyDescent="0.3">
      <c r="C181" s="136"/>
      <c r="G181" s="31"/>
      <c r="H181" s="29"/>
      <c r="I181" s="23"/>
    </row>
    <row r="182" spans="3:9" x14ac:dyDescent="0.3">
      <c r="C182" s="136"/>
      <c r="G182" s="31"/>
      <c r="H182" s="29"/>
      <c r="I182" s="23"/>
    </row>
    <row r="183" spans="3:9" x14ac:dyDescent="0.3">
      <c r="C183" s="136"/>
      <c r="G183" s="77" t="s">
        <v>146</v>
      </c>
      <c r="H183" s="78" t="s">
        <v>434</v>
      </c>
      <c r="I183" s="23"/>
    </row>
    <row r="184" spans="3:9" x14ac:dyDescent="0.3">
      <c r="C184" s="136"/>
      <c r="G184" s="77" t="s">
        <v>147</v>
      </c>
      <c r="H184" s="78" t="s">
        <v>148</v>
      </c>
      <c r="I184" s="23"/>
    </row>
    <row r="185" spans="3:9" x14ac:dyDescent="0.3">
      <c r="C185" s="136"/>
      <c r="G185" s="77" t="s">
        <v>149</v>
      </c>
      <c r="H185" s="78" t="s">
        <v>150</v>
      </c>
      <c r="I185" s="23"/>
    </row>
    <row r="186" spans="3:9" x14ac:dyDescent="0.3">
      <c r="C186" s="136"/>
      <c r="G186" s="77" t="s">
        <v>151</v>
      </c>
      <c r="H186" s="78" t="s">
        <v>152</v>
      </c>
      <c r="I186" s="23"/>
    </row>
    <row r="187" spans="3:9" x14ac:dyDescent="0.3">
      <c r="C187" s="136"/>
      <c r="G187" s="77" t="s">
        <v>153</v>
      </c>
      <c r="H187" s="78" t="s">
        <v>154</v>
      </c>
      <c r="I187" s="23"/>
    </row>
    <row r="188" spans="3:9" x14ac:dyDescent="0.3">
      <c r="C188" s="136"/>
      <c r="G188" s="77" t="s">
        <v>155</v>
      </c>
      <c r="H188" s="78" t="s">
        <v>156</v>
      </c>
      <c r="I188" s="23"/>
    </row>
    <row r="189" spans="3:9" x14ac:dyDescent="0.3">
      <c r="C189" s="136"/>
      <c r="G189" s="77" t="s">
        <v>157</v>
      </c>
      <c r="H189" s="78" t="s">
        <v>158</v>
      </c>
      <c r="I189" s="23"/>
    </row>
    <row r="190" spans="3:9" x14ac:dyDescent="0.3">
      <c r="C190" s="136"/>
      <c r="G190" s="77" t="s">
        <v>159</v>
      </c>
      <c r="H190" s="78" t="s">
        <v>160</v>
      </c>
      <c r="I190" s="23"/>
    </row>
    <row r="191" spans="3:9" x14ac:dyDescent="0.3">
      <c r="C191" s="136"/>
      <c r="G191" s="77" t="s">
        <v>161</v>
      </c>
      <c r="H191" s="78" t="s">
        <v>162</v>
      </c>
      <c r="I191" s="23"/>
    </row>
    <row r="192" spans="3:9" x14ac:dyDescent="0.3">
      <c r="C192" s="136"/>
      <c r="G192" s="77" t="s">
        <v>163</v>
      </c>
      <c r="H192" s="78" t="s">
        <v>164</v>
      </c>
      <c r="I192" s="23"/>
    </row>
    <row r="193" spans="1:9" x14ac:dyDescent="0.3">
      <c r="C193" s="136"/>
      <c r="G193" s="77" t="s">
        <v>165</v>
      </c>
      <c r="H193" s="78" t="s">
        <v>166</v>
      </c>
      <c r="I193" s="23"/>
    </row>
    <row r="194" spans="1:9" x14ac:dyDescent="0.3">
      <c r="C194" s="136"/>
      <c r="G194" s="77" t="s">
        <v>167</v>
      </c>
      <c r="H194" s="78" t="s">
        <v>168</v>
      </c>
      <c r="I194" s="23"/>
    </row>
    <row r="195" spans="1:9" x14ac:dyDescent="0.3">
      <c r="C195" s="136"/>
      <c r="G195" s="77" t="s">
        <v>169</v>
      </c>
      <c r="H195" s="78" t="s">
        <v>170</v>
      </c>
      <c r="I195" s="23"/>
    </row>
    <row r="196" spans="1:9" x14ac:dyDescent="0.3">
      <c r="C196" s="136"/>
      <c r="G196" s="77" t="s">
        <v>171</v>
      </c>
      <c r="H196" s="78" t="s">
        <v>172</v>
      </c>
      <c r="I196" s="23"/>
    </row>
    <row r="197" spans="1:9" x14ac:dyDescent="0.3">
      <c r="C197" s="136"/>
      <c r="G197" s="31"/>
      <c r="H197" s="29"/>
      <c r="I197" s="23"/>
    </row>
    <row r="198" spans="1:9" x14ac:dyDescent="0.3">
      <c r="C198" s="136"/>
      <c r="G198" s="31"/>
      <c r="H198" s="29"/>
      <c r="I198" s="23"/>
    </row>
    <row r="199" spans="1:9" x14ac:dyDescent="0.3">
      <c r="C199" s="136"/>
      <c r="G199" s="31"/>
      <c r="H199" s="29"/>
      <c r="I199" s="23"/>
    </row>
    <row r="200" spans="1:9" x14ac:dyDescent="0.3">
      <c r="A200" s="112"/>
      <c r="B200" s="28"/>
      <c r="C200" s="136"/>
      <c r="G200" s="31"/>
      <c r="H200" s="29"/>
      <c r="I200" s="23"/>
    </row>
    <row r="201" spans="1:9" x14ac:dyDescent="0.3">
      <c r="A201" s="112"/>
      <c r="B201" s="28"/>
      <c r="C201" s="136"/>
      <c r="G201" s="31"/>
      <c r="H201" s="29"/>
      <c r="I201" s="23"/>
    </row>
    <row r="202" spans="1:9" x14ac:dyDescent="0.3">
      <c r="A202" s="112"/>
      <c r="B202" s="28"/>
      <c r="C202" s="136"/>
      <c r="G202" s="31"/>
      <c r="H202" s="29"/>
      <c r="I202" s="23"/>
    </row>
    <row r="203" spans="1:9" x14ac:dyDescent="0.3">
      <c r="A203" s="112"/>
      <c r="B203" s="28"/>
      <c r="C203" s="136"/>
      <c r="G203" s="79" t="s">
        <v>204</v>
      </c>
      <c r="H203" s="80" t="s">
        <v>205</v>
      </c>
      <c r="I203" s="23"/>
    </row>
    <row r="204" spans="1:9" x14ac:dyDescent="0.3">
      <c r="A204" s="112"/>
      <c r="B204" s="28"/>
      <c r="C204" s="136"/>
      <c r="G204" s="79" t="s">
        <v>206</v>
      </c>
      <c r="H204" s="80" t="s">
        <v>207</v>
      </c>
      <c r="I204" s="23"/>
    </row>
    <row r="205" spans="1:9" x14ac:dyDescent="0.3">
      <c r="A205" s="112"/>
      <c r="B205" s="28"/>
      <c r="C205" s="136"/>
      <c r="G205" s="79" t="s">
        <v>200</v>
      </c>
      <c r="H205" s="80" t="s">
        <v>201</v>
      </c>
      <c r="I205" s="23"/>
    </row>
    <row r="206" spans="1:9" x14ac:dyDescent="0.3">
      <c r="A206" s="112"/>
      <c r="B206" s="28"/>
      <c r="C206" s="136"/>
      <c r="G206" s="79" t="s">
        <v>202</v>
      </c>
      <c r="H206" s="80" t="s">
        <v>203</v>
      </c>
      <c r="I206" s="23"/>
    </row>
    <row r="207" spans="1:9" x14ac:dyDescent="0.3">
      <c r="A207" s="112"/>
      <c r="B207" s="28"/>
      <c r="C207" s="136"/>
      <c r="G207" s="79" t="s">
        <v>198</v>
      </c>
      <c r="H207" s="80" t="s">
        <v>199</v>
      </c>
      <c r="I207" s="23"/>
    </row>
    <row r="208" spans="1:9" x14ac:dyDescent="0.3">
      <c r="C208" s="136"/>
      <c r="G208" s="79" t="s">
        <v>208</v>
      </c>
      <c r="H208" s="80" t="s">
        <v>209</v>
      </c>
      <c r="I208" s="23"/>
    </row>
    <row r="209" spans="3:9" x14ac:dyDescent="0.3">
      <c r="C209" s="136"/>
      <c r="G209" s="79" t="s">
        <v>196</v>
      </c>
      <c r="H209" s="80" t="s">
        <v>197</v>
      </c>
      <c r="I209" s="23"/>
    </row>
    <row r="210" spans="3:9" x14ac:dyDescent="0.3">
      <c r="C210" s="136"/>
      <c r="G210" s="79" t="s">
        <v>194</v>
      </c>
      <c r="H210" s="80" t="s">
        <v>195</v>
      </c>
      <c r="I210" s="23"/>
    </row>
    <row r="211" spans="3:9" x14ac:dyDescent="0.3">
      <c r="C211" s="136"/>
      <c r="G211" s="79" t="s">
        <v>210</v>
      </c>
      <c r="H211" s="80" t="s">
        <v>211</v>
      </c>
      <c r="I211" s="23"/>
    </row>
    <row r="212" spans="3:9" x14ac:dyDescent="0.3">
      <c r="C212" s="136"/>
      <c r="G212" s="79" t="s">
        <v>175</v>
      </c>
      <c r="H212" s="80" t="s">
        <v>176</v>
      </c>
      <c r="I212" s="23"/>
    </row>
    <row r="213" spans="3:9" x14ac:dyDescent="0.3">
      <c r="C213" s="136"/>
      <c r="G213" s="31"/>
      <c r="H213" s="29"/>
      <c r="I213" s="23"/>
    </row>
    <row r="214" spans="3:9" x14ac:dyDescent="0.3">
      <c r="C214" s="136"/>
      <c r="G214" s="31"/>
      <c r="H214" s="29"/>
      <c r="I214" s="23"/>
    </row>
    <row r="215" spans="3:9" x14ac:dyDescent="0.3">
      <c r="C215" s="136"/>
      <c r="G215" s="31"/>
      <c r="H215" s="29"/>
      <c r="I215" s="23"/>
    </row>
    <row r="216" spans="3:9" x14ac:dyDescent="0.3">
      <c r="C216" s="136"/>
      <c r="G216" s="31"/>
      <c r="H216" s="29"/>
      <c r="I216" s="23"/>
    </row>
    <row r="217" spans="3:9" x14ac:dyDescent="0.3">
      <c r="C217" s="136"/>
      <c r="G217" s="31"/>
      <c r="H217" s="29"/>
      <c r="I217" s="23"/>
    </row>
    <row r="218" spans="3:9" x14ac:dyDescent="0.3">
      <c r="C218" s="136"/>
      <c r="G218" s="31"/>
      <c r="H218" s="29"/>
      <c r="I218" s="23"/>
    </row>
    <row r="219" spans="3:9" x14ac:dyDescent="0.3">
      <c r="C219" s="136"/>
      <c r="G219" s="31"/>
      <c r="H219" s="29"/>
      <c r="I219" s="23"/>
    </row>
    <row r="220" spans="3:9" x14ac:dyDescent="0.3">
      <c r="C220" s="136"/>
      <c r="G220" s="31"/>
      <c r="H220" s="29"/>
      <c r="I220" s="23"/>
    </row>
    <row r="221" spans="3:9" x14ac:dyDescent="0.3">
      <c r="C221" s="136"/>
      <c r="G221" s="31"/>
      <c r="H221" s="29"/>
      <c r="I221" s="23"/>
    </row>
    <row r="222" spans="3:9" x14ac:dyDescent="0.3">
      <c r="C222" s="136"/>
      <c r="G222" s="31"/>
      <c r="H222" s="29"/>
      <c r="I222" s="23"/>
    </row>
    <row r="223" spans="3:9" x14ac:dyDescent="0.3">
      <c r="C223" s="136"/>
      <c r="G223" s="81" t="s">
        <v>212</v>
      </c>
      <c r="H223" s="82" t="s">
        <v>356</v>
      </c>
      <c r="I223" s="23"/>
    </row>
    <row r="224" spans="3:9" x14ac:dyDescent="0.3">
      <c r="C224" s="136"/>
      <c r="G224" s="81" t="s">
        <v>213</v>
      </c>
      <c r="H224" s="82" t="s">
        <v>357</v>
      </c>
      <c r="I224" s="23"/>
    </row>
    <row r="225" spans="3:9" x14ac:dyDescent="0.3">
      <c r="C225" s="136"/>
      <c r="G225" s="81" t="s">
        <v>214</v>
      </c>
      <c r="H225" s="82" t="s">
        <v>215</v>
      </c>
      <c r="I225" s="23"/>
    </row>
    <row r="226" spans="3:9" x14ac:dyDescent="0.3">
      <c r="C226" s="136"/>
      <c r="G226" s="81" t="s">
        <v>216</v>
      </c>
      <c r="H226" s="82" t="s">
        <v>217</v>
      </c>
      <c r="I226" s="23"/>
    </row>
    <row r="227" spans="3:9" x14ac:dyDescent="0.3">
      <c r="C227" s="136"/>
      <c r="G227" s="81" t="s">
        <v>218</v>
      </c>
      <c r="H227" s="82" t="s">
        <v>219</v>
      </c>
      <c r="I227" s="23"/>
    </row>
    <row r="228" spans="3:9" x14ac:dyDescent="0.3">
      <c r="C228" s="136"/>
      <c r="G228" s="81" t="s">
        <v>220</v>
      </c>
      <c r="H228" s="82" t="s">
        <v>221</v>
      </c>
      <c r="I228" s="23"/>
    </row>
    <row r="229" spans="3:9" x14ac:dyDescent="0.3">
      <c r="C229" s="136"/>
      <c r="G229" s="31"/>
      <c r="H229" s="29"/>
      <c r="I229" s="23"/>
    </row>
    <row r="230" spans="3:9" x14ac:dyDescent="0.3">
      <c r="C230" s="136"/>
      <c r="G230" s="31"/>
      <c r="H230" s="29"/>
      <c r="I230" s="23"/>
    </row>
    <row r="231" spans="3:9" x14ac:dyDescent="0.3">
      <c r="C231" s="103"/>
      <c r="G231" s="31"/>
      <c r="H231" s="29"/>
      <c r="I231" s="23"/>
    </row>
    <row r="232" spans="3:9" x14ac:dyDescent="0.3">
      <c r="C232" s="103"/>
      <c r="G232" s="31"/>
      <c r="H232" s="29"/>
      <c r="I232" s="23"/>
    </row>
    <row r="233" spans="3:9" x14ac:dyDescent="0.3">
      <c r="C233" s="103"/>
      <c r="G233" s="31"/>
      <c r="H233" s="29"/>
      <c r="I233" s="23"/>
    </row>
    <row r="234" spans="3:9" x14ac:dyDescent="0.3">
      <c r="C234" s="103"/>
      <c r="G234" s="31"/>
      <c r="H234" s="29"/>
      <c r="I234" s="23"/>
    </row>
    <row r="235" spans="3:9" x14ac:dyDescent="0.3">
      <c r="C235" s="103"/>
      <c r="G235" s="31"/>
      <c r="H235" s="29"/>
      <c r="I235" s="23"/>
    </row>
    <row r="236" spans="3:9" x14ac:dyDescent="0.3">
      <c r="C236" s="103"/>
      <c r="G236" s="31"/>
      <c r="H236" s="29"/>
      <c r="I236" s="23"/>
    </row>
    <row r="237" spans="3:9" x14ac:dyDescent="0.3">
      <c r="C237" s="103"/>
      <c r="G237" s="31"/>
      <c r="H237" s="29"/>
      <c r="I237" s="23"/>
    </row>
    <row r="238" spans="3:9" x14ac:dyDescent="0.3">
      <c r="C238" s="103"/>
      <c r="G238" s="31"/>
      <c r="H238" s="29"/>
      <c r="I238" s="23"/>
    </row>
    <row r="239" spans="3:9" x14ac:dyDescent="0.3">
      <c r="C239" s="103"/>
      <c r="G239" s="31"/>
      <c r="H239" s="29"/>
      <c r="I239" s="23"/>
    </row>
    <row r="240" spans="3:9" x14ac:dyDescent="0.3">
      <c r="C240" s="103"/>
      <c r="G240" s="31"/>
      <c r="H240" s="29"/>
      <c r="I240" s="23"/>
    </row>
    <row r="241" spans="3:9" x14ac:dyDescent="0.3">
      <c r="C241" s="103"/>
      <c r="G241" s="31"/>
      <c r="H241" s="29"/>
      <c r="I241" s="23"/>
    </row>
    <row r="242" spans="3:9" x14ac:dyDescent="0.3">
      <c r="C242" s="103"/>
      <c r="G242" s="31"/>
      <c r="H242" s="29"/>
      <c r="I242" s="23"/>
    </row>
    <row r="243" spans="3:9" x14ac:dyDescent="0.3">
      <c r="C243" s="103"/>
      <c r="G243" s="83" t="s">
        <v>222</v>
      </c>
      <c r="H243" s="84" t="s">
        <v>223</v>
      </c>
      <c r="I243" s="23"/>
    </row>
    <row r="244" spans="3:9" x14ac:dyDescent="0.3">
      <c r="C244" s="103"/>
      <c r="G244" s="83" t="s">
        <v>252</v>
      </c>
      <c r="H244" s="84" t="s">
        <v>253</v>
      </c>
      <c r="I244" s="23"/>
    </row>
    <row r="245" spans="3:9" x14ac:dyDescent="0.3">
      <c r="C245" s="103"/>
      <c r="G245" s="83" t="s">
        <v>224</v>
      </c>
      <c r="H245" s="84" t="s">
        <v>225</v>
      </c>
      <c r="I245" s="23"/>
    </row>
    <row r="246" spans="3:9" x14ac:dyDescent="0.3">
      <c r="C246" s="103"/>
      <c r="G246" s="83" t="s">
        <v>226</v>
      </c>
      <c r="H246" s="84" t="s">
        <v>227</v>
      </c>
      <c r="I246" s="23"/>
    </row>
    <row r="247" spans="3:9" x14ac:dyDescent="0.3">
      <c r="C247" s="103"/>
      <c r="G247" s="83" t="s">
        <v>228</v>
      </c>
      <c r="H247" s="84" t="s">
        <v>229</v>
      </c>
      <c r="I247" s="23"/>
    </row>
    <row r="248" spans="3:9" x14ac:dyDescent="0.3">
      <c r="C248" s="103"/>
      <c r="G248" s="83" t="s">
        <v>230</v>
      </c>
      <c r="H248" s="84" t="s">
        <v>231</v>
      </c>
      <c r="I248" s="23"/>
    </row>
    <row r="249" spans="3:9" x14ac:dyDescent="0.3">
      <c r="C249" s="103"/>
      <c r="G249" s="83" t="s">
        <v>232</v>
      </c>
      <c r="H249" s="84" t="s">
        <v>233</v>
      </c>
      <c r="I249" s="23"/>
    </row>
    <row r="250" spans="3:9" x14ac:dyDescent="0.3">
      <c r="C250" s="103"/>
      <c r="G250" s="83" t="s">
        <v>234</v>
      </c>
      <c r="H250" s="84" t="s">
        <v>235</v>
      </c>
      <c r="I250" s="23"/>
    </row>
    <row r="251" spans="3:9" x14ac:dyDescent="0.3">
      <c r="C251" s="103"/>
      <c r="G251" s="83" t="s">
        <v>236</v>
      </c>
      <c r="H251" s="84" t="s">
        <v>237</v>
      </c>
      <c r="I251" s="23"/>
    </row>
    <row r="252" spans="3:9" x14ac:dyDescent="0.3">
      <c r="C252" s="103"/>
      <c r="G252" s="83" t="s">
        <v>238</v>
      </c>
      <c r="H252" s="84" t="s">
        <v>239</v>
      </c>
      <c r="I252" s="23"/>
    </row>
    <row r="253" spans="3:9" x14ac:dyDescent="0.3">
      <c r="C253" s="103"/>
      <c r="G253" s="83" t="s">
        <v>240</v>
      </c>
      <c r="H253" s="84" t="s">
        <v>241</v>
      </c>
      <c r="I253" s="23"/>
    </row>
    <row r="254" spans="3:9" x14ac:dyDescent="0.3">
      <c r="C254" s="103"/>
      <c r="G254" s="83" t="s">
        <v>242</v>
      </c>
      <c r="H254" s="84" t="s">
        <v>243</v>
      </c>
      <c r="I254" s="23"/>
    </row>
    <row r="255" spans="3:9" x14ac:dyDescent="0.3">
      <c r="C255" s="103"/>
      <c r="G255" s="83" t="s">
        <v>244</v>
      </c>
      <c r="H255" s="84" t="s">
        <v>245</v>
      </c>
      <c r="I255" s="23"/>
    </row>
    <row r="256" spans="3:9" x14ac:dyDescent="0.3">
      <c r="C256" s="103"/>
      <c r="G256" s="83" t="s">
        <v>246</v>
      </c>
      <c r="H256" s="84" t="s">
        <v>247</v>
      </c>
      <c r="I256" s="23"/>
    </row>
    <row r="257" spans="3:9" x14ac:dyDescent="0.3">
      <c r="C257" s="103"/>
      <c r="G257" s="83" t="s">
        <v>248</v>
      </c>
      <c r="H257" s="84" t="s">
        <v>249</v>
      </c>
      <c r="I257" s="23"/>
    </row>
    <row r="258" spans="3:9" x14ac:dyDescent="0.3">
      <c r="C258" s="103"/>
      <c r="G258" s="83" t="s">
        <v>250</v>
      </c>
      <c r="H258" s="84" t="s">
        <v>251</v>
      </c>
      <c r="I258" s="23"/>
    </row>
    <row r="259" spans="3:9" x14ac:dyDescent="0.3">
      <c r="C259" s="103"/>
      <c r="G259" s="31"/>
      <c r="H259" s="29"/>
      <c r="I259" s="23"/>
    </row>
    <row r="260" spans="3:9" x14ac:dyDescent="0.3">
      <c r="C260" s="103"/>
      <c r="G260" s="31"/>
      <c r="H260" s="29"/>
      <c r="I260" s="23"/>
    </row>
    <row r="261" spans="3:9" x14ac:dyDescent="0.3">
      <c r="C261" s="103"/>
      <c r="G261" s="31"/>
      <c r="H261" s="29"/>
      <c r="I261" s="23"/>
    </row>
    <row r="262" spans="3:9" x14ac:dyDescent="0.3">
      <c r="C262" s="103"/>
      <c r="G262" s="31"/>
      <c r="H262" s="29"/>
      <c r="I262" s="23"/>
    </row>
    <row r="263" spans="3:9" x14ac:dyDescent="0.3">
      <c r="C263" s="103"/>
      <c r="G263" s="85" t="s">
        <v>254</v>
      </c>
      <c r="H263" s="86" t="s">
        <v>255</v>
      </c>
      <c r="I263" s="23"/>
    </row>
    <row r="264" spans="3:9" x14ac:dyDescent="0.3">
      <c r="C264" s="103"/>
      <c r="G264" s="85" t="s">
        <v>262</v>
      </c>
      <c r="H264" s="86" t="s">
        <v>263</v>
      </c>
      <c r="I264" s="23"/>
    </row>
    <row r="265" spans="3:9" x14ac:dyDescent="0.3">
      <c r="C265" s="103"/>
      <c r="G265" s="85" t="s">
        <v>258</v>
      </c>
      <c r="H265" s="86" t="s">
        <v>259</v>
      </c>
      <c r="I265" s="23"/>
    </row>
    <row r="266" spans="3:9" x14ac:dyDescent="0.3">
      <c r="C266" s="103"/>
      <c r="G266" s="85" t="s">
        <v>260</v>
      </c>
      <c r="H266" s="86" t="s">
        <v>261</v>
      </c>
      <c r="I266" s="23"/>
    </row>
    <row r="267" spans="3:9" x14ac:dyDescent="0.3">
      <c r="C267" s="103"/>
      <c r="G267" s="31"/>
      <c r="H267" s="29"/>
      <c r="I267" s="23"/>
    </row>
    <row r="268" spans="3:9" x14ac:dyDescent="0.3">
      <c r="C268" s="103"/>
      <c r="G268" s="31"/>
      <c r="H268" s="29"/>
      <c r="I268" s="23"/>
    </row>
    <row r="269" spans="3:9" x14ac:dyDescent="0.3">
      <c r="C269" s="103"/>
      <c r="G269" s="31"/>
      <c r="H269" s="29"/>
      <c r="I269" s="23"/>
    </row>
    <row r="270" spans="3:9" x14ac:dyDescent="0.3">
      <c r="C270" s="103"/>
      <c r="G270" s="31"/>
      <c r="H270" s="29"/>
      <c r="I270" s="23"/>
    </row>
    <row r="271" spans="3:9" x14ac:dyDescent="0.3">
      <c r="C271" s="103"/>
      <c r="G271" s="31"/>
      <c r="H271" s="29"/>
      <c r="I271" s="23"/>
    </row>
    <row r="272" spans="3:9" x14ac:dyDescent="0.3">
      <c r="G272" s="31"/>
      <c r="H272" s="29"/>
      <c r="I272" s="23"/>
    </row>
    <row r="273" spans="7:9" x14ac:dyDescent="0.3">
      <c r="G273" s="87" t="s">
        <v>264</v>
      </c>
      <c r="H273" s="88" t="s">
        <v>265</v>
      </c>
      <c r="I273" s="23"/>
    </row>
    <row r="274" spans="7:9" x14ac:dyDescent="0.3">
      <c r="G274" s="87" t="s">
        <v>266</v>
      </c>
      <c r="H274" s="88" t="s">
        <v>267</v>
      </c>
      <c r="I274" s="23"/>
    </row>
    <row r="275" spans="7:9" x14ac:dyDescent="0.3">
      <c r="G275" s="87" t="s">
        <v>268</v>
      </c>
      <c r="H275" s="88" t="s">
        <v>269</v>
      </c>
      <c r="I275" s="23"/>
    </row>
    <row r="276" spans="7:9" x14ac:dyDescent="0.3">
      <c r="G276" s="87" t="s">
        <v>270</v>
      </c>
      <c r="H276" s="88" t="s">
        <v>271</v>
      </c>
      <c r="I276" s="23"/>
    </row>
    <row r="277" spans="7:9" x14ac:dyDescent="0.3">
      <c r="G277" s="87" t="s">
        <v>272</v>
      </c>
      <c r="H277" s="88" t="s">
        <v>273</v>
      </c>
      <c r="I277" s="23"/>
    </row>
    <row r="278" spans="7:9" x14ac:dyDescent="0.3">
      <c r="G278" s="87" t="s">
        <v>274</v>
      </c>
      <c r="H278" s="88" t="s">
        <v>275</v>
      </c>
      <c r="I278" s="23"/>
    </row>
    <row r="279" spans="7:9" x14ac:dyDescent="0.3">
      <c r="G279" s="87" t="s">
        <v>276</v>
      </c>
      <c r="H279" s="88" t="s">
        <v>277</v>
      </c>
      <c r="I279" s="23"/>
    </row>
    <row r="280" spans="7:9" x14ac:dyDescent="0.3">
      <c r="G280" s="87" t="s">
        <v>278</v>
      </c>
      <c r="H280" s="88" t="s">
        <v>279</v>
      </c>
      <c r="I280" s="23"/>
    </row>
    <row r="281" spans="7:9" x14ac:dyDescent="0.3">
      <c r="G281" s="87" t="s">
        <v>280</v>
      </c>
      <c r="H281" s="88" t="s">
        <v>281</v>
      </c>
      <c r="I281" s="23"/>
    </row>
    <row r="282" spans="7:9" x14ac:dyDescent="0.3">
      <c r="G282" s="87" t="s">
        <v>282</v>
      </c>
      <c r="H282" s="88" t="s">
        <v>283</v>
      </c>
      <c r="I282" s="23"/>
    </row>
    <row r="283" spans="7:9" x14ac:dyDescent="0.3">
      <c r="G283" s="87" t="s">
        <v>284</v>
      </c>
      <c r="H283" s="88" t="s">
        <v>285</v>
      </c>
      <c r="I283" s="23"/>
    </row>
    <row r="284" spans="7:9" x14ac:dyDescent="0.3">
      <c r="G284" s="87" t="s">
        <v>286</v>
      </c>
      <c r="H284" s="88" t="s">
        <v>287</v>
      </c>
      <c r="I284" s="23"/>
    </row>
    <row r="285" spans="7:9" x14ac:dyDescent="0.3">
      <c r="G285" s="87" t="s">
        <v>288</v>
      </c>
      <c r="H285" s="88" t="s">
        <v>289</v>
      </c>
      <c r="I285" s="23"/>
    </row>
    <row r="286" spans="7:9" x14ac:dyDescent="0.3">
      <c r="G286" s="87" t="s">
        <v>290</v>
      </c>
      <c r="H286" s="88" t="s">
        <v>291</v>
      </c>
      <c r="I286" s="23"/>
    </row>
    <row r="287" spans="7:9" x14ac:dyDescent="0.3">
      <c r="G287" s="31"/>
      <c r="H287" s="29"/>
      <c r="I287" s="23"/>
    </row>
    <row r="288" spans="7:9" x14ac:dyDescent="0.3">
      <c r="G288" s="31"/>
      <c r="H288" s="29"/>
      <c r="I288" s="23"/>
    </row>
    <row r="289" spans="7:9" x14ac:dyDescent="0.3">
      <c r="G289" s="89" t="s">
        <v>294</v>
      </c>
      <c r="H289" s="90" t="s">
        <v>295</v>
      </c>
      <c r="I289" s="23"/>
    </row>
    <row r="290" spans="7:9" x14ac:dyDescent="0.3">
      <c r="G290" s="89" t="s">
        <v>298</v>
      </c>
      <c r="H290" s="90" t="s">
        <v>299</v>
      </c>
      <c r="I290" s="23"/>
    </row>
    <row r="291" spans="7:9" x14ac:dyDescent="0.3">
      <c r="G291" s="89" t="s">
        <v>292</v>
      </c>
      <c r="H291" s="90" t="s">
        <v>293</v>
      </c>
      <c r="I291" s="23"/>
    </row>
    <row r="292" spans="7:9" x14ac:dyDescent="0.3">
      <c r="G292" s="89" t="s">
        <v>300</v>
      </c>
      <c r="H292" s="90" t="s">
        <v>301</v>
      </c>
      <c r="I292" s="23"/>
    </row>
    <row r="293" spans="7:9" x14ac:dyDescent="0.3">
      <c r="G293" s="31"/>
      <c r="H293" s="29"/>
      <c r="I293" s="23"/>
    </row>
    <row r="294" spans="7:9" x14ac:dyDescent="0.3">
      <c r="G294" s="31"/>
      <c r="H294" s="29"/>
      <c r="I294" s="23"/>
    </row>
    <row r="295" spans="7:9" x14ac:dyDescent="0.3">
      <c r="G295" s="91" t="s">
        <v>302</v>
      </c>
      <c r="H295" s="92" t="s">
        <v>303</v>
      </c>
      <c r="I295" s="23"/>
    </row>
    <row r="296" spans="7:9" x14ac:dyDescent="0.3">
      <c r="G296" s="91" t="s">
        <v>304</v>
      </c>
      <c r="H296" s="92" t="s">
        <v>305</v>
      </c>
      <c r="I296" s="23"/>
    </row>
    <row r="297" spans="7:9" x14ac:dyDescent="0.3">
      <c r="G297" s="31"/>
      <c r="H297" s="29"/>
      <c r="I297" s="23"/>
    </row>
    <row r="298" spans="7:9" x14ac:dyDescent="0.3">
      <c r="G298" s="31"/>
      <c r="H298" s="29"/>
      <c r="I298" s="23"/>
    </row>
    <row r="299" spans="7:9" x14ac:dyDescent="0.3">
      <c r="G299" s="93" t="s">
        <v>256</v>
      </c>
      <c r="H299" s="94" t="s">
        <v>257</v>
      </c>
      <c r="I299" s="23"/>
    </row>
    <row r="300" spans="7:9" x14ac:dyDescent="0.3">
      <c r="I300" s="23"/>
    </row>
    <row r="301" spans="7:9" x14ac:dyDescent="0.3">
      <c r="I301" s="23"/>
    </row>
    <row r="302" spans="7:9" x14ac:dyDescent="0.3">
      <c r="G302" s="31" t="s">
        <v>26</v>
      </c>
      <c r="H302" s="29" t="s">
        <v>355</v>
      </c>
      <c r="I302" s="23"/>
    </row>
    <row r="303" spans="7:9" x14ac:dyDescent="0.3">
      <c r="G303" s="31" t="s">
        <v>428</v>
      </c>
      <c r="H303" s="29" t="s">
        <v>429</v>
      </c>
      <c r="I303" s="23"/>
    </row>
    <row r="304" spans="7:9" x14ac:dyDescent="0.3">
      <c r="G304" s="31" t="s">
        <v>431</v>
      </c>
      <c r="H304" s="29" t="s">
        <v>430</v>
      </c>
      <c r="I304" s="23"/>
    </row>
    <row r="305" spans="7:9" x14ac:dyDescent="0.3">
      <c r="G305" s="31" t="s">
        <v>27</v>
      </c>
      <c r="H305" s="29" t="s">
        <v>23</v>
      </c>
      <c r="I305" s="23"/>
    </row>
    <row r="306" spans="7:9" x14ac:dyDescent="0.3">
      <c r="G306" s="31" t="s">
        <v>427</v>
      </c>
      <c r="H306" s="29" t="s">
        <v>426</v>
      </c>
      <c r="I306" s="23"/>
    </row>
    <row r="307" spans="7:9" x14ac:dyDescent="0.3">
      <c r="I307" s="23"/>
    </row>
    <row r="308" spans="7:9" x14ac:dyDescent="0.3">
      <c r="I308" s="23"/>
    </row>
    <row r="309" spans="7:9" x14ac:dyDescent="0.3">
      <c r="I309" s="23"/>
    </row>
  </sheetData>
  <sortState ref="D3:E309">
    <sortCondition ref="D3"/>
  </sortState>
  <mergeCells count="2">
    <mergeCell ref="D1:E1"/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3</vt:i4>
      </vt:variant>
    </vt:vector>
  </HeadingPairs>
  <TitlesOfParts>
    <vt:vector size="11" baseType="lpstr">
      <vt:lpstr>Uitlenen en innemen</vt:lpstr>
      <vt:lpstr>Momenteel uitgeleend</vt:lpstr>
      <vt:lpstr>DB uitgeleend</vt:lpstr>
      <vt:lpstr>Barcodes Voorwerpen</vt:lpstr>
      <vt:lpstr>Barcodes Gebruikers</vt:lpstr>
      <vt:lpstr>Barcodes Bijzonder</vt:lpstr>
      <vt:lpstr>Instellingen</vt:lpstr>
      <vt:lpstr>DB</vt:lpstr>
      <vt:lpstr>'Barcodes Bijzonder'!Afdrukbereik</vt:lpstr>
      <vt:lpstr>'Barcodes Gebruikers'!Afdrukbereik</vt:lpstr>
      <vt:lpstr>'Barcodes Voorwerpen'!Afdrukbereik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</dc:creator>
  <cp:lastModifiedBy>user</cp:lastModifiedBy>
  <cp:lastPrinted>2018-09-11T15:22:51Z</cp:lastPrinted>
  <dcterms:created xsi:type="dcterms:W3CDTF">2018-06-30T10:25:59Z</dcterms:created>
  <dcterms:modified xsi:type="dcterms:W3CDTF">2018-09-11T15:30:15Z</dcterms:modified>
</cp:coreProperties>
</file>